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4966" documentId="13_ncr:1_{C3252013-B4B7-4F14-A7A9-37843924CAE8}" xr6:coauthVersionLast="47" xr6:coauthVersionMax="47" xr10:uidLastSave="{90F4D9E5-5AA6-498E-ACBB-522B54A45396}"/>
  <bookViews>
    <workbookView xWindow="-110" yWindow="-110" windowWidth="19420" windowHeight="10300" activeTab="6"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s>
  <externalReferences>
    <externalReference r:id="rId8"/>
    <externalReference r:id="rId9"/>
  </externalReferences>
  <definedNames>
    <definedName name="_xlnm._FilterDatabase" localSheetId="3" hidden="1">Invoices!$A$1:$AB$143</definedName>
    <definedName name="_xlnm._FilterDatabase" localSheetId="0" hidden="1">Summary!#REF!</definedName>
    <definedName name="_xlnm._FilterDatabase" localSheetId="6" hidden="1">Validation!$A$2:$E$315</definedName>
    <definedName name="Slicer_Account_Manager">#N/A</definedName>
    <definedName name="Slicer_Region">#N/A</definedName>
  </definedNames>
  <calcPr calcId="191028"/>
  <pivotCaches>
    <pivotCache cacheId="0" r:id="rId10"/>
    <pivotCache cacheId="1" r:id="rId11"/>
    <pivotCache cacheId="8"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2" i="1"/>
  <c r="K92" i="1"/>
  <c r="C315" i="4" l="1"/>
  <c r="C314" i="4"/>
  <c r="C313" i="4"/>
  <c r="C312" i="4"/>
  <c r="C311" i="4"/>
  <c r="C285" i="4"/>
  <c r="C279" i="4"/>
  <c r="C245" i="4"/>
  <c r="C238" i="4"/>
  <c r="C236" i="4"/>
  <c r="C232" i="4"/>
  <c r="C217" i="4"/>
  <c r="C210" i="4"/>
  <c r="C160" i="4"/>
  <c r="C142" i="4"/>
  <c r="C310" i="4" l="1"/>
  <c r="C309" i="4"/>
  <c r="C308" i="4"/>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C76" i="1"/>
  <c r="D76" i="1"/>
  <c r="E76" i="1"/>
  <c r="C77" i="1"/>
  <c r="D77" i="1"/>
  <c r="E77" i="1"/>
  <c r="C78" i="1"/>
  <c r="D78" i="1"/>
  <c r="E78" i="1"/>
  <c r="C79" i="1"/>
  <c r="D79" i="1"/>
  <c r="E79" i="1"/>
  <c r="C80" i="1"/>
  <c r="D80" i="1"/>
  <c r="E80" i="1"/>
  <c r="C81" i="1"/>
  <c r="D81" i="1"/>
  <c r="E81" i="1"/>
  <c r="C82" i="1"/>
  <c r="D82" i="1"/>
  <c r="E82" i="1"/>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C94" i="1"/>
  <c r="D94" i="1"/>
  <c r="E94" i="1"/>
  <c r="C95" i="1"/>
  <c r="D95" i="1"/>
  <c r="E95" i="1"/>
  <c r="C96" i="1"/>
  <c r="D96" i="1"/>
  <c r="E96" i="1"/>
  <c r="C97" i="1"/>
  <c r="D97" i="1"/>
  <c r="E97" i="1"/>
  <c r="C98" i="1"/>
  <c r="D98" i="1"/>
  <c r="E98" i="1"/>
  <c r="C99" i="1"/>
  <c r="D99" i="1"/>
  <c r="E99" i="1"/>
  <c r="C100" i="1"/>
  <c r="D100" i="1"/>
  <c r="E100" i="1"/>
  <c r="C101" i="1"/>
  <c r="D101" i="1"/>
  <c r="E101" i="1"/>
  <c r="C102" i="1"/>
  <c r="D102" i="1"/>
  <c r="E102" i="1"/>
  <c r="C103" i="1"/>
  <c r="D103" i="1"/>
  <c r="E103" i="1"/>
  <c r="C104" i="1"/>
  <c r="D104" i="1"/>
  <c r="E104" i="1"/>
  <c r="C105" i="1"/>
  <c r="D105" i="1"/>
  <c r="E105" i="1"/>
  <c r="C106" i="1"/>
  <c r="D106" i="1"/>
  <c r="E106" i="1"/>
  <c r="C107" i="1"/>
  <c r="D107" i="1"/>
  <c r="E107" i="1"/>
  <c r="C108" i="1"/>
  <c r="D108" i="1"/>
  <c r="E108" i="1"/>
  <c r="C109" i="1"/>
  <c r="D109" i="1"/>
  <c r="E109" i="1"/>
  <c r="C110" i="1"/>
  <c r="D110" i="1"/>
  <c r="E110" i="1"/>
  <c r="C111" i="1"/>
  <c r="D111" i="1"/>
  <c r="E111" i="1"/>
  <c r="C112" i="1"/>
  <c r="D112" i="1"/>
  <c r="E112" i="1"/>
  <c r="C113" i="1"/>
  <c r="D113" i="1"/>
  <c r="E113" i="1"/>
  <c r="C114" i="1"/>
  <c r="D114" i="1"/>
  <c r="E114" i="1"/>
  <c r="C115" i="1"/>
  <c r="D115" i="1"/>
  <c r="E115" i="1"/>
  <c r="C116" i="1"/>
  <c r="D116" i="1"/>
  <c r="E116" i="1"/>
  <c r="C117" i="1"/>
  <c r="D117" i="1"/>
  <c r="E117" i="1"/>
  <c r="C118" i="1"/>
  <c r="D118" i="1"/>
  <c r="E118" i="1"/>
  <c r="C119" i="1"/>
  <c r="D119" i="1"/>
  <c r="E119" i="1"/>
  <c r="C120" i="1"/>
  <c r="D120" i="1"/>
  <c r="E120" i="1"/>
  <c r="C121" i="1"/>
  <c r="D121" i="1"/>
  <c r="E121" i="1"/>
  <c r="C122" i="1"/>
  <c r="D122" i="1"/>
  <c r="E122" i="1"/>
  <c r="C123" i="1"/>
  <c r="D123" i="1"/>
  <c r="E123" i="1"/>
  <c r="C124" i="1"/>
  <c r="D124" i="1"/>
  <c r="E124" i="1"/>
  <c r="C125" i="1"/>
  <c r="D125" i="1"/>
  <c r="E125" i="1"/>
  <c r="C126" i="1"/>
  <c r="D126" i="1"/>
  <c r="E126" i="1"/>
  <c r="C127" i="1"/>
  <c r="D127" i="1"/>
  <c r="E127" i="1"/>
  <c r="C128" i="1"/>
  <c r="D128" i="1"/>
  <c r="E128" i="1"/>
  <c r="C129" i="1"/>
  <c r="D129" i="1"/>
  <c r="E129" i="1"/>
  <c r="C130" i="1"/>
  <c r="D130" i="1"/>
  <c r="E130" i="1"/>
  <c r="C131" i="1"/>
  <c r="D131" i="1"/>
  <c r="E131" i="1"/>
  <c r="C132" i="1"/>
  <c r="D132" i="1"/>
  <c r="E132" i="1"/>
  <c r="C133" i="1"/>
  <c r="D133" i="1"/>
  <c r="E133" i="1"/>
  <c r="C134" i="1"/>
  <c r="D134" i="1"/>
  <c r="E134" i="1"/>
  <c r="C135" i="1"/>
  <c r="D135" i="1"/>
  <c r="E135" i="1"/>
  <c r="C136" i="1"/>
  <c r="D136" i="1"/>
  <c r="E136" i="1"/>
  <c r="C137" i="1"/>
  <c r="D137" i="1"/>
  <c r="E137" i="1"/>
  <c r="C138" i="1"/>
  <c r="D138" i="1"/>
  <c r="E138" i="1"/>
  <c r="C139" i="1"/>
  <c r="D139" i="1"/>
  <c r="E139" i="1"/>
  <c r="C140" i="1"/>
  <c r="D140" i="1"/>
  <c r="E140" i="1"/>
  <c r="C141" i="1"/>
  <c r="D141" i="1"/>
  <c r="E141" i="1"/>
  <c r="C142" i="1"/>
  <c r="D142" i="1"/>
  <c r="E142" i="1"/>
  <c r="C143" i="1"/>
  <c r="D143" i="1"/>
  <c r="E143" i="1"/>
  <c r="D37" i="3"/>
  <c r="J15" i="2"/>
  <c r="C307" i="4"/>
  <c r="M75" i="1"/>
  <c r="G75" i="1"/>
  <c r="J75" i="1"/>
  <c r="C74" i="1"/>
  <c r="D74" i="1"/>
  <c r="E74" i="1"/>
  <c r="C75" i="1"/>
  <c r="D75" i="1"/>
  <c r="E75" i="1"/>
  <c r="C306" i="4" l="1"/>
  <c r="C305" i="4"/>
  <c r="C304" i="4"/>
  <c r="C303" i="4"/>
  <c r="C302" i="4"/>
  <c r="M52" i="1"/>
  <c r="M53" i="1"/>
  <c r="M54" i="1"/>
  <c r="M55" i="1"/>
  <c r="M56" i="1"/>
  <c r="M57" i="1"/>
  <c r="M58" i="1"/>
  <c r="M59" i="1"/>
  <c r="M60" i="1"/>
  <c r="M61" i="1"/>
  <c r="M62" i="1"/>
  <c r="M63" i="1"/>
  <c r="M64" i="1"/>
  <c r="M65" i="1"/>
  <c r="M66" i="1"/>
  <c r="M67" i="1"/>
  <c r="M68" i="1"/>
  <c r="M69" i="1"/>
  <c r="M70" i="1"/>
  <c r="M71" i="1"/>
  <c r="M72" i="1"/>
  <c r="M73" i="1"/>
  <c r="M74" i="1"/>
  <c r="J53" i="1"/>
  <c r="J54" i="1"/>
  <c r="J55" i="1"/>
  <c r="J56" i="1"/>
  <c r="J57" i="1"/>
  <c r="J58" i="1"/>
  <c r="J59" i="1"/>
  <c r="J60" i="1"/>
  <c r="J61" i="1"/>
  <c r="J62" i="1"/>
  <c r="J63" i="1"/>
  <c r="J64" i="1"/>
  <c r="J65" i="1"/>
  <c r="J66" i="1"/>
  <c r="J67" i="1"/>
  <c r="J68" i="1"/>
  <c r="J69" i="1"/>
  <c r="J70" i="1"/>
  <c r="J71" i="1"/>
  <c r="J72" i="1"/>
  <c r="J73" i="1"/>
  <c r="J74" i="1"/>
  <c r="G3" i="1"/>
  <c r="G4" i="1"/>
  <c r="G5" i="1"/>
  <c r="G6" i="1"/>
  <c r="G7" i="1"/>
  <c r="G8" i="1"/>
  <c r="G9" i="1"/>
  <c r="G10" i="1"/>
  <c r="G11" i="1"/>
  <c r="G12" i="1"/>
  <c r="G13" i="1"/>
  <c r="G14" i="1"/>
  <c r="G15" i="1"/>
  <c r="G16" i="1"/>
  <c r="G17" i="1"/>
  <c r="G18" i="1"/>
  <c r="G19" i="1"/>
  <c r="G20" i="1"/>
  <c r="G21" i="1"/>
  <c r="G22"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C52" i="1"/>
  <c r="D52" i="1"/>
  <c r="E52" i="1"/>
  <c r="C53" i="1"/>
  <c r="D53" i="1"/>
  <c r="E53" i="1"/>
  <c r="C54" i="1"/>
  <c r="D54" i="1"/>
  <c r="E54" i="1"/>
  <c r="C55" i="1"/>
  <c r="D55" i="1"/>
  <c r="E55" i="1"/>
  <c r="C56" i="1"/>
  <c r="D56" i="1"/>
  <c r="E56" i="1"/>
  <c r="C57" i="1"/>
  <c r="D57" i="1"/>
  <c r="E57" i="1"/>
  <c r="C58" i="1"/>
  <c r="D58" i="1"/>
  <c r="E58" i="1"/>
  <c r="C59" i="1"/>
  <c r="D59" i="1"/>
  <c r="E59" i="1"/>
  <c r="C60" i="1"/>
  <c r="D60" i="1"/>
  <c r="E60" i="1"/>
  <c r="C61" i="1"/>
  <c r="D61" i="1"/>
  <c r="E61" i="1"/>
  <c r="C62" i="1"/>
  <c r="D62" i="1"/>
  <c r="E62" i="1"/>
  <c r="C63" i="1"/>
  <c r="D63" i="1"/>
  <c r="E63" i="1"/>
  <c r="C64" i="1"/>
  <c r="D64" i="1"/>
  <c r="E64" i="1"/>
  <c r="C65" i="1"/>
  <c r="D65" i="1"/>
  <c r="E65" i="1"/>
  <c r="C66" i="1"/>
  <c r="D66" i="1"/>
  <c r="E66" i="1"/>
  <c r="C67" i="1"/>
  <c r="D67" i="1"/>
  <c r="E67" i="1"/>
  <c r="C68" i="1"/>
  <c r="D68" i="1"/>
  <c r="E68" i="1"/>
  <c r="C69" i="1"/>
  <c r="D69" i="1"/>
  <c r="E69" i="1"/>
  <c r="C70" i="1"/>
  <c r="D70" i="1"/>
  <c r="E70" i="1"/>
  <c r="C71" i="1"/>
  <c r="D71" i="1"/>
  <c r="E71" i="1"/>
  <c r="C72" i="1"/>
  <c r="D72" i="1"/>
  <c r="E72" i="1"/>
  <c r="C73" i="1"/>
  <c r="D73" i="1"/>
  <c r="E73" i="1"/>
  <c r="J52" i="1" l="1"/>
  <c r="J50" i="1"/>
  <c r="J51" i="1"/>
  <c r="M50" i="1"/>
  <c r="M51" i="1"/>
  <c r="C50" i="1"/>
  <c r="D50" i="1"/>
  <c r="E50" i="1"/>
  <c r="C51" i="1"/>
  <c r="D51" i="1"/>
  <c r="E51" i="1"/>
  <c r="Z13" i="1"/>
  <c r="AA13" i="1" s="1"/>
  <c r="Z17" i="1"/>
  <c r="AA17" i="1" s="1"/>
  <c r="Z27" i="1"/>
  <c r="AA27" i="1" s="1"/>
  <c r="Z18" i="1"/>
  <c r="AA18" i="1" s="1"/>
  <c r="Z38" i="1"/>
  <c r="AA38" i="1" s="1"/>
  <c r="Z39" i="1"/>
  <c r="AA39" i="1" s="1"/>
  <c r="Z19" i="1"/>
  <c r="AA19" i="1" s="1"/>
  <c r="Z28" i="1"/>
  <c r="AA28" i="1" s="1"/>
  <c r="Z40" i="1"/>
  <c r="AA40" i="1" s="1"/>
  <c r="Z41" i="1"/>
  <c r="AA41" i="1" s="1"/>
  <c r="Z20" i="1"/>
  <c r="AA20" i="1" s="1"/>
  <c r="Z26" i="1"/>
  <c r="AA26" i="1" s="1"/>
  <c r="Z29" i="1"/>
  <c r="AA29" i="1" s="1"/>
  <c r="Z42" i="1"/>
  <c r="AA42" i="1" s="1"/>
  <c r="Z30" i="1"/>
  <c r="AA30" i="1" s="1"/>
  <c r="Z43" i="1"/>
  <c r="AA43" i="1" s="1"/>
  <c r="Z44" i="1"/>
  <c r="AA44" i="1" s="1"/>
  <c r="Z31" i="1"/>
  <c r="AA31" i="1" s="1"/>
  <c r="Z45" i="1"/>
  <c r="AA45" i="1" s="1"/>
  <c r="Z21" i="1"/>
  <c r="AA21" i="1" s="1"/>
  <c r="Z46" i="1"/>
  <c r="AA46" i="1" s="1"/>
  <c r="Z8" i="1"/>
  <c r="AA8" i="1" s="1"/>
  <c r="Z10" i="1"/>
  <c r="AA10" i="1" s="1"/>
  <c r="Z14" i="1"/>
  <c r="AA14" i="1" s="1"/>
  <c r="Z22" i="1"/>
  <c r="AA22" i="1" s="1"/>
  <c r="Z32" i="1"/>
  <c r="AA32" i="1" s="1"/>
  <c r="Z47" i="1"/>
  <c r="AA47" i="1" s="1"/>
  <c r="Z33" i="1"/>
  <c r="AA33" i="1" s="1"/>
  <c r="Z23" i="1"/>
  <c r="AA23" i="1" s="1"/>
  <c r="Z34" i="1"/>
  <c r="AA34" i="1" s="1"/>
  <c r="Z48" i="1"/>
  <c r="AA48" i="1" s="1"/>
  <c r="Z2" i="1"/>
  <c r="AA2" i="1" s="1"/>
  <c r="Z3" i="1"/>
  <c r="AA3" i="1" s="1"/>
  <c r="Z4" i="1"/>
  <c r="AA4" i="1" s="1"/>
  <c r="Z5" i="1"/>
  <c r="AA5" i="1" s="1"/>
  <c r="Z6" i="1"/>
  <c r="AA6" i="1" s="1"/>
  <c r="Z7" i="1"/>
  <c r="AA7" i="1" s="1"/>
  <c r="Z11" i="1"/>
  <c r="Z15" i="1"/>
  <c r="AA15" i="1" s="1"/>
  <c r="Z9" i="1"/>
  <c r="Z12" i="1"/>
  <c r="AA12" i="1" s="1"/>
  <c r="Z16" i="1"/>
  <c r="AA16" i="1" s="1"/>
  <c r="Z24" i="1"/>
  <c r="AA24" i="1" s="1"/>
  <c r="Z35" i="1"/>
  <c r="AA35" i="1" s="1"/>
  <c r="Z49" i="1"/>
  <c r="AA49" i="1" s="1"/>
  <c r="Z25" i="1"/>
  <c r="AA25" i="1" s="1"/>
  <c r="Z36" i="1"/>
  <c r="AA36" i="1" s="1"/>
  <c r="Z50" i="1"/>
  <c r="AA50" i="1" s="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2" i="1"/>
  <c r="Y3" i="1"/>
  <c r="Y4" i="1"/>
  <c r="Y5" i="1"/>
  <c r="Y6" i="1"/>
  <c r="Y7" i="1"/>
  <c r="Y8" i="1"/>
  <c r="Y9" i="1"/>
  <c r="Y10" i="1"/>
  <c r="Y11" i="1"/>
  <c r="Y12" i="1"/>
  <c r="C301" i="4"/>
  <c r="C300" i="4"/>
  <c r="C299" i="4"/>
  <c r="C298" i="4"/>
  <c r="C297" i="4"/>
  <c r="M37" i="1"/>
  <c r="M38" i="1"/>
  <c r="M39" i="1"/>
  <c r="M40" i="1"/>
  <c r="M41" i="1"/>
  <c r="M42" i="1"/>
  <c r="M43" i="1"/>
  <c r="M44" i="1"/>
  <c r="M45" i="1"/>
  <c r="M46" i="1"/>
  <c r="M47" i="1"/>
  <c r="M48" i="1"/>
  <c r="M49" i="1"/>
  <c r="J37" i="1"/>
  <c r="J38" i="1"/>
  <c r="J39" i="1"/>
  <c r="J40" i="1"/>
  <c r="J41" i="1"/>
  <c r="J42" i="1"/>
  <c r="J43" i="1"/>
  <c r="J44" i="1"/>
  <c r="J45" i="1"/>
  <c r="J46" i="1"/>
  <c r="J47" i="1"/>
  <c r="J48" i="1"/>
  <c r="J49" i="1"/>
  <c r="C37" i="1"/>
  <c r="D37" i="1"/>
  <c r="E37" i="1"/>
  <c r="C38" i="1"/>
  <c r="D38" i="1"/>
  <c r="E38" i="1"/>
  <c r="C39" i="1"/>
  <c r="D39" i="1"/>
  <c r="E39" i="1"/>
  <c r="C40" i="1"/>
  <c r="D40" i="1"/>
  <c r="E40" i="1"/>
  <c r="C41" i="1"/>
  <c r="D41" i="1"/>
  <c r="E41" i="1"/>
  <c r="C42" i="1"/>
  <c r="D42" i="1"/>
  <c r="E42" i="1"/>
  <c r="C43" i="1"/>
  <c r="D43" i="1"/>
  <c r="E43" i="1"/>
  <c r="C44" i="1"/>
  <c r="D44" i="1"/>
  <c r="E44" i="1"/>
  <c r="C45" i="1"/>
  <c r="D45" i="1"/>
  <c r="E45" i="1"/>
  <c r="C46" i="1"/>
  <c r="D46" i="1"/>
  <c r="E46" i="1"/>
  <c r="C47" i="1"/>
  <c r="D47" i="1"/>
  <c r="E47" i="1"/>
  <c r="C48" i="1"/>
  <c r="D48" i="1"/>
  <c r="E48" i="1"/>
  <c r="C49" i="1"/>
  <c r="D49" i="1"/>
  <c r="E49" i="1"/>
  <c r="C296" i="4"/>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289" i="4"/>
  <c r="C290" i="4"/>
  <c r="C291" i="4"/>
  <c r="C292" i="4"/>
  <c r="C293" i="4"/>
  <c r="C294" i="4"/>
  <c r="C295" i="4"/>
  <c r="M27" i="1"/>
  <c r="M28" i="1"/>
  <c r="M29" i="1"/>
  <c r="M30" i="1"/>
  <c r="M31" i="1"/>
  <c r="M32" i="1"/>
  <c r="M33" i="1"/>
  <c r="M34" i="1"/>
  <c r="M35" i="1"/>
  <c r="M36" i="1"/>
  <c r="J25" i="1"/>
  <c r="J26" i="1"/>
  <c r="J27" i="1"/>
  <c r="J28" i="1"/>
  <c r="J29" i="1"/>
  <c r="J30" i="1"/>
  <c r="J31" i="1"/>
  <c r="J32" i="1"/>
  <c r="J33" i="1"/>
  <c r="J34" i="1"/>
  <c r="J35" i="1"/>
  <c r="J36" i="1"/>
  <c r="D27" i="1"/>
  <c r="E27" i="1"/>
  <c r="D28" i="1"/>
  <c r="E28" i="1"/>
  <c r="D29" i="1"/>
  <c r="E29" i="1"/>
  <c r="D30" i="1"/>
  <c r="E30" i="1"/>
  <c r="D31" i="1"/>
  <c r="E31" i="1"/>
  <c r="D32" i="1"/>
  <c r="E32" i="1"/>
  <c r="D33" i="1"/>
  <c r="E33" i="1"/>
  <c r="D34" i="1"/>
  <c r="E34" i="1"/>
  <c r="D35" i="1"/>
  <c r="E35" i="1"/>
  <c r="D36" i="1"/>
  <c r="E36" i="1"/>
  <c r="M26" i="1"/>
  <c r="D26" i="1"/>
  <c r="E26" i="1"/>
  <c r="C268" i="4" l="1"/>
  <c r="C269" i="4"/>
  <c r="C270" i="4"/>
  <c r="C271" i="4"/>
  <c r="C272" i="4"/>
  <c r="C273" i="4"/>
  <c r="C274" i="4"/>
  <c r="C275" i="4"/>
  <c r="C276" i="4"/>
  <c r="C277" i="4"/>
  <c r="C278" i="4"/>
  <c r="C280" i="4"/>
  <c r="C281" i="4"/>
  <c r="C282" i="4"/>
  <c r="C283" i="4"/>
  <c r="C284" i="4"/>
  <c r="C286" i="4"/>
  <c r="C287" i="4"/>
  <c r="C288" i="4"/>
  <c r="C267" i="4"/>
  <c r="M17" i="1" l="1"/>
  <c r="M18" i="1"/>
  <c r="M19" i="1"/>
  <c r="M20" i="1"/>
  <c r="M21" i="1"/>
  <c r="M22" i="1"/>
  <c r="M24" i="1"/>
  <c r="M25" i="1"/>
  <c r="J16" i="1"/>
  <c r="J17" i="1"/>
  <c r="J18" i="1"/>
  <c r="J19" i="1"/>
  <c r="J20" i="1"/>
  <c r="J21" i="1"/>
  <c r="J22" i="1"/>
  <c r="J23" i="1"/>
  <c r="J24" i="1"/>
  <c r="D17" i="1"/>
  <c r="E17" i="1"/>
  <c r="D18" i="1"/>
  <c r="E18" i="1"/>
  <c r="D19" i="1"/>
  <c r="E19" i="1"/>
  <c r="D20" i="1"/>
  <c r="E20" i="1"/>
  <c r="D21" i="1"/>
  <c r="E21" i="1"/>
  <c r="D22" i="1"/>
  <c r="E22" i="1"/>
  <c r="D23" i="1"/>
  <c r="E23" i="1"/>
  <c r="D24" i="1"/>
  <c r="E24" i="1"/>
  <c r="D25" i="1"/>
  <c r="E25" i="1"/>
  <c r="K11" i="1"/>
  <c r="K9" i="1"/>
  <c r="M13" i="1"/>
  <c r="M14" i="1"/>
  <c r="M15" i="1"/>
  <c r="M16" i="1"/>
  <c r="J13" i="1"/>
  <c r="J14" i="1"/>
  <c r="J15" i="1"/>
  <c r="D13" i="1"/>
  <c r="E13" i="1"/>
  <c r="D14" i="1"/>
  <c r="E14" i="1"/>
  <c r="D15" i="1"/>
  <c r="E15" i="1"/>
  <c r="D16" i="1"/>
  <c r="E16" i="1"/>
  <c r="AA9" i="1" l="1"/>
  <c r="AA11" i="1"/>
  <c r="D2" i="1"/>
  <c r="M10" i="1" l="1"/>
  <c r="M11" i="1"/>
  <c r="M12" i="1"/>
  <c r="J10" i="1"/>
  <c r="J11" i="1"/>
  <c r="J12" i="1"/>
  <c r="D10" i="1"/>
  <c r="E10" i="1"/>
  <c r="D11" i="1"/>
  <c r="E11" i="1"/>
  <c r="D12" i="1"/>
  <c r="E12" i="1"/>
  <c r="J2" i="1" l="1"/>
  <c r="J3" i="1"/>
  <c r="J4" i="1"/>
  <c r="J6" i="1"/>
  <c r="J7" i="1"/>
  <c r="J8" i="1"/>
  <c r="J9" i="1"/>
  <c r="M8" i="1"/>
  <c r="M9" i="1"/>
  <c r="D8" i="1"/>
  <c r="E8" i="1"/>
  <c r="D9" i="1"/>
  <c r="E9" i="1"/>
  <c r="M6" i="1" l="1"/>
  <c r="M7" i="1"/>
  <c r="C17" i="3"/>
  <c r="D17" i="3"/>
  <c r="E18" i="3"/>
  <c r="F17" i="3"/>
  <c r="F18" i="3"/>
  <c r="G18" i="3"/>
  <c r="E17" i="3"/>
  <c r="D18" i="3"/>
  <c r="C18" i="3"/>
  <c r="D6" i="1" l="1"/>
  <c r="E6" i="1"/>
  <c r="D7" i="1"/>
  <c r="E7" i="1"/>
  <c r="M2" i="1"/>
  <c r="M3" i="1"/>
  <c r="M4" i="1"/>
  <c r="M5" i="1"/>
  <c r="E2" i="1"/>
  <c r="D3" i="1"/>
  <c r="E3" i="1"/>
  <c r="D4" i="1"/>
  <c r="E4" i="1"/>
  <c r="D5" i="1"/>
  <c r="E5" i="1"/>
  <c r="J5" i="1" l="1"/>
  <c r="G2" i="1" l="1"/>
  <c r="F16" i="3"/>
  <c r="C15" i="3"/>
  <c r="F15" i="3"/>
  <c r="D15" i="3"/>
  <c r="C16" i="3"/>
  <c r="D16" i="3"/>
  <c r="E16" i="3"/>
  <c r="E15" i="3"/>
  <c r="C19" i="3" l="1"/>
  <c r="D19" i="3"/>
  <c r="E19" i="3"/>
  <c r="F19" i="3"/>
  <c r="G17" i="3"/>
  <c r="G16" i="3"/>
  <c r="G15" i="3"/>
  <c r="G19" i="3" l="1"/>
  <c r="H18" i="3" s="1"/>
  <c r="Y1" i="1"/>
  <c r="N78" i="1" l="1"/>
  <c r="O78" i="1" s="1"/>
  <c r="N82" i="1"/>
  <c r="O82" i="1" s="1"/>
  <c r="N84" i="1"/>
  <c r="O84" i="1" s="1"/>
  <c r="N86" i="1"/>
  <c r="O86" i="1" s="1"/>
  <c r="N88" i="1"/>
  <c r="O88" i="1" s="1"/>
  <c r="N94" i="1"/>
  <c r="O94" i="1" s="1"/>
  <c r="N97" i="1"/>
  <c r="O97" i="1" s="1"/>
  <c r="N100" i="1"/>
  <c r="O100" i="1" s="1"/>
  <c r="N104" i="1"/>
  <c r="O104" i="1" s="1"/>
  <c r="N107" i="1"/>
  <c r="O107" i="1" s="1"/>
  <c r="N109" i="1"/>
  <c r="O109" i="1" s="1"/>
  <c r="N115" i="1"/>
  <c r="O115" i="1" s="1"/>
  <c r="N119" i="1"/>
  <c r="O119" i="1" s="1"/>
  <c r="N122" i="1"/>
  <c r="O122" i="1" s="1"/>
  <c r="N124" i="1"/>
  <c r="O124" i="1" s="1"/>
  <c r="N127" i="1"/>
  <c r="O127" i="1" s="1"/>
  <c r="N131" i="1"/>
  <c r="O131" i="1" s="1"/>
  <c r="N134" i="1"/>
  <c r="O134" i="1" s="1"/>
  <c r="N138" i="1"/>
  <c r="O138" i="1" s="1"/>
  <c r="N141" i="1"/>
  <c r="O141" i="1" s="1"/>
  <c r="N89" i="1"/>
  <c r="O89" i="1" s="1"/>
  <c r="N91" i="1"/>
  <c r="O91" i="1" s="1"/>
  <c r="N98" i="1"/>
  <c r="O98" i="1" s="1"/>
  <c r="N120" i="1"/>
  <c r="O120" i="1" s="1"/>
  <c r="N125" i="1"/>
  <c r="O125" i="1" s="1"/>
  <c r="N132" i="1"/>
  <c r="O132" i="1" s="1"/>
  <c r="N142" i="1"/>
  <c r="O142" i="1" s="1"/>
  <c r="N85" i="1"/>
  <c r="O85" i="1" s="1"/>
  <c r="N101" i="1"/>
  <c r="O101" i="1" s="1"/>
  <c r="N116" i="1"/>
  <c r="O116" i="1" s="1"/>
  <c r="N128" i="1"/>
  <c r="O128" i="1" s="1"/>
  <c r="N135" i="1"/>
  <c r="O135" i="1" s="1"/>
  <c r="N79" i="1"/>
  <c r="O79" i="1" s="1"/>
  <c r="N105" i="1"/>
  <c r="O105" i="1" s="1"/>
  <c r="N123" i="1"/>
  <c r="O123" i="1" s="1"/>
  <c r="N81" i="1"/>
  <c r="O81" i="1" s="1"/>
  <c r="N87" i="1"/>
  <c r="O87" i="1" s="1"/>
  <c r="N93" i="1"/>
  <c r="O93" i="1" s="1"/>
  <c r="N114" i="1"/>
  <c r="O114" i="1" s="1"/>
  <c r="N126" i="1"/>
  <c r="O126" i="1" s="1"/>
  <c r="N133" i="1"/>
  <c r="O133" i="1" s="1"/>
  <c r="N77" i="1"/>
  <c r="O77" i="1" s="1"/>
  <c r="N92" i="1"/>
  <c r="O92" i="1" s="1"/>
  <c r="N103" i="1"/>
  <c r="O103" i="1" s="1"/>
  <c r="N130" i="1"/>
  <c r="O130" i="1" s="1"/>
  <c r="N137" i="1"/>
  <c r="O137" i="1" s="1"/>
  <c r="N76" i="1"/>
  <c r="O76" i="1" s="1"/>
  <c r="N80" i="1"/>
  <c r="O80" i="1" s="1"/>
  <c r="N83" i="1"/>
  <c r="O83" i="1" s="1"/>
  <c r="N90" i="1"/>
  <c r="O90" i="1" s="1"/>
  <c r="N95" i="1"/>
  <c r="O95" i="1" s="1"/>
  <c r="N99" i="1"/>
  <c r="O99" i="1" s="1"/>
  <c r="N102" i="1"/>
  <c r="O102" i="1" s="1"/>
  <c r="N106" i="1"/>
  <c r="O106" i="1" s="1"/>
  <c r="N108" i="1"/>
  <c r="O108" i="1" s="1"/>
  <c r="N110" i="1"/>
  <c r="O110" i="1" s="1"/>
  <c r="N111" i="1"/>
  <c r="O111" i="1" s="1"/>
  <c r="N113" i="1"/>
  <c r="O113" i="1" s="1"/>
  <c r="N117" i="1"/>
  <c r="O117" i="1" s="1"/>
  <c r="N121" i="1"/>
  <c r="O121" i="1" s="1"/>
  <c r="N129" i="1"/>
  <c r="O129" i="1" s="1"/>
  <c r="N136" i="1"/>
  <c r="O136" i="1" s="1"/>
  <c r="N139" i="1"/>
  <c r="O139" i="1" s="1"/>
  <c r="N143" i="1"/>
  <c r="O143" i="1" s="1"/>
  <c r="N96" i="1"/>
  <c r="O96" i="1" s="1"/>
  <c r="N112" i="1"/>
  <c r="O112" i="1" s="1"/>
  <c r="N118" i="1"/>
  <c r="O118" i="1" s="1"/>
  <c r="N140" i="1"/>
  <c r="O140" i="1" s="1"/>
  <c r="N75" i="1"/>
  <c r="O75" i="1" s="1"/>
  <c r="N56" i="1"/>
  <c r="O56" i="1" s="1"/>
  <c r="N57" i="1"/>
  <c r="O57" i="1" s="1"/>
  <c r="N63" i="1"/>
  <c r="O63" i="1" s="1"/>
  <c r="N65" i="1"/>
  <c r="O65" i="1" s="1"/>
  <c r="N69" i="1"/>
  <c r="O69" i="1" s="1"/>
  <c r="N72" i="1"/>
  <c r="O72" i="1" s="1"/>
  <c r="N74" i="1"/>
  <c r="O74" i="1" s="1"/>
  <c r="N61" i="1"/>
  <c r="O61" i="1" s="1"/>
  <c r="N71" i="1"/>
  <c r="O71" i="1" s="1"/>
  <c r="N55" i="1"/>
  <c r="O55" i="1" s="1"/>
  <c r="N53" i="1"/>
  <c r="O53" i="1" s="1"/>
  <c r="N59" i="1"/>
  <c r="O59" i="1" s="1"/>
  <c r="N62" i="1"/>
  <c r="O62" i="1" s="1"/>
  <c r="N67" i="1"/>
  <c r="O67" i="1" s="1"/>
  <c r="N70" i="1"/>
  <c r="O70" i="1" s="1"/>
  <c r="N66" i="1"/>
  <c r="O66" i="1" s="1"/>
  <c r="N52" i="1"/>
  <c r="O52" i="1" s="1"/>
  <c r="N54" i="1"/>
  <c r="O54" i="1" s="1"/>
  <c r="N58" i="1"/>
  <c r="O58" i="1" s="1"/>
  <c r="N60" i="1"/>
  <c r="O60" i="1" s="1"/>
  <c r="N64" i="1"/>
  <c r="O64" i="1" s="1"/>
  <c r="N68" i="1"/>
  <c r="O68" i="1" s="1"/>
  <c r="N73" i="1"/>
  <c r="O73" i="1" s="1"/>
  <c r="N50" i="1"/>
  <c r="O50" i="1" s="1"/>
  <c r="N51" i="1"/>
  <c r="O51" i="1" s="1"/>
  <c r="N37" i="1"/>
  <c r="O37" i="1" s="1"/>
  <c r="N38" i="1"/>
  <c r="O38" i="1" s="1"/>
  <c r="N39" i="1"/>
  <c r="O39" i="1" s="1"/>
  <c r="N40" i="1"/>
  <c r="O40" i="1" s="1"/>
  <c r="N49" i="1"/>
  <c r="O49" i="1" s="1"/>
  <c r="N41" i="1"/>
  <c r="O41" i="1" s="1"/>
  <c r="N42" i="1"/>
  <c r="O42" i="1" s="1"/>
  <c r="N43" i="1"/>
  <c r="O43" i="1" s="1"/>
  <c r="N44" i="1"/>
  <c r="O44" i="1" s="1"/>
  <c r="N45" i="1"/>
  <c r="O45" i="1" s="1"/>
  <c r="N46" i="1"/>
  <c r="O46" i="1" s="1"/>
  <c r="N47" i="1"/>
  <c r="O47" i="1" s="1"/>
  <c r="N48" i="1"/>
  <c r="O48" i="1" s="1"/>
  <c r="N32" i="1"/>
  <c r="O32" i="1" s="1"/>
  <c r="N33" i="1"/>
  <c r="O33" i="1" s="1"/>
  <c r="N28" i="1"/>
  <c r="O28" i="1" s="1"/>
  <c r="N29" i="1"/>
  <c r="O29" i="1" s="1"/>
  <c r="N30" i="1"/>
  <c r="O30" i="1" s="1"/>
  <c r="N34" i="1"/>
  <c r="O34" i="1" s="1"/>
  <c r="N35" i="1"/>
  <c r="O35" i="1" s="1"/>
  <c r="N36" i="1"/>
  <c r="O36" i="1" s="1"/>
  <c r="N31" i="1"/>
  <c r="O31" i="1" s="1"/>
  <c r="N27" i="1"/>
  <c r="O27" i="1" s="1"/>
  <c r="N26" i="1"/>
  <c r="O26" i="1" s="1"/>
  <c r="N25" i="1"/>
  <c r="O25" i="1" s="1"/>
  <c r="N20" i="1"/>
  <c r="O20" i="1" s="1"/>
  <c r="N21" i="1"/>
  <c r="O21" i="1" s="1"/>
  <c r="N24" i="1"/>
  <c r="O24" i="1" s="1"/>
  <c r="N22" i="1"/>
  <c r="O22" i="1" s="1"/>
  <c r="N18" i="1"/>
  <c r="O18" i="1" s="1"/>
  <c r="N23" i="1"/>
  <c r="O23" i="1" s="1"/>
  <c r="N19" i="1"/>
  <c r="O19" i="1" s="1"/>
  <c r="N17" i="1"/>
  <c r="O17" i="1" s="1"/>
  <c r="N13" i="1"/>
  <c r="O13" i="1" s="1"/>
  <c r="N14" i="1"/>
  <c r="O14" i="1" s="1"/>
  <c r="N15" i="1"/>
  <c r="O15" i="1" s="1"/>
  <c r="N16" i="1"/>
  <c r="O16" i="1" s="1"/>
  <c r="N11" i="1"/>
  <c r="O11" i="1" s="1"/>
  <c r="N12" i="1"/>
  <c r="O12" i="1" s="1"/>
  <c r="N10" i="1"/>
  <c r="O10" i="1" s="1"/>
  <c r="N8" i="1"/>
  <c r="O8" i="1" s="1"/>
  <c r="N9" i="1"/>
  <c r="O9" i="1" s="1"/>
  <c r="F20" i="3"/>
  <c r="E20" i="3"/>
  <c r="H15" i="3"/>
  <c r="H16" i="3"/>
  <c r="H17" i="3"/>
  <c r="C20" i="3"/>
  <c r="D20" i="3"/>
  <c r="N6" i="1"/>
  <c r="O6" i="1" s="1"/>
  <c r="N7" i="1"/>
  <c r="O7" i="1" s="1"/>
  <c r="N3" i="1"/>
  <c r="O3" i="1" s="1"/>
  <c r="N5" i="1"/>
  <c r="O5" i="1" s="1"/>
  <c r="N4" i="1"/>
  <c r="O4" i="1" s="1"/>
  <c r="N2" i="1"/>
  <c r="O2" i="1" s="1"/>
</calcChain>
</file>

<file path=xl/sharedStrings.xml><?xml version="1.0" encoding="utf-8"?>
<sst xmlns="http://schemas.openxmlformats.org/spreadsheetml/2006/main" count="4024" uniqueCount="961">
  <si>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</si>
  <si>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</si>
  <si>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</si>
  <si>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</si>
  <si>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</si>
  <si>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</si>
  <si>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</si>
  <si>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</si>
  <si>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</si>
  <si>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</si>
  <si>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</si>
  <si>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</si>
  <si>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</si>
  <si>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</si>
  <si>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</si>
  <si>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</si>
  <si>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</si>
  <si>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</si>
  <si>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</si>
  <si>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</si>
  <si>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</si>
  <si>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</si>
  <si>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</si>
  <si>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</si>
  <si>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</si>
  <si>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</si>
  <si>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</si>
  <si>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</si>
  <si>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</si>
  <si>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</si>
  <si>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</si>
  <si>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</si>
  <si>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</si>
  <si>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</si>
  <si>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</si>
  <si>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</si>
  <si>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</si>
  <si>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</si>
  <si>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</si>
  <si>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</si>
  <si>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</si>
  <si>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</si>
  <si>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</si>
  <si>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</si>
  <si>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</si>
  <si>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</si>
  <si>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</si>
  <si>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</si>
  <si>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</si>
  <si>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Sep</t>
  </si>
  <si>
    <t>Oct</t>
  </si>
  <si>
    <t>Nov</t>
  </si>
  <si>
    <t>Dec</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</si>
  <si>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</si>
  <si>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</si>
  <si>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</si>
  <si>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</si>
  <si>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</si>
  <si>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</si>
  <si>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</si>
  <si>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</si>
  <si>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</si>
  <si>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</si>
  <si>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</si>
  <si>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</si>
  <si>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</si>
  <si>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</si>
  <si>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</si>
  <si>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</si>
  <si>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</si>
  <si>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</si>
  <si>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</si>
  <si>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</si>
  <si>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</si>
  <si>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</si>
  <si>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</si>
  <si>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</si>
  <si>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</si>
  <si>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(blank)</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</si>
  <si>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</si>
  <si>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</si>
  <si>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</si>
  <si>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</si>
  <si>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</si>
  <si>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</si>
  <si>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</si>
  <si>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</si>
  <si>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</si>
  <si>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</si>
  <si>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</si>
  <si>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</si>
  <si>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</si>
  <si>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</si>
  <si>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</si>
  <si>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</si>
  <si>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</si>
  <si>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</si>
  <si>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</si>
  <si>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</si>
  <si>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</si>
  <si>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</si>
  <si>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</si>
  <si>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</si>
  <si>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</si>
  <si>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</si>
  <si>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</si>
  <si>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</si>
  <si>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</si>
  <si>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</si>
  <si>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</si>
  <si>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</si>
  <si>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</si>
  <si>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</si>
  <si>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</si>
  <si>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</si>
  <si>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</si>
  <si>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</si>
  <si>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</si>
  <si>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 xml:space="preserve">client has made progress with their capital raise however not provided exact settlement date to clear all o/s </t>
  </si>
  <si>
    <t>INV-050225183406</t>
  </si>
  <si>
    <t>INV-050325103203</t>
  </si>
  <si>
    <t>INV-020425174717</t>
  </si>
  <si>
    <t>INV-050525114818</t>
  </si>
  <si>
    <t>INV-040625165635</t>
  </si>
  <si>
    <t>INV-050825115818</t>
  </si>
  <si>
    <t>No</t>
  </si>
  <si>
    <t>Yondr Money Pty Ltd</t>
  </si>
  <si>
    <t>AUD</t>
  </si>
  <si>
    <t>Partially Paid</t>
  </si>
  <si>
    <t>INV-050825195438</t>
  </si>
  <si>
    <t>AM to provide an update if invoices needs to be written off as client is suspended</t>
  </si>
  <si>
    <t>INV-020925171323</t>
  </si>
  <si>
    <t>INV-040925095830</t>
  </si>
  <si>
    <t>Client is disputing on decline charges on blocked cards,awaiting further update from AM.</t>
  </si>
  <si>
    <t>INV-030925145658</t>
  </si>
  <si>
    <t>Force Settlement</t>
  </si>
  <si>
    <t>SG-FTBHUB-09/2025</t>
  </si>
  <si>
    <t>INV-021025184847</t>
  </si>
  <si>
    <t>INV-061025143320</t>
  </si>
  <si>
    <t>INV-061025125629</t>
  </si>
  <si>
    <t>SG-FTBHUB-10/2025</t>
  </si>
  <si>
    <t>PT PELITA TRANSFER NUSANTARA</t>
  </si>
  <si>
    <t>IDR</t>
  </si>
  <si>
    <t>Overdue</t>
  </si>
  <si>
    <t>ID-ptpelita-10/2025</t>
  </si>
  <si>
    <t>Azimo Limited.</t>
  </si>
  <si>
    <t>GBP</t>
  </si>
  <si>
    <t>INV-031125184753</t>
  </si>
  <si>
    <t>Budgetly Pty Ltd</t>
  </si>
  <si>
    <t>Card Printing and Delivery</t>
  </si>
  <si>
    <t>INV-281025170000</t>
  </si>
  <si>
    <t>Card printing invoice pending</t>
  </si>
  <si>
    <t>JPMORGAN CHASE BANK</t>
  </si>
  <si>
    <t>INV-051125174218</t>
  </si>
  <si>
    <t>Partially settled by the client</t>
  </si>
  <si>
    <t>INV-051125173213</t>
  </si>
  <si>
    <t>MULTIPLIER TECHNOLOGIES PTE. LTD</t>
  </si>
  <si>
    <t>Sep &amp; oct-2025</t>
  </si>
  <si>
    <t>INV-051125161416</t>
  </si>
  <si>
    <t>INV-061125104927</t>
  </si>
  <si>
    <t>INV-041125182344</t>
  </si>
  <si>
    <t>INV-171125170000</t>
  </si>
  <si>
    <t>SG-FTBHUB-11/2025</t>
  </si>
  <si>
    <t>you technologies group (singapore) pte. Ltd - Verify</t>
  </si>
  <si>
    <t>Invoice Sent</t>
  </si>
  <si>
    <t>INV-021225130146</t>
  </si>
  <si>
    <t>INV-151225170000</t>
  </si>
  <si>
    <t>INV-021225154117</t>
  </si>
  <si>
    <t>International Payments Identity Pte. Ltd.</t>
  </si>
  <si>
    <t>Istanbul Ödeme ve Elektronik Para A.S</t>
  </si>
  <si>
    <t>INV-021225185612</t>
  </si>
  <si>
    <t>INV-021225201549</t>
  </si>
  <si>
    <t>MeshPay EU Ltd</t>
  </si>
  <si>
    <t>INV2025-MSH-011</t>
  </si>
  <si>
    <t>INV-031225170417</t>
  </si>
  <si>
    <t>INV-041225150054</t>
  </si>
  <si>
    <t>INV-031225091936</t>
  </si>
  <si>
    <t>US-GLOBAL ROOTS INC-12/2025</t>
  </si>
  <si>
    <t>ID-ptpelita-12/2025</t>
  </si>
  <si>
    <t>US-TClub Inc.-12/2025</t>
  </si>
  <si>
    <t>credit note will be settled against future invoices</t>
  </si>
  <si>
    <t>INV-020126135021</t>
  </si>
  <si>
    <t>INV-060126122618</t>
  </si>
  <si>
    <t>FIRSTKYC PTE. LTD.</t>
  </si>
  <si>
    <t>INV-050126095427</t>
  </si>
  <si>
    <t>Client will settle once lumpsum threshold achieved</t>
  </si>
  <si>
    <t>Futurepay Global Limited</t>
  </si>
  <si>
    <t>INV-020126171358</t>
  </si>
  <si>
    <t>iPiD Europe B.V.</t>
  </si>
  <si>
    <t>INV-060126114015</t>
  </si>
  <si>
    <t>INV-050126150313</t>
  </si>
  <si>
    <t>INV-050126184308</t>
  </si>
  <si>
    <t>INV-050126153219</t>
  </si>
  <si>
    <t>INV-050126154823</t>
  </si>
  <si>
    <t>INV-060126181825</t>
  </si>
  <si>
    <t>INV-030126111809</t>
  </si>
  <si>
    <t>INV-230126170000</t>
  </si>
  <si>
    <t>Pelikin Ventures Pty Ltd</t>
  </si>
  <si>
    <t>INV-230126143000</t>
  </si>
  <si>
    <t>Everpro Holdings Limited</t>
  </si>
  <si>
    <t>HK-Everpro-01/2026</t>
  </si>
  <si>
    <t>US-GLOBAL ROOTS INC-01/2026</t>
  </si>
  <si>
    <t>lemonway</t>
  </si>
  <si>
    <t>EUR</t>
  </si>
  <si>
    <t>SG-Lemonway-01/2026</t>
  </si>
  <si>
    <t>PT Midtrans</t>
  </si>
  <si>
    <t>ID-PT Midtrans-01/2026</t>
  </si>
  <si>
    <t>US-TClub Inc.-01/2026</t>
  </si>
  <si>
    <t>you technologies group (singapore) pte. ltd</t>
  </si>
  <si>
    <t>INV-020226153711</t>
  </si>
  <si>
    <t>INV-070226133026</t>
  </si>
  <si>
    <t>CashD Pty Ltd</t>
  </si>
  <si>
    <t>INV-040226191953</t>
  </si>
  <si>
    <t>Express Hub Services Pty Ltd</t>
  </si>
  <si>
    <t>INV-060226135736</t>
  </si>
  <si>
    <t>INV-060226120820</t>
  </si>
  <si>
    <t>INV-020226191052</t>
  </si>
  <si>
    <t>INV-020226182425</t>
  </si>
  <si>
    <t>INV-050226133127</t>
  </si>
  <si>
    <t>CAD</t>
  </si>
  <si>
    <t>INV-030226181855</t>
  </si>
  <si>
    <t>INV-040226185603</t>
  </si>
  <si>
    <t>INV-050226183011</t>
  </si>
  <si>
    <t>INV-050226185948</t>
  </si>
  <si>
    <t>INV-060226194701</t>
  </si>
  <si>
    <t>SlideSG Pte. Ltd.</t>
  </si>
  <si>
    <t>SGD</t>
  </si>
  <si>
    <t>INV-100226170854</t>
  </si>
  <si>
    <t>VECTOR HOLDINGS PTY LTD</t>
  </si>
  <si>
    <t>APIv2 Integration Fee Invoice</t>
  </si>
  <si>
    <t>INV-020226191330</t>
  </si>
  <si>
    <t>INV-060226143545</t>
  </si>
  <si>
    <t>INV-050226121256</t>
  </si>
  <si>
    <t>INV-200226170000</t>
  </si>
  <si>
    <t>WEEL HOLDINGS PTY LTD</t>
  </si>
  <si>
    <t>Feb/2026</t>
  </si>
  <si>
    <t>SG-Banco Topazio-02/2026</t>
  </si>
  <si>
    <t>Feb-2026</t>
  </si>
  <si>
    <t>Credit Note-Rebate</t>
  </si>
  <si>
    <t>US-CN-Borderless-02-2026</t>
  </si>
  <si>
    <t>Corporate Alliance Payments Pty Ltd - NSP</t>
  </si>
  <si>
    <t>AU-CorporateAlliance-02/2026</t>
  </si>
  <si>
    <t>ebury mass payments</t>
  </si>
  <si>
    <t>SG-eburymass-02/2026</t>
  </si>
  <si>
    <t>EBURY PARTNERS UK LIMITED</t>
  </si>
  <si>
    <t>SG-CN-EburyPartUKLtd-02-2026</t>
  </si>
  <si>
    <t>SG-EburyPartUKLtd-02/2026</t>
  </si>
  <si>
    <t>HK-Everpro-02/2026</t>
  </si>
  <si>
    <t>US-GLOBAL ROOTS INC-02/2026</t>
  </si>
  <si>
    <t>kasikorn bank</t>
  </si>
  <si>
    <t>SG-KasikornBank-02/2026</t>
  </si>
  <si>
    <t>SG-Lemonway-02/2026</t>
  </si>
  <si>
    <t>Nuvei Limited</t>
  </si>
  <si>
    <t>SG-Nuvei-02/2026</t>
  </si>
  <si>
    <t>Paysafe Financial Services Limited</t>
  </si>
  <si>
    <t>ppsl paysafe</t>
  </si>
  <si>
    <t>ppsl skrill</t>
  </si>
  <si>
    <t>PT Harsya Remitindo</t>
  </si>
  <si>
    <t>ID-Harsya Remitindo-02/2026</t>
  </si>
  <si>
    <t>ID-PT Midtrans-02/2026</t>
  </si>
  <si>
    <t>PT Transwap Dunamis Indonesia</t>
  </si>
  <si>
    <t>ID-PT Transwap-02/2026</t>
  </si>
  <si>
    <t>PT Worldwide Express Remittance</t>
  </si>
  <si>
    <t>Qatar National Bank (Q.P.S.C.)</t>
  </si>
  <si>
    <t>Remofirst, Inc.</t>
  </si>
  <si>
    <t>Skrill Ltd</t>
  </si>
  <si>
    <t>The CurrencyCloud Limited</t>
  </si>
  <si>
    <t>SG-Currency Cloud-02/2026</t>
  </si>
  <si>
    <t>Abu Sheikha Exchange</t>
  </si>
  <si>
    <t>2026-02-01</t>
  </si>
  <si>
    <t>INV-030326143016</t>
  </si>
  <si>
    <t>01-08-2025</t>
  </si>
  <si>
    <t>Credit Note-Waive off</t>
  </si>
  <si>
    <t>CN-INV-030925182457</t>
  </si>
  <si>
    <t>APAYLATER FINANCIALS PTE. LTD.</t>
  </si>
  <si>
    <t>01-02-2026</t>
  </si>
  <si>
    <t>01-01-2026</t>
  </si>
  <si>
    <t>INV-070226172013</t>
  </si>
  <si>
    <t>INV-040326135331</t>
  </si>
  <si>
    <t>INV-030326093301</t>
  </si>
  <si>
    <t>Banque Patronus</t>
  </si>
  <si>
    <t>INV-030326005231</t>
  </si>
  <si>
    <t>INV-040326125850</t>
  </si>
  <si>
    <t>INV-030326191331</t>
  </si>
  <si>
    <t>DK Limited</t>
  </si>
  <si>
    <t>INV-030326185225</t>
  </si>
  <si>
    <t>East Africa Bank SA</t>
  </si>
  <si>
    <t>INV-060326152527</t>
  </si>
  <si>
    <t>Emirates Islamic Bank PJSC</t>
  </si>
  <si>
    <t>INV-040326135554</t>
  </si>
  <si>
    <t>Emirates NBD Bank PJSC</t>
  </si>
  <si>
    <t>INV-040326162658</t>
  </si>
  <si>
    <t>INV-030326151733</t>
  </si>
  <si>
    <t>INV-060326111243</t>
  </si>
  <si>
    <t>INV-040326132912</t>
  </si>
  <si>
    <t>Franklin Technologies ApS</t>
  </si>
  <si>
    <t>INV-050326163610</t>
  </si>
  <si>
    <t>Genieum Services Pty Ltd</t>
  </si>
  <si>
    <t>INV-030326161558</t>
  </si>
  <si>
    <t>Global E-Payment Limited</t>
  </si>
  <si>
    <t>Global E-Payment Limited-SG</t>
  </si>
  <si>
    <t>INV-050326103533</t>
  </si>
  <si>
    <t>INV-020326192002</t>
  </si>
  <si>
    <t>Ichange Pte Ltd</t>
  </si>
  <si>
    <t>INV-060326112524</t>
  </si>
  <si>
    <t>INV-020326191014</t>
  </si>
  <si>
    <t>INV-040326132449</t>
  </si>
  <si>
    <t>INV-030226233006</t>
  </si>
  <si>
    <t>INV-030326144903</t>
  </si>
  <si>
    <t>Lulu Money (Singapore) Pte. Ltd</t>
  </si>
  <si>
    <t>INV-040326183525</t>
  </si>
  <si>
    <t>INV-020326184116</t>
  </si>
  <si>
    <t>MESHPAY AU PTY LTD</t>
  </si>
  <si>
    <t>MeshPay EU B.V.</t>
  </si>
  <si>
    <t>MESHPAY GBL PTE. LTD.</t>
  </si>
  <si>
    <t>MESHPAY UK LTD</t>
  </si>
  <si>
    <t>INV-030326180323</t>
  </si>
  <si>
    <t>INV-040326160006</t>
  </si>
  <si>
    <t>INV-040326095350</t>
  </si>
  <si>
    <t>INV-030326185123</t>
  </si>
  <si>
    <t>INV-030326191735</t>
  </si>
  <si>
    <t>OWLPAY HOLDINGS PTE. LTD</t>
  </si>
  <si>
    <t>PT UCE Global Utama</t>
  </si>
  <si>
    <t>INV-030326135919</t>
  </si>
  <si>
    <t>2026-03-01</t>
  </si>
  <si>
    <t>Pay Out Service Integration Fee</t>
  </si>
  <si>
    <t>INV-030326143845</t>
  </si>
  <si>
    <t>INV-050326152047</t>
  </si>
  <si>
    <t>INV-040326163824</t>
  </si>
  <si>
    <t>2025-09-01</t>
  </si>
  <si>
    <t>Credit Note - Rebate</t>
  </si>
  <si>
    <t>CN-INV-061025093259</t>
  </si>
  <si>
    <t>2025-10-01</t>
  </si>
  <si>
    <t>CN-INV-051125105233</t>
  </si>
  <si>
    <t>2025-11-01</t>
  </si>
  <si>
    <t>CN-INV-031225192101</t>
  </si>
  <si>
    <t>01-12-2025</t>
  </si>
  <si>
    <t>CN-INV-050126163126</t>
  </si>
  <si>
    <t>2026-01-01</t>
  </si>
  <si>
    <t>INV-060226200521</t>
  </si>
  <si>
    <t>INV-060326180209</t>
  </si>
  <si>
    <t>Travel Ledger UK</t>
  </si>
  <si>
    <t>INV-040326163001</t>
  </si>
  <si>
    <t>INV-040326124857</t>
  </si>
  <si>
    <t>INV-070226184910</t>
  </si>
  <si>
    <t>01-10-2025</t>
  </si>
  <si>
    <t>INV-061125120844</t>
  </si>
  <si>
    <t>01-11-2025</t>
  </si>
  <si>
    <t>INV-041225180916</t>
  </si>
  <si>
    <t>INV-060126133501</t>
  </si>
  <si>
    <t>INV-040326154927</t>
  </si>
  <si>
    <t>WorkMotion Software GmbH</t>
  </si>
  <si>
    <t>INV-040326094744</t>
  </si>
  <si>
    <t>WORLDFIRST (SINGAPORE) MERCHANT SERVICESPTE. LTD.</t>
  </si>
  <si>
    <t>INV-030326183915</t>
  </si>
  <si>
    <t>INV-030326094302</t>
  </si>
  <si>
    <t>INV-030326161806</t>
  </si>
  <si>
    <t>INV-040326180353</t>
  </si>
  <si>
    <t>credit will be settled against future invoices</t>
  </si>
  <si>
    <t>US-CN-Borderless-01-2026</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</si>
  <si>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</si>
  <si>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</si>
  <si>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</si>
  <si>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</si>
  <si>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</si>
  <si>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</si>
  <si>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</si>
  <si>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</si>
  <si>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</si>
  <si>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</si>
  <si>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</si>
  <si>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</si>
  <si>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</si>
  <si>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</si>
  <si>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</si>
  <si>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</si>
  <si>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</si>
  <si>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</si>
  <si>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</si>
  <si>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</si>
  <si>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</si>
  <si>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</si>
  <si>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</si>
  <si>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</si>
  <si>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</si>
  <si>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</si>
  <si>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</si>
  <si>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</si>
  <si>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</si>
  <si>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</si>
  <si>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</si>
  <si>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</si>
  <si>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</si>
  <si>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</si>
  <si>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</si>
  <si>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</si>
  <si>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</si>
  <si>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</si>
  <si>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</si>
  <si>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</si>
  <si>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</si>
  <si>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</si>
  <si>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</si>
  <si>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</si>
  <si>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</si>
  <si>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</si>
  <si>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</si>
  <si>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</si>
  <si>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</si>
  <si>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</si>
  <si>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</si>
  <si>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</si>
  <si>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</si>
  <si>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</si>
  <si>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</si>
  <si>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</si>
  <si>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</si>
  <si>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</si>
  <si>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</si>
  <si>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</si>
  <si>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</si>
  <si>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</si>
  <si>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</si>
  <si>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</si>
  <si>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</si>
  <si>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</si>
  <si>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</si>
  <si>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</si>
  <si>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</si>
  <si>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</si>
  <si>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</si>
  <si>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</si>
  <si>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</si>
  <si>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</si>
  <si>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</si>
  <si>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</si>
  <si>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</si>
  <si>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</si>
  <si>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</si>
  <si>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</si>
  <si>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</si>
  <si>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</si>
  <si>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</si>
  <si>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</si>
  <si>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</si>
  <si>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</si>
  <si>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</si>
  <si>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</si>
  <si>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</si>
  <si>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</si>
  <si>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</si>
  <si>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</si>
  <si>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</si>
  <si>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</si>
  <si>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</si>
  <si>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</si>
  <si>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</si>
  <si>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</si>
  <si>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</si>
  <si>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</si>
  <si>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</si>
  <si>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</si>
  <si>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</si>
  <si>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</si>
  <si>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</si>
  <si>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</si>
  <si>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</si>
  <si>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</si>
  <si>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</si>
  <si>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</si>
  <si>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</si>
  <si>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</si>
  <si>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</si>
  <si>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</si>
  <si>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</si>
  <si>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</si>
  <si>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</si>
  <si>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</si>
  <si>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</si>
  <si>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</si>
  <si>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</si>
  <si>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</si>
  <si>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</si>
  <si>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</si>
  <si>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</si>
  <si>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</si>
  <si>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</si>
  <si>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</si>
  <si>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</si>
  <si>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</si>
  <si>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</si>
  <si>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</si>
  <si>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</si>
  <si>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</si>
  <si>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</si>
  <si>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</si>
  <si>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</si>
  <si>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</si>
  <si>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</si>
  <si>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</si>
  <si>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</si>
  <si>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</si>
  <si>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</si>
  <si>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</si>
  <si>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</si>
  <si>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</si>
  <si>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</si>
  <si>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</si>
  <si>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</si>
  <si>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</si>
  <si>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</si>
  <si>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</si>
  <si>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</si>
  <si>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</si>
  <si>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</si>
  <si>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</si>
  <si>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</si>
  <si>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</si>
  <si>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</si>
  <si>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</si>
  <si>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</si>
  <si>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</si>
  <si>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</si>
  <si>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</si>
  <si>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</si>
  <si>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</si>
  <si>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</si>
  <si>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</si>
  <si>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</si>
  <si>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</si>
  <si>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</si>
  <si>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</si>
  <si>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</si>
  <si>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</si>
  <si>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</si>
  <si>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</si>
  <si>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</si>
  <si>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</si>
  <si>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</si>
  <si>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</si>
  <si>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</si>
  <si>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</si>
  <si>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</si>
  <si>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</si>
  <si>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</si>
  <si>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</si>
  <si>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</si>
  <si>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</si>
  <si>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</si>
  <si>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</si>
  <si>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</si>
  <si>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</si>
  <si>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</si>
  <si>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</si>
  <si>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</si>
  <si>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</si>
  <si>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</si>
  <si>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</si>
  <si>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</si>
  <si>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</si>
  <si>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</si>
  <si>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</si>
  <si>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</si>
  <si>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</si>
  <si>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</si>
  <si>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</si>
  <si>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</si>
  <si>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</si>
  <si>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</si>
  <si>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</si>
  <si>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</si>
  <si>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</si>
  <si>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</si>
  <si>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</si>
  <si>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</si>
  <si>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</si>
  <si>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</si>
  <si>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</si>
  <si>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</si>
  <si>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</si>
  <si>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</si>
  <si>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Tongan Pa'anga</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</si>
  <si>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</si>
  <si>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</si>
  <si>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</si>
  <si>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</si>
  <si>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</si>
  <si>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</si>
  <si>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</si>
  <si>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</si>
  <si>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</si>
  <si>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</si>
  <si>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</si>
  <si>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</si>
  <si>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</si>
  <si>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</si>
  <si>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</si>
  <si>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</si>
  <si>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</si>
  <si>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</si>
  <si>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</si>
  <si>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</si>
  <si>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</si>
  <si>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</si>
  <si>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</si>
  <si>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</si>
  <si>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</si>
  <si>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</si>
  <si>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</si>
  <si>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</si>
  <si>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</si>
  <si>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</si>
  <si>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</si>
  <si>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</si>
  <si>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</si>
  <si>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</si>
  <si>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</si>
  <si>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</si>
  <si>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</si>
  <si>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</si>
  <si>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</si>
  <si>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</si>
  <si>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</si>
  <si>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</si>
  <si>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</si>
  <si>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</si>
  <si>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</si>
  <si>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</si>
  <si>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</si>
  <si>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</si>
  <si>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</si>
  <si>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</si>
  <si>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</si>
  <si>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</si>
  <si>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</si>
  <si>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</si>
  <si>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</si>
  <si>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</si>
  <si>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</si>
  <si>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</si>
  <si>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</si>
  <si>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</si>
  <si>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</si>
  <si>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</si>
  <si>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</si>
  <si>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</si>
  <si>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</si>
  <si>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</si>
  <si>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</si>
  <si>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</si>
  <si>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</si>
  <si>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</si>
  <si>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</si>
  <si>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</si>
  <si>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</si>
  <si>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</si>
  <si>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</si>
  <si>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</si>
  <si>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</si>
  <si>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</si>
  <si>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</si>
  <si>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</si>
  <si>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</si>
  <si>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</si>
  <si>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</si>
  <si>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</si>
  <si>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</si>
  <si>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</si>
  <si>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</si>
  <si>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</si>
  <si>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</si>
  <si>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</si>
  <si>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</si>
  <si>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</si>
  <si>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</si>
  <si>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</si>
  <si>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</si>
  <si>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</si>
  <si>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</si>
  <si>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</si>
  <si>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</si>
  <si>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</si>
  <si>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</si>
  <si>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</si>
  <si>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</si>
  <si>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</si>
  <si>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</si>
  <si>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</si>
  <si>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</si>
  <si>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</si>
  <si>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</si>
  <si>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</si>
  <si>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</si>
  <si>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</si>
  <si>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</si>
  <si>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</si>
  <si>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</si>
  <si>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</si>
  <si>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</si>
  <si>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</si>
  <si>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</si>
  <si>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</si>
  <si>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</si>
  <si>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</si>
  <si>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</si>
  <si>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</si>
  <si>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</si>
  <si>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</si>
  <si>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</si>
  <si>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</si>
  <si>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</si>
  <si>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</si>
  <si>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</si>
  <si>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</si>
  <si>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</si>
  <si>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</si>
  <si>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</si>
  <si>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</si>
  <si>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</si>
  <si>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</si>
  <si>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</si>
  <si>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</si>
  <si>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</si>
  <si>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</si>
  <si>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</si>
  <si>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</si>
  <si>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</si>
  <si>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</si>
  <si>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</si>
  <si>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</si>
  <si>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</si>
  <si>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</si>
  <si>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</si>
  <si>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</si>
  <si>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</si>
  <si>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</si>
  <si>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</si>
  <si>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</si>
  <si>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</si>
  <si>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</si>
  <si>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</si>
  <si>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</si>
  <si>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</si>
  <si>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</si>
  <si>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</si>
  <si>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</si>
  <si>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</si>
  <si>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</si>
  <si>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</si>
  <si>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</si>
  <si>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</si>
  <si>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Margarita</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</si>
  <si>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</si>
  <si>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</si>
  <si>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</si>
  <si>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</si>
  <si>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</si>
  <si>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</si>
  <si>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</si>
  <si>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</si>
  <si>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</si>
  <si>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</si>
  <si>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</si>
  <si>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</si>
  <si>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</si>
  <si>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</si>
  <si>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</si>
  <si>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</si>
  <si>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</si>
  <si>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</si>
  <si>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</si>
  <si>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</si>
  <si>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</si>
  <si>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</si>
  <si>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</si>
  <si>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</si>
  <si>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</si>
  <si>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</si>
  <si>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</si>
  <si>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</si>
  <si>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</si>
  <si>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</si>
  <si>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Unmanaged - Harshita or saloni</t>
  </si>
  <si>
    <t>just wallet inc</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</si>
  <si>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</si>
  <si>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</si>
  <si>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</si>
  <si>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</si>
  <si>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</si>
  <si>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</si>
  <si>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</si>
  <si>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</si>
  <si>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</si>
  <si>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</si>
  <si>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</si>
  <si>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</si>
  <si>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</si>
  <si>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</si>
  <si>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</si>
  <si>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</si>
  <si>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</si>
  <si>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</si>
  <si>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</si>
  <si>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</si>
  <si>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</si>
  <si>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</si>
  <si>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</si>
  <si>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</si>
  <si>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</si>
  <si>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</si>
  <si>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</si>
  <si>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</si>
  <si>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</si>
  <si>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</si>
  <si>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</si>
  <si>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</si>
  <si>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</si>
  <si>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</si>
  <si>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</si>
  <si>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</si>
  <si>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</si>
  <si>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</si>
  <si>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</si>
  <si>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</si>
  <si>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</si>
  <si>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</si>
  <si>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</si>
  <si>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</si>
  <si>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</si>
  <si>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</si>
  <si>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</si>
  <si>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</si>
  <si>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</si>
  <si>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</si>
  <si>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</si>
  <si>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</si>
  <si>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</si>
  <si>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</si>
  <si>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</si>
  <si>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</si>
  <si>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</si>
  <si>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</si>
  <si>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</si>
  <si>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</si>
  <si>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</si>
  <si>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</si>
  <si>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</si>
  <si>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</si>
  <si>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</si>
  <si>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</si>
  <si>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</si>
  <si>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</si>
  <si>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</si>
  <si>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</si>
  <si>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</si>
  <si>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</si>
  <si>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</si>
  <si>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</si>
  <si>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</si>
  <si>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</si>
  <si>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</si>
  <si>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</si>
  <si>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</si>
  <si>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</si>
  <si>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</si>
  <si>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</si>
  <si>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</si>
  <si>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</si>
  <si>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</si>
  <si>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</si>
  <si>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</si>
  <si>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</si>
  <si>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</si>
  <si>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</si>
  <si>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</si>
  <si>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</si>
  <si>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</si>
  <si>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</si>
  <si>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</si>
  <si>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</si>
  <si>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</si>
  <si>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</si>
  <si>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</si>
  <si>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</si>
  <si>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</si>
  <si>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</si>
  <si>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</si>
  <si>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</si>
  <si>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</si>
  <si>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</si>
  <si>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</si>
  <si>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</si>
  <si>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</si>
  <si>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</si>
  <si>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</si>
  <si>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</si>
  <si>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</si>
  <si>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</si>
  <si>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</si>
  <si>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</si>
  <si>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</si>
  <si>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</si>
  <si>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</si>
  <si>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</si>
  <si>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</si>
  <si>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</si>
  <si>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</si>
  <si>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</si>
  <si>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</si>
  <si>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</si>
  <si>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</si>
  <si>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</si>
  <si>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</si>
  <si>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</si>
  <si>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</si>
  <si>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</si>
  <si>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</si>
  <si>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</si>
  <si>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</si>
  <si>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</si>
  <si>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</si>
  <si>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</si>
  <si>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</si>
  <si>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</si>
  <si>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</si>
  <si>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</si>
  <si>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</si>
  <si>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</si>
  <si>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</si>
  <si>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</si>
  <si>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</si>
  <si>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</si>
  <si>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</si>
  <si>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</si>
  <si>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</si>
  <si>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</si>
  <si>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</si>
  <si>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</si>
  <si>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</si>
  <si>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</si>
  <si>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</si>
  <si>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</si>
  <si>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</si>
  <si>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</si>
  <si>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</si>
  <si>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</si>
  <si>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</si>
  <si>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</si>
  <si>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</si>
  <si>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</si>
  <si>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</si>
  <si>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</si>
  <si>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</si>
  <si>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</si>
  <si>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</si>
  <si>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</si>
  <si>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</si>
  <si>
    <t>Mar</t>
  </si>
  <si>
    <t>Apr</t>
  </si>
  <si>
    <t>May</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</si>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</sst>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 #,##0_ ;_ * \-#,##0_ ;_ * &quot;-&quot;??_ ;_ @_ "/>
    <numFmt numFmtId="166" formatCode="_(* #,##0_);_(* \(#,##0\);_(* &quot;-&quot;??_);_(@_)"/>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85">
    <xf numFmtId="0" fontId="0" fillId="0" borderId="0" xfId="0"/>
    <xf numFmtId="14" fontId="0" fillId="0" borderId="1" xfId="0" applyNumberFormat="1" applyBorder="1" applyAlignment="1">
      <alignment horizontal="center"/>
    </xf>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vertical="top"/>
    </xf>
    <xf numFmtId="2" fontId="0" fillId="0" borderId="1" xfId="0" applyNumberFormat="1" applyBorder="1" applyAlignment="1">
      <alignment horizontal="center" vertical="top"/>
    </xf>
    <xf numFmtId="14" fontId="0" fillId="0" borderId="1" xfId="0" quotePrefix="1" applyNumberFormat="1" applyBorder="1" applyAlignment="1">
      <alignment horizontal="center" vertical="top"/>
    </xf>
    <xf numFmtId="14" fontId="0" fillId="0" borderId="1" xfId="0" applyNumberFormat="1" applyBorder="1" applyAlignment="1">
      <alignment horizontal="center" vertical="top"/>
    </xf>
    <xf numFmtId="0" fontId="3" fillId="0" borderId="1" xfId="0" applyFont="1" applyBorder="1" applyAlignment="1" applyProtection="1">
      <alignment horizontal="center" vertical="top"/>
      <protection locked="0"/>
    </xf>
    <xf numFmtId="2" fontId="3" fillId="0" borderId="1" xfId="0" applyNumberFormat="1" applyFont="1" applyBorder="1" applyAlignment="1" applyProtection="1">
      <alignment horizontal="center" vertical="top"/>
      <protection locked="0"/>
    </xf>
    <xf numFmtId="14" fontId="3" fillId="0" borderId="1" xfId="0" applyNumberFormat="1" applyFont="1" applyBorder="1" applyAlignment="1" applyProtection="1">
      <alignment horizontal="center" vertical="top"/>
      <protection locked="0"/>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1" applyNumberFormat="1" applyFont="1" applyFill="1" applyBorder="1" applyAlignment="1">
      <alignment horizontal="center" vertical="top"/>
    </xf>
    <xf numFmtId="165" fontId="3" fillId="0" borderId="1" xfId="1" applyNumberFormat="1" applyFont="1" applyBorder="1" applyAlignment="1" applyProtection="1">
      <alignment horizontal="center" vertical="top"/>
      <protection locked="0"/>
    </xf>
    <xf numFmtId="165" fontId="0" fillId="0" borderId="1" xfId="0" applyNumberFormat="1" applyBorder="1" applyAlignment="1">
      <alignment horizontal="center"/>
    </xf>
    <xf numFmtId="165" fontId="0" fillId="0" borderId="0" xfId="1" applyNumberFormat="1" applyFont="1"/>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1" xfId="0" applyFont="1" applyBorder="1" applyAlignment="1">
      <alignment vertical="center"/>
    </xf>
    <xf numFmtId="0" fontId="0" fillId="0" borderId="1" xfId="0" applyBorder="1"/>
    <xf numFmtId="0" fontId="14" fillId="0" borderId="8" xfId="0" applyFont="1" applyBorder="1" applyAlignment="1">
      <alignment vertical="center"/>
    </xf>
    <xf numFmtId="166" fontId="2" fillId="0" borderId="8" xfId="0" applyNumberFormat="1" applyFont="1" applyBorder="1"/>
    <xf numFmtId="11" fontId="13" fillId="5" borderId="7" xfId="0" applyNumberFormat="1" applyFont="1" applyFill="1" applyBorder="1" applyAlignment="1">
      <alignment horizontal="right" vertical="center" indent="2"/>
    </xf>
    <xf numFmtId="165" fontId="3" fillId="0" borderId="1" xfId="1" applyNumberFormat="1" applyFont="1" applyBorder="1" applyAlignment="1" applyProtection="1">
      <alignment vertical="top"/>
      <protection locked="0"/>
    </xf>
    <xf numFmtId="165" fontId="0" fillId="0" borderId="1" xfId="1" applyNumberFormat="1" applyFont="1" applyBorder="1" applyAlignment="1"/>
    <xf numFmtId="165" fontId="0" fillId="0" borderId="0" xfId="1" applyNumberFormat="1" applyFont="1" applyAlignment="1"/>
    <xf numFmtId="0" fontId="2" fillId="0" borderId="1" xfId="0" applyFont="1" applyBorder="1" applyAlignment="1">
      <alignment horizontal="center"/>
    </xf>
    <xf numFmtId="165" fontId="2" fillId="0" borderId="1" xfId="0" applyNumberFormat="1" applyFont="1" applyBorder="1"/>
    <xf numFmtId="166" fontId="0" fillId="0" borderId="1" xfId="0" applyNumberFormat="1" applyBorder="1"/>
    <xf numFmtId="165" fontId="0" fillId="0" borderId="1" xfId="1" applyNumberFormat="1" applyFont="1" applyBorder="1" applyAlignment="1">
      <alignment horizontal="center" vertical="top"/>
    </xf>
    <xf numFmtId="165" fontId="0" fillId="0" borderId="1" xfId="1" applyNumberFormat="1" applyFont="1" applyFill="1" applyBorder="1" applyAlignment="1">
      <alignment horizontal="center"/>
    </xf>
    <xf numFmtId="3" fontId="0" fillId="0" borderId="1" xfId="0" applyNumberFormat="1" applyBorder="1" applyAlignment="1">
      <alignment horizontal="center"/>
    </xf>
    <xf numFmtId="4" fontId="0" fillId="0" borderId="1" xfId="0" applyNumberFormat="1" applyBorder="1" applyAlignment="1">
      <alignment horizontal="center"/>
    </xf>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4" fontId="0" fillId="0" borderId="0" xfId="0" applyNumberFormat="1"/>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xf numFmtId="0" fontId="0" fillId="0" borderId="4" xfId="0" applyBorder="1" applyAlignment="1">
      <alignment horizontal="center"/>
    </xf>
    <xf numFmtId="165" fontId="4" fillId="2" borderId="5" xfId="1" applyNumberFormat="1" applyFont="1" applyFill="1" applyBorder="1" applyAlignment="1">
      <alignment horizontal="center" vertical="center"/>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2" fillId="3" borderId="4" xfId="1" applyNumberFormat="1" applyFont="1" applyFill="1" applyBorder="1" applyAlignment="1">
      <alignment vertical="center"/>
    </xf>
    <xf numFmtId="165" fontId="2" fillId="3" borderId="1" xfId="1" applyNumberFormat="1" applyFont="1" applyFill="1" applyBorder="1" applyAlignment="1">
      <alignment vertical="center" wrapText="1"/>
    </xf>
    <xf numFmtId="165" fontId="0" fillId="0" borderId="1" xfId="1" applyNumberFormat="1" applyFont="1" applyBorder="1" applyAlignment="1">
      <alignment vertical="center"/>
    </xf>
    <xf numFmtId="9" fontId="0" fillId="0" borderId="3" xfId="2" applyFont="1" applyBorder="1" applyAlignment="1">
      <alignment vertical="center"/>
    </xf>
    <xf numFmtId="165" fontId="1" fillId="0" borderId="1" xfId="1" applyNumberFormat="1" applyFont="1" applyFill="1" applyBorder="1" applyAlignment="1">
      <alignment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62">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3-25T04_01_57.691380344Z.xlsx" TargetMode="External"/><Relationship Id="rId1" Type="http://schemas.openxmlformats.org/officeDocument/2006/relationships/externalLinkPath" Target="file:///C:\Users\HetalJethva\Downloads\ops_invoicing_merged_2026-03-25T04_01_57.691380344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s>
    <sheetDataSet>
      <sheetData sheetId="0">
        <row r="1">
          <cell r="F1" t="str">
            <v>Invoice Number</v>
          </cell>
          <cell r="G1" t="str">
            <v>Invoice Status</v>
          </cell>
        </row>
        <row r="2">
          <cell r="F2" t="str">
            <v>AU- baltimore aircoil-01/2023</v>
          </cell>
          <cell r="G2" t="str">
            <v>Settled</v>
          </cell>
        </row>
        <row r="3">
          <cell r="F3" t="str">
            <v>AU- baltimore aircoil-02/2023</v>
          </cell>
          <cell r="G3" t="str">
            <v>Settled</v>
          </cell>
        </row>
        <row r="4">
          <cell r="F4" t="str">
            <v>AU- baltimore aircoil-03/2023</v>
          </cell>
          <cell r="G4" t="str">
            <v>Settled</v>
          </cell>
        </row>
        <row r="5">
          <cell r="F5" t="str">
            <v>AU- baltimore aircoil-04/2023</v>
          </cell>
          <cell r="G5" t="str">
            <v>Settled</v>
          </cell>
        </row>
        <row r="6">
          <cell r="F6" t="str">
            <v>AU- baltimore aircoil-05/2023</v>
          </cell>
          <cell r="G6" t="str">
            <v>Settled</v>
          </cell>
        </row>
        <row r="7">
          <cell r="F7" t="str">
            <v>AU- baltimore aircoil-06/2023</v>
          </cell>
          <cell r="G7" t="str">
            <v>Settled</v>
          </cell>
        </row>
        <row r="8">
          <cell r="F8" t="str">
            <v>AU- baltimore aircoil-07/2023</v>
          </cell>
          <cell r="G8" t="str">
            <v>Settled</v>
          </cell>
        </row>
        <row r="9">
          <cell r="F9" t="str">
            <v>AU- baltimore aircoil-08/2023</v>
          </cell>
          <cell r="G9" t="str">
            <v>Settled</v>
          </cell>
        </row>
        <row r="10">
          <cell r="F10" t="str">
            <v>AU- baltimore aircoil-09/2023</v>
          </cell>
          <cell r="G10" t="str">
            <v>Settled</v>
          </cell>
        </row>
        <row r="11">
          <cell r="F11" t="str">
            <v>AU- baltimore aircoil-10/2023</v>
          </cell>
          <cell r="G11" t="str">
            <v>Settled</v>
          </cell>
        </row>
        <row r="12">
          <cell r="F12" t="str">
            <v>AU- baltimore aircoil-11/2023</v>
          </cell>
          <cell r="G12" t="str">
            <v>Settled</v>
          </cell>
        </row>
        <row r="13">
          <cell r="F13" t="str">
            <v>AU- baltimore aircoil-12/2023</v>
          </cell>
          <cell r="G13" t="str">
            <v>Settled</v>
          </cell>
        </row>
        <row r="14">
          <cell r="F14" t="str">
            <v>AU- baltimore aircoil-01/2024</v>
          </cell>
          <cell r="G14" t="str">
            <v>Settled</v>
          </cell>
        </row>
        <row r="15">
          <cell r="F15" t="str">
            <v>AU- baltimore aircoil-02/2024</v>
          </cell>
          <cell r="G15" t="str">
            <v>Settled</v>
          </cell>
        </row>
        <row r="16">
          <cell r="F16" t="str">
            <v>AU- baltimore aircoil-03/2024</v>
          </cell>
          <cell r="G16" t="str">
            <v>Settled</v>
          </cell>
        </row>
        <row r="17">
          <cell r="F17" t="str">
            <v>AU- baltimore aircoil-04/2024</v>
          </cell>
          <cell r="G17" t="str">
            <v>Settled</v>
          </cell>
        </row>
        <row r="18">
          <cell r="F18" t="str">
            <v>AU- baltimore aircoil-05/2024</v>
          </cell>
          <cell r="G18" t="str">
            <v>Settled</v>
          </cell>
        </row>
        <row r="19">
          <cell r="F19" t="str">
            <v>AU- baltimore aircoil-06/2024</v>
          </cell>
          <cell r="G19" t="str">
            <v>Settled</v>
          </cell>
        </row>
        <row r="20">
          <cell r="F20" t="str">
            <v>AU- baltimore aircoil-07/2024</v>
          </cell>
          <cell r="G20" t="str">
            <v>Settled</v>
          </cell>
        </row>
        <row r="21">
          <cell r="F21" t="str">
            <v>AU- baltimore aircoil-08/2024</v>
          </cell>
          <cell r="G21" t="str">
            <v>Settled</v>
          </cell>
        </row>
        <row r="22">
          <cell r="F22" t="str">
            <v>AU- baltimore aircoil-09/2024</v>
          </cell>
          <cell r="G22" t="str">
            <v>Settled</v>
          </cell>
        </row>
        <row r="23">
          <cell r="F23" t="str">
            <v>AU- baltimore aircoil-10/2024</v>
          </cell>
          <cell r="G23" t="str">
            <v>Settled</v>
          </cell>
        </row>
        <row r="24">
          <cell r="F24" t="str">
            <v>AU- baltimore aircoil-11/2024</v>
          </cell>
          <cell r="G24" t="str">
            <v>Settled</v>
          </cell>
        </row>
        <row r="25">
          <cell r="F25" t="str">
            <v>AU- baltimore aircoil-12/2024</v>
          </cell>
          <cell r="G25" t="str">
            <v>Settled</v>
          </cell>
        </row>
        <row r="26">
          <cell r="F26" t="str">
            <v>AU- baltimore aircoil-01/2025</v>
          </cell>
          <cell r="G26" t="str">
            <v>Settled</v>
          </cell>
        </row>
        <row r="27">
          <cell r="F27" t="str">
            <v>AU- baltimore aircoil-02/2025</v>
          </cell>
          <cell r="G27" t="str">
            <v>Settled</v>
          </cell>
        </row>
        <row r="28">
          <cell r="F28" t="str">
            <v>AU- baltimore aircoil-03/2025</v>
          </cell>
          <cell r="G28" t="str">
            <v>Settled</v>
          </cell>
        </row>
        <row r="29">
          <cell r="F29" t="str">
            <v>AU- baltimore aircoil-04/2025</v>
          </cell>
          <cell r="G29" t="str">
            <v>Settled</v>
          </cell>
        </row>
        <row r="30">
          <cell r="F30" t="str">
            <v>AU- baltimore aircoil-05/2025</v>
          </cell>
          <cell r="G30" t="str">
            <v>Settled</v>
          </cell>
        </row>
        <row r="31">
          <cell r="F31" t="str">
            <v>AU- baltimore aircoil-06/2025</v>
          </cell>
          <cell r="G31" t="str">
            <v>Settled</v>
          </cell>
        </row>
        <row r="32">
          <cell r="F32" t="str">
            <v>AU- baltimore aircoil-07/2025</v>
          </cell>
          <cell r="G32" t="str">
            <v>Settled</v>
          </cell>
        </row>
        <row r="33">
          <cell r="F33" t="str">
            <v>AU- baltimore aircoil-08/2025</v>
          </cell>
          <cell r="G33" t="str">
            <v>Settled</v>
          </cell>
        </row>
        <row r="34">
          <cell r="F34" t="str">
            <v>AU- baltimore aircoil-09/2025</v>
          </cell>
          <cell r="G34" t="str">
            <v>Settled</v>
          </cell>
        </row>
        <row r="35">
          <cell r="F35" t="str">
            <v>AU- baltimore aircoil-10/2025</v>
          </cell>
          <cell r="G35" t="str">
            <v>Settled</v>
          </cell>
        </row>
        <row r="36">
          <cell r="F36" t="str">
            <v>AU- baltimore aircoil-11/2025</v>
          </cell>
          <cell r="G36" t="str">
            <v>Settled</v>
          </cell>
        </row>
        <row r="37">
          <cell r="F37" t="str">
            <v>AU- baltimore aircoil-12/2025</v>
          </cell>
          <cell r="G37" t="str">
            <v>Settled</v>
          </cell>
        </row>
        <row r="38">
          <cell r="F38" t="str">
            <v>AU- baltimore aircoil-01/2026</v>
          </cell>
          <cell r="G38" t="str">
            <v>Settled</v>
          </cell>
        </row>
        <row r="39">
          <cell r="F39" t="str">
            <v>AU- baltimore aircoil-02/2026</v>
          </cell>
          <cell r="G39" t="str">
            <v>Settled</v>
          </cell>
        </row>
        <row r="40">
          <cell r="F40" t="str">
            <v>AU-World Services Online Pty Ltd-11/2022</v>
          </cell>
          <cell r="G40" t="str">
            <v>Settled</v>
          </cell>
        </row>
        <row r="41">
          <cell r="F41" t="str">
            <v>AU-World Services Online Pty Ltd-12/2022</v>
          </cell>
          <cell r="G41" t="str">
            <v>Settled</v>
          </cell>
        </row>
        <row r="42">
          <cell r="F42" t="str">
            <v>AU-World Services Online Pty Ltd-01/2023</v>
          </cell>
          <cell r="G42" t="str">
            <v>Settled</v>
          </cell>
        </row>
        <row r="43">
          <cell r="F43" t="str">
            <v>AU-World Services-02/2023</v>
          </cell>
          <cell r="G43" t="str">
            <v>Settled</v>
          </cell>
        </row>
        <row r="44">
          <cell r="F44" t="str">
            <v>AU-World Services-03/2023</v>
          </cell>
          <cell r="G44" t="str">
            <v>Settled</v>
          </cell>
        </row>
        <row r="45">
          <cell r="F45" t="str">
            <v>AU-World Services-04/2023</v>
          </cell>
          <cell r="G45" t="str">
            <v>Settled</v>
          </cell>
        </row>
        <row r="46">
          <cell r="F46" t="str">
            <v>AU-World Services-05/2023</v>
          </cell>
          <cell r="G46" t="str">
            <v>Settled</v>
          </cell>
        </row>
        <row r="47">
          <cell r="F47" t="str">
            <v>AU-World Services-06/2023</v>
          </cell>
          <cell r="G47" t="str">
            <v>Settled</v>
          </cell>
        </row>
        <row r="48">
          <cell r="F48" t="str">
            <v>AU-World Services-07/2023</v>
          </cell>
          <cell r="G48" t="str">
            <v>Settled</v>
          </cell>
        </row>
        <row r="49">
          <cell r="F49" t="str">
            <v>AU -World Services-08/2023</v>
          </cell>
          <cell r="G49" t="str">
            <v>Settled</v>
          </cell>
        </row>
        <row r="50">
          <cell r="F50" t="str">
            <v>AU-World Services-09/2023</v>
          </cell>
          <cell r="G50" t="str">
            <v>Settled</v>
          </cell>
        </row>
        <row r="51">
          <cell r="F51" t="str">
            <v>AU-World Services-10/2023</v>
          </cell>
          <cell r="G51" t="str">
            <v>Settled</v>
          </cell>
        </row>
        <row r="52">
          <cell r="F52" t="str">
            <v>AU-World Services-11/2023</v>
          </cell>
          <cell r="G52" t="str">
            <v>Settled</v>
          </cell>
        </row>
        <row r="53">
          <cell r="F53" t="str">
            <v>AU-World Services-12/2023</v>
          </cell>
          <cell r="G53" t="str">
            <v>Settled</v>
          </cell>
        </row>
        <row r="54">
          <cell r="F54" t="str">
            <v>AU-World Services-01/2024</v>
          </cell>
          <cell r="G54" t="str">
            <v>Settled</v>
          </cell>
        </row>
        <row r="55">
          <cell r="F55" t="str">
            <v>AU-World Services-02/2024</v>
          </cell>
          <cell r="G55" t="str">
            <v>Settled</v>
          </cell>
        </row>
        <row r="56">
          <cell r="F56" t="str">
            <v>AU-World Services-03/2024</v>
          </cell>
          <cell r="G56" t="str">
            <v>Settled</v>
          </cell>
        </row>
        <row r="57">
          <cell r="F57" t="str">
            <v>AU-World Services-04/2024</v>
          </cell>
          <cell r="G57" t="str">
            <v>Settled</v>
          </cell>
        </row>
        <row r="58">
          <cell r="F58" t="str">
            <v>AU-World Services-05/2024</v>
          </cell>
          <cell r="G58" t="str">
            <v>Settled</v>
          </cell>
        </row>
        <row r="59">
          <cell r="F59" t="str">
            <v>AU-World Services-06/2024</v>
          </cell>
          <cell r="G59" t="str">
            <v>Settled</v>
          </cell>
        </row>
        <row r="60">
          <cell r="F60" t="str">
            <v>AU-World Services-07/2024</v>
          </cell>
          <cell r="G60" t="str">
            <v>Settled</v>
          </cell>
        </row>
        <row r="61">
          <cell r="F61" t="str">
            <v>AU-World Services-08/2024</v>
          </cell>
          <cell r="G61" t="str">
            <v>Settled</v>
          </cell>
        </row>
        <row r="62">
          <cell r="F62" t="str">
            <v>AU-World Services-09/2024</v>
          </cell>
          <cell r="G62" t="str">
            <v>Settled</v>
          </cell>
        </row>
        <row r="63">
          <cell r="F63" t="str">
            <v>AU-World Services-10/2024</v>
          </cell>
          <cell r="G63" t="str">
            <v>Settled</v>
          </cell>
        </row>
        <row r="64">
          <cell r="F64" t="str">
            <v>AU-World Services-11/2024</v>
          </cell>
          <cell r="G64" t="str">
            <v>Settled</v>
          </cell>
        </row>
        <row r="65">
          <cell r="F65" t="str">
            <v>AU-World Services-12/2024</v>
          </cell>
          <cell r="G65" t="str">
            <v>Settled</v>
          </cell>
        </row>
        <row r="66">
          <cell r="F66" t="str">
            <v>AU-World Services-01/2025</v>
          </cell>
          <cell r="G66" t="str">
            <v>Settled</v>
          </cell>
        </row>
        <row r="67">
          <cell r="F67" t="str">
            <v>AU-World Services-02/2025</v>
          </cell>
          <cell r="G67" t="str">
            <v>Settled</v>
          </cell>
        </row>
        <row r="68">
          <cell r="F68" t="str">
            <v>AU-World Services-03/2025</v>
          </cell>
          <cell r="G68" t="str">
            <v>Settled</v>
          </cell>
        </row>
        <row r="69">
          <cell r="F69" t="str">
            <v>AU-World Services-04/2025</v>
          </cell>
          <cell r="G69" t="str">
            <v>Settled</v>
          </cell>
        </row>
        <row r="70">
          <cell r="F70" t="str">
            <v>AU-World Services-05/2025</v>
          </cell>
          <cell r="G70" t="str">
            <v>Settled</v>
          </cell>
        </row>
        <row r="71">
          <cell r="F71" t="str">
            <v>AU-World Services-06/2025</v>
          </cell>
          <cell r="G71" t="str">
            <v>Settled</v>
          </cell>
        </row>
        <row r="72">
          <cell r="F72" t="str">
            <v>AU-World Services-07/2025</v>
          </cell>
          <cell r="G72" t="str">
            <v>Settled</v>
          </cell>
        </row>
        <row r="73">
          <cell r="F73" t="str">
            <v>AU-World Services-08/2025</v>
          </cell>
          <cell r="G73" t="str">
            <v>Settled</v>
          </cell>
        </row>
        <row r="74">
          <cell r="F74" t="str">
            <v>AU-World Services-10/2025</v>
          </cell>
          <cell r="G74" t="str">
            <v>Settled</v>
          </cell>
        </row>
        <row r="75">
          <cell r="F75" t="str">
            <v>AU-World Services-11/2025</v>
          </cell>
          <cell r="G75" t="str">
            <v>Settled</v>
          </cell>
        </row>
        <row r="76">
          <cell r="F76" t="str">
            <v>AU-World Services-12/2025</v>
          </cell>
          <cell r="G76" t="str">
            <v>Settled</v>
          </cell>
        </row>
        <row r="77">
          <cell r="F77" t="str">
            <v>AU-World Services-01/2026</v>
          </cell>
          <cell r="G77" t="str">
            <v>Settled</v>
          </cell>
        </row>
        <row r="78">
          <cell r="F78" t="str">
            <v>AU-World Services-02/2026</v>
          </cell>
          <cell r="G78" t="str">
            <v>Settled</v>
          </cell>
        </row>
        <row r="79">
          <cell r="F79" t="str">
            <v>SG-13370046 CANADA INC-09/2022</v>
          </cell>
          <cell r="G79" t="str">
            <v>Write Off</v>
          </cell>
        </row>
        <row r="80">
          <cell r="F80" t="str">
            <v>SG-13370046 CANADA INC-11/2022</v>
          </cell>
          <cell r="G80" t="str">
            <v>Write Off</v>
          </cell>
        </row>
        <row r="81">
          <cell r="F81" t="str">
            <v>SG-13370046 CANADA INC-01/2023</v>
          </cell>
          <cell r="G81" t="str">
            <v>Write Off</v>
          </cell>
        </row>
        <row r="82">
          <cell r="F82" t="str">
            <v>SG-13370046CANADA-02/2023</v>
          </cell>
          <cell r="G82" t="str">
            <v>Write Off</v>
          </cell>
        </row>
        <row r="83">
          <cell r="F83" t="str">
            <v>SG-13370046CANADA-03/2023</v>
          </cell>
          <cell r="G83" t="str">
            <v>Waived Off</v>
          </cell>
        </row>
        <row r="84">
          <cell r="F84" t="str">
            <v>SG-13370046CANADA-04/2023</v>
          </cell>
          <cell r="G84" t="str">
            <v>Waived Off</v>
          </cell>
        </row>
        <row r="85">
          <cell r="F85" t="str">
            <v>SG-13370046CANADA-05/2023</v>
          </cell>
          <cell r="G85" t="str">
            <v>Waived Off</v>
          </cell>
        </row>
        <row r="86">
          <cell r="F86" t="str">
            <v>SG-13370046CANADA-06/2023</v>
          </cell>
          <cell r="G86" t="str">
            <v>Waived Off</v>
          </cell>
        </row>
        <row r="87">
          <cell r="F87" t="str">
            <v>SG-33 Remittance Company Limited-11/2022</v>
          </cell>
          <cell r="G87" t="str">
            <v>Settled</v>
          </cell>
        </row>
        <row r="88">
          <cell r="F88" t="str">
            <v>SG-33 Remittance Company Limited-12/2022</v>
          </cell>
          <cell r="G88" t="str">
            <v>Settled</v>
          </cell>
        </row>
        <row r="89">
          <cell r="F89" t="str">
            <v>SG-33 Remittance Company Limited-01/2023</v>
          </cell>
          <cell r="G89" t="str">
            <v>Settled</v>
          </cell>
        </row>
        <row r="90">
          <cell r="F90" t="str">
            <v>SG-33Remitt-02/2023</v>
          </cell>
          <cell r="G90" t="str">
            <v>Settled</v>
          </cell>
        </row>
        <row r="91">
          <cell r="F91" t="str">
            <v>SG-33Remitt-03/2023</v>
          </cell>
          <cell r="G91" t="str">
            <v>Settled</v>
          </cell>
        </row>
        <row r="92">
          <cell r="F92" t="str">
            <v>SG-33Remitt-04/2023</v>
          </cell>
          <cell r="G92" t="str">
            <v>Settled</v>
          </cell>
        </row>
        <row r="93">
          <cell r="F93" t="str">
            <v>SG-33Remitt-05/2023</v>
          </cell>
          <cell r="G93" t="str">
            <v>Settled</v>
          </cell>
        </row>
        <row r="94">
          <cell r="F94" t="str">
            <v>SG-33Remitt-06/2023</v>
          </cell>
          <cell r="G94" t="str">
            <v>Settled</v>
          </cell>
        </row>
        <row r="95">
          <cell r="F95" t="str">
            <v>SG-33Remitt-07/2023</v>
          </cell>
          <cell r="G95" t="str">
            <v>Settled</v>
          </cell>
        </row>
        <row r="96">
          <cell r="F96" t="str">
            <v>SG -33Remitt-08/2023</v>
          </cell>
          <cell r="G96" t="str">
            <v>Settled</v>
          </cell>
        </row>
        <row r="97">
          <cell r="F97" t="str">
            <v>SG-33Remitt-09/2023</v>
          </cell>
          <cell r="G97" t="str">
            <v>Settled</v>
          </cell>
        </row>
        <row r="98">
          <cell r="F98" t="str">
            <v>SG-33Remitt-10/2023</v>
          </cell>
          <cell r="G98" t="str">
            <v>Settled</v>
          </cell>
        </row>
        <row r="99">
          <cell r="F99" t="str">
            <v>SG-33Remitt-11/2023</v>
          </cell>
          <cell r="G99" t="str">
            <v>Settled</v>
          </cell>
        </row>
        <row r="100">
          <cell r="F100" t="str">
            <v>SG-33Remitt-12/2023</v>
          </cell>
          <cell r="G100" t="str">
            <v>Settled</v>
          </cell>
        </row>
        <row r="101">
          <cell r="F101" t="str">
            <v>SG-33Remitt-01/2024</v>
          </cell>
          <cell r="G101" t="str">
            <v>Settled</v>
          </cell>
        </row>
        <row r="102">
          <cell r="F102" t="str">
            <v>SG-33Remitt-02/2024</v>
          </cell>
          <cell r="G102" t="str">
            <v>Settled</v>
          </cell>
        </row>
        <row r="103">
          <cell r="F103" t="str">
            <v>SG-33Remitt-03/2024</v>
          </cell>
          <cell r="G103" t="str">
            <v>Settled</v>
          </cell>
        </row>
        <row r="104">
          <cell r="F104" t="str">
            <v>SG-33Remitt-04/2024</v>
          </cell>
          <cell r="G104" t="str">
            <v>Settled</v>
          </cell>
        </row>
        <row r="105">
          <cell r="F105" t="str">
            <v>SG-33Remitt-05/2024</v>
          </cell>
          <cell r="G105" t="str">
            <v>Settled</v>
          </cell>
        </row>
        <row r="106">
          <cell r="F106" t="str">
            <v>SG-33Remitt-06/2024</v>
          </cell>
          <cell r="G106" t="str">
            <v>Settled</v>
          </cell>
        </row>
        <row r="107">
          <cell r="F107" t="str">
            <v>SG-33Remitt-07/2024</v>
          </cell>
          <cell r="G107" t="str">
            <v>Settled</v>
          </cell>
        </row>
        <row r="108">
          <cell r="F108" t="str">
            <v>SG-33Remitt-08/2024</v>
          </cell>
          <cell r="G108" t="str">
            <v>Settled</v>
          </cell>
        </row>
        <row r="109">
          <cell r="F109" t="str">
            <v>SG-33Remitt-09/2024</v>
          </cell>
          <cell r="G109" t="str">
            <v>Settled</v>
          </cell>
        </row>
        <row r="110">
          <cell r="F110" t="str">
            <v>SG-33Remitt-10/2024</v>
          </cell>
          <cell r="G110" t="str">
            <v>Settled</v>
          </cell>
        </row>
        <row r="111">
          <cell r="F111" t="str">
            <v>SG-33Remitt-11/2024</v>
          </cell>
          <cell r="G111" t="str">
            <v>Settled</v>
          </cell>
        </row>
        <row r="112">
          <cell r="F112" t="str">
            <v>SG-33Remitt-12/2024</v>
          </cell>
          <cell r="G112" t="str">
            <v>Settled</v>
          </cell>
        </row>
        <row r="113">
          <cell r="F113" t="str">
            <v>SG-33Remitt-01/2025</v>
          </cell>
          <cell r="G113" t="str">
            <v>Settled</v>
          </cell>
        </row>
        <row r="114">
          <cell r="F114" t="str">
            <v>SG-33Remitt-02/2025</v>
          </cell>
          <cell r="G114" t="str">
            <v>Settled</v>
          </cell>
        </row>
        <row r="115">
          <cell r="F115" t="str">
            <v>SG-33Remitt-03/2025</v>
          </cell>
          <cell r="G115" t="str">
            <v>Settled</v>
          </cell>
        </row>
        <row r="116">
          <cell r="F116" t="str">
            <v>SG-33Remitt-04/2025</v>
          </cell>
          <cell r="G116" t="str">
            <v>Settled</v>
          </cell>
        </row>
        <row r="117">
          <cell r="F117" t="str">
            <v>SG-33Remitt-05/2025</v>
          </cell>
          <cell r="G117" t="str">
            <v>Settled</v>
          </cell>
        </row>
        <row r="118">
          <cell r="F118" t="str">
            <v>SG-33Remitt-06/2025</v>
          </cell>
          <cell r="G118" t="str">
            <v>Settled</v>
          </cell>
        </row>
        <row r="119">
          <cell r="F119" t="str">
            <v>SG-33Remitt-07/2025</v>
          </cell>
          <cell r="G119" t="str">
            <v>Settled</v>
          </cell>
        </row>
        <row r="120">
          <cell r="F120" t="str">
            <v>SG-33Remitt-08/2025</v>
          </cell>
          <cell r="G120" t="str">
            <v>Settled</v>
          </cell>
        </row>
        <row r="121">
          <cell r="F121" t="str">
            <v>SG-33Remitt-09/2025</v>
          </cell>
          <cell r="G121" t="str">
            <v>Settled</v>
          </cell>
        </row>
        <row r="122">
          <cell r="F122" t="str">
            <v>SG-33Remitt-10/2025</v>
          </cell>
          <cell r="G122" t="str">
            <v>Settled</v>
          </cell>
        </row>
        <row r="123">
          <cell r="F123" t="str">
            <v>SG-33Remitt-11/2025</v>
          </cell>
          <cell r="G123" t="str">
            <v>Settled</v>
          </cell>
        </row>
        <row r="124">
          <cell r="F124" t="str">
            <v>SG-33Remitt-12/2025</v>
          </cell>
          <cell r="G124" t="str">
            <v>Settled</v>
          </cell>
        </row>
        <row r="125">
          <cell r="F125" t="str">
            <v>SG-33Remitt-01/2026</v>
          </cell>
          <cell r="G125" t="str">
            <v>Settled</v>
          </cell>
        </row>
        <row r="126">
          <cell r="F126" t="str">
            <v>SG-33Remitt-02/2026</v>
          </cell>
          <cell r="G126" t="str">
            <v>Settled</v>
          </cell>
        </row>
        <row r="127">
          <cell r="F127" t="str">
            <v>US -4400WETech-03/2023</v>
          </cell>
          <cell r="G127" t="str">
            <v>Settled</v>
          </cell>
        </row>
        <row r="128">
          <cell r="F128" t="str">
            <v>US-4400WETech-04/2023</v>
          </cell>
          <cell r="G128" t="str">
            <v>Settled</v>
          </cell>
        </row>
        <row r="129">
          <cell r="F129" t="str">
            <v>US-4400WETech-CR-04/2023</v>
          </cell>
          <cell r="G129" t="str">
            <v>Settled</v>
          </cell>
        </row>
        <row r="130">
          <cell r="F130" t="str">
            <v>US-4400WETech-05/2023</v>
          </cell>
          <cell r="G130" t="str">
            <v>Settled</v>
          </cell>
        </row>
        <row r="131">
          <cell r="F131" t="str">
            <v>US-4400WETech-CR-04/2024</v>
          </cell>
          <cell r="G131" t="str">
            <v>Settled</v>
          </cell>
        </row>
        <row r="132">
          <cell r="F132" t="str">
            <v>US-4400WETech-CR-05/2023</v>
          </cell>
          <cell r="G132" t="str">
            <v>Settled</v>
          </cell>
        </row>
        <row r="133">
          <cell r="F133" t="str">
            <v>US-4400WETech-06/2023</v>
          </cell>
          <cell r="G133" t="str">
            <v>Settled</v>
          </cell>
        </row>
        <row r="134">
          <cell r="F134" t="str">
            <v>US-4400WETech-CR-06/2023</v>
          </cell>
          <cell r="G134" t="str">
            <v>Settled</v>
          </cell>
        </row>
        <row r="135">
          <cell r="F135" t="str">
            <v>US-4400WETech-07/2023</v>
          </cell>
          <cell r="G135" t="str">
            <v>Settled</v>
          </cell>
        </row>
        <row r="136">
          <cell r="F136" t="str">
            <v>US-4400WETech-CR-07/2023</v>
          </cell>
          <cell r="G136" t="str">
            <v>Settled</v>
          </cell>
        </row>
        <row r="137">
          <cell r="F137" t="str">
            <v>US-4400WETech-08/2023</v>
          </cell>
          <cell r="G137" t="str">
            <v>Settled</v>
          </cell>
        </row>
        <row r="138">
          <cell r="F138" t="str">
            <v>US-4400WETech-CR-08/2023</v>
          </cell>
          <cell r="G138" t="str">
            <v>Settled</v>
          </cell>
        </row>
        <row r="139">
          <cell r="F139" t="str">
            <v>US-4400WETech-09/2023</v>
          </cell>
          <cell r="G139" t="str">
            <v>Settled</v>
          </cell>
        </row>
        <row r="140">
          <cell r="F140" t="str">
            <v>US-4400WETech-CR-09/2023</v>
          </cell>
          <cell r="G140" t="str">
            <v>Settled</v>
          </cell>
        </row>
        <row r="141">
          <cell r="F141" t="str">
            <v>US-4400WETech-10/2023</v>
          </cell>
          <cell r="G141" t="str">
            <v>Settled</v>
          </cell>
        </row>
        <row r="142">
          <cell r="F142" t="str">
            <v>US-4400WETech-CR-10/2023</v>
          </cell>
          <cell r="G142" t="str">
            <v>Settled</v>
          </cell>
        </row>
        <row r="143">
          <cell r="F143" t="str">
            <v>US-4400WETech-11/2023</v>
          </cell>
          <cell r="G143" t="str">
            <v>Settled</v>
          </cell>
        </row>
        <row r="144">
          <cell r="F144" t="str">
            <v>US-4400WETech-CR-11/2023</v>
          </cell>
          <cell r="G144" t="str">
            <v>Settled</v>
          </cell>
        </row>
        <row r="145">
          <cell r="F145" t="str">
            <v>US-4400WETech-CR-12/2023</v>
          </cell>
          <cell r="G145" t="str">
            <v>Settled</v>
          </cell>
        </row>
        <row r="146">
          <cell r="F146" t="str">
            <v>US-4400WETech-12/2023</v>
          </cell>
          <cell r="G146" t="str">
            <v>Settled</v>
          </cell>
        </row>
        <row r="147">
          <cell r="F147" t="str">
            <v>US-4400WETech-01/2024</v>
          </cell>
          <cell r="G147" t="str">
            <v>Settled</v>
          </cell>
        </row>
        <row r="148">
          <cell r="F148" t="str">
            <v>US-4400WETech-CR-01/2024</v>
          </cell>
          <cell r="G148" t="str">
            <v>Settled</v>
          </cell>
        </row>
        <row r="149">
          <cell r="F149" t="str">
            <v>US-4400WETech-02/2024</v>
          </cell>
          <cell r="G149" t="str">
            <v>Settled</v>
          </cell>
        </row>
        <row r="150">
          <cell r="F150" t="str">
            <v>US-4400WETech-CR-02/2024</v>
          </cell>
          <cell r="G150" t="str">
            <v>Settled</v>
          </cell>
        </row>
        <row r="151">
          <cell r="F151" t="str">
            <v>US-4400WETech-CR-03/2024</v>
          </cell>
          <cell r="G151" t="str">
            <v>Settled</v>
          </cell>
        </row>
        <row r="152">
          <cell r="F152" t="str">
            <v>US-4400WETech-03/2024</v>
          </cell>
          <cell r="G152" t="str">
            <v>Settled</v>
          </cell>
        </row>
        <row r="153">
          <cell r="F153" t="str">
            <v>US-4400WETech-04/2024</v>
          </cell>
          <cell r="G153" t="str">
            <v>Settled</v>
          </cell>
        </row>
        <row r="154">
          <cell r="F154" t="str">
            <v>US-4400WETech-05/2024</v>
          </cell>
          <cell r="G154" t="str">
            <v>Settled</v>
          </cell>
        </row>
        <row r="155">
          <cell r="F155" t="str">
            <v>US-4400WETech-CR-05/2024</v>
          </cell>
          <cell r="G155" t="str">
            <v>Settled</v>
          </cell>
        </row>
        <row r="156">
          <cell r="F156" t="str">
            <v>US-4400WETech-06/2024</v>
          </cell>
          <cell r="G156" t="str">
            <v>Settled</v>
          </cell>
        </row>
        <row r="157">
          <cell r="F157" t="str">
            <v>US-4400WETech-CR-06/2024</v>
          </cell>
          <cell r="G157" t="str">
            <v>Settled</v>
          </cell>
        </row>
        <row r="158">
          <cell r="F158" t="str">
            <v>US-4400WETech-07/2024</v>
          </cell>
          <cell r="G158" t="str">
            <v>Settled</v>
          </cell>
        </row>
        <row r="159">
          <cell r="F159" t="str">
            <v>US-4400WETech-CR-07/2024</v>
          </cell>
          <cell r="G159" t="str">
            <v>Settled</v>
          </cell>
        </row>
        <row r="160">
          <cell r="F160" t="str">
            <v>US-4400WETech-CR-08/2024</v>
          </cell>
          <cell r="G160" t="str">
            <v>Settled</v>
          </cell>
        </row>
        <row r="161">
          <cell r="F161" t="str">
            <v>US-4400WETech-08/2024</v>
          </cell>
          <cell r="G161" t="str">
            <v>Settled</v>
          </cell>
        </row>
        <row r="162">
          <cell r="F162" t="str">
            <v>US-4400WETech-CR-09/2024</v>
          </cell>
          <cell r="G162" t="str">
            <v>Settled</v>
          </cell>
        </row>
        <row r="163">
          <cell r="F163" t="str">
            <v>US-4400WETech-09/2024</v>
          </cell>
          <cell r="G163" t="str">
            <v>Settled</v>
          </cell>
        </row>
        <row r="164">
          <cell r="F164" t="str">
            <v>US-4400WETech-CR-10/2024</v>
          </cell>
          <cell r="G164" t="str">
            <v>Settled</v>
          </cell>
        </row>
        <row r="165">
          <cell r="F165" t="str">
            <v>US-4400WETech-10/2024</v>
          </cell>
          <cell r="G165" t="str">
            <v>Settled</v>
          </cell>
        </row>
        <row r="166">
          <cell r="F166" t="str">
            <v>US-4400WETech-11/2024</v>
          </cell>
          <cell r="G166" t="str">
            <v>Settled</v>
          </cell>
        </row>
        <row r="167">
          <cell r="F167" t="str">
            <v>US-4400WETech-CR-11/2024</v>
          </cell>
          <cell r="G167" t="str">
            <v>Settled</v>
          </cell>
        </row>
        <row r="168">
          <cell r="F168" t="str">
            <v>US-4400WETech-CR-12/2024</v>
          </cell>
          <cell r="G168" t="str">
            <v>Settled</v>
          </cell>
        </row>
        <row r="169">
          <cell r="F169" t="str">
            <v>US-4400WETech-12/2024</v>
          </cell>
          <cell r="G169" t="str">
            <v>Settled</v>
          </cell>
        </row>
        <row r="170">
          <cell r="F170" t="str">
            <v>US-4400WETech-CR-01/2025</v>
          </cell>
          <cell r="G170" t="str">
            <v>Settled</v>
          </cell>
        </row>
        <row r="171">
          <cell r="F171" t="str">
            <v>US-4400WETech-01/2025</v>
          </cell>
          <cell r="G171" t="str">
            <v>Settled</v>
          </cell>
        </row>
        <row r="172">
          <cell r="F172" t="str">
            <v>US-4400WETech-CR-02/2025</v>
          </cell>
          <cell r="G172" t="str">
            <v>Settled</v>
          </cell>
        </row>
        <row r="173">
          <cell r="F173" t="str">
            <v>US-4400WETech-02/2025</v>
          </cell>
          <cell r="G173" t="str">
            <v>Settled</v>
          </cell>
        </row>
        <row r="174">
          <cell r="F174" t="str">
            <v>US-4400WETech-03/2025</v>
          </cell>
          <cell r="G174" t="str">
            <v>Settled</v>
          </cell>
        </row>
        <row r="175">
          <cell r="F175" t="str">
            <v>US-4400WETech-CR-03/2025</v>
          </cell>
          <cell r="G175" t="str">
            <v>Settled</v>
          </cell>
        </row>
        <row r="176">
          <cell r="F176" t="str">
            <v>US-4400WETech-04/2025</v>
          </cell>
          <cell r="G176" t="str">
            <v>Settled</v>
          </cell>
        </row>
        <row r="177">
          <cell r="F177" t="str">
            <v>US-4400WETech-CR-04/2025</v>
          </cell>
          <cell r="G177" t="str">
            <v>Settled</v>
          </cell>
        </row>
        <row r="178">
          <cell r="F178" t="str">
            <v>US-4400WETech-05/2025</v>
          </cell>
          <cell r="G178" t="str">
            <v>Settled</v>
          </cell>
        </row>
        <row r="179">
          <cell r="F179" t="str">
            <v>US-4400WETech-CR-05/2025</v>
          </cell>
          <cell r="G179" t="str">
            <v>Settled</v>
          </cell>
        </row>
        <row r="180">
          <cell r="F180" t="str">
            <v>US-4400WETech-06/2025</v>
          </cell>
          <cell r="G180" t="str">
            <v>Settled</v>
          </cell>
        </row>
        <row r="181">
          <cell r="F181" t="str">
            <v>US-4400WETech-CR-06/2025</v>
          </cell>
          <cell r="G181" t="str">
            <v>Settled</v>
          </cell>
        </row>
        <row r="182">
          <cell r="F182" t="str">
            <v>US-4400WETech-07/2025</v>
          </cell>
          <cell r="G182" t="str">
            <v>Settled</v>
          </cell>
        </row>
        <row r="183">
          <cell r="F183" t="str">
            <v>US-4400WETech-CR-07/2025</v>
          </cell>
          <cell r="G183" t="str">
            <v>Settled</v>
          </cell>
        </row>
        <row r="184">
          <cell r="F184" t="str">
            <v>US-4400WETech-08/2025</v>
          </cell>
          <cell r="G184" t="str">
            <v>Settled</v>
          </cell>
        </row>
        <row r="185">
          <cell r="F185" t="str">
            <v>US-4400WETech-CR-08/2025</v>
          </cell>
          <cell r="G185" t="str">
            <v>Settled</v>
          </cell>
        </row>
        <row r="186">
          <cell r="F186" t="str">
            <v>US-4400WETech-09/2025</v>
          </cell>
          <cell r="G186" t="str">
            <v>Settled</v>
          </cell>
        </row>
        <row r="187">
          <cell r="F187" t="str">
            <v>US-4400WETech-CR-09/2025</v>
          </cell>
          <cell r="G187" t="str">
            <v>Settled</v>
          </cell>
        </row>
        <row r="188">
          <cell r="F188" t="str">
            <v>US-4400WETech-10/2025</v>
          </cell>
          <cell r="G188" t="str">
            <v>Settled</v>
          </cell>
        </row>
        <row r="189">
          <cell r="F189" t="str">
            <v>US-4400WETech-CR-10/2025</v>
          </cell>
          <cell r="G189" t="str">
            <v>Settled</v>
          </cell>
        </row>
        <row r="190">
          <cell r="F190" t="str">
            <v>US-4400WETech-11/2025</v>
          </cell>
          <cell r="G190" t="str">
            <v>Settled</v>
          </cell>
        </row>
        <row r="191">
          <cell r="F191" t="str">
            <v>US-4400WETech-CR-11/2025</v>
          </cell>
          <cell r="G191" t="str">
            <v>Settled</v>
          </cell>
        </row>
        <row r="192">
          <cell r="F192" t="str">
            <v>US-4400WETech-12/2025</v>
          </cell>
          <cell r="G192" t="str">
            <v>Settled</v>
          </cell>
        </row>
        <row r="193">
          <cell r="F193" t="str">
            <v>US-4400WETech-CR-12/2025</v>
          </cell>
          <cell r="G193" t="str">
            <v>Settled</v>
          </cell>
        </row>
        <row r="194">
          <cell r="F194" t="str">
            <v>US-4400WETech-01/2026</v>
          </cell>
          <cell r="G194" t="str">
            <v>Settled</v>
          </cell>
        </row>
        <row r="195">
          <cell r="F195" t="str">
            <v>US-4400WETech-CR-01/2026</v>
          </cell>
          <cell r="G195" t="str">
            <v>Settled</v>
          </cell>
        </row>
        <row r="196">
          <cell r="F196" t="str">
            <v>US-4400WETech-02/2026</v>
          </cell>
          <cell r="G196" t="str">
            <v>Settled</v>
          </cell>
        </row>
        <row r="197">
          <cell r="F197" t="str">
            <v>US-4400WETech-CR-02/2026</v>
          </cell>
          <cell r="G197" t="str">
            <v>Settled</v>
          </cell>
        </row>
        <row r="198">
          <cell r="F198" t="str">
            <v>SG-6G Digital-11/2024</v>
          </cell>
          <cell r="G198" t="str">
            <v>Settled</v>
          </cell>
        </row>
        <row r="199">
          <cell r="F199" t="str">
            <v>SG-6G Digital-12/2024</v>
          </cell>
          <cell r="G199" t="str">
            <v>Settled</v>
          </cell>
        </row>
        <row r="200">
          <cell r="F200" t="str">
            <v>SG-6G Digital-01/2025</v>
          </cell>
          <cell r="G200" t="str">
            <v>Settled</v>
          </cell>
        </row>
        <row r="201">
          <cell r="F201" t="str">
            <v>SG-6G Digital-02/2025</v>
          </cell>
          <cell r="G201" t="str">
            <v>Settled</v>
          </cell>
        </row>
        <row r="202">
          <cell r="F202" t="str">
            <v>SG-6G Digital-03/2025</v>
          </cell>
          <cell r="G202" t="str">
            <v>Settled</v>
          </cell>
        </row>
        <row r="203">
          <cell r="F203" t="str">
            <v>SG-6G Digital-05/2025</v>
          </cell>
          <cell r="G203" t="str">
            <v>Settled</v>
          </cell>
        </row>
        <row r="204">
          <cell r="F204" t="str">
            <v>SG-6G Digital-06/2025</v>
          </cell>
          <cell r="G204" t="str">
            <v>Settled</v>
          </cell>
        </row>
        <row r="205">
          <cell r="F205" t="str">
            <v>SG-6G Digital-12/2025</v>
          </cell>
          <cell r="G205" t="str">
            <v>Settled</v>
          </cell>
        </row>
        <row r="206">
          <cell r="F206" t="str">
            <v>SG-8x studios-11/2023</v>
          </cell>
          <cell r="G206" t="str">
            <v>Settled</v>
          </cell>
        </row>
        <row r="207">
          <cell r="F207" t="str">
            <v>SG-a1 it-11/2023</v>
          </cell>
          <cell r="G207" t="str">
            <v>Settled</v>
          </cell>
        </row>
        <row r="208">
          <cell r="F208" t="str">
            <v>SG-adecot-11/2023</v>
          </cell>
          <cell r="G208" t="str">
            <v>Settled</v>
          </cell>
        </row>
        <row r="209">
          <cell r="F209" t="str">
            <v>SG -aerapass pte. Ltd-09/2021</v>
          </cell>
          <cell r="G209" t="str">
            <v>Waived Off</v>
          </cell>
        </row>
        <row r="210">
          <cell r="F210" t="str">
            <v>SG -aerapass pte. Ltd-02/2022</v>
          </cell>
          <cell r="G210" t="str">
            <v>Settled</v>
          </cell>
        </row>
        <row r="211">
          <cell r="F211" t="str">
            <v>SG-aerapass pte. Ltd-11/2022</v>
          </cell>
          <cell r="G211" t="str">
            <v>Settled</v>
          </cell>
        </row>
        <row r="212">
          <cell r="F212" t="str">
            <v>SG-aerapass pte. Ltd-12/2022</v>
          </cell>
          <cell r="G212" t="str">
            <v>Settled</v>
          </cell>
        </row>
        <row r="213">
          <cell r="F213" t="str">
            <v>SG-aerapass pte. Ltd-01/2023</v>
          </cell>
          <cell r="G213" t="str">
            <v>Settled</v>
          </cell>
        </row>
        <row r="214">
          <cell r="F214" t="str">
            <v>SG-aerapass-02/2023</v>
          </cell>
          <cell r="G214" t="str">
            <v>Settled</v>
          </cell>
        </row>
        <row r="215">
          <cell r="F215" t="str">
            <v>SG-aerapass-03/2023</v>
          </cell>
          <cell r="G215" t="str">
            <v>Settled</v>
          </cell>
        </row>
        <row r="216">
          <cell r="F216" t="str">
            <v>SG-aerapass-04/2023</v>
          </cell>
          <cell r="G216" t="str">
            <v>Settled</v>
          </cell>
        </row>
        <row r="217">
          <cell r="F217" t="str">
            <v>SG-aerapass-05/2023</v>
          </cell>
          <cell r="G217" t="str">
            <v>Settled</v>
          </cell>
        </row>
        <row r="218">
          <cell r="F218" t="str">
            <v>SG-aerapass-06/2023</v>
          </cell>
          <cell r="G218" t="str">
            <v>Settled</v>
          </cell>
        </row>
        <row r="219">
          <cell r="F219" t="str">
            <v>SG-aerapass-07/2023</v>
          </cell>
          <cell r="G219" t="str">
            <v>Settled</v>
          </cell>
        </row>
        <row r="220">
          <cell r="F220" t="str">
            <v>SG -aerapass-08/2023</v>
          </cell>
          <cell r="G220" t="str">
            <v>Settled</v>
          </cell>
        </row>
        <row r="221">
          <cell r="F221" t="str">
            <v>SG-aerapass-09/2023</v>
          </cell>
          <cell r="G221" t="str">
            <v>Settled</v>
          </cell>
        </row>
        <row r="222">
          <cell r="F222" t="str">
            <v>SG-aerapass-10/2023</v>
          </cell>
          <cell r="G222" t="str">
            <v>Settled</v>
          </cell>
        </row>
        <row r="223">
          <cell r="F223" t="str">
            <v>SG-aerapass-11/2023</v>
          </cell>
          <cell r="G223" t="str">
            <v>Settled</v>
          </cell>
        </row>
        <row r="224">
          <cell r="F224" t="str">
            <v>SG-aerapass-12/2023</v>
          </cell>
          <cell r="G224" t="str">
            <v>Settled</v>
          </cell>
        </row>
        <row r="225">
          <cell r="F225" t="str">
            <v>SG-aerapass-01/2024</v>
          </cell>
          <cell r="G225" t="str">
            <v>Settled</v>
          </cell>
        </row>
        <row r="226">
          <cell r="F226" t="str">
            <v>SG-aerapass-03/2024</v>
          </cell>
          <cell r="G226" t="str">
            <v>Settled</v>
          </cell>
        </row>
        <row r="227">
          <cell r="F227" t="str">
            <v>SG-aerapass-02/2024</v>
          </cell>
          <cell r="G227" t="str">
            <v>Settled</v>
          </cell>
        </row>
        <row r="228">
          <cell r="F228" t="str">
            <v>SG-CN-aerapass-03-2024</v>
          </cell>
          <cell r="G228" t="str">
            <v>Settled</v>
          </cell>
        </row>
        <row r="229">
          <cell r="F229" t="str">
            <v>MY-AKBARMONEY-12/2023</v>
          </cell>
          <cell r="G229" t="str">
            <v>Settled</v>
          </cell>
        </row>
        <row r="230">
          <cell r="F230" t="str">
            <v>MY-AKBARMONEY-01/2024</v>
          </cell>
          <cell r="G230" t="str">
            <v>Settled</v>
          </cell>
        </row>
        <row r="231">
          <cell r="F231" t="str">
            <v>MY-AKBARMONEY-02/2024</v>
          </cell>
          <cell r="G231" t="str">
            <v>Settled</v>
          </cell>
        </row>
        <row r="232">
          <cell r="F232" t="str">
            <v>MY-AKBARMONEY-03/2024</v>
          </cell>
          <cell r="G232" t="str">
            <v>Settled</v>
          </cell>
        </row>
        <row r="233">
          <cell r="F233" t="str">
            <v>MY-AKBARMONEY-04/2024</v>
          </cell>
          <cell r="G233" t="str">
            <v>Settled</v>
          </cell>
        </row>
        <row r="234">
          <cell r="F234" t="str">
            <v>MY-AKBARMONEY-05/2024</v>
          </cell>
          <cell r="G234" t="str">
            <v>Settled</v>
          </cell>
        </row>
        <row r="235">
          <cell r="F235" t="str">
            <v>MY-AKBARMONEY-06/2024</v>
          </cell>
          <cell r="G235" t="str">
            <v>Settled</v>
          </cell>
        </row>
        <row r="236">
          <cell r="F236" t="str">
            <v>MY-AKBARMONEY-07/2024</v>
          </cell>
          <cell r="G236" t="str">
            <v>Settled</v>
          </cell>
        </row>
        <row r="237">
          <cell r="F237" t="str">
            <v>MY-AKBARMONEY-09/2024</v>
          </cell>
          <cell r="G237" t="str">
            <v>Settled</v>
          </cell>
        </row>
        <row r="238">
          <cell r="F238" t="str">
            <v>MY-AKBARMONEY-10/2024</v>
          </cell>
          <cell r="G238" t="str">
            <v>Settled</v>
          </cell>
        </row>
        <row r="239">
          <cell r="F239" t="str">
            <v>MY-AKBARMONEY-11/2024</v>
          </cell>
          <cell r="G239" t="str">
            <v>Settled</v>
          </cell>
        </row>
        <row r="240">
          <cell r="F240" t="str">
            <v>MY-CN-AKBARMONEY-07-2025</v>
          </cell>
          <cell r="G240" t="str">
            <v>Settled</v>
          </cell>
        </row>
        <row r="241">
          <cell r="F241" t="str">
            <v>SG -Al Dhahery-08/2023</v>
          </cell>
          <cell r="G241" t="str">
            <v>Settled</v>
          </cell>
        </row>
        <row r="242">
          <cell r="F242" t="str">
            <v>SG-Al Dhahery-11/2023</v>
          </cell>
          <cell r="G242" t="str">
            <v>Settled</v>
          </cell>
        </row>
        <row r="243">
          <cell r="F243" t="str">
            <v>SG-Al Dhahery-12/2023</v>
          </cell>
          <cell r="G243" t="str">
            <v>Settled</v>
          </cell>
        </row>
        <row r="244">
          <cell r="F244" t="str">
            <v>SG-Al Dhahery-01/2024</v>
          </cell>
          <cell r="G244" t="str">
            <v>Settled</v>
          </cell>
        </row>
        <row r="245">
          <cell r="F245" t="str">
            <v>SG-Al Dhahery-02/2024</v>
          </cell>
          <cell r="G245" t="str">
            <v>Settled</v>
          </cell>
        </row>
        <row r="246">
          <cell r="F246" t="str">
            <v>SG-Al Dhahery-03/2024</v>
          </cell>
          <cell r="G246" t="str">
            <v>Net Off</v>
          </cell>
        </row>
        <row r="247">
          <cell r="F247" t="str">
            <v>SG-Al Dhahery-04/2024</v>
          </cell>
          <cell r="G247" t="str">
            <v>Net Off</v>
          </cell>
        </row>
        <row r="248">
          <cell r="F248" t="str">
            <v>SG-Al Dhahery-05/2024</v>
          </cell>
          <cell r="G248" t="str">
            <v>Net Off</v>
          </cell>
        </row>
        <row r="249">
          <cell r="F249" t="str">
            <v>SG-Al Dhahery-06/2024</v>
          </cell>
          <cell r="G249" t="str">
            <v>Net Off</v>
          </cell>
        </row>
        <row r="250">
          <cell r="F250" t="str">
            <v>SG-Al Dhahery-07/2024</v>
          </cell>
          <cell r="G250" t="str">
            <v>Net Off</v>
          </cell>
        </row>
        <row r="251">
          <cell r="F251" t="str">
            <v>SG-CN-Al Dhahery-03-2025</v>
          </cell>
          <cell r="G251" t="str">
            <v>Net Off</v>
          </cell>
        </row>
        <row r="252">
          <cell r="F252" t="str">
            <v>SG-al fardan exchange llc-11/2022</v>
          </cell>
          <cell r="G252" t="str">
            <v>Settled</v>
          </cell>
        </row>
        <row r="253">
          <cell r="F253" t="str">
            <v>SG-al fardan exchange llc-CR-11/2022</v>
          </cell>
          <cell r="G253" t="str">
            <v>Settled</v>
          </cell>
        </row>
        <row r="254">
          <cell r="F254" t="str">
            <v>SG-al fardan exchange llc-12/2022</v>
          </cell>
          <cell r="G254" t="str">
            <v>Settled</v>
          </cell>
        </row>
        <row r="255">
          <cell r="F255" t="str">
            <v>SG-al fardan exchange llc-CR-12/2022</v>
          </cell>
          <cell r="G255" t="str">
            <v>Settled</v>
          </cell>
        </row>
        <row r="256">
          <cell r="F256" t="str">
            <v>SG-al fardan exchange llc-01/2023</v>
          </cell>
          <cell r="G256" t="str">
            <v>Settled</v>
          </cell>
        </row>
        <row r="257">
          <cell r="F257" t="str">
            <v>SG-al fardan exchange llc-CR-01/2023</v>
          </cell>
          <cell r="G257" t="str">
            <v>Settled</v>
          </cell>
        </row>
        <row r="258">
          <cell r="F258" t="str">
            <v>SG-alfardan-02/2023</v>
          </cell>
          <cell r="G258" t="str">
            <v>Settled</v>
          </cell>
        </row>
        <row r="259">
          <cell r="F259" t="str">
            <v>SG-alfardan-CR-02/2023</v>
          </cell>
          <cell r="G259" t="str">
            <v>Settled</v>
          </cell>
        </row>
        <row r="260">
          <cell r="F260" t="str">
            <v>SG-alfardan-03/2023</v>
          </cell>
          <cell r="G260" t="str">
            <v>Settled</v>
          </cell>
        </row>
        <row r="261">
          <cell r="F261" t="str">
            <v>SG-alfardan-CR-03/2023</v>
          </cell>
          <cell r="G261" t="str">
            <v>Settled</v>
          </cell>
        </row>
        <row r="262">
          <cell r="F262" t="str">
            <v>SG-alfardan-04/2023</v>
          </cell>
          <cell r="G262" t="str">
            <v>Settled</v>
          </cell>
        </row>
        <row r="263">
          <cell r="F263" t="str">
            <v>SG-alfardan-CR-04/2023</v>
          </cell>
          <cell r="G263" t="str">
            <v>Settled</v>
          </cell>
        </row>
        <row r="264">
          <cell r="F264" t="str">
            <v>SG-alfardan-05/2023</v>
          </cell>
          <cell r="G264" t="str">
            <v>Settled</v>
          </cell>
        </row>
        <row r="265">
          <cell r="F265" t="str">
            <v>SG-alfardan-CR-05/2023</v>
          </cell>
          <cell r="G265" t="str">
            <v>Settled</v>
          </cell>
        </row>
        <row r="266">
          <cell r="F266" t="str">
            <v>SG-alfardan-06/2023</v>
          </cell>
          <cell r="G266" t="str">
            <v>Settled</v>
          </cell>
        </row>
        <row r="267">
          <cell r="F267" t="str">
            <v>SG-alfardan-07/2023</v>
          </cell>
          <cell r="G267" t="str">
            <v>Settled</v>
          </cell>
        </row>
        <row r="268">
          <cell r="F268" t="str">
            <v>SG -alfardan-08/2023</v>
          </cell>
          <cell r="G268" t="str">
            <v>Settled</v>
          </cell>
        </row>
        <row r="269">
          <cell r="F269" t="str">
            <v>SG-alfardan-09/2023</v>
          </cell>
          <cell r="G269" t="str">
            <v>Settled</v>
          </cell>
        </row>
        <row r="270">
          <cell r="F270" t="str">
            <v>SG-alfardan-10/2023</v>
          </cell>
          <cell r="G270" t="str">
            <v>Settled</v>
          </cell>
        </row>
        <row r="271">
          <cell r="F271" t="str">
            <v>SG-alfardan-11/2023</v>
          </cell>
          <cell r="G271" t="str">
            <v>Settled</v>
          </cell>
        </row>
        <row r="272">
          <cell r="F272" t="str">
            <v>SG-alfardan-12/2023</v>
          </cell>
          <cell r="G272" t="str">
            <v>Settled</v>
          </cell>
        </row>
        <row r="273">
          <cell r="F273" t="str">
            <v>SG-alfardan-01/2024</v>
          </cell>
          <cell r="G273" t="str">
            <v>Settled</v>
          </cell>
        </row>
        <row r="274">
          <cell r="F274" t="str">
            <v>SG-alfardan-02/2024</v>
          </cell>
          <cell r="G274" t="str">
            <v>Settled</v>
          </cell>
        </row>
        <row r="275">
          <cell r="F275" t="str">
            <v>SG-alfardan-03/2024</v>
          </cell>
          <cell r="G275" t="str">
            <v>Settled</v>
          </cell>
        </row>
        <row r="276">
          <cell r="F276" t="str">
            <v>SG-alfardan-04/2024</v>
          </cell>
          <cell r="G276" t="str">
            <v>Settled</v>
          </cell>
        </row>
        <row r="277">
          <cell r="F277" t="str">
            <v>SG-alfardan-05/2024</v>
          </cell>
          <cell r="G277" t="str">
            <v>Settled</v>
          </cell>
        </row>
        <row r="278">
          <cell r="F278" t="str">
            <v>SG-alfardan-06/2024</v>
          </cell>
          <cell r="G278" t="str">
            <v>Settled</v>
          </cell>
        </row>
        <row r="279">
          <cell r="F279" t="str">
            <v>SG-alfardan-07/2024</v>
          </cell>
          <cell r="G279" t="str">
            <v>Settled</v>
          </cell>
        </row>
        <row r="280">
          <cell r="F280" t="str">
            <v>SG-alfardan-08/2024</v>
          </cell>
          <cell r="G280" t="str">
            <v>Settled</v>
          </cell>
        </row>
        <row r="281">
          <cell r="F281" t="str">
            <v>SG-alfardan-09/2024</v>
          </cell>
          <cell r="G281" t="str">
            <v>Settled</v>
          </cell>
        </row>
        <row r="282">
          <cell r="F282" t="str">
            <v>SG-alfardan-10/2024</v>
          </cell>
          <cell r="G282" t="str">
            <v>Settled</v>
          </cell>
        </row>
        <row r="283">
          <cell r="F283" t="str">
            <v>SG-alfardan-11/2024</v>
          </cell>
          <cell r="G283" t="str">
            <v>Settled</v>
          </cell>
        </row>
        <row r="284">
          <cell r="F284" t="str">
            <v>SG-alfardan-12/2024</v>
          </cell>
          <cell r="G284" t="str">
            <v>Settled</v>
          </cell>
        </row>
        <row r="285">
          <cell r="F285" t="str">
            <v>SG-alfardan-01/2025</v>
          </cell>
          <cell r="G285" t="str">
            <v>Settled</v>
          </cell>
        </row>
        <row r="286">
          <cell r="F286" t="str">
            <v>SG-alfardan-02/2025</v>
          </cell>
          <cell r="G286" t="str">
            <v>Settled</v>
          </cell>
        </row>
        <row r="287">
          <cell r="F287" t="str">
            <v>SG-alfardan-03/2025</v>
          </cell>
          <cell r="G287" t="str">
            <v>Settled</v>
          </cell>
        </row>
        <row r="288">
          <cell r="F288" t="str">
            <v>SG-alfardan-04/2025</v>
          </cell>
          <cell r="G288" t="str">
            <v>Settled</v>
          </cell>
        </row>
        <row r="289">
          <cell r="F289" t="str">
            <v>SG-alfardan-05/2025</v>
          </cell>
          <cell r="G289" t="str">
            <v>Settled</v>
          </cell>
        </row>
        <row r="290">
          <cell r="F290" t="str">
            <v>SG-alfardan-06/2025</v>
          </cell>
          <cell r="G290" t="str">
            <v>Settled</v>
          </cell>
        </row>
        <row r="291">
          <cell r="F291" t="str">
            <v>SG-alfardan-07/2025</v>
          </cell>
          <cell r="G291" t="str">
            <v>Settled</v>
          </cell>
        </row>
        <row r="292">
          <cell r="F292" t="str">
            <v>SG-alfardan-08/2025</v>
          </cell>
          <cell r="G292" t="str">
            <v>Settled</v>
          </cell>
        </row>
        <row r="293">
          <cell r="F293" t="str">
            <v>SG-alfardan-09/2025</v>
          </cell>
          <cell r="G293" t="str">
            <v>Settled</v>
          </cell>
        </row>
        <row r="294">
          <cell r="F294" t="str">
            <v>SG-alfardan-10/2025</v>
          </cell>
          <cell r="G294" t="str">
            <v>Settled</v>
          </cell>
        </row>
        <row r="295">
          <cell r="F295" t="str">
            <v>SG-alfardan-11/2025</v>
          </cell>
          <cell r="G295" t="str">
            <v>Settled</v>
          </cell>
        </row>
        <row r="296">
          <cell r="F296" t="str">
            <v>SG-alfardan-12/2025</v>
          </cell>
          <cell r="G296" t="str">
            <v>Settled</v>
          </cell>
        </row>
        <row r="297">
          <cell r="F297" t="str">
            <v>SG-alfardan-01/2026</v>
          </cell>
          <cell r="G297" t="str">
            <v>Settled</v>
          </cell>
        </row>
        <row r="298">
          <cell r="F298" t="str">
            <v>SG-alfardan-02/2026</v>
          </cell>
          <cell r="G298" t="str">
            <v>Settled</v>
          </cell>
        </row>
        <row r="299">
          <cell r="F299" t="str">
            <v>SG-al mulla international exchange company,k.s.c.c.-11/2022</v>
          </cell>
          <cell r="G299" t="str">
            <v>Settled</v>
          </cell>
        </row>
        <row r="300">
          <cell r="F300" t="str">
            <v>SG-al mulla international exchange company,k.s.c.c.-12/2022</v>
          </cell>
          <cell r="G300" t="str">
            <v>Settled</v>
          </cell>
        </row>
        <row r="301">
          <cell r="F301" t="str">
            <v>SG-al mulla international exchange company,k.s.c.c.-01/2023</v>
          </cell>
          <cell r="G301" t="str">
            <v>Settled</v>
          </cell>
        </row>
        <row r="302">
          <cell r="F302" t="str">
            <v>SG-al mulla-02/2023</v>
          </cell>
          <cell r="G302" t="str">
            <v>Settled</v>
          </cell>
        </row>
        <row r="303">
          <cell r="F303" t="str">
            <v>SG-al mulla-03/2023</v>
          </cell>
          <cell r="G303" t="str">
            <v>Settled</v>
          </cell>
        </row>
        <row r="304">
          <cell r="F304" t="str">
            <v>SG-al mulla-04/2023</v>
          </cell>
          <cell r="G304" t="str">
            <v>Settled</v>
          </cell>
        </row>
        <row r="305">
          <cell r="F305" t="str">
            <v>SG-al mulla-05/2023</v>
          </cell>
          <cell r="G305" t="str">
            <v>Settled</v>
          </cell>
        </row>
        <row r="306">
          <cell r="F306" t="str">
            <v>SG-al mulla-06/2023</v>
          </cell>
          <cell r="G306" t="str">
            <v>Settled</v>
          </cell>
        </row>
        <row r="307">
          <cell r="F307" t="str">
            <v>SG-al mulla-07/2023</v>
          </cell>
          <cell r="G307" t="str">
            <v>Settled</v>
          </cell>
        </row>
        <row r="308">
          <cell r="F308" t="str">
            <v>SG -al mulla-08/2023</v>
          </cell>
          <cell r="G308" t="str">
            <v>Settled</v>
          </cell>
        </row>
        <row r="309">
          <cell r="F309" t="str">
            <v>SG-al mulla-09/2023</v>
          </cell>
          <cell r="G309" t="str">
            <v>Settled</v>
          </cell>
        </row>
        <row r="310">
          <cell r="F310" t="str">
            <v>SG-al mulla-10/2023</v>
          </cell>
          <cell r="G310" t="str">
            <v>Settled</v>
          </cell>
        </row>
        <row r="311">
          <cell r="F311" t="str">
            <v>SG-al mulla-11/2023</v>
          </cell>
          <cell r="G311" t="str">
            <v>Settled</v>
          </cell>
        </row>
        <row r="312">
          <cell r="F312" t="str">
            <v>SG-al mulla-12/2023</v>
          </cell>
          <cell r="G312" t="str">
            <v>Settled</v>
          </cell>
        </row>
        <row r="313">
          <cell r="F313" t="str">
            <v>SG-al mulla-01/2024</v>
          </cell>
          <cell r="G313" t="str">
            <v>Settled</v>
          </cell>
        </row>
        <row r="314">
          <cell r="F314" t="str">
            <v>SG-al mulla-02/2024</v>
          </cell>
          <cell r="G314" t="str">
            <v>Settled</v>
          </cell>
        </row>
        <row r="315">
          <cell r="F315" t="str">
            <v>SG-al mulla-03/2024</v>
          </cell>
          <cell r="G315" t="str">
            <v>Settled</v>
          </cell>
        </row>
        <row r="316">
          <cell r="F316" t="str">
            <v>SG-al mulla-04/2024</v>
          </cell>
          <cell r="G316" t="str">
            <v>Settled</v>
          </cell>
        </row>
        <row r="317">
          <cell r="F317" t="str">
            <v>SG-al mulla-05/2024</v>
          </cell>
          <cell r="G317" t="str">
            <v>Settled</v>
          </cell>
        </row>
        <row r="318">
          <cell r="F318" t="str">
            <v>SG-al mulla-06/2024</v>
          </cell>
          <cell r="G318" t="str">
            <v>Settled</v>
          </cell>
        </row>
        <row r="319">
          <cell r="F319" t="str">
            <v>SG-al mulla-07/2024</v>
          </cell>
          <cell r="G319" t="str">
            <v>Settled</v>
          </cell>
        </row>
        <row r="320">
          <cell r="F320" t="str">
            <v>SG-al mulla-08/2024</v>
          </cell>
          <cell r="G320" t="str">
            <v>Settled</v>
          </cell>
        </row>
        <row r="321">
          <cell r="F321" t="str">
            <v>SG-CN-al mulla-08-2024</v>
          </cell>
          <cell r="G321" t="str">
            <v>Settled</v>
          </cell>
        </row>
        <row r="322">
          <cell r="F322" t="str">
            <v>SG-CN-al mulla-09-2024</v>
          </cell>
          <cell r="G322" t="str">
            <v>Settled</v>
          </cell>
        </row>
        <row r="323">
          <cell r="F323" t="str">
            <v>SG-al mulla-09/2024</v>
          </cell>
          <cell r="G323" t="str">
            <v>Settled</v>
          </cell>
        </row>
        <row r="324">
          <cell r="F324" t="str">
            <v>SG-al mulla-10/2024</v>
          </cell>
          <cell r="G324" t="str">
            <v>Settled</v>
          </cell>
        </row>
        <row r="325">
          <cell r="F325" t="str">
            <v>SG-al mulla-11/2024</v>
          </cell>
          <cell r="G325" t="str">
            <v>Settled</v>
          </cell>
        </row>
        <row r="326">
          <cell r="F326" t="str">
            <v>SG-al mulla-12/2024</v>
          </cell>
          <cell r="G326" t="str">
            <v>Settled</v>
          </cell>
        </row>
        <row r="327">
          <cell r="F327" t="str">
            <v>SG-al mulla-01/2025</v>
          </cell>
          <cell r="G327" t="str">
            <v>Settled</v>
          </cell>
        </row>
        <row r="328">
          <cell r="F328" t="str">
            <v>SG-al mulla-02/2025</v>
          </cell>
          <cell r="G328" t="str">
            <v>Settled</v>
          </cell>
        </row>
        <row r="329">
          <cell r="F329" t="str">
            <v>SG-al mulla-03/2025</v>
          </cell>
          <cell r="G329" t="str">
            <v>Settled</v>
          </cell>
        </row>
        <row r="330">
          <cell r="F330" t="str">
            <v>SG-al mulla-04/2025</v>
          </cell>
          <cell r="G330" t="str">
            <v>Settled</v>
          </cell>
        </row>
        <row r="331">
          <cell r="F331" t="str">
            <v>SG-al mulla-05/2025</v>
          </cell>
          <cell r="G331" t="str">
            <v>Settled</v>
          </cell>
        </row>
        <row r="332">
          <cell r="F332" t="str">
            <v>SG-al mulla-06/2025</v>
          </cell>
          <cell r="G332" t="str">
            <v>Settled</v>
          </cell>
        </row>
        <row r="333">
          <cell r="F333" t="str">
            <v>SG-al mulla-07/2025</v>
          </cell>
          <cell r="G333" t="str">
            <v>Settled</v>
          </cell>
        </row>
        <row r="334">
          <cell r="F334" t="str">
            <v>SG-al mulla-08/2025</v>
          </cell>
          <cell r="G334" t="str">
            <v>Settled</v>
          </cell>
        </row>
        <row r="335">
          <cell r="F335" t="str">
            <v>SG-al mulla-09/2025</v>
          </cell>
          <cell r="G335" t="str">
            <v>Settled</v>
          </cell>
        </row>
        <row r="336">
          <cell r="F336" t="str">
            <v>SG-al mulla-10/2025</v>
          </cell>
          <cell r="G336" t="str">
            <v>Settled</v>
          </cell>
        </row>
        <row r="337">
          <cell r="F337" t="str">
            <v>SG-al mulla-11/2025</v>
          </cell>
          <cell r="G337" t="str">
            <v>Settled</v>
          </cell>
        </row>
        <row r="338">
          <cell r="F338" t="str">
            <v>SG-al mulla-12/2025</v>
          </cell>
          <cell r="G338" t="str">
            <v>Settled</v>
          </cell>
        </row>
        <row r="339">
          <cell r="F339" t="str">
            <v>SG-al mulla-01/2026</v>
          </cell>
          <cell r="G339" t="str">
            <v>Settled</v>
          </cell>
        </row>
        <row r="340">
          <cell r="F340" t="str">
            <v>SG-al mulla-02/2026</v>
          </cell>
          <cell r="G340" t="str">
            <v>Settled</v>
          </cell>
        </row>
        <row r="341">
          <cell r="F341" t="str">
            <v>SG-Al Rostamani International Exchange LLC-03/2023</v>
          </cell>
          <cell r="G341" t="str">
            <v>Settled</v>
          </cell>
        </row>
        <row r="342">
          <cell r="F342" t="str">
            <v>SG-Al RostamaniIntExc-04/2023</v>
          </cell>
          <cell r="G342" t="str">
            <v>Settled</v>
          </cell>
        </row>
        <row r="343">
          <cell r="F343" t="str">
            <v>SG-Al Rostamani International Exchange LLC-05/2023</v>
          </cell>
          <cell r="G343" t="str">
            <v>Settled</v>
          </cell>
        </row>
        <row r="344">
          <cell r="F344" t="str">
            <v>SG-Al Rostamani International Exchange LLC-06/2023</v>
          </cell>
          <cell r="G344" t="str">
            <v>Settled</v>
          </cell>
        </row>
        <row r="345">
          <cell r="F345" t="str">
            <v>SG-Al Rostamani International Exchange LLC-07/2023</v>
          </cell>
          <cell r="G345" t="str">
            <v>Settled</v>
          </cell>
        </row>
        <row r="346">
          <cell r="F346" t="str">
            <v>SG -Al Rostamani International Exchange LLC-08/2023</v>
          </cell>
          <cell r="G346" t="str">
            <v>Settled</v>
          </cell>
        </row>
        <row r="347">
          <cell r="F347" t="str">
            <v>SG-Al Rostamani-09/2023</v>
          </cell>
          <cell r="G347" t="str">
            <v>Settled</v>
          </cell>
        </row>
        <row r="348">
          <cell r="F348" t="str">
            <v>SG-Al Rostamani-10/2023</v>
          </cell>
          <cell r="G348" t="str">
            <v>Settled</v>
          </cell>
        </row>
        <row r="349">
          <cell r="F349" t="str">
            <v>SG-Al Rostamani-11/2023</v>
          </cell>
          <cell r="G349" t="str">
            <v>Settled</v>
          </cell>
        </row>
        <row r="350">
          <cell r="F350" t="str">
            <v>SG-Al Rostamani-12/2023</v>
          </cell>
          <cell r="G350" t="str">
            <v>Settled</v>
          </cell>
        </row>
        <row r="351">
          <cell r="F351" t="str">
            <v>SG-Al Rostamani-01/2024</v>
          </cell>
          <cell r="G351" t="str">
            <v>Settled</v>
          </cell>
        </row>
        <row r="352">
          <cell r="F352" t="str">
            <v>SG-Al Rostamani-02/2024</v>
          </cell>
          <cell r="G352" t="str">
            <v>Settled</v>
          </cell>
        </row>
        <row r="353">
          <cell r="F353" t="str">
            <v>SG-Al Rostamani-03/2024</v>
          </cell>
          <cell r="G353" t="str">
            <v>Settled</v>
          </cell>
        </row>
        <row r="354">
          <cell r="F354" t="str">
            <v>SG-Al Rostamani-04/2024</v>
          </cell>
          <cell r="G354" t="str">
            <v>Settled</v>
          </cell>
        </row>
        <row r="355">
          <cell r="F355" t="str">
            <v>SG-Al Rostamani-05/2024</v>
          </cell>
          <cell r="G355" t="str">
            <v>Settled</v>
          </cell>
        </row>
        <row r="356">
          <cell r="F356" t="str">
            <v>SG-Al Rostamani-06/2024</v>
          </cell>
          <cell r="G356" t="str">
            <v>Settled</v>
          </cell>
        </row>
        <row r="357">
          <cell r="F357" t="str">
            <v>SG-Al Rostamani-07/2024</v>
          </cell>
          <cell r="G357" t="str">
            <v>Settled</v>
          </cell>
        </row>
        <row r="358">
          <cell r="F358" t="str">
            <v>SG-Al Rostamani-08/2024</v>
          </cell>
          <cell r="G358" t="str">
            <v>Settled</v>
          </cell>
        </row>
        <row r="359">
          <cell r="F359" t="str">
            <v>SG-Al Rostamani-09/2024</v>
          </cell>
          <cell r="G359" t="str">
            <v>Settled</v>
          </cell>
        </row>
        <row r="360">
          <cell r="F360" t="str">
            <v>SG-Al Rostamani-10/2024</v>
          </cell>
          <cell r="G360" t="str">
            <v>Settled</v>
          </cell>
        </row>
        <row r="361">
          <cell r="F361" t="str">
            <v>SG-Al Rostamani-11/2024</v>
          </cell>
          <cell r="G361" t="str">
            <v>Settled</v>
          </cell>
        </row>
        <row r="362">
          <cell r="F362" t="str">
            <v>SG-Al Rostamani-12/2024</v>
          </cell>
          <cell r="G362" t="str">
            <v>Settled</v>
          </cell>
        </row>
        <row r="363">
          <cell r="F363" t="str">
            <v>SG-Al Rostamani-01/2025</v>
          </cell>
          <cell r="G363" t="str">
            <v>Settled</v>
          </cell>
        </row>
        <row r="364">
          <cell r="F364" t="str">
            <v>SG-Al Rostamani-02/2025</v>
          </cell>
          <cell r="G364" t="str">
            <v>Settled</v>
          </cell>
        </row>
        <row r="365">
          <cell r="F365" t="str">
            <v>SG-Al Rostamani-03/2025</v>
          </cell>
          <cell r="G365" t="str">
            <v>Settled</v>
          </cell>
        </row>
        <row r="366">
          <cell r="F366" t="str">
            <v>SG-Al Rostamani-04/2025</v>
          </cell>
          <cell r="G366" t="str">
            <v>Settled</v>
          </cell>
        </row>
        <row r="367">
          <cell r="F367" t="str">
            <v>SG-Al Rostamani-05/2025</v>
          </cell>
          <cell r="G367" t="str">
            <v>Settled</v>
          </cell>
        </row>
        <row r="368">
          <cell r="F368" t="str">
            <v>SG-Al Rostamani-06/2025</v>
          </cell>
          <cell r="G368" t="str">
            <v>Settled</v>
          </cell>
        </row>
        <row r="369">
          <cell r="F369" t="str">
            <v>SG-Al Rostamani-07/2025</v>
          </cell>
          <cell r="G369" t="str">
            <v>Settled</v>
          </cell>
        </row>
        <row r="370">
          <cell r="F370" t="str">
            <v>SG-Al Rostamani-08/2025</v>
          </cell>
          <cell r="G370" t="str">
            <v>Settled</v>
          </cell>
        </row>
        <row r="371">
          <cell r="F371" t="str">
            <v>SG-Al Rostamani-09/2025</v>
          </cell>
          <cell r="G371" t="str">
            <v>Settled</v>
          </cell>
        </row>
        <row r="372">
          <cell r="F372" t="str">
            <v>SG-Al Rostamani-10/2025</v>
          </cell>
          <cell r="G372" t="str">
            <v>Settled</v>
          </cell>
        </row>
        <row r="373">
          <cell r="F373" t="str">
            <v>SG-Al Rostamani-11/2025</v>
          </cell>
          <cell r="G373" t="str">
            <v>Settled</v>
          </cell>
        </row>
        <row r="374">
          <cell r="F374" t="str">
            <v>SG-Al Rostamani-12/2025</v>
          </cell>
          <cell r="G374" t="str">
            <v>Settled</v>
          </cell>
        </row>
        <row r="375">
          <cell r="F375" t="str">
            <v>SG-Al Rostamani-01/2026</v>
          </cell>
          <cell r="G375" t="str">
            <v>Settled</v>
          </cell>
        </row>
        <row r="376">
          <cell r="F376" t="str">
            <v>SG-Al Rostamani-02/2026</v>
          </cell>
          <cell r="G376" t="str">
            <v>Settled</v>
          </cell>
        </row>
        <row r="377">
          <cell r="F377" t="str">
            <v>SG-AD-Alawnehex-08-2025</v>
          </cell>
          <cell r="G377" t="str">
            <v>Settled</v>
          </cell>
        </row>
        <row r="378">
          <cell r="F378" t="str">
            <v>SG-CN-Alawnehex-08-2025</v>
          </cell>
          <cell r="G378" t="str">
            <v>Settled</v>
          </cell>
        </row>
        <row r="379">
          <cell r="F379" t="str">
            <v>SG-Alawneh exchange llc-12/2022</v>
          </cell>
          <cell r="G379" t="str">
            <v>Settled</v>
          </cell>
        </row>
        <row r="380">
          <cell r="F380" t="str">
            <v>SG-Alawneh exchange llc-01/2023</v>
          </cell>
          <cell r="G380" t="str">
            <v>Settled</v>
          </cell>
        </row>
        <row r="381">
          <cell r="F381" t="str">
            <v>SG-Alawnehex-02/2023</v>
          </cell>
          <cell r="G381" t="str">
            <v>Settled</v>
          </cell>
        </row>
        <row r="382">
          <cell r="F382" t="str">
            <v>SG-Alawnehex-03/2023</v>
          </cell>
          <cell r="G382" t="str">
            <v>Settled</v>
          </cell>
        </row>
        <row r="383">
          <cell r="F383" t="str">
            <v>SG-Alawnehex-04/2023</v>
          </cell>
          <cell r="G383" t="str">
            <v>Settled</v>
          </cell>
        </row>
        <row r="384">
          <cell r="F384" t="str">
            <v>SG-Alawnehex-05/2023</v>
          </cell>
          <cell r="G384" t="str">
            <v>Settled</v>
          </cell>
        </row>
        <row r="385">
          <cell r="F385" t="str">
            <v>SG-Alawnehex-06/2023</v>
          </cell>
          <cell r="G385" t="str">
            <v>Settled</v>
          </cell>
        </row>
        <row r="386">
          <cell r="F386" t="str">
            <v>SG-Alawnehex-07/2023</v>
          </cell>
          <cell r="G386" t="str">
            <v>Settled</v>
          </cell>
        </row>
        <row r="387">
          <cell r="F387" t="str">
            <v>SG -Alawnehex-CR-08/2023</v>
          </cell>
          <cell r="G387" t="str">
            <v>Settled</v>
          </cell>
        </row>
        <row r="388">
          <cell r="F388" t="str">
            <v>SG -Alawnehex-08/2023</v>
          </cell>
          <cell r="G388" t="str">
            <v>Settled</v>
          </cell>
        </row>
        <row r="389">
          <cell r="F389" t="str">
            <v>SG-Alawnehex-09/2023</v>
          </cell>
          <cell r="G389" t="str">
            <v>Settled</v>
          </cell>
        </row>
        <row r="390">
          <cell r="F390" t="str">
            <v>SG-Alawnehex-10/2023</v>
          </cell>
          <cell r="G390" t="str">
            <v>Settled</v>
          </cell>
        </row>
        <row r="391">
          <cell r="F391" t="str">
            <v>SG-Alawnehex-11/2023</v>
          </cell>
          <cell r="G391" t="str">
            <v>Settled</v>
          </cell>
        </row>
        <row r="392">
          <cell r="F392" t="str">
            <v>SG-Alawnehex-12/2023</v>
          </cell>
          <cell r="G392" t="str">
            <v>Settled</v>
          </cell>
        </row>
        <row r="393">
          <cell r="F393" t="str">
            <v>SG-Alawnehex-01/2024</v>
          </cell>
          <cell r="G393" t="str">
            <v>Settled</v>
          </cell>
        </row>
        <row r="394">
          <cell r="F394" t="str">
            <v>SG-Alawnehex-02/2024</v>
          </cell>
          <cell r="G394" t="str">
            <v>Settled</v>
          </cell>
        </row>
        <row r="395">
          <cell r="F395" t="str">
            <v>SG-Alawnehex-03/2024</v>
          </cell>
          <cell r="G395" t="str">
            <v>Settled</v>
          </cell>
        </row>
        <row r="396">
          <cell r="F396" t="str">
            <v>SG-Alawnehex-04/2024</v>
          </cell>
          <cell r="G396" t="str">
            <v>Settled</v>
          </cell>
        </row>
        <row r="397">
          <cell r="F397" t="str">
            <v>SG-Alawnehex-05/2024</v>
          </cell>
          <cell r="G397" t="str">
            <v>Settled</v>
          </cell>
        </row>
        <row r="398">
          <cell r="F398" t="str">
            <v>SG-Alawnehex-06/2024</v>
          </cell>
          <cell r="G398" t="str">
            <v>Settled</v>
          </cell>
        </row>
        <row r="399">
          <cell r="F399" t="str">
            <v>SG-Alawnehex-07/2024</v>
          </cell>
          <cell r="G399" t="str">
            <v>Settled</v>
          </cell>
        </row>
        <row r="400">
          <cell r="F400" t="str">
            <v>SG-Alawnehex-08/2024</v>
          </cell>
          <cell r="G400" t="str">
            <v>Settled</v>
          </cell>
        </row>
        <row r="401">
          <cell r="F401" t="str">
            <v>SG-Alawnehex-09/2024</v>
          </cell>
          <cell r="G401" t="str">
            <v>Settled</v>
          </cell>
        </row>
        <row r="402">
          <cell r="F402" t="str">
            <v>SG-Alawnehex-10/2024</v>
          </cell>
          <cell r="G402" t="str">
            <v>Settled</v>
          </cell>
        </row>
        <row r="403">
          <cell r="F403" t="str">
            <v>SG-Alawnehex-11/2024</v>
          </cell>
          <cell r="G403" t="str">
            <v>Settled</v>
          </cell>
        </row>
        <row r="404">
          <cell r="F404" t="str">
            <v>SG-Alawnehex-12/2024</v>
          </cell>
          <cell r="G404" t="str">
            <v>Settled</v>
          </cell>
        </row>
        <row r="405">
          <cell r="F405" t="str">
            <v>SG-Alawnehex-01/2025</v>
          </cell>
          <cell r="G405" t="str">
            <v>Settled</v>
          </cell>
        </row>
        <row r="406">
          <cell r="F406" t="str">
            <v>SG-Alawnehex-02/2025</v>
          </cell>
          <cell r="G406" t="str">
            <v>Settled</v>
          </cell>
        </row>
        <row r="407">
          <cell r="F407" t="str">
            <v>SG-Alawnehex-03/2025</v>
          </cell>
          <cell r="G407" t="str">
            <v>Settled</v>
          </cell>
        </row>
        <row r="408">
          <cell r="F408" t="str">
            <v>SG-Alawnehex-04/2025</v>
          </cell>
          <cell r="G408" t="str">
            <v>Settled</v>
          </cell>
        </row>
        <row r="409">
          <cell r="F409" t="str">
            <v>SG-Alawnehex-05/2025</v>
          </cell>
          <cell r="G409" t="str">
            <v>Settled</v>
          </cell>
        </row>
        <row r="410">
          <cell r="F410" t="str">
            <v>SG-Alawnehex-06/2025</v>
          </cell>
          <cell r="G410" t="str">
            <v>Settled</v>
          </cell>
        </row>
        <row r="411">
          <cell r="F411" t="str">
            <v>SG-Alawnehex-07/2025</v>
          </cell>
          <cell r="G411" t="str">
            <v>Settled</v>
          </cell>
        </row>
        <row r="412">
          <cell r="F412" t="str">
            <v>SG-Alawnehex-08/2025</v>
          </cell>
          <cell r="G412" t="str">
            <v>Settled</v>
          </cell>
        </row>
        <row r="413">
          <cell r="F413" t="str">
            <v>SG-Alawnehex-09/2025</v>
          </cell>
          <cell r="G413" t="str">
            <v>Settled</v>
          </cell>
        </row>
        <row r="414">
          <cell r="F414" t="str">
            <v>SG-Alawnehex-10/2025</v>
          </cell>
          <cell r="G414" t="str">
            <v>Settled</v>
          </cell>
        </row>
        <row r="415">
          <cell r="F415" t="str">
            <v>SG-CN-Alawnehex-09/2025</v>
          </cell>
          <cell r="G415" t="str">
            <v>Settled</v>
          </cell>
        </row>
        <row r="416">
          <cell r="F416" t="str">
            <v>SG-Alawnehex-11/2025</v>
          </cell>
          <cell r="G416" t="str">
            <v>Settled</v>
          </cell>
        </row>
        <row r="417">
          <cell r="F417" t="str">
            <v>SG-Alawnehex-12/2025</v>
          </cell>
          <cell r="G417" t="str">
            <v>Settled</v>
          </cell>
        </row>
        <row r="418">
          <cell r="F418" t="str">
            <v>SG-Alawnehex-01/2026</v>
          </cell>
          <cell r="G418" t="str">
            <v>Settled</v>
          </cell>
        </row>
        <row r="419">
          <cell r="F419" t="str">
            <v>SG-Alawnehex-02/2026</v>
          </cell>
          <cell r="G419" t="str">
            <v>Settled</v>
          </cell>
        </row>
        <row r="420">
          <cell r="F420" t="str">
            <v>SG-alchemy agps solutions ltd-11/2022</v>
          </cell>
          <cell r="G420" t="str">
            <v>Settled</v>
          </cell>
        </row>
        <row r="421">
          <cell r="F421" t="str">
            <v>SG-alchemy agps solutions ltd-12/2022</v>
          </cell>
          <cell r="G421" t="str">
            <v>Settled</v>
          </cell>
        </row>
        <row r="422">
          <cell r="F422" t="str">
            <v>SG-alchemy agps solutions ltd-01/2023</v>
          </cell>
          <cell r="G422" t="str">
            <v>Settled</v>
          </cell>
        </row>
        <row r="423">
          <cell r="F423" t="str">
            <v>SG-alchemy-02/2023</v>
          </cell>
          <cell r="G423" t="str">
            <v>Settled</v>
          </cell>
        </row>
        <row r="424">
          <cell r="F424" t="str">
            <v>SG-alchemy-03/2023</v>
          </cell>
          <cell r="G424" t="str">
            <v>Settled</v>
          </cell>
        </row>
        <row r="425">
          <cell r="F425" t="str">
            <v>SG-alchemy-04/2023</v>
          </cell>
          <cell r="G425" t="str">
            <v>Settled</v>
          </cell>
        </row>
        <row r="426">
          <cell r="F426" t="str">
            <v>SG-alchemy-05/2023</v>
          </cell>
          <cell r="G426" t="str">
            <v>Settled</v>
          </cell>
        </row>
        <row r="427">
          <cell r="F427" t="str">
            <v>SG-alchemy-06/2023</v>
          </cell>
          <cell r="G427" t="str">
            <v>Settled</v>
          </cell>
        </row>
        <row r="428">
          <cell r="F428" t="str">
            <v>SG-alchemy-07/2023</v>
          </cell>
          <cell r="G428" t="str">
            <v>Settled</v>
          </cell>
        </row>
        <row r="429">
          <cell r="F429" t="str">
            <v>SG -alchemy-08/2023</v>
          </cell>
          <cell r="G429" t="str">
            <v>Settled</v>
          </cell>
        </row>
        <row r="430">
          <cell r="F430" t="str">
            <v>SG-alchemy-09/2023</v>
          </cell>
          <cell r="G430" t="str">
            <v>Settled</v>
          </cell>
        </row>
        <row r="431">
          <cell r="F431" t="str">
            <v>SG-alchemy-10/2023</v>
          </cell>
          <cell r="G431" t="str">
            <v>Settled</v>
          </cell>
        </row>
        <row r="432">
          <cell r="F432" t="str">
            <v>SG-alchemy-11/2023</v>
          </cell>
          <cell r="G432" t="str">
            <v>Settled</v>
          </cell>
        </row>
        <row r="433">
          <cell r="F433" t="str">
            <v>SG-alchemy-12/2023</v>
          </cell>
          <cell r="G433" t="str">
            <v>Settled</v>
          </cell>
        </row>
        <row r="434">
          <cell r="F434" t="str">
            <v>SG-alchemy-01/2024</v>
          </cell>
          <cell r="G434" t="str">
            <v>Settled</v>
          </cell>
        </row>
        <row r="435">
          <cell r="F435" t="str">
            <v>SG-alchemy-02/2024</v>
          </cell>
          <cell r="G435" t="str">
            <v>Settled</v>
          </cell>
        </row>
        <row r="436">
          <cell r="F436" t="str">
            <v>SG-alchemy-03/2024</v>
          </cell>
          <cell r="G436" t="str">
            <v>Settled</v>
          </cell>
        </row>
        <row r="437">
          <cell r="F437" t="str">
            <v>SG-alchemy-04/2024</v>
          </cell>
          <cell r="G437" t="str">
            <v>Settled</v>
          </cell>
        </row>
        <row r="438">
          <cell r="F438" t="str">
            <v>SG-alchemy-05/2024</v>
          </cell>
          <cell r="G438" t="str">
            <v>Settled</v>
          </cell>
        </row>
        <row r="439">
          <cell r="F439" t="str">
            <v>SG-alchemy-06/2024</v>
          </cell>
          <cell r="G439" t="str">
            <v>Settled</v>
          </cell>
        </row>
        <row r="440">
          <cell r="F440" t="str">
            <v>SG-alchemy-07/2024</v>
          </cell>
          <cell r="G440" t="str">
            <v>Settled</v>
          </cell>
        </row>
        <row r="441">
          <cell r="F441" t="str">
            <v>SG-alchemy-08/2024</v>
          </cell>
          <cell r="G441" t="str">
            <v>Net Off</v>
          </cell>
        </row>
        <row r="442">
          <cell r="F442" t="str">
            <v>SG-alchemy-09/2024</v>
          </cell>
          <cell r="G442" t="str">
            <v>Settled</v>
          </cell>
        </row>
        <row r="443">
          <cell r="F443" t="str">
            <v>SG-CN-alchemy-09-2024</v>
          </cell>
          <cell r="G443" t="str">
            <v>Settled</v>
          </cell>
        </row>
        <row r="444">
          <cell r="F444" t="str">
            <v>SG-CN-alchemy-08-2024</v>
          </cell>
          <cell r="G444" t="str">
            <v>Net Off</v>
          </cell>
        </row>
        <row r="445">
          <cell r="F445" t="str">
            <v>SG-Aleta-06/2023</v>
          </cell>
          <cell r="G445" t="str">
            <v>Waived Off</v>
          </cell>
        </row>
        <row r="446">
          <cell r="F446" t="str">
            <v>SG-ALFARDAN, QATAR-12/2023</v>
          </cell>
          <cell r="G446" t="str">
            <v>Settled</v>
          </cell>
        </row>
        <row r="447">
          <cell r="F447" t="str">
            <v>SG-ALFARDAN, QATAR-01/2024</v>
          </cell>
          <cell r="G447" t="str">
            <v>Settled</v>
          </cell>
        </row>
        <row r="448">
          <cell r="F448" t="str">
            <v>SG-ALFARDAN, QATAR-02/2024</v>
          </cell>
          <cell r="G448" t="str">
            <v>Settled</v>
          </cell>
        </row>
        <row r="449">
          <cell r="F449" t="str">
            <v>SG-ALFARDAN, QATAR-03/2024</v>
          </cell>
          <cell r="G449" t="str">
            <v>Settled</v>
          </cell>
        </row>
        <row r="450">
          <cell r="F450" t="str">
            <v>SG-ALFARDAN, QATAR-04/2024</v>
          </cell>
          <cell r="G450" t="str">
            <v>Settled</v>
          </cell>
        </row>
        <row r="451">
          <cell r="F451" t="str">
            <v>SG-ALFARDAN, QATAR-05/2024</v>
          </cell>
          <cell r="G451" t="str">
            <v>Settled</v>
          </cell>
        </row>
        <row r="452">
          <cell r="F452" t="str">
            <v>SG-ALFARDAN, QATAR-06/2024</v>
          </cell>
          <cell r="G452" t="str">
            <v>Settled</v>
          </cell>
        </row>
        <row r="453">
          <cell r="F453" t="str">
            <v>SG-ALFARDAN, QATAR-07/2024</v>
          </cell>
          <cell r="G453" t="str">
            <v>Settled</v>
          </cell>
        </row>
        <row r="454">
          <cell r="F454" t="str">
            <v>SG-ALFARDAN, QATAR-08/2024</v>
          </cell>
          <cell r="G454" t="str">
            <v>Settled</v>
          </cell>
        </row>
        <row r="455">
          <cell r="F455" t="str">
            <v>SG-ALFARDAN, QATAR-09/2024</v>
          </cell>
          <cell r="G455" t="str">
            <v>Settled</v>
          </cell>
        </row>
        <row r="456">
          <cell r="F456" t="str">
            <v>SG-ALFARDAN, QATAR-10/2024</v>
          </cell>
          <cell r="G456" t="str">
            <v>Settled</v>
          </cell>
        </row>
        <row r="457">
          <cell r="F457" t="str">
            <v>SG-ALFARDAN, QATAR-11/2024</v>
          </cell>
          <cell r="G457" t="str">
            <v>Settled</v>
          </cell>
        </row>
        <row r="458">
          <cell r="F458" t="str">
            <v>SG-ALFARDAN, QATAR-12/2024</v>
          </cell>
          <cell r="G458" t="str">
            <v>Settled</v>
          </cell>
        </row>
        <row r="459">
          <cell r="F459" t="str">
            <v>SG-ALFARDAN, QATAR-01/2025</v>
          </cell>
          <cell r="G459" t="str">
            <v>Settled</v>
          </cell>
        </row>
        <row r="460">
          <cell r="F460" t="str">
            <v>SG-ALFARDAN, QATAR-02/2025</v>
          </cell>
          <cell r="G460" t="str">
            <v>Settled</v>
          </cell>
        </row>
        <row r="461">
          <cell r="F461" t="str">
            <v>SG-ALFARDAN, QATAR-03/2025</v>
          </cell>
          <cell r="G461" t="str">
            <v>Settled</v>
          </cell>
        </row>
        <row r="462">
          <cell r="F462" t="str">
            <v>SG-ALFARDAN, QATAR-04/2025</v>
          </cell>
          <cell r="G462" t="str">
            <v>Settled</v>
          </cell>
        </row>
        <row r="463">
          <cell r="F463" t="str">
            <v>SG-ALFARDAN, QATAR-05/2025</v>
          </cell>
          <cell r="G463" t="str">
            <v>Settled</v>
          </cell>
        </row>
        <row r="464">
          <cell r="F464" t="str">
            <v>SG-ALFARDAN, QATAR-06/2025</v>
          </cell>
          <cell r="G464" t="str">
            <v>Settled</v>
          </cell>
        </row>
        <row r="465">
          <cell r="F465" t="str">
            <v>SG-ALFARDAN, QATAR-07/2025</v>
          </cell>
          <cell r="G465" t="str">
            <v>Settled</v>
          </cell>
        </row>
        <row r="466">
          <cell r="F466" t="str">
            <v>SG-ALFARDAN, QATAR-08/2025</v>
          </cell>
          <cell r="G466" t="str">
            <v>Settled</v>
          </cell>
        </row>
        <row r="467">
          <cell r="F467" t="str">
            <v>SG-ALFARDAN, QATAR-09/2025</v>
          </cell>
          <cell r="G467" t="str">
            <v>Settled</v>
          </cell>
        </row>
        <row r="468">
          <cell r="F468" t="str">
            <v>SG-ALFARDAN, QATAR-10/2025</v>
          </cell>
          <cell r="G468" t="str">
            <v>Settled</v>
          </cell>
        </row>
        <row r="469">
          <cell r="F469" t="str">
            <v>SG-ALFARDAN, QATAR-11/2025</v>
          </cell>
          <cell r="G469" t="str">
            <v>Settled</v>
          </cell>
        </row>
        <row r="470">
          <cell r="F470" t="str">
            <v>SG-ALFARDAN, QATAR-12/2025</v>
          </cell>
          <cell r="G470" t="str">
            <v>Settled</v>
          </cell>
        </row>
        <row r="471">
          <cell r="F471" t="str">
            <v>SG-ALFARDAN, QATAR-01/2026</v>
          </cell>
          <cell r="G471" t="str">
            <v>Settled</v>
          </cell>
        </row>
        <row r="472">
          <cell r="F472" t="str">
            <v>SG-ALFARDAN, QATAR-02/2026</v>
          </cell>
          <cell r="G472" t="str">
            <v>Settled</v>
          </cell>
        </row>
        <row r="473">
          <cell r="F473" t="str">
            <v>SG -AlquimiaDigital-11/2023</v>
          </cell>
          <cell r="G473" t="str">
            <v>Settled</v>
          </cell>
        </row>
        <row r="474">
          <cell r="F474" t="str">
            <v>SG-amicus-11/2023</v>
          </cell>
          <cell r="G474" t="str">
            <v>Settled</v>
          </cell>
        </row>
        <row r="475">
          <cell r="F475" t="str">
            <v>SG-Ample Transfer-11/2022</v>
          </cell>
          <cell r="G475" t="str">
            <v>Settled</v>
          </cell>
        </row>
        <row r="476">
          <cell r="F476" t="str">
            <v>SG-Ample Transfer-CR-11/2022</v>
          </cell>
          <cell r="G476" t="str">
            <v>Settled</v>
          </cell>
        </row>
        <row r="477">
          <cell r="F477" t="str">
            <v>SG-Ample Transfer-12/2022</v>
          </cell>
          <cell r="G477" t="str">
            <v>Settled</v>
          </cell>
        </row>
        <row r="478">
          <cell r="F478" t="str">
            <v>SG-Ample Transfer-CR-12/2022</v>
          </cell>
          <cell r="G478" t="str">
            <v>Settled</v>
          </cell>
        </row>
        <row r="479">
          <cell r="F479" t="str">
            <v>SG-Ample Transfer-01/2023</v>
          </cell>
          <cell r="G479" t="str">
            <v>Settled</v>
          </cell>
        </row>
        <row r="480">
          <cell r="F480" t="str">
            <v>SG-Ample Transfer-CR-01/2023</v>
          </cell>
          <cell r="G480" t="str">
            <v>Settled</v>
          </cell>
        </row>
        <row r="481">
          <cell r="F481" t="str">
            <v>SG-Ample Transfer-02/2023</v>
          </cell>
          <cell r="G481" t="str">
            <v>Settled</v>
          </cell>
        </row>
        <row r="482">
          <cell r="F482" t="str">
            <v>SG-Ample Transfer-CR-02/2023</v>
          </cell>
          <cell r="G482" t="str">
            <v>Settled</v>
          </cell>
        </row>
        <row r="483">
          <cell r="F483" t="str">
            <v>SG-Ample Transfer-03/2023</v>
          </cell>
          <cell r="G483" t="str">
            <v>Settled</v>
          </cell>
        </row>
        <row r="484">
          <cell r="F484" t="str">
            <v>SG-Ample Transfer-CR-03/2023</v>
          </cell>
          <cell r="G484" t="str">
            <v>Settled</v>
          </cell>
        </row>
        <row r="485">
          <cell r="F485" t="str">
            <v>SG-ample Transfer-04/2023</v>
          </cell>
          <cell r="G485" t="str">
            <v>Settled</v>
          </cell>
        </row>
        <row r="486">
          <cell r="F486" t="str">
            <v>SG-ample Transfer-CR-04/2023</v>
          </cell>
          <cell r="G486" t="str">
            <v>Settled</v>
          </cell>
        </row>
        <row r="487">
          <cell r="F487" t="str">
            <v>SG-ample Transfer-05/2023</v>
          </cell>
          <cell r="G487" t="str">
            <v>Settled</v>
          </cell>
        </row>
        <row r="488">
          <cell r="F488" t="str">
            <v>SG -ample Transfer-CR-05/2023</v>
          </cell>
          <cell r="G488" t="str">
            <v>Settled</v>
          </cell>
        </row>
        <row r="489">
          <cell r="F489" t="str">
            <v>SG-ample Transfer-06/2023</v>
          </cell>
          <cell r="G489" t="str">
            <v>Settled</v>
          </cell>
        </row>
        <row r="490">
          <cell r="F490" t="str">
            <v>SG-ample Transfer-CR-06/2023</v>
          </cell>
          <cell r="G490" t="str">
            <v>Settled</v>
          </cell>
        </row>
        <row r="491">
          <cell r="F491" t="str">
            <v>SG-ample Transfer-07/2023</v>
          </cell>
          <cell r="G491" t="str">
            <v>Settled</v>
          </cell>
        </row>
        <row r="492">
          <cell r="F492" t="str">
            <v>SG-ample Transfer-CR-07/2023</v>
          </cell>
          <cell r="G492" t="str">
            <v>Settled</v>
          </cell>
        </row>
        <row r="493">
          <cell r="F493" t="str">
            <v>SG -ample Transfer-08/2023</v>
          </cell>
          <cell r="G493" t="str">
            <v>Settled</v>
          </cell>
        </row>
        <row r="494">
          <cell r="F494" t="str">
            <v>SG -ample Transfer-CR-08/2023</v>
          </cell>
          <cell r="G494" t="str">
            <v>Settled</v>
          </cell>
        </row>
        <row r="495">
          <cell r="F495" t="str">
            <v>SG-ample Transfer-09/2023</v>
          </cell>
          <cell r="G495" t="str">
            <v>Settled</v>
          </cell>
        </row>
        <row r="496">
          <cell r="F496" t="str">
            <v>SG-ample Transfer-CR-09/2023</v>
          </cell>
          <cell r="G496" t="str">
            <v>Settled</v>
          </cell>
        </row>
        <row r="497">
          <cell r="F497" t="str">
            <v>SG-ample Transfer-10/2023</v>
          </cell>
          <cell r="G497" t="str">
            <v>Settled</v>
          </cell>
        </row>
        <row r="498">
          <cell r="F498" t="str">
            <v>SG-ample Transfer-CR-10/2023</v>
          </cell>
          <cell r="G498" t="str">
            <v>Settled</v>
          </cell>
        </row>
        <row r="499">
          <cell r="F499" t="str">
            <v>SG-ample Transfer-11/2023</v>
          </cell>
          <cell r="G499" t="str">
            <v>Settled</v>
          </cell>
        </row>
        <row r="500">
          <cell r="F500" t="str">
            <v>SG-ample Transfer-CR-11/2023</v>
          </cell>
          <cell r="G500" t="str">
            <v>Settled</v>
          </cell>
        </row>
        <row r="501">
          <cell r="F501" t="str">
            <v>SG-ample Transfer-12/2023</v>
          </cell>
          <cell r="G501" t="str">
            <v>Settled</v>
          </cell>
        </row>
        <row r="502">
          <cell r="F502" t="str">
            <v>SG-ample Transfer-CR-12/2023</v>
          </cell>
          <cell r="G502" t="str">
            <v>Settled</v>
          </cell>
        </row>
        <row r="503">
          <cell r="F503" t="str">
            <v>SG-ample Transfer-01/2024</v>
          </cell>
          <cell r="G503" t="str">
            <v>Settled</v>
          </cell>
        </row>
        <row r="504">
          <cell r="F504" t="str">
            <v>SG-ample Transfer-CR-01/2024</v>
          </cell>
          <cell r="G504" t="str">
            <v>Settled</v>
          </cell>
        </row>
        <row r="505">
          <cell r="F505" t="str">
            <v>SG-ample Transfer-02/2024</v>
          </cell>
          <cell r="G505" t="str">
            <v>Settled</v>
          </cell>
        </row>
        <row r="506">
          <cell r="F506" t="str">
            <v>SG-ample Transfer-CR-02/2024</v>
          </cell>
          <cell r="G506" t="str">
            <v>Settled</v>
          </cell>
        </row>
        <row r="507">
          <cell r="F507" t="str">
            <v>SG-ample Transfer-03/2024</v>
          </cell>
          <cell r="G507" t="str">
            <v>Settled</v>
          </cell>
        </row>
        <row r="508">
          <cell r="F508" t="str">
            <v>SG-Ample Transfer-CR-03/2024</v>
          </cell>
          <cell r="G508" t="str">
            <v>Settled</v>
          </cell>
        </row>
        <row r="509">
          <cell r="F509" t="str">
            <v>SG-ample Transfer-04/2024</v>
          </cell>
          <cell r="G509" t="str">
            <v>Settled</v>
          </cell>
        </row>
        <row r="510">
          <cell r="F510" t="str">
            <v>SG-ample Transfer-CR-04/2024</v>
          </cell>
          <cell r="G510" t="str">
            <v>Settled</v>
          </cell>
        </row>
        <row r="511">
          <cell r="F511" t="str">
            <v>SG-ample Transfer-05/2024</v>
          </cell>
          <cell r="G511" t="str">
            <v>Settled</v>
          </cell>
        </row>
        <row r="512">
          <cell r="F512" t="str">
            <v>SG-ample Transfer-CR-05/2024</v>
          </cell>
          <cell r="G512" t="str">
            <v>Settled</v>
          </cell>
        </row>
        <row r="513">
          <cell r="F513" t="str">
            <v>SG-ample Transfer-06/2024</v>
          </cell>
          <cell r="G513" t="str">
            <v>Settled</v>
          </cell>
        </row>
        <row r="514">
          <cell r="F514" t="str">
            <v>SG-ample Transfer-CR-06/2024</v>
          </cell>
          <cell r="G514" t="str">
            <v>Settled</v>
          </cell>
        </row>
        <row r="515">
          <cell r="F515" t="str">
            <v>SG-ample Transfer-07/2024</v>
          </cell>
          <cell r="G515" t="str">
            <v>Settled</v>
          </cell>
        </row>
        <row r="516">
          <cell r="F516" t="str">
            <v>SG-ample Transfer-CR-07/2024</v>
          </cell>
          <cell r="G516" t="str">
            <v>Settled</v>
          </cell>
        </row>
        <row r="517">
          <cell r="F517" t="str">
            <v>SG-ample Transfer-CR-08/2024</v>
          </cell>
          <cell r="G517" t="str">
            <v>Settled</v>
          </cell>
        </row>
        <row r="518">
          <cell r="F518" t="str">
            <v>SG-ample Transfer-08/2024</v>
          </cell>
          <cell r="G518" t="str">
            <v>Settled</v>
          </cell>
        </row>
        <row r="519">
          <cell r="F519" t="str">
            <v>SG-ample Transfer-09/2024</v>
          </cell>
          <cell r="G519" t="str">
            <v>Settled</v>
          </cell>
        </row>
        <row r="520">
          <cell r="F520" t="str">
            <v>SG-ample Transfer-CR-09/2024</v>
          </cell>
          <cell r="G520" t="str">
            <v>Settled</v>
          </cell>
        </row>
        <row r="521">
          <cell r="F521" t="str">
            <v>SG-ample Transfer-10/2024</v>
          </cell>
          <cell r="G521" t="str">
            <v>Settled</v>
          </cell>
        </row>
        <row r="522">
          <cell r="F522" t="str">
            <v>SG-ample Transfer-CR-10/2024</v>
          </cell>
          <cell r="G522" t="str">
            <v>Settled</v>
          </cell>
        </row>
        <row r="523">
          <cell r="F523" t="str">
            <v>SG-ample Transfer-11/2024</v>
          </cell>
          <cell r="G523" t="str">
            <v>Settled</v>
          </cell>
        </row>
        <row r="524">
          <cell r="F524" t="str">
            <v>SG-ample Transfer-CR-11/2024</v>
          </cell>
          <cell r="G524" t="str">
            <v>Settled</v>
          </cell>
        </row>
        <row r="525">
          <cell r="F525" t="str">
            <v>SG-ample Transfer-12/2024</v>
          </cell>
          <cell r="G525" t="str">
            <v>Settled</v>
          </cell>
        </row>
        <row r="526">
          <cell r="F526" t="str">
            <v>SG-ample Transfer-CR-12/2024</v>
          </cell>
          <cell r="G526" t="str">
            <v>Settled</v>
          </cell>
        </row>
        <row r="527">
          <cell r="F527" t="str">
            <v>SG-ample Transfer-01/2025</v>
          </cell>
          <cell r="G527" t="str">
            <v>Settled</v>
          </cell>
        </row>
        <row r="528">
          <cell r="F528" t="str">
            <v>SG-ample Transfer-CR-01/2025</v>
          </cell>
          <cell r="G528" t="str">
            <v>Settled</v>
          </cell>
        </row>
        <row r="529">
          <cell r="F529" t="str">
            <v>SG-ample Transfer-02/2025</v>
          </cell>
          <cell r="G529" t="str">
            <v>Settled</v>
          </cell>
        </row>
        <row r="530">
          <cell r="F530" t="str">
            <v>SG-ample Transfer-CR-02/2025</v>
          </cell>
          <cell r="G530" t="str">
            <v>Settled</v>
          </cell>
        </row>
        <row r="531">
          <cell r="F531" t="str">
            <v>SG-ample Transfer-03/2025</v>
          </cell>
          <cell r="G531" t="str">
            <v>Settled</v>
          </cell>
        </row>
        <row r="532">
          <cell r="F532" t="str">
            <v>SG-ample Transfer-CR-03/2025</v>
          </cell>
          <cell r="G532" t="str">
            <v>Settled</v>
          </cell>
        </row>
        <row r="533">
          <cell r="F533" t="str">
            <v>SG-ample Transfer-CR-04/2025</v>
          </cell>
          <cell r="G533" t="str">
            <v>Settled</v>
          </cell>
        </row>
        <row r="534">
          <cell r="F534" t="str">
            <v>SG-ample Transfer-04/2025</v>
          </cell>
          <cell r="G534" t="str">
            <v>Settled</v>
          </cell>
        </row>
        <row r="535">
          <cell r="F535" t="str">
            <v>SG-ample Transfer-05/2025</v>
          </cell>
          <cell r="G535" t="str">
            <v>Settled</v>
          </cell>
        </row>
        <row r="536">
          <cell r="F536" t="str">
            <v>SG-ample Transfer-CR-05/2025</v>
          </cell>
          <cell r="G536" t="str">
            <v>Settled</v>
          </cell>
        </row>
        <row r="537">
          <cell r="F537" t="str">
            <v>SG-ample Transfer-06/2025</v>
          </cell>
          <cell r="G537" t="str">
            <v>Settled</v>
          </cell>
        </row>
        <row r="538">
          <cell r="F538" t="str">
            <v>SG-ample Transfer-CR-06/2025</v>
          </cell>
          <cell r="G538" t="str">
            <v>Settled</v>
          </cell>
        </row>
        <row r="539">
          <cell r="F539" t="str">
            <v>SG-ample Transfer-07/2025</v>
          </cell>
          <cell r="G539" t="str">
            <v>Settled</v>
          </cell>
        </row>
        <row r="540">
          <cell r="F540" t="str">
            <v>SG-ample Transfer-CR-07/2025</v>
          </cell>
          <cell r="G540" t="str">
            <v>Settled</v>
          </cell>
        </row>
        <row r="541">
          <cell r="F541" t="str">
            <v>SG-ample Transfer-08/2025</v>
          </cell>
          <cell r="G541" t="str">
            <v>Settled</v>
          </cell>
        </row>
        <row r="542">
          <cell r="F542" t="str">
            <v>SG-ample Transfer-CR-08/2025</v>
          </cell>
          <cell r="G542" t="str">
            <v>Settled</v>
          </cell>
        </row>
        <row r="543">
          <cell r="F543" t="str">
            <v>SG-ample Transfer-09/2025</v>
          </cell>
          <cell r="G543" t="str">
            <v>Settled</v>
          </cell>
        </row>
        <row r="544">
          <cell r="F544" t="str">
            <v>SG-ample Transfer-CR-09/2025</v>
          </cell>
          <cell r="G544" t="str">
            <v>Settled</v>
          </cell>
        </row>
        <row r="545">
          <cell r="F545" t="str">
            <v>SG-ample Transfer-10/2025</v>
          </cell>
          <cell r="G545" t="str">
            <v>Settled</v>
          </cell>
        </row>
        <row r="546">
          <cell r="F546" t="str">
            <v>SG-ample Transfer-CR-10/2025</v>
          </cell>
          <cell r="G546" t="str">
            <v>Settled</v>
          </cell>
        </row>
        <row r="547">
          <cell r="F547" t="str">
            <v>SG-ample Transfer-11/2025</v>
          </cell>
          <cell r="G547" t="str">
            <v>Settled</v>
          </cell>
        </row>
        <row r="548">
          <cell r="F548" t="str">
            <v>SG-ample Transfer-CR-11/2025</v>
          </cell>
          <cell r="G548" t="str">
            <v>Settled</v>
          </cell>
        </row>
        <row r="549">
          <cell r="F549" t="str">
            <v>SG-ample Transfer-12/2025</v>
          </cell>
          <cell r="G549" t="str">
            <v>Settled</v>
          </cell>
        </row>
        <row r="550">
          <cell r="F550" t="str">
            <v>SG-ample Transfer-CR-12/2025</v>
          </cell>
          <cell r="G550" t="str">
            <v>Settled</v>
          </cell>
        </row>
        <row r="551">
          <cell r="F551" t="str">
            <v>SG-ample Transfer-01/2026</v>
          </cell>
          <cell r="G551" t="str">
            <v>Settled</v>
          </cell>
        </row>
        <row r="552">
          <cell r="F552" t="str">
            <v>SG-ample Transfer-CR-01/2026</v>
          </cell>
          <cell r="G552" t="str">
            <v>Settled</v>
          </cell>
        </row>
        <row r="553">
          <cell r="F553" t="str">
            <v>SG-ample Transfer-02/2026</v>
          </cell>
          <cell r="G553" t="str">
            <v>Settled</v>
          </cell>
        </row>
        <row r="554">
          <cell r="F554" t="str">
            <v>SG-ample Transfer-CR-02/2026</v>
          </cell>
          <cell r="G554" t="str">
            <v>Settled</v>
          </cell>
        </row>
        <row r="555">
          <cell r="F555" t="str">
            <v>SG -aprirange-08/2023</v>
          </cell>
          <cell r="G555" t="str">
            <v>Settled</v>
          </cell>
        </row>
        <row r="556">
          <cell r="F556" t="str">
            <v>SG-aprirange-09/2023</v>
          </cell>
          <cell r="G556" t="str">
            <v>Settled</v>
          </cell>
        </row>
        <row r="557">
          <cell r="F557" t="str">
            <v>SG-aprirange-10/2023</v>
          </cell>
          <cell r="G557" t="str">
            <v>Settled</v>
          </cell>
        </row>
        <row r="558">
          <cell r="F558" t="str">
            <v>SG-aprirange-11/2023</v>
          </cell>
          <cell r="G558" t="str">
            <v>Settled</v>
          </cell>
        </row>
        <row r="559">
          <cell r="F559" t="str">
            <v>US-ARCHIE TECHNOLOGIES, INC-12/2022</v>
          </cell>
          <cell r="G559" t="str">
            <v>Waived Off</v>
          </cell>
        </row>
        <row r="560">
          <cell r="F560" t="str">
            <v>US-ARCHIE TECHNOLOGIES, INC-01/2023</v>
          </cell>
          <cell r="G560" t="str">
            <v>Waived Off</v>
          </cell>
        </row>
        <row r="561">
          <cell r="F561" t="str">
            <v>SG -asia automation (singapore) pte ltd-10/2023</v>
          </cell>
          <cell r="G561" t="str">
            <v>Reversed</v>
          </cell>
        </row>
        <row r="562">
          <cell r="F562" t="str">
            <v>SG-sui co-11/2023</v>
          </cell>
          <cell r="G562" t="str">
            <v>Settled</v>
          </cell>
        </row>
        <row r="563">
          <cell r="F563" t="str">
            <v>SG-AVACALINK-09/2023</v>
          </cell>
          <cell r="G563" t="str">
            <v>Settled</v>
          </cell>
        </row>
        <row r="564">
          <cell r="F564" t="str">
            <v>SG-AVACALINK-10/2023</v>
          </cell>
          <cell r="G564" t="str">
            <v>Settled</v>
          </cell>
        </row>
        <row r="565">
          <cell r="F565" t="str">
            <v>SG-AVACALINK-11/2023</v>
          </cell>
          <cell r="G565" t="str">
            <v>Settled</v>
          </cell>
        </row>
        <row r="566">
          <cell r="F566" t="str">
            <v>SG-AYP Staffing-09/2023</v>
          </cell>
          <cell r="G566" t="str">
            <v>Settled</v>
          </cell>
        </row>
        <row r="567">
          <cell r="F567" t="str">
            <v>SG-AYP Staffing-10/2023</v>
          </cell>
          <cell r="G567" t="str">
            <v>Settled</v>
          </cell>
        </row>
        <row r="568">
          <cell r="F568" t="str">
            <v>SG-AYP Staffing-11/2023</v>
          </cell>
          <cell r="G568" t="str">
            <v>Settled</v>
          </cell>
        </row>
        <row r="569">
          <cell r="F569" t="str">
            <v>SG-AYP Staffing-12/2023</v>
          </cell>
          <cell r="G569" t="str">
            <v>Settled</v>
          </cell>
        </row>
        <row r="570">
          <cell r="F570" t="str">
            <v>SG-AYP Staffing-01/2024</v>
          </cell>
          <cell r="G570" t="str">
            <v>Settled</v>
          </cell>
        </row>
        <row r="571">
          <cell r="F571" t="str">
            <v>SG-AYP Staffing-02/2024</v>
          </cell>
          <cell r="G571" t="str">
            <v>Settled</v>
          </cell>
        </row>
        <row r="572">
          <cell r="F572" t="str">
            <v>SG-AYP Staffing-03/2024</v>
          </cell>
          <cell r="G572" t="str">
            <v>Settled</v>
          </cell>
        </row>
        <row r="573">
          <cell r="F573" t="str">
            <v>SG-AYP Staffing-04/2024</v>
          </cell>
          <cell r="G573" t="str">
            <v>Settled</v>
          </cell>
        </row>
        <row r="574">
          <cell r="F574" t="str">
            <v>SG-AYP Staffing-05/2024</v>
          </cell>
          <cell r="G574" t="str">
            <v>Settled</v>
          </cell>
        </row>
        <row r="575">
          <cell r="F575" t="str">
            <v>SG-AYP Staffing-06/2024</v>
          </cell>
          <cell r="G575" t="str">
            <v>Settled</v>
          </cell>
        </row>
        <row r="576">
          <cell r="F576" t="str">
            <v>SG-AYP Staffing-07/2024</v>
          </cell>
          <cell r="G576" t="str">
            <v>Settled</v>
          </cell>
        </row>
        <row r="577">
          <cell r="F577" t="str">
            <v>SG-AYP Staffing-08/2024</v>
          </cell>
          <cell r="G577" t="str">
            <v>Settled</v>
          </cell>
        </row>
        <row r="578">
          <cell r="F578" t="str">
            <v>SG-AYP Staffing-09/2024</v>
          </cell>
          <cell r="G578" t="str">
            <v>Settled</v>
          </cell>
        </row>
        <row r="579">
          <cell r="F579" t="str">
            <v>SG-AYP Staffing-10/2024</v>
          </cell>
          <cell r="G579" t="str">
            <v>Settled</v>
          </cell>
        </row>
        <row r="580">
          <cell r="F580" t="str">
            <v>SG-AYP Staffing-11/2024</v>
          </cell>
          <cell r="G580" t="str">
            <v>Settled</v>
          </cell>
        </row>
        <row r="581">
          <cell r="F581" t="str">
            <v>SG-AYP Staffing-12/2024</v>
          </cell>
          <cell r="G581" t="str">
            <v>Settled</v>
          </cell>
        </row>
        <row r="582">
          <cell r="F582" t="str">
            <v>SG-AYP Staffing-01/2025</v>
          </cell>
          <cell r="G582" t="str">
            <v>Settled</v>
          </cell>
        </row>
        <row r="583">
          <cell r="F583" t="str">
            <v>SG-AYP Staffing-02/2025</v>
          </cell>
          <cell r="G583" t="str">
            <v>Settled</v>
          </cell>
        </row>
        <row r="584">
          <cell r="F584" t="str">
            <v>SG-AYP Staffing-03/2025</v>
          </cell>
          <cell r="G584" t="str">
            <v>Settled</v>
          </cell>
        </row>
        <row r="585">
          <cell r="F585" t="str">
            <v>SG-AYP Staffing-04/2025</v>
          </cell>
          <cell r="G585" t="str">
            <v>Settled</v>
          </cell>
        </row>
        <row r="586">
          <cell r="F586" t="str">
            <v>SG-AYP Staffing-05/2025</v>
          </cell>
          <cell r="G586" t="str">
            <v>Settled</v>
          </cell>
        </row>
        <row r="587">
          <cell r="F587" t="str">
            <v>SG-AYP Staffing-06/2025</v>
          </cell>
          <cell r="G587" t="str">
            <v>Settled</v>
          </cell>
        </row>
        <row r="588">
          <cell r="F588" t="str">
            <v>SG-AYP Staffing-07/2025</v>
          </cell>
          <cell r="G588" t="str">
            <v>Settled</v>
          </cell>
        </row>
        <row r="589">
          <cell r="F589" t="str">
            <v>SG-AYP Staffing-08/2025</v>
          </cell>
          <cell r="G589" t="str">
            <v>Settled</v>
          </cell>
        </row>
        <row r="590">
          <cell r="F590" t="str">
            <v>SG-AYP Staffing-09/2025</v>
          </cell>
          <cell r="G590" t="str">
            <v>Settled</v>
          </cell>
        </row>
        <row r="591">
          <cell r="F591" t="str">
            <v>SG-AYP Staffing-10/2025</v>
          </cell>
          <cell r="G591" t="str">
            <v>Settled</v>
          </cell>
        </row>
        <row r="592">
          <cell r="F592" t="str">
            <v>SG-AYP Staffing-11/2025</v>
          </cell>
          <cell r="G592" t="str">
            <v>Settled</v>
          </cell>
        </row>
        <row r="593">
          <cell r="F593" t="str">
            <v>SG-AYP Staffing-12/2025</v>
          </cell>
          <cell r="G593" t="str">
            <v>Settled</v>
          </cell>
        </row>
        <row r="594">
          <cell r="F594" t="str">
            <v>SG-AYP Staffing-01/2026</v>
          </cell>
          <cell r="G594" t="str">
            <v>Settled</v>
          </cell>
        </row>
        <row r="595">
          <cell r="F595" t="str">
            <v>SG-AYP Staffing-02/2026</v>
          </cell>
          <cell r="G595" t="str">
            <v>Settled</v>
          </cell>
        </row>
        <row r="596">
          <cell r="F596" t="str">
            <v>UK-Azimo-12/2023</v>
          </cell>
          <cell r="G596" t="str">
            <v>Settled</v>
          </cell>
        </row>
        <row r="597">
          <cell r="F597" t="str">
            <v>UK-Azimo-01/2024</v>
          </cell>
          <cell r="G597" t="str">
            <v>Settled</v>
          </cell>
        </row>
        <row r="598">
          <cell r="F598" t="str">
            <v>UK-Azimo-02/2024</v>
          </cell>
          <cell r="G598" t="str">
            <v>Settled</v>
          </cell>
        </row>
        <row r="599">
          <cell r="F599" t="str">
            <v>UK-Azimo-03/2024</v>
          </cell>
          <cell r="G599" t="str">
            <v>Settled</v>
          </cell>
        </row>
        <row r="600">
          <cell r="F600" t="str">
            <v>UK-Azimo-04/2024</v>
          </cell>
          <cell r="G600" t="str">
            <v>Settled</v>
          </cell>
        </row>
        <row r="601">
          <cell r="F601" t="str">
            <v>UK-Azimo-05/2024</v>
          </cell>
          <cell r="G601" t="str">
            <v>Settled</v>
          </cell>
        </row>
        <row r="602">
          <cell r="F602" t="str">
            <v>SG-B And T Corretora Da Cambio Ltda-11/2022</v>
          </cell>
          <cell r="G602" t="str">
            <v>Settled</v>
          </cell>
        </row>
        <row r="603">
          <cell r="F603" t="str">
            <v>SG-B And T Corretora Da Cambio Ltda-12/2022</v>
          </cell>
          <cell r="G603" t="str">
            <v>Settled</v>
          </cell>
        </row>
        <row r="604">
          <cell r="F604" t="str">
            <v>SG-B And T Corretora Da Cambio Ltda-01/2023</v>
          </cell>
          <cell r="G604" t="str">
            <v>Settled</v>
          </cell>
        </row>
        <row r="605">
          <cell r="F605" t="str">
            <v>SG-BAndTCorretora-02/2023</v>
          </cell>
          <cell r="G605" t="str">
            <v>Settled</v>
          </cell>
        </row>
        <row r="606">
          <cell r="F606" t="str">
            <v>SG-BAndTCorretora-03/2023</v>
          </cell>
          <cell r="G606" t="str">
            <v>Settled</v>
          </cell>
        </row>
        <row r="607">
          <cell r="F607" t="str">
            <v>SG-BAndTCorretora-04/2023</v>
          </cell>
          <cell r="G607" t="str">
            <v>Settled</v>
          </cell>
        </row>
        <row r="608">
          <cell r="F608" t="str">
            <v>SG-BAndTCorretora-05/2023</v>
          </cell>
          <cell r="G608" t="str">
            <v>Settled</v>
          </cell>
        </row>
        <row r="609">
          <cell r="F609" t="str">
            <v>SG-BAndTCorretora-06/2023</v>
          </cell>
          <cell r="G609" t="str">
            <v>Settled</v>
          </cell>
        </row>
        <row r="610">
          <cell r="F610" t="str">
            <v>SG-BAndTCorretora-07/2023</v>
          </cell>
          <cell r="G610" t="str">
            <v>Settled</v>
          </cell>
        </row>
        <row r="611">
          <cell r="F611" t="str">
            <v>SG -BAndTCorretora-08/2023</v>
          </cell>
          <cell r="G611" t="str">
            <v>Settled</v>
          </cell>
        </row>
        <row r="612">
          <cell r="F612" t="str">
            <v>SG-BAndTCorretora-09/2023</v>
          </cell>
          <cell r="G612" t="str">
            <v>Settled</v>
          </cell>
        </row>
        <row r="613">
          <cell r="F613" t="str">
            <v>SG-BAndTCorretora-10/2023</v>
          </cell>
          <cell r="G613" t="str">
            <v>Settled</v>
          </cell>
        </row>
        <row r="614">
          <cell r="F614" t="str">
            <v>SG-BAndTCorretora-11/2023</v>
          </cell>
          <cell r="G614" t="str">
            <v>Settled</v>
          </cell>
        </row>
        <row r="615">
          <cell r="F615" t="str">
            <v>SG-BAndTCorretora-12/2023</v>
          </cell>
          <cell r="G615" t="str">
            <v>Settled</v>
          </cell>
        </row>
        <row r="616">
          <cell r="F616" t="str">
            <v>SG-BAndTCorretora-01/2024</v>
          </cell>
          <cell r="G616" t="str">
            <v>Settled</v>
          </cell>
        </row>
        <row r="617">
          <cell r="F617" t="str">
            <v>SG-BAndTCorretora-02/2024</v>
          </cell>
          <cell r="G617" t="str">
            <v>Settled</v>
          </cell>
        </row>
        <row r="618">
          <cell r="F618" t="str">
            <v>SG-BAndTCorretora-03/2024</v>
          </cell>
          <cell r="G618" t="str">
            <v>Settled</v>
          </cell>
        </row>
        <row r="619">
          <cell r="F619" t="str">
            <v>SG-BAndTCorretora-04/2024</v>
          </cell>
          <cell r="G619" t="str">
            <v>Settled</v>
          </cell>
        </row>
        <row r="620">
          <cell r="F620" t="str">
            <v>SG-BAndTCorretora-05/2024</v>
          </cell>
          <cell r="G620" t="str">
            <v>Settled</v>
          </cell>
        </row>
        <row r="621">
          <cell r="F621" t="str">
            <v>SG-BAndTCorretora-06/2024</v>
          </cell>
          <cell r="G621" t="str">
            <v>Settled</v>
          </cell>
        </row>
        <row r="622">
          <cell r="F622" t="str">
            <v>SG-BAndTCorretora-07/2024</v>
          </cell>
          <cell r="G622" t="str">
            <v>Settled</v>
          </cell>
        </row>
        <row r="623">
          <cell r="F623" t="str">
            <v>SG-BAndTCorretora-08/2024</v>
          </cell>
          <cell r="G623" t="str">
            <v>Settled</v>
          </cell>
        </row>
        <row r="624">
          <cell r="F624" t="str">
            <v>SG-BAndTCorretora-09/2024</v>
          </cell>
          <cell r="G624" t="str">
            <v>Settled</v>
          </cell>
        </row>
        <row r="625">
          <cell r="F625" t="str">
            <v>SG-BAndTCorretora-10/2024</v>
          </cell>
          <cell r="G625" t="str">
            <v>Settled</v>
          </cell>
        </row>
        <row r="626">
          <cell r="F626" t="str">
            <v>SG-BAndTCorretora-11/2024</v>
          </cell>
          <cell r="G626" t="str">
            <v>Settled</v>
          </cell>
        </row>
        <row r="627">
          <cell r="F627" t="str">
            <v>SG-BAndTCorretora-12/2024</v>
          </cell>
          <cell r="G627" t="str">
            <v>Settled</v>
          </cell>
        </row>
        <row r="628">
          <cell r="F628" t="str">
            <v>SG-BAndTCorretora-01/2025</v>
          </cell>
          <cell r="G628" t="str">
            <v>Settled</v>
          </cell>
        </row>
        <row r="629">
          <cell r="F629" t="str">
            <v>SG-BAndTCorretora-02/2025</v>
          </cell>
          <cell r="G629" t="str">
            <v>Settled</v>
          </cell>
        </row>
        <row r="630">
          <cell r="F630" t="str">
            <v>SG-BAndTCorretora-03/2025</v>
          </cell>
          <cell r="G630" t="str">
            <v>Settled</v>
          </cell>
        </row>
        <row r="631">
          <cell r="F631" t="str">
            <v>SG-BAndTCorretora-04/2025</v>
          </cell>
          <cell r="G631" t="str">
            <v>Settled</v>
          </cell>
        </row>
        <row r="632">
          <cell r="F632" t="str">
            <v>SG-BAndTCorretora-05/2025</v>
          </cell>
          <cell r="G632" t="str">
            <v>Settled</v>
          </cell>
        </row>
        <row r="633">
          <cell r="F633" t="str">
            <v>SG-BAndTCorretora-06/2025</v>
          </cell>
          <cell r="G633" t="str">
            <v>Settled</v>
          </cell>
        </row>
        <row r="634">
          <cell r="F634" t="str">
            <v>SG-BAndTCorretora-07/2025</v>
          </cell>
          <cell r="G634" t="str">
            <v>Settled</v>
          </cell>
        </row>
        <row r="635">
          <cell r="F635" t="str">
            <v>SG-BAndTCorretora-08/2025</v>
          </cell>
          <cell r="G635" t="str">
            <v>Settled</v>
          </cell>
        </row>
        <row r="636">
          <cell r="F636" t="str">
            <v>SG-BAndTCorretora-09/2025</v>
          </cell>
          <cell r="G636" t="str">
            <v>Settled</v>
          </cell>
        </row>
        <row r="637">
          <cell r="F637" t="str">
            <v>SG-BAndTCorretora-10/2025</v>
          </cell>
          <cell r="G637" t="str">
            <v>Settled</v>
          </cell>
        </row>
        <row r="638">
          <cell r="F638" t="str">
            <v>SG-BAndTCorretora-11/2025</v>
          </cell>
          <cell r="G638" t="str">
            <v>Settled</v>
          </cell>
        </row>
        <row r="639">
          <cell r="F639" t="str">
            <v>SG-BAndTCorretora-12/2025</v>
          </cell>
          <cell r="G639" t="str">
            <v>Settled</v>
          </cell>
        </row>
        <row r="640">
          <cell r="F640" t="str">
            <v>SG-BAndTCorretora-01/2026</v>
          </cell>
          <cell r="G640" t="str">
            <v>Settled</v>
          </cell>
        </row>
        <row r="641">
          <cell r="F641" t="str">
            <v>SG-BAndTCorretora-02/2026</v>
          </cell>
          <cell r="G641" t="str">
            <v>Settled</v>
          </cell>
        </row>
        <row r="642">
          <cell r="F642" t="str">
            <v>US-AD-BAAS Corporation-09-2024</v>
          </cell>
          <cell r="G642" t="str">
            <v>Settled</v>
          </cell>
        </row>
        <row r="643">
          <cell r="F643" t="str">
            <v>US-BAAS Corporation-01/2025</v>
          </cell>
          <cell r="G643" t="str">
            <v>Net Off</v>
          </cell>
        </row>
        <row r="644">
          <cell r="F644" t="str">
            <v>US-BAAS Corporation-02/2025</v>
          </cell>
          <cell r="G644" t="str">
            <v>Net Off</v>
          </cell>
        </row>
        <row r="645">
          <cell r="F645" t="str">
            <v>US-CN-BAAS Corporation-01-2025</v>
          </cell>
          <cell r="G645" t="str">
            <v>Net Off</v>
          </cell>
        </row>
        <row r="646">
          <cell r="F646" t="str">
            <v>US-CN-BAAS Corporation-02-2025</v>
          </cell>
          <cell r="G646" t="str">
            <v>Net Off</v>
          </cell>
        </row>
        <row r="647">
          <cell r="F647" t="str">
            <v>SG-Banco Hipotecario-11/2022</v>
          </cell>
          <cell r="G647" t="str">
            <v>Settled</v>
          </cell>
        </row>
        <row r="648">
          <cell r="F648" t="str">
            <v>SG-Banco Hipotecario-12/2022</v>
          </cell>
          <cell r="G648" t="str">
            <v>Settled</v>
          </cell>
        </row>
        <row r="649">
          <cell r="F649" t="str">
            <v>SG-Banco Hipotecario-01/2023</v>
          </cell>
          <cell r="G649" t="str">
            <v>Settled</v>
          </cell>
        </row>
        <row r="650">
          <cell r="F650" t="str">
            <v>SG-BancoHipotecario-02/2023</v>
          </cell>
          <cell r="G650" t="str">
            <v>Settled</v>
          </cell>
        </row>
        <row r="651">
          <cell r="F651" t="str">
            <v>SG-BancoHipotecario-03/2023</v>
          </cell>
          <cell r="G651" t="str">
            <v>Settled</v>
          </cell>
        </row>
        <row r="652">
          <cell r="F652" t="str">
            <v>SG-BancoHipotecario-04/2023</v>
          </cell>
          <cell r="G652" t="str">
            <v>Settled</v>
          </cell>
        </row>
        <row r="653">
          <cell r="F653" t="str">
            <v>SG-BancoHipotecario-05/2023</v>
          </cell>
          <cell r="G653" t="str">
            <v>Settled</v>
          </cell>
        </row>
        <row r="654">
          <cell r="F654" t="str">
            <v>SG-BancoHipotecario-06/2023</v>
          </cell>
          <cell r="G654" t="str">
            <v>Settled</v>
          </cell>
        </row>
        <row r="655">
          <cell r="F655" t="str">
            <v>SG-BancoHipotecario-07/2023</v>
          </cell>
          <cell r="G655" t="str">
            <v>Settled</v>
          </cell>
        </row>
        <row r="656">
          <cell r="F656" t="str">
            <v>SG -BancoHipotecario-08/2023</v>
          </cell>
          <cell r="G656" t="str">
            <v>Settled</v>
          </cell>
        </row>
        <row r="657">
          <cell r="F657" t="str">
            <v>SG-BancoHipotecario-09/2023</v>
          </cell>
          <cell r="G657" t="str">
            <v>Settled</v>
          </cell>
        </row>
        <row r="658">
          <cell r="F658" t="str">
            <v>SG-BancoHipotecario-10/2023</v>
          </cell>
          <cell r="G658" t="str">
            <v>Settled</v>
          </cell>
        </row>
        <row r="659">
          <cell r="F659" t="str">
            <v>SG-BancoHipotecario-11/2023</v>
          </cell>
          <cell r="G659" t="str">
            <v>Settled</v>
          </cell>
        </row>
        <row r="660">
          <cell r="F660" t="str">
            <v>SG-BancoHipotecario-12/2023</v>
          </cell>
          <cell r="G660" t="str">
            <v>Settled</v>
          </cell>
        </row>
        <row r="661">
          <cell r="F661" t="str">
            <v>SG-BancoHipotecario-01/2024</v>
          </cell>
          <cell r="G661" t="str">
            <v>Settled</v>
          </cell>
        </row>
        <row r="662">
          <cell r="F662" t="str">
            <v>SG-BancoHipotecario-02/2024</v>
          </cell>
          <cell r="G662" t="str">
            <v>Settled</v>
          </cell>
        </row>
        <row r="663">
          <cell r="F663" t="str">
            <v>SG-BancoHipotecario-03/2024</v>
          </cell>
          <cell r="G663" t="str">
            <v>Settled</v>
          </cell>
        </row>
        <row r="664">
          <cell r="F664" t="str">
            <v>SG-BancoHipotecario-04/2024</v>
          </cell>
          <cell r="G664" t="str">
            <v>Settled</v>
          </cell>
        </row>
        <row r="665">
          <cell r="F665" t="str">
            <v>SG-BancoHipotecario-05/2024</v>
          </cell>
          <cell r="G665" t="str">
            <v>Settled</v>
          </cell>
        </row>
        <row r="666">
          <cell r="F666" t="str">
            <v>SG-BancoHipotecario-06/2024</v>
          </cell>
          <cell r="G666" t="str">
            <v>Settled</v>
          </cell>
        </row>
        <row r="667">
          <cell r="F667" t="str">
            <v>SG-BancoHipotecario-07/2024</v>
          </cell>
          <cell r="G667" t="str">
            <v>Settled</v>
          </cell>
        </row>
        <row r="668">
          <cell r="F668" t="str">
            <v>SG-BancoHipotecario-08/2024</v>
          </cell>
          <cell r="G668" t="str">
            <v>Settled</v>
          </cell>
        </row>
        <row r="669">
          <cell r="F669" t="str">
            <v>SG-BancoHipotecario-09/2024</v>
          </cell>
          <cell r="G669" t="str">
            <v>Settled</v>
          </cell>
        </row>
        <row r="670">
          <cell r="F670" t="str">
            <v>SG-BancoHipotecario-10/2024</v>
          </cell>
          <cell r="G670" t="str">
            <v>Settled</v>
          </cell>
        </row>
        <row r="671">
          <cell r="F671" t="str">
            <v>SG-BancoHipotecario-11/2024</v>
          </cell>
          <cell r="G671" t="str">
            <v>Settled</v>
          </cell>
        </row>
        <row r="672">
          <cell r="F672" t="str">
            <v>SG-BancoHipotecario-12/2024</v>
          </cell>
          <cell r="G672" t="str">
            <v>Settled</v>
          </cell>
        </row>
        <row r="673">
          <cell r="F673" t="str">
            <v>SG-BancoHipotecario-01/2025</v>
          </cell>
          <cell r="G673" t="str">
            <v>Settled</v>
          </cell>
        </row>
        <row r="674">
          <cell r="F674" t="str">
            <v>SG-BancoHipotecario-02/2025</v>
          </cell>
          <cell r="G674" t="str">
            <v>Settled</v>
          </cell>
        </row>
        <row r="675">
          <cell r="F675" t="str">
            <v>SG-BancoHipotecario-03/2025</v>
          </cell>
          <cell r="G675" t="str">
            <v>Settled</v>
          </cell>
        </row>
        <row r="676">
          <cell r="F676" t="str">
            <v>SG-BancoHipotecario-04/2025</v>
          </cell>
          <cell r="G676" t="str">
            <v>Settled</v>
          </cell>
        </row>
        <row r="677">
          <cell r="F677" t="str">
            <v>SG-BancoHipotecario-05/2025</v>
          </cell>
          <cell r="G677" t="str">
            <v>Settled</v>
          </cell>
        </row>
        <row r="678">
          <cell r="F678" t="str">
            <v>SG-BancoHipotecario-06/2025</v>
          </cell>
          <cell r="G678" t="str">
            <v>Settled</v>
          </cell>
        </row>
        <row r="679">
          <cell r="F679" t="str">
            <v>SG-BancoHipotecario-07/2025</v>
          </cell>
          <cell r="G679" t="str">
            <v>Settled</v>
          </cell>
        </row>
        <row r="680">
          <cell r="F680" t="str">
            <v>SG-BancoHipotecario-08/2025</v>
          </cell>
          <cell r="G680" t="str">
            <v>Settled</v>
          </cell>
        </row>
        <row r="681">
          <cell r="F681" t="str">
            <v>SG-BancoHipotecario-09/2025</v>
          </cell>
          <cell r="G681" t="str">
            <v>Settled</v>
          </cell>
        </row>
        <row r="682">
          <cell r="F682" t="str">
            <v>SG-BancoHipotecario-10/2025</v>
          </cell>
          <cell r="G682" t="str">
            <v>Settled</v>
          </cell>
        </row>
        <row r="683">
          <cell r="F683" t="str">
            <v>SG-BancoHipotecario-11/2025</v>
          </cell>
          <cell r="G683" t="str">
            <v>Settled</v>
          </cell>
        </row>
        <row r="684">
          <cell r="F684" t="str">
            <v>SG-BancoHipotecario-12/2025</v>
          </cell>
          <cell r="G684" t="str">
            <v>Settled</v>
          </cell>
        </row>
        <row r="685">
          <cell r="F685" t="str">
            <v>SG-BancoHipotecario-01/2026</v>
          </cell>
          <cell r="G685" t="str">
            <v>Settled</v>
          </cell>
        </row>
        <row r="686">
          <cell r="F686" t="str">
            <v>SG-BancoHipotecario-02/2026</v>
          </cell>
          <cell r="G686" t="str">
            <v>Settled</v>
          </cell>
        </row>
        <row r="687">
          <cell r="F687" t="str">
            <v>SG-Banco Ourinvest S.A.-04/2023</v>
          </cell>
          <cell r="G687" t="str">
            <v>Settled</v>
          </cell>
        </row>
        <row r="688">
          <cell r="F688" t="str">
            <v>SG-Banco Ourinvest S.A.-05/2023</v>
          </cell>
          <cell r="G688" t="str">
            <v>Settled</v>
          </cell>
        </row>
        <row r="689">
          <cell r="F689" t="str">
            <v>SG-Banco Ourinvest S.A.-06/2023</v>
          </cell>
          <cell r="G689" t="str">
            <v>Settled</v>
          </cell>
        </row>
        <row r="690">
          <cell r="F690" t="str">
            <v>SG-Banco Ourinvest S.A.-07/2023</v>
          </cell>
          <cell r="G690" t="str">
            <v>Settled</v>
          </cell>
        </row>
        <row r="691">
          <cell r="F691" t="str">
            <v>SG -Banco Ourinvest S.A.-08/2023</v>
          </cell>
          <cell r="G691" t="str">
            <v>Settled</v>
          </cell>
        </row>
        <row r="692">
          <cell r="F692" t="str">
            <v>SG-Banco Ourinvest-09/2023</v>
          </cell>
          <cell r="G692" t="str">
            <v>Settled</v>
          </cell>
        </row>
        <row r="693">
          <cell r="F693" t="str">
            <v>SG-Banco Ourinvest-10/2023</v>
          </cell>
          <cell r="G693" t="str">
            <v>Settled</v>
          </cell>
        </row>
        <row r="694">
          <cell r="F694" t="str">
            <v>SG-Banco Ourinvest S.A.-11/2023</v>
          </cell>
          <cell r="G694" t="str">
            <v>Settled</v>
          </cell>
        </row>
        <row r="695">
          <cell r="F695" t="str">
            <v>SG-Banco Ourinvest-12/2023</v>
          </cell>
          <cell r="G695" t="str">
            <v>Settled</v>
          </cell>
        </row>
        <row r="696">
          <cell r="F696" t="str">
            <v>SG-Banco Ourinvest S.A.-01/2024</v>
          </cell>
          <cell r="G696" t="str">
            <v>Settled</v>
          </cell>
        </row>
        <row r="697">
          <cell r="F697" t="str">
            <v>SG-Banco Ourinvest S.A.-02/2024</v>
          </cell>
          <cell r="G697" t="str">
            <v>Settled</v>
          </cell>
        </row>
        <row r="698">
          <cell r="F698" t="str">
            <v>SG-Banco Ourinvest S.A.-03/2024</v>
          </cell>
          <cell r="G698" t="str">
            <v>Settled</v>
          </cell>
        </row>
        <row r="699">
          <cell r="F699" t="str">
            <v>SG-Banco Ourinvest S.A.-04/2024</v>
          </cell>
          <cell r="G699" t="str">
            <v>Settled</v>
          </cell>
        </row>
        <row r="700">
          <cell r="F700" t="str">
            <v>SG-Banco Ourinvest S.A.-05/2024</v>
          </cell>
          <cell r="G700" t="str">
            <v>Settled</v>
          </cell>
        </row>
        <row r="701">
          <cell r="F701" t="str">
            <v>SG-Banco Ourinvest S.A.-06/2024</v>
          </cell>
          <cell r="G701" t="str">
            <v>Settled</v>
          </cell>
        </row>
        <row r="702">
          <cell r="F702" t="str">
            <v>SG-Banco Ourinvest S.A.-07/2024</v>
          </cell>
          <cell r="G702" t="str">
            <v>Settled</v>
          </cell>
        </row>
        <row r="703">
          <cell r="F703" t="str">
            <v>SG-Banco Ourinvest S.A.-08/2024</v>
          </cell>
          <cell r="G703" t="str">
            <v>Settled</v>
          </cell>
        </row>
        <row r="704">
          <cell r="F704" t="str">
            <v>SG-Banco Ourinvest S.A.-09/2024</v>
          </cell>
          <cell r="G704" t="str">
            <v>Settled</v>
          </cell>
        </row>
        <row r="705">
          <cell r="F705" t="str">
            <v>SG-Banco Ourinvest S.A.-10/2024</v>
          </cell>
          <cell r="G705" t="str">
            <v>Settled</v>
          </cell>
        </row>
        <row r="706">
          <cell r="F706" t="str">
            <v>SG-Banco Ourinvest S.A.-11/2024</v>
          </cell>
          <cell r="G706" t="str">
            <v>Settled</v>
          </cell>
        </row>
        <row r="707">
          <cell r="F707" t="str">
            <v>SG-Banco Ourinvest S.A.-12/2024</v>
          </cell>
          <cell r="G707" t="str">
            <v>Settled</v>
          </cell>
        </row>
        <row r="708">
          <cell r="F708" t="str">
            <v>SG-Banco Ourinvest S.A.-01/2025</v>
          </cell>
          <cell r="G708" t="str">
            <v>Settled</v>
          </cell>
        </row>
        <row r="709">
          <cell r="F709" t="str">
            <v>SG-Banco Ourinvest S.A.-02/2025</v>
          </cell>
          <cell r="G709" t="str">
            <v>Settled</v>
          </cell>
        </row>
        <row r="710">
          <cell r="F710" t="str">
            <v>SG-Banco Ourinvest S.A.-03/2025</v>
          </cell>
          <cell r="G710" t="str">
            <v>Settled</v>
          </cell>
        </row>
        <row r="711">
          <cell r="F711" t="str">
            <v>SG-Banco Ourinvest S.A.-04/2025</v>
          </cell>
          <cell r="G711" t="str">
            <v>Settled</v>
          </cell>
        </row>
        <row r="712">
          <cell r="F712" t="str">
            <v>SG-Beetech-11/2022</v>
          </cell>
          <cell r="G712" t="str">
            <v>Settled</v>
          </cell>
        </row>
        <row r="713">
          <cell r="F713" t="str">
            <v>SG-Beetech-12/2022</v>
          </cell>
          <cell r="G713" t="str">
            <v>Settled</v>
          </cell>
        </row>
        <row r="714">
          <cell r="F714" t="str">
            <v>SG-Beetech-01/2023</v>
          </cell>
          <cell r="G714" t="str">
            <v>Settled</v>
          </cell>
        </row>
        <row r="715">
          <cell r="F715" t="str">
            <v>SG-Beetech-02/2023</v>
          </cell>
          <cell r="G715" t="str">
            <v>Settled</v>
          </cell>
        </row>
        <row r="716">
          <cell r="F716" t="str">
            <v>SG-Beetech-03/2023</v>
          </cell>
          <cell r="G716" t="str">
            <v>Settled</v>
          </cell>
        </row>
        <row r="717">
          <cell r="F717" t="str">
            <v>SG-Beetech-04/2023</v>
          </cell>
          <cell r="G717" t="str">
            <v>Settled</v>
          </cell>
        </row>
        <row r="718">
          <cell r="F718" t="str">
            <v>SG-Beetech-05/2023</v>
          </cell>
          <cell r="G718" t="str">
            <v>Settled</v>
          </cell>
        </row>
        <row r="719">
          <cell r="F719" t="str">
            <v>SG-Beetech-06/2023</v>
          </cell>
          <cell r="G719" t="str">
            <v>Settled</v>
          </cell>
        </row>
        <row r="720">
          <cell r="F720" t="str">
            <v>SG-Banco Topazio-07/2023</v>
          </cell>
          <cell r="G720" t="str">
            <v>Settled</v>
          </cell>
        </row>
        <row r="721">
          <cell r="F721" t="str">
            <v>SG -Banco Topazio-08/2023</v>
          </cell>
          <cell r="G721" t="str">
            <v>Settled</v>
          </cell>
        </row>
        <row r="722">
          <cell r="F722" t="str">
            <v>SG-Banco Topazio-09/2023</v>
          </cell>
          <cell r="G722" t="str">
            <v>Settled</v>
          </cell>
        </row>
        <row r="723">
          <cell r="F723" t="str">
            <v>SG-Banco Topazio-10/2023</v>
          </cell>
          <cell r="G723" t="str">
            <v>Settled</v>
          </cell>
        </row>
        <row r="724">
          <cell r="F724" t="str">
            <v>SG-Banco Topazio-11/2023</v>
          </cell>
          <cell r="G724" t="str">
            <v>Settled</v>
          </cell>
        </row>
        <row r="725">
          <cell r="F725" t="str">
            <v>SG-Banco Topazio-12/2023</v>
          </cell>
          <cell r="G725" t="str">
            <v>Settled</v>
          </cell>
        </row>
        <row r="726">
          <cell r="F726" t="str">
            <v>SG-Banco Topazio-01/2024</v>
          </cell>
          <cell r="G726" t="str">
            <v>Settled</v>
          </cell>
        </row>
        <row r="727">
          <cell r="F727" t="str">
            <v>SG-Banco Topazio-02/2024</v>
          </cell>
          <cell r="G727" t="str">
            <v>Settled</v>
          </cell>
        </row>
        <row r="728">
          <cell r="F728" t="str">
            <v>SG-Banco Topazio-03/2024</v>
          </cell>
          <cell r="G728" t="str">
            <v>Settled</v>
          </cell>
        </row>
        <row r="729">
          <cell r="F729" t="str">
            <v>SG-Banco Topazio-04/2024</v>
          </cell>
          <cell r="G729" t="str">
            <v>Settled</v>
          </cell>
        </row>
        <row r="730">
          <cell r="F730" t="str">
            <v>SG-Banco Topazio-05/2024</v>
          </cell>
          <cell r="G730" t="str">
            <v>Settled</v>
          </cell>
        </row>
        <row r="731">
          <cell r="F731" t="str">
            <v>SG-Banco Topazio-06/2024</v>
          </cell>
          <cell r="G731" t="str">
            <v>Settled</v>
          </cell>
        </row>
        <row r="732">
          <cell r="F732" t="str">
            <v>SG-Banco Topazio-07/2024</v>
          </cell>
          <cell r="G732" t="str">
            <v>Settled</v>
          </cell>
        </row>
        <row r="733">
          <cell r="F733" t="str">
            <v>SG-Banco Topazio-08/2024</v>
          </cell>
          <cell r="G733" t="str">
            <v>Settled</v>
          </cell>
        </row>
        <row r="734">
          <cell r="F734" t="str">
            <v>SG-Banco Topazio-09/2024</v>
          </cell>
          <cell r="G734" t="str">
            <v>Settled</v>
          </cell>
        </row>
        <row r="735">
          <cell r="F735" t="str">
            <v>SG-Banco Topazio-10/2024</v>
          </cell>
          <cell r="G735" t="str">
            <v>Settled</v>
          </cell>
        </row>
        <row r="736">
          <cell r="F736" t="str">
            <v>SG-Banco Topazio-11/2024</v>
          </cell>
          <cell r="G736" t="str">
            <v>Settled</v>
          </cell>
        </row>
        <row r="737">
          <cell r="F737" t="str">
            <v>SG-Banco Topazio-12/2024</v>
          </cell>
          <cell r="G737" t="str">
            <v>Settled</v>
          </cell>
        </row>
        <row r="738">
          <cell r="F738" t="str">
            <v>SG-Banco Topazio-01/2025</v>
          </cell>
          <cell r="G738" t="str">
            <v>Settled</v>
          </cell>
        </row>
        <row r="739">
          <cell r="F739" t="str">
            <v>SG-Banco Topazio-02/2025</v>
          </cell>
          <cell r="G739" t="str">
            <v>Settled</v>
          </cell>
        </row>
        <row r="740">
          <cell r="F740" t="str">
            <v>SG-Banco Topazio-03/2025</v>
          </cell>
          <cell r="G740" t="str">
            <v>Settled</v>
          </cell>
        </row>
        <row r="741">
          <cell r="F741" t="str">
            <v>SG-Banco Topazio-04/2025</v>
          </cell>
          <cell r="G741" t="str">
            <v>Settled</v>
          </cell>
        </row>
        <row r="742">
          <cell r="F742" t="str">
            <v>SG-Banco Topazio-05/2025</v>
          </cell>
          <cell r="G742" t="str">
            <v>Settled</v>
          </cell>
        </row>
        <row r="743">
          <cell r="F743" t="str">
            <v>SG-Banco Topazio-06/2025</v>
          </cell>
          <cell r="G743" t="str">
            <v>Settled</v>
          </cell>
        </row>
        <row r="744">
          <cell r="F744" t="str">
            <v>SG-Banco Topazio-07/2025</v>
          </cell>
          <cell r="G744" t="str">
            <v>Settled</v>
          </cell>
        </row>
        <row r="745">
          <cell r="F745" t="str">
            <v>SG-Banco Topazio-08/2025</v>
          </cell>
          <cell r="G745" t="str">
            <v>Settled</v>
          </cell>
        </row>
        <row r="746">
          <cell r="F746" t="str">
            <v>SG-Banco Topazio-09/2025</v>
          </cell>
          <cell r="G746" t="str">
            <v>Settled</v>
          </cell>
        </row>
        <row r="747">
          <cell r="F747" t="str">
            <v>SG-Banco Topazio-10/2025</v>
          </cell>
          <cell r="G747" t="str">
            <v>Settled</v>
          </cell>
        </row>
        <row r="748">
          <cell r="F748" t="str">
            <v>SG-Banco Topazio-11/2025</v>
          </cell>
          <cell r="G748" t="str">
            <v>Settled</v>
          </cell>
        </row>
        <row r="749">
          <cell r="F749" t="str">
            <v>SG-Banco Topazio-12/2025</v>
          </cell>
          <cell r="G749" t="str">
            <v>Settled</v>
          </cell>
        </row>
        <row r="750">
          <cell r="F750" t="str">
            <v>SG-Banco Topazio-01/2026</v>
          </cell>
          <cell r="G750" t="str">
            <v>Settled</v>
          </cell>
        </row>
        <row r="751">
          <cell r="F751" t="str">
            <v>SG-Banco Topazio-02/2026</v>
          </cell>
          <cell r="G751" t="str">
            <v>Overdue</v>
          </cell>
        </row>
        <row r="752">
          <cell r="F752" t="str">
            <v>SG-band of broz-06/2023</v>
          </cell>
          <cell r="G752" t="str">
            <v>Settled</v>
          </cell>
        </row>
        <row r="753">
          <cell r="F753" t="str">
            <v>SG-band of broz-07/2023</v>
          </cell>
          <cell r="G753" t="str">
            <v>Settled</v>
          </cell>
        </row>
        <row r="754">
          <cell r="F754" t="str">
            <v>SG -band of broz-08/2023</v>
          </cell>
          <cell r="G754" t="str">
            <v>Settled</v>
          </cell>
        </row>
        <row r="755">
          <cell r="F755" t="str">
            <v>SG-band of broz-09/2023</v>
          </cell>
          <cell r="G755" t="str">
            <v>Settled</v>
          </cell>
        </row>
        <row r="756">
          <cell r="F756" t="str">
            <v>SG-band of broz-10/2023</v>
          </cell>
          <cell r="G756" t="str">
            <v>Settled</v>
          </cell>
        </row>
        <row r="757">
          <cell r="F757" t="str">
            <v>SG-band of broz-11/2023</v>
          </cell>
          <cell r="G757" t="str">
            <v>Settled</v>
          </cell>
        </row>
        <row r="758">
          <cell r="F758" t="str">
            <v>SG-band of broz-12/2023</v>
          </cell>
          <cell r="G758" t="str">
            <v>Settled</v>
          </cell>
        </row>
        <row r="759">
          <cell r="F759" t="str">
            <v>SG-band of broz-01/2024</v>
          </cell>
          <cell r="G759" t="str">
            <v>Settled</v>
          </cell>
        </row>
        <row r="760">
          <cell r="F760" t="str">
            <v>SG-CN-band of broz-01-2024</v>
          </cell>
          <cell r="G760" t="str">
            <v>Settled</v>
          </cell>
        </row>
        <row r="761">
          <cell r="F761" t="str">
            <v>SG -band of broz-03/2022</v>
          </cell>
          <cell r="G761" t="str">
            <v>Settled</v>
          </cell>
        </row>
        <row r="762">
          <cell r="F762" t="str">
            <v>SG -band of broz-06/2022</v>
          </cell>
          <cell r="G762" t="str">
            <v>Settled</v>
          </cell>
        </row>
        <row r="763">
          <cell r="F763" t="str">
            <v>SG-band of broz-08/2022</v>
          </cell>
          <cell r="G763" t="str">
            <v>Settled</v>
          </cell>
        </row>
        <row r="764">
          <cell r="F764" t="str">
            <v>SG-band of broz-09/2022</v>
          </cell>
          <cell r="G764" t="str">
            <v>Settled</v>
          </cell>
        </row>
        <row r="765">
          <cell r="F765" t="str">
            <v>SG-band of broz-10/2022</v>
          </cell>
          <cell r="G765" t="str">
            <v>Settled</v>
          </cell>
        </row>
        <row r="766">
          <cell r="F766" t="str">
            <v>SG-band of broz-11/2022</v>
          </cell>
          <cell r="G766" t="str">
            <v>Settled</v>
          </cell>
        </row>
        <row r="767">
          <cell r="F767" t="str">
            <v>SG-band of broz-12/2022</v>
          </cell>
          <cell r="G767" t="str">
            <v>Settled</v>
          </cell>
        </row>
        <row r="768">
          <cell r="F768" t="str">
            <v>SG-band of broz-01/2023</v>
          </cell>
          <cell r="G768" t="str">
            <v>Settled</v>
          </cell>
        </row>
        <row r="769">
          <cell r="F769" t="str">
            <v>SG-band of broz-02/2023</v>
          </cell>
          <cell r="G769" t="str">
            <v>Settled</v>
          </cell>
        </row>
        <row r="770">
          <cell r="F770" t="str">
            <v>SG-band of broz-05/2023</v>
          </cell>
          <cell r="G770" t="str">
            <v>Settled</v>
          </cell>
        </row>
        <row r="771">
          <cell r="F771" t="str">
            <v>SG-Bank of ayudhya public company-12/2022</v>
          </cell>
          <cell r="G771" t="str">
            <v>Settled</v>
          </cell>
        </row>
        <row r="772">
          <cell r="F772" t="str">
            <v>SG-Bank of ayudhya public company-01/2023</v>
          </cell>
          <cell r="G772" t="str">
            <v>Settled</v>
          </cell>
        </row>
        <row r="773">
          <cell r="F773" t="str">
            <v>SG-Bankofayudhya-02/2023</v>
          </cell>
          <cell r="G773" t="str">
            <v>Settled</v>
          </cell>
        </row>
        <row r="774">
          <cell r="F774" t="str">
            <v>SG-Bankofayudhya-03/2023</v>
          </cell>
          <cell r="G774" t="str">
            <v>Settled</v>
          </cell>
        </row>
        <row r="775">
          <cell r="F775" t="str">
            <v>SG-Bankofayudhya-04/2023</v>
          </cell>
          <cell r="G775" t="str">
            <v>Settled</v>
          </cell>
        </row>
        <row r="776">
          <cell r="F776" t="str">
            <v>SG-Bankofayudhya-05/2023</v>
          </cell>
          <cell r="G776" t="str">
            <v>Settled</v>
          </cell>
        </row>
        <row r="777">
          <cell r="F777" t="str">
            <v>SG-Bankofayudhya-06/2023</v>
          </cell>
          <cell r="G777" t="str">
            <v>Settled</v>
          </cell>
        </row>
        <row r="778">
          <cell r="F778" t="str">
            <v>SG-Bankofayudhya-07/2023</v>
          </cell>
          <cell r="G778" t="str">
            <v>Settled</v>
          </cell>
        </row>
        <row r="779">
          <cell r="F779" t="str">
            <v>SG -Bankofayudhya-08/2023</v>
          </cell>
          <cell r="G779" t="str">
            <v>Settled</v>
          </cell>
        </row>
        <row r="780">
          <cell r="F780" t="str">
            <v>SG-Bankofayudhya-09/2023</v>
          </cell>
          <cell r="G780" t="str">
            <v>Settled</v>
          </cell>
        </row>
        <row r="781">
          <cell r="F781" t="str">
            <v>SG-Bankofayudhya-10/2023</v>
          </cell>
          <cell r="G781" t="str">
            <v>Settled</v>
          </cell>
        </row>
        <row r="782">
          <cell r="F782" t="str">
            <v>SG-Bankofayudhya-11/2023</v>
          </cell>
          <cell r="G782" t="str">
            <v>Settled</v>
          </cell>
        </row>
        <row r="783">
          <cell r="F783" t="str">
            <v>SG-Bankofayudhya-12/2023</v>
          </cell>
          <cell r="G783" t="str">
            <v>Settled</v>
          </cell>
        </row>
        <row r="784">
          <cell r="F784" t="str">
            <v>SG-Bankofayudhya-01/2024</v>
          </cell>
          <cell r="G784" t="str">
            <v>Settled</v>
          </cell>
        </row>
        <row r="785">
          <cell r="F785" t="str">
            <v>SG-Bankofayudhya-02/2024</v>
          </cell>
          <cell r="G785" t="str">
            <v>Settled</v>
          </cell>
        </row>
        <row r="786">
          <cell r="F786" t="str">
            <v>SG-Bankofayudhya-03/2024</v>
          </cell>
          <cell r="G786" t="str">
            <v>Settled</v>
          </cell>
        </row>
        <row r="787">
          <cell r="F787" t="str">
            <v>SG-Bankofayudhya-04/2024</v>
          </cell>
          <cell r="G787" t="str">
            <v>Settled</v>
          </cell>
        </row>
        <row r="788">
          <cell r="F788" t="str">
            <v>SG-Bankofayudhya-05/2024</v>
          </cell>
          <cell r="G788" t="str">
            <v>Settled</v>
          </cell>
        </row>
        <row r="789">
          <cell r="F789" t="str">
            <v>SG-Bankofayudhya-06/2024</v>
          </cell>
          <cell r="G789" t="str">
            <v>Settled</v>
          </cell>
        </row>
        <row r="790">
          <cell r="F790" t="str">
            <v>SG-Bankofayudhya-07/2024</v>
          </cell>
          <cell r="G790" t="str">
            <v>Settled</v>
          </cell>
        </row>
        <row r="791">
          <cell r="F791" t="str">
            <v>SG-Bankofayudhya-08/2024</v>
          </cell>
          <cell r="G791" t="str">
            <v>Settled</v>
          </cell>
        </row>
        <row r="792">
          <cell r="F792" t="str">
            <v>SG-Bankofayudhya-09/2024</v>
          </cell>
          <cell r="G792" t="str">
            <v>Settled</v>
          </cell>
        </row>
        <row r="793">
          <cell r="F793" t="str">
            <v>SG-Bankofayudhya-10/2024</v>
          </cell>
          <cell r="G793" t="str">
            <v>Settled</v>
          </cell>
        </row>
        <row r="794">
          <cell r="F794" t="str">
            <v>SG-Bankofayudhya-11/2024</v>
          </cell>
          <cell r="G794" t="str">
            <v>Settled</v>
          </cell>
        </row>
        <row r="795">
          <cell r="F795" t="str">
            <v>SG-Bankofayudhya-12/2024</v>
          </cell>
          <cell r="G795" t="str">
            <v>Settled</v>
          </cell>
        </row>
        <row r="796">
          <cell r="F796" t="str">
            <v>SG-Bankofayudhya-01/2025</v>
          </cell>
          <cell r="G796" t="str">
            <v>Settled</v>
          </cell>
        </row>
        <row r="797">
          <cell r="F797" t="str">
            <v>SG-Bankofayudhya-02/2025</v>
          </cell>
          <cell r="G797" t="str">
            <v>Settled</v>
          </cell>
        </row>
        <row r="798">
          <cell r="F798" t="str">
            <v>SG-Bankofayudhya-03/2025</v>
          </cell>
          <cell r="G798" t="str">
            <v>Settled</v>
          </cell>
        </row>
        <row r="799">
          <cell r="F799" t="str">
            <v>SG-Bankofayudhya-04/2025</v>
          </cell>
          <cell r="G799" t="str">
            <v>Settled</v>
          </cell>
        </row>
        <row r="800">
          <cell r="F800" t="str">
            <v>SG-Bankofayudhya-05/2025</v>
          </cell>
          <cell r="G800" t="str">
            <v>Settled</v>
          </cell>
        </row>
        <row r="801">
          <cell r="F801" t="str">
            <v>SG-Bankofayudhya-06/2025</v>
          </cell>
          <cell r="G801" t="str">
            <v>Settled</v>
          </cell>
        </row>
        <row r="802">
          <cell r="F802" t="str">
            <v>SG-Bankofayudhya-07/2025</v>
          </cell>
          <cell r="G802" t="str">
            <v>Settled</v>
          </cell>
        </row>
        <row r="803">
          <cell r="F803" t="str">
            <v>SG-Bank Topazio-11/2022</v>
          </cell>
          <cell r="G803" t="str">
            <v>Settled</v>
          </cell>
        </row>
        <row r="804">
          <cell r="F804" t="str">
            <v>SG-Bank Topazio-12/2022</v>
          </cell>
          <cell r="G804" t="str">
            <v>Settled</v>
          </cell>
        </row>
        <row r="805">
          <cell r="F805" t="str">
            <v>SG-Bank Topazio-01/2023</v>
          </cell>
          <cell r="G805" t="str">
            <v>Settled</v>
          </cell>
        </row>
        <row r="806">
          <cell r="F806" t="str">
            <v>SG-BEXS BANCO DE CAMBIO-07/2024</v>
          </cell>
          <cell r="G806" t="str">
            <v>Settled</v>
          </cell>
        </row>
        <row r="807">
          <cell r="F807" t="str">
            <v>SG-BEXS BANCO DE CAMBIO-08/2024</v>
          </cell>
          <cell r="G807" t="str">
            <v>Settled</v>
          </cell>
        </row>
        <row r="808">
          <cell r="F808" t="str">
            <v>SG-BEXS BANCO DE CAMBIO-09/2024</v>
          </cell>
          <cell r="G808" t="str">
            <v>Settled</v>
          </cell>
        </row>
        <row r="809">
          <cell r="F809" t="str">
            <v>SG-BEXS BANCO DE CAMBIO-10/2024</v>
          </cell>
          <cell r="G809" t="str">
            <v>Settled</v>
          </cell>
        </row>
        <row r="810">
          <cell r="F810" t="str">
            <v>SG-BEXS BANCO DE CAMBIO-11/2024</v>
          </cell>
          <cell r="G810" t="str">
            <v>Settled</v>
          </cell>
        </row>
        <row r="811">
          <cell r="F811" t="str">
            <v>SG-BEXS BANCO DE CAMBIO-12/2024</v>
          </cell>
          <cell r="G811" t="str">
            <v>Settled</v>
          </cell>
        </row>
        <row r="812">
          <cell r="F812" t="str">
            <v>SG-BEXS BANCO DE CAMBIO-01/2025</v>
          </cell>
          <cell r="G812" t="str">
            <v>Settled</v>
          </cell>
        </row>
        <row r="813">
          <cell r="F813" t="str">
            <v>SG-BEXS BANCO DE CAMBIO-02/2025</v>
          </cell>
          <cell r="G813" t="str">
            <v>Settled</v>
          </cell>
        </row>
        <row r="814">
          <cell r="F814" t="str">
            <v>SG-BEXS BANCO DE CAMBIO-03/2025</v>
          </cell>
          <cell r="G814" t="str">
            <v>Settled</v>
          </cell>
        </row>
        <row r="815">
          <cell r="F815" t="str">
            <v>SG-BEXS BANCO DE CAMBIO-04/2025</v>
          </cell>
          <cell r="G815" t="str">
            <v>Settled</v>
          </cell>
        </row>
        <row r="816">
          <cell r="F816" t="str">
            <v>SG-BEXS BANCO DE CAMBIO-05/2025</v>
          </cell>
          <cell r="G816" t="str">
            <v>Settled</v>
          </cell>
        </row>
        <row r="817">
          <cell r="F817" t="str">
            <v>SG-BEXS BANCO DE CAMBIO-06/2025</v>
          </cell>
          <cell r="G817" t="str">
            <v>Settled</v>
          </cell>
        </row>
        <row r="818">
          <cell r="F818" t="str">
            <v>SG-BEXS BANCO DE CAMBIO-07/2025</v>
          </cell>
          <cell r="G818" t="str">
            <v>Settled</v>
          </cell>
        </row>
        <row r="819">
          <cell r="F819" t="str">
            <v>SG-AD-BEXS BANCO DE CAMBIO-08-2025</v>
          </cell>
          <cell r="G819" t="str">
            <v>Settled</v>
          </cell>
        </row>
        <row r="820">
          <cell r="F820" t="str">
            <v>SG-BEXS BANCO DE CAMBIO-08/2025</v>
          </cell>
          <cell r="G820" t="str">
            <v>Settled</v>
          </cell>
        </row>
        <row r="821">
          <cell r="F821" t="str">
            <v>SG-BEXS BANCO DE CAMBIO-09/2025</v>
          </cell>
          <cell r="G821" t="str">
            <v>Settled</v>
          </cell>
        </row>
        <row r="822">
          <cell r="F822" t="str">
            <v>SG-BEXS BANCO DE CAMBIO-10/2025</v>
          </cell>
          <cell r="G822" t="str">
            <v>Settled</v>
          </cell>
        </row>
        <row r="823">
          <cell r="F823" t="str">
            <v>SG-BEXS BANCO DE CAMBIO-11/2025</v>
          </cell>
          <cell r="G823" t="str">
            <v>Settled</v>
          </cell>
        </row>
        <row r="824">
          <cell r="F824" t="str">
            <v>SG-BEXS BANCO DE CAMBIO-12/2025</v>
          </cell>
          <cell r="G824" t="str">
            <v>Settled</v>
          </cell>
        </row>
        <row r="825">
          <cell r="F825" t="str">
            <v>SG-BEXS BANCO DE CAMBIO-01/2026</v>
          </cell>
          <cell r="G825" t="str">
            <v>Settled</v>
          </cell>
        </row>
        <row r="826">
          <cell r="F826" t="str">
            <v>SG-BEXS BANCO DE CAMBIO-02/2026</v>
          </cell>
          <cell r="G826" t="str">
            <v>Settled</v>
          </cell>
        </row>
        <row r="827">
          <cell r="F827" t="str">
            <v>SG- big crunch digital pte ltd-12/2022</v>
          </cell>
          <cell r="G827" t="str">
            <v>Reversed</v>
          </cell>
        </row>
        <row r="828">
          <cell r="F828" t="str">
            <v>SG-Bigo Technology Pte Ltd-11/2022</v>
          </cell>
          <cell r="G828" t="str">
            <v>Settled</v>
          </cell>
        </row>
        <row r="829">
          <cell r="F829" t="str">
            <v>SG-Bigo Technology Pte Ltd-12/2022</v>
          </cell>
          <cell r="G829" t="str">
            <v>Settled</v>
          </cell>
        </row>
        <row r="830">
          <cell r="F830" t="str">
            <v>SG-Bigo Technology Pte Ltd-01/2023</v>
          </cell>
          <cell r="G830" t="str">
            <v>Settled</v>
          </cell>
        </row>
        <row r="831">
          <cell r="F831" t="str">
            <v>SG-BigoTechnology-02/2023</v>
          </cell>
          <cell r="G831" t="str">
            <v>Settled</v>
          </cell>
        </row>
        <row r="832">
          <cell r="F832" t="str">
            <v>SG-BigoTechnology-03/2023</v>
          </cell>
          <cell r="G832" t="str">
            <v>Settled</v>
          </cell>
        </row>
        <row r="833">
          <cell r="F833" t="str">
            <v>SG-BigoTechnology-04/2023</v>
          </cell>
          <cell r="G833" t="str">
            <v>Settled</v>
          </cell>
        </row>
        <row r="834">
          <cell r="F834" t="str">
            <v>SG-BigoTechnology-05/2023</v>
          </cell>
          <cell r="G834" t="str">
            <v>Settled</v>
          </cell>
        </row>
        <row r="835">
          <cell r="F835" t="str">
            <v>SG-BigoTechnology-06/2023</v>
          </cell>
          <cell r="G835" t="str">
            <v>Settled</v>
          </cell>
        </row>
        <row r="836">
          <cell r="F836" t="str">
            <v>SG-BigoTechnology-07/2023</v>
          </cell>
          <cell r="G836" t="str">
            <v>Settled</v>
          </cell>
        </row>
        <row r="837">
          <cell r="F837" t="str">
            <v>SG -BigoTechnology-08/2023</v>
          </cell>
          <cell r="G837" t="str">
            <v>Settled</v>
          </cell>
        </row>
        <row r="838">
          <cell r="F838" t="str">
            <v>SG -BigoTechnology-CR-08/2023</v>
          </cell>
          <cell r="G838" t="str">
            <v>Settled</v>
          </cell>
        </row>
        <row r="839">
          <cell r="F839" t="str">
            <v>SG-BigoTechnology-09/2023</v>
          </cell>
          <cell r="G839" t="str">
            <v>Settled</v>
          </cell>
        </row>
        <row r="840">
          <cell r="F840" t="str">
            <v>SG-BigoTechnology-10/2023</v>
          </cell>
          <cell r="G840" t="str">
            <v>Settled</v>
          </cell>
        </row>
        <row r="841">
          <cell r="F841" t="str">
            <v>SG-BigoTechnology-11/2023</v>
          </cell>
          <cell r="G841" t="str">
            <v>Settled</v>
          </cell>
        </row>
        <row r="842">
          <cell r="F842" t="str">
            <v>SG -BigoTechnology-CR-12/2023</v>
          </cell>
          <cell r="G842" t="str">
            <v>Settled</v>
          </cell>
        </row>
        <row r="843">
          <cell r="F843" t="str">
            <v>SG-BigoTechnology-12/2023</v>
          </cell>
          <cell r="G843" t="str">
            <v>Settled</v>
          </cell>
        </row>
        <row r="844">
          <cell r="F844" t="str">
            <v>SG-BigoTechnology-01/2024</v>
          </cell>
          <cell r="G844" t="str">
            <v>Settled</v>
          </cell>
        </row>
        <row r="845">
          <cell r="F845" t="str">
            <v>SG-BigoTechnology-02/2024</v>
          </cell>
          <cell r="G845" t="str">
            <v>Settled</v>
          </cell>
        </row>
        <row r="846">
          <cell r="F846" t="str">
            <v>SG-BigoTechnology-03/2024</v>
          </cell>
          <cell r="G846" t="str">
            <v>Settled</v>
          </cell>
        </row>
        <row r="847">
          <cell r="F847" t="str">
            <v>SG-BigoTechnology-04/2024</v>
          </cell>
          <cell r="G847" t="str">
            <v>Settled</v>
          </cell>
        </row>
        <row r="848">
          <cell r="F848" t="str">
            <v>SG-BigoTechnology-05/2024</v>
          </cell>
          <cell r="G848" t="str">
            <v>Settled</v>
          </cell>
        </row>
        <row r="849">
          <cell r="F849" t="str">
            <v>SG-BigoTechnology-06/2024</v>
          </cell>
          <cell r="G849" t="str">
            <v>Settled</v>
          </cell>
        </row>
        <row r="850">
          <cell r="F850" t="str">
            <v>SG-BigoTechnology-07/2024</v>
          </cell>
          <cell r="G850" t="str">
            <v>Settled</v>
          </cell>
        </row>
        <row r="851">
          <cell r="F851" t="str">
            <v>SG-BigoTechnology-08/2024</v>
          </cell>
          <cell r="G851" t="str">
            <v>Settled</v>
          </cell>
        </row>
        <row r="852">
          <cell r="F852" t="str">
            <v>SG-BigoTechnology-09/2024</v>
          </cell>
          <cell r="G852" t="str">
            <v>Settled</v>
          </cell>
        </row>
        <row r="853">
          <cell r="F853" t="str">
            <v>SG-BigoTechnology-10/2024</v>
          </cell>
          <cell r="G853" t="str">
            <v>Settled</v>
          </cell>
        </row>
        <row r="854">
          <cell r="F854" t="str">
            <v>SG-BigoTechnology-11/2024</v>
          </cell>
          <cell r="G854" t="str">
            <v>Settled</v>
          </cell>
        </row>
        <row r="855">
          <cell r="F855" t="str">
            <v>SG-BigoTechnology-12/2024</v>
          </cell>
          <cell r="G855" t="str">
            <v>Settled</v>
          </cell>
        </row>
        <row r="856">
          <cell r="F856" t="str">
            <v>SG-BigoTechnology-01/2025</v>
          </cell>
          <cell r="G856" t="str">
            <v>Settled</v>
          </cell>
        </row>
        <row r="857">
          <cell r="F857" t="str">
            <v>SG-BigoTechnology-02/2025</v>
          </cell>
          <cell r="G857" t="str">
            <v>Settled</v>
          </cell>
        </row>
        <row r="858">
          <cell r="F858" t="str">
            <v>SG-BigoTechnology-03/2025</v>
          </cell>
          <cell r="G858" t="str">
            <v>Settled</v>
          </cell>
        </row>
        <row r="859">
          <cell r="F859" t="str">
            <v>SG-BigoTechnology-04/2025</v>
          </cell>
          <cell r="G859" t="str">
            <v>Settled</v>
          </cell>
        </row>
        <row r="860">
          <cell r="F860" t="str">
            <v>SG-BigoTechnology-05/2025</v>
          </cell>
          <cell r="G860" t="str">
            <v>Settled</v>
          </cell>
        </row>
        <row r="861">
          <cell r="F861" t="str">
            <v>SG-BigoTechnology-06/2025</v>
          </cell>
          <cell r="G861" t="str">
            <v>Settled</v>
          </cell>
        </row>
        <row r="862">
          <cell r="F862" t="str">
            <v>SG-BigoTechnology-07/2025</v>
          </cell>
          <cell r="G862" t="str">
            <v>Settled</v>
          </cell>
        </row>
        <row r="863">
          <cell r="F863" t="str">
            <v>SG-BigoTechnology-08/2025</v>
          </cell>
          <cell r="G863" t="str">
            <v>Settled</v>
          </cell>
        </row>
        <row r="864">
          <cell r="F864" t="str">
            <v>SG-BigoTechnology-09/2025</v>
          </cell>
          <cell r="G864" t="str">
            <v>Settled</v>
          </cell>
        </row>
        <row r="865">
          <cell r="F865" t="str">
            <v>SG-BigoTechnology-10/2025</v>
          </cell>
          <cell r="G865" t="str">
            <v>Settled</v>
          </cell>
        </row>
        <row r="866">
          <cell r="F866" t="str">
            <v>SG-BigoTechnology-11/2025</v>
          </cell>
          <cell r="G866" t="str">
            <v>Settled</v>
          </cell>
        </row>
        <row r="867">
          <cell r="F867" t="str">
            <v>SG-BigoTechnology-12/2025</v>
          </cell>
          <cell r="G867" t="str">
            <v>Settled</v>
          </cell>
        </row>
        <row r="868">
          <cell r="F868" t="str">
            <v>SG-BigoTechnology-01/2026</v>
          </cell>
          <cell r="G868" t="str">
            <v>Settled</v>
          </cell>
        </row>
        <row r="869">
          <cell r="F869" t="str">
            <v>SG-BigoTechnology-02/2026</v>
          </cell>
          <cell r="G869" t="str">
            <v>Settled</v>
          </cell>
        </row>
        <row r="870">
          <cell r="F870" t="str">
            <v>SG-Boltzemo Financial Services Inc.-12/2022</v>
          </cell>
          <cell r="G870" t="str">
            <v>Settled</v>
          </cell>
        </row>
        <row r="871">
          <cell r="F871" t="str">
            <v>SG-Boltzemo Financial Services Inc.-01/2023</v>
          </cell>
          <cell r="G871" t="str">
            <v>Settled</v>
          </cell>
        </row>
        <row r="872">
          <cell r="F872" t="str">
            <v>SG-Boltzemo-02/2023</v>
          </cell>
          <cell r="G872" t="str">
            <v>Settled</v>
          </cell>
        </row>
        <row r="873">
          <cell r="F873" t="str">
            <v>SG-Boltzemo-03/2023</v>
          </cell>
          <cell r="G873" t="str">
            <v>Settled</v>
          </cell>
        </row>
        <row r="874">
          <cell r="F874" t="str">
            <v>SG-Boltzemo-04/2023</v>
          </cell>
          <cell r="G874" t="str">
            <v>Settled</v>
          </cell>
        </row>
        <row r="875">
          <cell r="F875" t="str">
            <v>SG-Boltzemo-05/2023</v>
          </cell>
          <cell r="G875" t="str">
            <v>Settled</v>
          </cell>
        </row>
        <row r="876">
          <cell r="F876" t="str">
            <v>SG-Boltzemo-06/2023</v>
          </cell>
          <cell r="G876" t="str">
            <v>Settled</v>
          </cell>
        </row>
        <row r="877">
          <cell r="F877" t="str">
            <v>SG-Boltzemo-07/2023</v>
          </cell>
          <cell r="G877" t="str">
            <v>Waived Off</v>
          </cell>
        </row>
        <row r="878">
          <cell r="F878" t="str">
            <v>SG -Boltzemo-08/2023</v>
          </cell>
          <cell r="G878" t="str">
            <v>Waived Off</v>
          </cell>
        </row>
        <row r="879">
          <cell r="F879" t="str">
            <v>SG-Boltzemo-09/2023</v>
          </cell>
          <cell r="G879" t="str">
            <v>Waived Off</v>
          </cell>
        </row>
        <row r="880">
          <cell r="F880" t="str">
            <v>CA -borderless-client-1-04/2022</v>
          </cell>
          <cell r="G880" t="str">
            <v>Settled</v>
          </cell>
        </row>
        <row r="881">
          <cell r="F881" t="str">
            <v>CA-borderless-12/2022</v>
          </cell>
          <cell r="G881" t="str">
            <v>Settled</v>
          </cell>
        </row>
        <row r="882">
          <cell r="F882" t="str">
            <v>CA-borderless-CR-12/2022</v>
          </cell>
          <cell r="G882" t="str">
            <v>Settled</v>
          </cell>
        </row>
        <row r="883">
          <cell r="F883" t="str">
            <v>CA-borderless-01/2023</v>
          </cell>
          <cell r="G883" t="str">
            <v>Settled</v>
          </cell>
        </row>
        <row r="884">
          <cell r="F884" t="str">
            <v>CA-borderless-CR-01/2023</v>
          </cell>
          <cell r="G884" t="str">
            <v>Settled</v>
          </cell>
        </row>
        <row r="885">
          <cell r="F885" t="str">
            <v>CA-borderless-11/2022</v>
          </cell>
          <cell r="G885" t="str">
            <v>Settled</v>
          </cell>
        </row>
        <row r="886">
          <cell r="F886" t="str">
            <v>CA-borderless-CR-11/2022</v>
          </cell>
          <cell r="G886" t="str">
            <v>Settled</v>
          </cell>
        </row>
        <row r="887">
          <cell r="F887" t="str">
            <v>CA-borderless-02/2023</v>
          </cell>
          <cell r="G887" t="str">
            <v>Settled</v>
          </cell>
        </row>
        <row r="888">
          <cell r="F888" t="str">
            <v>CA-borderless-03/2023</v>
          </cell>
          <cell r="G888" t="str">
            <v>Settled</v>
          </cell>
        </row>
        <row r="889">
          <cell r="F889" t="str">
            <v>CA-borderless-CR-02/2023</v>
          </cell>
          <cell r="G889" t="str">
            <v>Settled</v>
          </cell>
        </row>
        <row r="890">
          <cell r="F890" t="str">
            <v>CA-borderless-CR-03/2023</v>
          </cell>
          <cell r="G890" t="str">
            <v>Settled</v>
          </cell>
        </row>
        <row r="891">
          <cell r="F891" t="str">
            <v>CA-borderless-04/2023</v>
          </cell>
          <cell r="G891" t="str">
            <v>Settled</v>
          </cell>
        </row>
        <row r="892">
          <cell r="F892" t="str">
            <v>CA-borderless-CR-04/2023</v>
          </cell>
          <cell r="G892" t="str">
            <v>Settled</v>
          </cell>
        </row>
        <row r="893">
          <cell r="F893" t="str">
            <v>CA-borderless-05/2023</v>
          </cell>
          <cell r="G893" t="str">
            <v>Settled</v>
          </cell>
        </row>
        <row r="894">
          <cell r="F894" t="str">
            <v>CA-borderless-CR-05/2023</v>
          </cell>
          <cell r="G894" t="str">
            <v>Settled</v>
          </cell>
        </row>
        <row r="895">
          <cell r="F895" t="str">
            <v>CA-Borderless-06/2023</v>
          </cell>
          <cell r="G895" t="str">
            <v>Settled</v>
          </cell>
        </row>
        <row r="896">
          <cell r="F896" t="str">
            <v>CA-borderless-CR-06/2023</v>
          </cell>
          <cell r="G896" t="str">
            <v>Settled</v>
          </cell>
        </row>
        <row r="897">
          <cell r="F897" t="str">
            <v>CA-Borderless-07/2023</v>
          </cell>
          <cell r="G897" t="str">
            <v>Settled</v>
          </cell>
        </row>
        <row r="898">
          <cell r="F898" t="str">
            <v>CA-Borderless-CR-07/2023</v>
          </cell>
          <cell r="G898" t="str">
            <v>Settled</v>
          </cell>
        </row>
        <row r="899">
          <cell r="F899" t="str">
            <v>CA -Borderless-08/2023</v>
          </cell>
          <cell r="G899" t="str">
            <v>Settled</v>
          </cell>
        </row>
        <row r="900">
          <cell r="F900" t="str">
            <v>CA -Borderless-CR-08/2023</v>
          </cell>
          <cell r="G900" t="str">
            <v>Settled</v>
          </cell>
        </row>
        <row r="901">
          <cell r="F901" t="str">
            <v>CA -Borderless-09/2023</v>
          </cell>
          <cell r="G901" t="str">
            <v>Settled</v>
          </cell>
        </row>
        <row r="902">
          <cell r="F902" t="str">
            <v>CA -Borderless-CR-09/2023</v>
          </cell>
          <cell r="G902" t="str">
            <v>Settled</v>
          </cell>
        </row>
        <row r="903">
          <cell r="F903" t="str">
            <v>CA -Borderless-CR-10/2023</v>
          </cell>
          <cell r="G903" t="str">
            <v>Settled</v>
          </cell>
        </row>
        <row r="904">
          <cell r="F904" t="str">
            <v>CA-Borderless-10/2023</v>
          </cell>
          <cell r="G904" t="str">
            <v>Settled</v>
          </cell>
        </row>
        <row r="905">
          <cell r="F905" t="str">
            <v>US-Borderless-11/2023</v>
          </cell>
          <cell r="G905" t="str">
            <v>Settled</v>
          </cell>
        </row>
        <row r="906">
          <cell r="F906" t="str">
            <v>US-Borderless-CR-11/2023</v>
          </cell>
          <cell r="G906" t="str">
            <v>Settled</v>
          </cell>
        </row>
        <row r="907">
          <cell r="F907" t="str">
            <v>US-Borderless-12/2023</v>
          </cell>
          <cell r="G907" t="str">
            <v>Settled</v>
          </cell>
        </row>
        <row r="908">
          <cell r="F908" t="str">
            <v>US-Borderless-CR-12/2023</v>
          </cell>
          <cell r="G908" t="str">
            <v>Settled</v>
          </cell>
        </row>
        <row r="909">
          <cell r="F909" t="str">
            <v>US-Borderless-01/2024</v>
          </cell>
          <cell r="G909" t="str">
            <v>Settled</v>
          </cell>
        </row>
        <row r="910">
          <cell r="F910" t="str">
            <v>US-Borderless-CR-01/2024</v>
          </cell>
          <cell r="G910" t="str">
            <v>Settled</v>
          </cell>
        </row>
        <row r="911">
          <cell r="F911" t="str">
            <v>US-Borderless-02/2024</v>
          </cell>
          <cell r="G911" t="str">
            <v>Settled</v>
          </cell>
        </row>
        <row r="912">
          <cell r="F912" t="str">
            <v>US-Borderless-CR-02/2024</v>
          </cell>
          <cell r="G912" t="str">
            <v>Settled</v>
          </cell>
        </row>
        <row r="913">
          <cell r="F913" t="str">
            <v>CA-borderless-04-12/2022</v>
          </cell>
          <cell r="G913" t="str">
            <v>Settled</v>
          </cell>
        </row>
        <row r="914">
          <cell r="F914" t="str">
            <v>CA-borderless-CR-04-12/2022</v>
          </cell>
          <cell r="G914" t="str">
            <v>Settled</v>
          </cell>
        </row>
        <row r="915">
          <cell r="F915" t="str">
            <v>TAX</v>
          </cell>
          <cell r="G915" t="str">
            <v>Settled</v>
          </cell>
        </row>
        <row r="916">
          <cell r="F916" t="str">
            <v>US-Borderless-03/2024</v>
          </cell>
          <cell r="G916" t="str">
            <v>Settled</v>
          </cell>
        </row>
        <row r="917">
          <cell r="F917" t="str">
            <v>US-Borderless-CR-04/2024</v>
          </cell>
          <cell r="G917" t="str">
            <v>Settled</v>
          </cell>
        </row>
        <row r="918">
          <cell r="F918" t="str">
            <v>US-Borderless-04/2024</v>
          </cell>
          <cell r="G918" t="str">
            <v>Settled</v>
          </cell>
        </row>
        <row r="919">
          <cell r="F919" t="str">
            <v>CA-borderless-CR-01-12/2023</v>
          </cell>
          <cell r="G919" t="str">
            <v>Settled</v>
          </cell>
        </row>
        <row r="920">
          <cell r="F920" t="str">
            <v>CA-borderless-01-12/2023</v>
          </cell>
          <cell r="G920" t="str">
            <v>Settled</v>
          </cell>
        </row>
        <row r="921">
          <cell r="F921" t="str">
            <v>CN-CA-borderless-01-04/2024</v>
          </cell>
          <cell r="G921" t="str">
            <v>Settled</v>
          </cell>
        </row>
        <row r="922">
          <cell r="F922" t="str">
            <v>CN-CA-borderless-01-12/2023</v>
          </cell>
          <cell r="G922" t="str">
            <v>Settled</v>
          </cell>
        </row>
        <row r="923">
          <cell r="F923" t="str">
            <v>CN-CA-borderless-04-12/2022</v>
          </cell>
          <cell r="G923" t="str">
            <v>Settled</v>
          </cell>
        </row>
        <row r="924">
          <cell r="F924" t="str">
            <v>US-CN-Borderless-02-2026</v>
          </cell>
          <cell r="G924" t="str">
            <v>Invoice Sent</v>
          </cell>
        </row>
        <row r="925">
          <cell r="F925" t="str">
            <v>CA-borderless-01-04/2024</v>
          </cell>
          <cell r="G925" t="str">
            <v>Settled</v>
          </cell>
        </row>
        <row r="926">
          <cell r="F926" t="str">
            <v>CA-borderless-CR-01-04/2024</v>
          </cell>
          <cell r="G926" t="str">
            <v>Settled</v>
          </cell>
        </row>
        <row r="927">
          <cell r="F927" t="str">
            <v>US-Borderless-05/2024</v>
          </cell>
          <cell r="G927" t="str">
            <v>Settled</v>
          </cell>
        </row>
        <row r="928">
          <cell r="F928" t="str">
            <v>US-Borderless-CR-05/2024</v>
          </cell>
          <cell r="G928" t="str">
            <v>Settled</v>
          </cell>
        </row>
        <row r="929">
          <cell r="F929" t="str">
            <v>US-Borderless-06/2024</v>
          </cell>
          <cell r="G929" t="str">
            <v>Settled</v>
          </cell>
        </row>
        <row r="930">
          <cell r="F930" t="str">
            <v>US-Borderless-CR-06/2024</v>
          </cell>
          <cell r="G930" t="str">
            <v>Settled</v>
          </cell>
        </row>
        <row r="931">
          <cell r="F931" t="str">
            <v>US-Borderless-07/2024</v>
          </cell>
          <cell r="G931" t="str">
            <v>Settled</v>
          </cell>
        </row>
        <row r="932">
          <cell r="F932" t="str">
            <v>US-Borderless-CR-07/2024</v>
          </cell>
          <cell r="G932" t="str">
            <v>Settled</v>
          </cell>
        </row>
        <row r="933">
          <cell r="F933" t="str">
            <v>US-Borderless-08/2024</v>
          </cell>
          <cell r="G933" t="str">
            <v>Settled</v>
          </cell>
        </row>
        <row r="934">
          <cell r="F934" t="str">
            <v>US-Borderless-CR-08/2024</v>
          </cell>
          <cell r="G934" t="str">
            <v>Settled</v>
          </cell>
        </row>
        <row r="935">
          <cell r="F935" t="str">
            <v>US-Borderless-09/2024</v>
          </cell>
          <cell r="G935" t="str">
            <v>Settled</v>
          </cell>
        </row>
        <row r="936">
          <cell r="F936" t="str">
            <v>US-Borderless-CR-09/2024</v>
          </cell>
          <cell r="G936" t="str">
            <v>Settled</v>
          </cell>
        </row>
        <row r="937">
          <cell r="F937" t="str">
            <v>US-Borderless-10/2024</v>
          </cell>
          <cell r="G937" t="str">
            <v>Settled</v>
          </cell>
        </row>
        <row r="938">
          <cell r="F938" t="str">
            <v>US-Borderless-CR-10/2024</v>
          </cell>
          <cell r="G938" t="str">
            <v>Settled</v>
          </cell>
        </row>
        <row r="939">
          <cell r="F939" t="str">
            <v>US-Borderless-11/2024</v>
          </cell>
          <cell r="G939" t="str">
            <v>Settled</v>
          </cell>
        </row>
        <row r="940">
          <cell r="F940" t="str">
            <v>US-Borderless-CR-11/2024</v>
          </cell>
          <cell r="G940" t="str">
            <v>Settled</v>
          </cell>
        </row>
        <row r="941">
          <cell r="F941" t="str">
            <v>US-Borderless-12/2024</v>
          </cell>
          <cell r="G941" t="str">
            <v>Settled</v>
          </cell>
        </row>
        <row r="942">
          <cell r="F942" t="str">
            <v>US-Borderless-CR-12/2024</v>
          </cell>
          <cell r="G942" t="str">
            <v>Settled</v>
          </cell>
        </row>
        <row r="943">
          <cell r="F943" t="str">
            <v>US-Borderless-01/2025</v>
          </cell>
          <cell r="G943" t="str">
            <v>Settled</v>
          </cell>
        </row>
        <row r="944">
          <cell r="F944" t="str">
            <v>US-Borderless-CR-01/2025</v>
          </cell>
          <cell r="G944" t="str">
            <v>Settled</v>
          </cell>
        </row>
        <row r="945">
          <cell r="F945" t="str">
            <v>US-Borderless-02/2025</v>
          </cell>
          <cell r="G945" t="str">
            <v>Settled</v>
          </cell>
        </row>
        <row r="946">
          <cell r="F946" t="str">
            <v>US-Borderless-CR-02/2025</v>
          </cell>
          <cell r="G946" t="str">
            <v>Settled</v>
          </cell>
        </row>
        <row r="947">
          <cell r="F947" t="str">
            <v>US-Borderless-CR-10/2025</v>
          </cell>
          <cell r="G947" t="str">
            <v>Settled</v>
          </cell>
        </row>
        <row r="948">
          <cell r="F948" t="str">
            <v>US-CN-Borderless-12-2025</v>
          </cell>
          <cell r="G948" t="str">
            <v>Settled</v>
          </cell>
        </row>
        <row r="949">
          <cell r="F949" t="str">
            <v>US-Borderless-CR-12-1/2025</v>
          </cell>
          <cell r="G949" t="str">
            <v>Settled</v>
          </cell>
        </row>
        <row r="950">
          <cell r="F950" t="str">
            <v>US-Borderless-CR-12-2/2025</v>
          </cell>
          <cell r="G950" t="str">
            <v>Settled</v>
          </cell>
        </row>
        <row r="951">
          <cell r="F951" t="str">
            <v>US-CN-Borderless-01-2026</v>
          </cell>
          <cell r="G951" t="str">
            <v>Settled</v>
          </cell>
        </row>
        <row r="952">
          <cell r="F952" t="str">
            <v>EU-Brandevise Consulting SRL-01/2023</v>
          </cell>
          <cell r="G952" t="str">
            <v>Settled</v>
          </cell>
        </row>
        <row r="953">
          <cell r="F953" t="str">
            <v>EU-Brandevise-02/2023</v>
          </cell>
          <cell r="G953" t="str">
            <v>Settled</v>
          </cell>
        </row>
        <row r="954">
          <cell r="F954" t="str">
            <v>EU-Brandevise-03/2023</v>
          </cell>
          <cell r="G954" t="str">
            <v>Settled</v>
          </cell>
        </row>
        <row r="955">
          <cell r="F955" t="str">
            <v>EU-Brandevise-04/2023</v>
          </cell>
          <cell r="G955" t="str">
            <v>Settled</v>
          </cell>
        </row>
        <row r="956">
          <cell r="F956" t="str">
            <v>EU-Brandevise-05/2023</v>
          </cell>
          <cell r="G956" t="str">
            <v>Settled</v>
          </cell>
        </row>
        <row r="957">
          <cell r="F957" t="str">
            <v>EU-Brandevise-06/2023</v>
          </cell>
          <cell r="G957" t="str">
            <v>Settled</v>
          </cell>
        </row>
        <row r="958">
          <cell r="F958" t="str">
            <v>EU-Brandevise-07/2023</v>
          </cell>
          <cell r="G958" t="str">
            <v>Settled</v>
          </cell>
        </row>
        <row r="959">
          <cell r="F959" t="str">
            <v>EU -Brandevise-08/2023</v>
          </cell>
          <cell r="G959" t="str">
            <v>Settled</v>
          </cell>
        </row>
        <row r="960">
          <cell r="F960" t="str">
            <v>EU-Brandevise-09/2023</v>
          </cell>
          <cell r="G960" t="str">
            <v>Settled</v>
          </cell>
        </row>
        <row r="961">
          <cell r="F961" t="str">
            <v>EU-Brandevise-10/2023</v>
          </cell>
          <cell r="G961" t="str">
            <v>Settled</v>
          </cell>
        </row>
        <row r="962">
          <cell r="F962" t="str">
            <v>EU-Brandevise-11/2023</v>
          </cell>
          <cell r="G962" t="str">
            <v>Settled</v>
          </cell>
        </row>
        <row r="963">
          <cell r="F963" t="str">
            <v>EU-Brandevise-12/2023</v>
          </cell>
          <cell r="G963" t="str">
            <v>Settled</v>
          </cell>
        </row>
        <row r="964">
          <cell r="F964" t="str">
            <v>EU-Brandevise-01/2024</v>
          </cell>
          <cell r="G964" t="str">
            <v>Settled</v>
          </cell>
        </row>
        <row r="965">
          <cell r="F965" t="str">
            <v>EU-Brandevise-02/2024</v>
          </cell>
          <cell r="G965" t="str">
            <v>Settled</v>
          </cell>
        </row>
        <row r="966">
          <cell r="F966" t="str">
            <v>EU-Brandevise Consulting SRL-11/2022</v>
          </cell>
          <cell r="G966" t="str">
            <v>Settled</v>
          </cell>
        </row>
        <row r="967">
          <cell r="F967" t="str">
            <v>EU-Brandevise Consulting SRL-12/2022</v>
          </cell>
          <cell r="G967" t="str">
            <v>Settled</v>
          </cell>
        </row>
        <row r="968">
          <cell r="F968" t="str">
            <v>SG-Msbb money ltd-11/2022</v>
          </cell>
          <cell r="G968" t="str">
            <v>Settled</v>
          </cell>
        </row>
        <row r="969">
          <cell r="F969" t="str">
            <v>SG-Msbb money ltd-12/2022</v>
          </cell>
          <cell r="G969" t="str">
            <v>Settled</v>
          </cell>
        </row>
        <row r="970">
          <cell r="F970" t="str">
            <v>SG-Msbb money ltd-01/2023</v>
          </cell>
          <cell r="G970" t="str">
            <v>Settled</v>
          </cell>
        </row>
        <row r="971">
          <cell r="F971" t="str">
            <v>SG-BRAZA UK-02/2023</v>
          </cell>
          <cell r="G971" t="str">
            <v>Settled</v>
          </cell>
        </row>
        <row r="972">
          <cell r="F972" t="str">
            <v>SG-BRAZA UK-03/2023</v>
          </cell>
          <cell r="G972" t="str">
            <v>Settled</v>
          </cell>
        </row>
        <row r="973">
          <cell r="F973" t="str">
            <v>SG-BRAZA UK LTD-04/2023</v>
          </cell>
          <cell r="G973" t="str">
            <v>Settled</v>
          </cell>
        </row>
        <row r="974">
          <cell r="F974" t="str">
            <v>SG-BRAZA UK LTD-05/2023</v>
          </cell>
          <cell r="G974" t="str">
            <v>Settled</v>
          </cell>
        </row>
        <row r="975">
          <cell r="F975" t="str">
            <v>SG-BRAZA UK LTD-06/2023</v>
          </cell>
          <cell r="G975" t="str">
            <v>Settled</v>
          </cell>
        </row>
        <row r="976">
          <cell r="F976" t="str">
            <v>SG-BRAZA UK LTD-07/2023</v>
          </cell>
          <cell r="G976" t="str">
            <v>Settled</v>
          </cell>
        </row>
        <row r="977">
          <cell r="F977" t="str">
            <v>SG -BRAZA UK LTD-08/2023</v>
          </cell>
          <cell r="G977" t="str">
            <v>Settled</v>
          </cell>
        </row>
        <row r="978">
          <cell r="F978" t="str">
            <v>SG-BRAZA UK LTD-09/2023</v>
          </cell>
          <cell r="G978" t="str">
            <v>Settled</v>
          </cell>
        </row>
        <row r="979">
          <cell r="F979" t="str">
            <v>SG-BRAZA UK LTD-10/2023</v>
          </cell>
          <cell r="G979" t="str">
            <v>Settled</v>
          </cell>
        </row>
        <row r="980">
          <cell r="F980" t="str">
            <v>SG-BRAZA UK LTD-11/2023</v>
          </cell>
          <cell r="G980" t="str">
            <v>Settled</v>
          </cell>
        </row>
        <row r="981">
          <cell r="F981" t="str">
            <v>SG-BRAZA UK LTD-12/2023</v>
          </cell>
          <cell r="G981" t="str">
            <v>Settled</v>
          </cell>
        </row>
        <row r="982">
          <cell r="F982" t="str">
            <v>SG-BRAZA UK LTD-01/2024</v>
          </cell>
          <cell r="G982" t="str">
            <v>Settled</v>
          </cell>
        </row>
        <row r="983">
          <cell r="F983" t="str">
            <v>SG-BRAZA UK LTD-02/2024</v>
          </cell>
          <cell r="G983" t="str">
            <v>Settled</v>
          </cell>
        </row>
        <row r="984">
          <cell r="F984" t="str">
            <v>SG-BRAZA UK LTD-03/2024</v>
          </cell>
          <cell r="G984" t="str">
            <v>Settled</v>
          </cell>
        </row>
        <row r="985">
          <cell r="F985" t="str">
            <v>SG-BRAZA UK LTD-04/2024</v>
          </cell>
          <cell r="G985" t="str">
            <v>Settled</v>
          </cell>
        </row>
        <row r="986">
          <cell r="F986" t="str">
            <v>SG-BRAZA UK LTD-05/2024</v>
          </cell>
          <cell r="G986" t="str">
            <v>Settled</v>
          </cell>
        </row>
        <row r="987">
          <cell r="F987" t="str">
            <v>SG-BRAZA UK LTD-06/2024</v>
          </cell>
          <cell r="G987" t="str">
            <v>Settled</v>
          </cell>
        </row>
        <row r="988">
          <cell r="F988" t="str">
            <v>SG-BRAZA UK LTD-07/2024</v>
          </cell>
          <cell r="G988" t="str">
            <v>Settled</v>
          </cell>
        </row>
        <row r="989">
          <cell r="F989" t="str">
            <v>SG-BRAZA UK LTD-08/2024</v>
          </cell>
          <cell r="G989" t="str">
            <v>Settled</v>
          </cell>
        </row>
        <row r="990">
          <cell r="F990" t="str">
            <v>SG-BRAZA UK LTD-09/2024</v>
          </cell>
          <cell r="G990" t="str">
            <v>Settled</v>
          </cell>
        </row>
        <row r="991">
          <cell r="F991" t="str">
            <v>SG-BRAZA UK LTD-10/2024</v>
          </cell>
          <cell r="G991" t="str">
            <v>Settled</v>
          </cell>
        </row>
        <row r="992">
          <cell r="F992" t="str">
            <v>SG-BRAZA UK LTD-11/2024</v>
          </cell>
          <cell r="G992" t="str">
            <v>Settled</v>
          </cell>
        </row>
        <row r="993">
          <cell r="F993" t="str">
            <v>SG-BRAZA UK LTD-12/2024</v>
          </cell>
          <cell r="G993" t="str">
            <v>Settled</v>
          </cell>
        </row>
        <row r="994">
          <cell r="F994" t="str">
            <v>SG-BRAZA UK LTD-01/2025</v>
          </cell>
          <cell r="G994" t="str">
            <v>Settled</v>
          </cell>
        </row>
        <row r="995">
          <cell r="F995" t="str">
            <v>SG-BRAZA UK LTD-02/2025</v>
          </cell>
          <cell r="G995" t="str">
            <v>Settled</v>
          </cell>
        </row>
        <row r="996">
          <cell r="F996" t="str">
            <v>SG-BRAZA UK LTD-03/2025</v>
          </cell>
          <cell r="G996" t="str">
            <v>Settled</v>
          </cell>
        </row>
        <row r="997">
          <cell r="F997" t="str">
            <v>SG-BRAZA UK LTD-04/2025</v>
          </cell>
          <cell r="G997" t="str">
            <v>Settled</v>
          </cell>
        </row>
        <row r="998">
          <cell r="F998" t="str">
            <v>SG-BRAZA UK LTD-05/2025</v>
          </cell>
          <cell r="G998" t="str">
            <v>Settled</v>
          </cell>
        </row>
        <row r="999">
          <cell r="F999" t="str">
            <v>SG-BRAZA UK LTD-06/2025</v>
          </cell>
          <cell r="G999" t="str">
            <v>Settled</v>
          </cell>
        </row>
        <row r="1000">
          <cell r="F1000" t="str">
            <v>SG-BRAZA UK LTD-07/2025</v>
          </cell>
          <cell r="G1000" t="str">
            <v>Settled</v>
          </cell>
        </row>
        <row r="1001">
          <cell r="F1001" t="str">
            <v>SG-BRAZA UK LTD-08/2025</v>
          </cell>
          <cell r="G1001" t="str">
            <v>Settled</v>
          </cell>
        </row>
        <row r="1002">
          <cell r="F1002" t="str">
            <v>SG-BRAZA UK LTD-09/2025</v>
          </cell>
          <cell r="G1002" t="str">
            <v>Settled</v>
          </cell>
        </row>
        <row r="1003">
          <cell r="F1003" t="str">
            <v>SG-BRAZA UK LTD-10/2025</v>
          </cell>
          <cell r="G1003" t="str">
            <v>Settled</v>
          </cell>
        </row>
        <row r="1004">
          <cell r="F1004" t="str">
            <v>SG-BRAZA UK LTD-11/2025</v>
          </cell>
          <cell r="G1004" t="str">
            <v>Settled</v>
          </cell>
        </row>
        <row r="1005">
          <cell r="F1005" t="str">
            <v>SG-BRAZA UK LTD-12/2025</v>
          </cell>
          <cell r="G1005" t="str">
            <v>Settled</v>
          </cell>
        </row>
        <row r="1006">
          <cell r="F1006" t="str">
            <v>SG-BRAZA UK LTD-01/2026</v>
          </cell>
          <cell r="G1006" t="str">
            <v>Settled</v>
          </cell>
        </row>
        <row r="1007">
          <cell r="F1007" t="str">
            <v>SG-BRAZA UK LTD-02/2026</v>
          </cell>
          <cell r="G1007" t="str">
            <v>Settled</v>
          </cell>
        </row>
        <row r="1008">
          <cell r="F1008" t="str">
            <v>SG -Bridge Commodities-01/2022</v>
          </cell>
          <cell r="G1008" t="str">
            <v>Settled</v>
          </cell>
        </row>
        <row r="1009">
          <cell r="F1009" t="str">
            <v>SG -Bridge Commodities-02/2022</v>
          </cell>
          <cell r="G1009" t="str">
            <v>Settled</v>
          </cell>
        </row>
        <row r="1010">
          <cell r="F1010" t="str">
            <v>SG -Bridge Commodities-03/2022</v>
          </cell>
          <cell r="G1010" t="str">
            <v>Settled</v>
          </cell>
        </row>
        <row r="1011">
          <cell r="F1011" t="str">
            <v>SG -Bridge Commodities-04/2022</v>
          </cell>
          <cell r="G1011" t="str">
            <v>Settled</v>
          </cell>
        </row>
        <row r="1012">
          <cell r="F1012" t="str">
            <v>SG -Bridge Commodities-05/2022</v>
          </cell>
          <cell r="G1012" t="str">
            <v>Settled</v>
          </cell>
        </row>
        <row r="1013">
          <cell r="F1013" t="str">
            <v>SG-BRQ LINK Payment-07/2023</v>
          </cell>
          <cell r="G1013" t="str">
            <v>Settled</v>
          </cell>
        </row>
        <row r="1014">
          <cell r="F1014" t="str">
            <v>SG -BRQ LINK Payment-01/2023</v>
          </cell>
          <cell r="G1014" t="str">
            <v>Settled</v>
          </cell>
        </row>
        <row r="1015">
          <cell r="F1015" t="str">
            <v>SG-BRQ LINK Payment-06/2023</v>
          </cell>
          <cell r="G1015" t="str">
            <v>Settled</v>
          </cell>
        </row>
        <row r="1016">
          <cell r="F1016" t="str">
            <v>SG-BRQ LINK Payment-01/2024_R</v>
          </cell>
          <cell r="G1016" t="str">
            <v>Settled</v>
          </cell>
        </row>
        <row r="1017">
          <cell r="F1017" t="str">
            <v>SG-BRQ LINK Payment-02/2024</v>
          </cell>
          <cell r="G1017" t="str">
            <v>Settled</v>
          </cell>
        </row>
        <row r="1018">
          <cell r="F1018" t="str">
            <v>SG-BRQ LINK Payment-03/2024</v>
          </cell>
          <cell r="G1018" t="str">
            <v>Settled</v>
          </cell>
        </row>
        <row r="1019">
          <cell r="F1019" t="str">
            <v>SG-BRQ LINK Payment-04/2024</v>
          </cell>
          <cell r="G1019" t="str">
            <v>Settled</v>
          </cell>
        </row>
        <row r="1020">
          <cell r="F1020" t="str">
            <v>SG-BRQ LINK Payment-05/2024</v>
          </cell>
          <cell r="G1020" t="str">
            <v>Settled</v>
          </cell>
        </row>
        <row r="1021">
          <cell r="F1021" t="str">
            <v>SG-BRQ LINK Payment-06/2024</v>
          </cell>
          <cell r="G1021" t="str">
            <v>Settled</v>
          </cell>
        </row>
        <row r="1022">
          <cell r="F1022" t="str">
            <v>SG-BRQ LINK Payment-07/2024</v>
          </cell>
          <cell r="G1022" t="str">
            <v>Settled</v>
          </cell>
        </row>
        <row r="1023">
          <cell r="F1023" t="str">
            <v>SG-BRQ LINK Payment-08/2024</v>
          </cell>
          <cell r="G1023" t="str">
            <v>Settled</v>
          </cell>
        </row>
        <row r="1024">
          <cell r="F1024" t="str">
            <v>SG-BRQ LINK Payment-09/2024</v>
          </cell>
          <cell r="G1024" t="str">
            <v>Net Off</v>
          </cell>
        </row>
        <row r="1025">
          <cell r="F1025" t="str">
            <v>SG-BRQ LINK Payment-10/2024</v>
          </cell>
          <cell r="G1025" t="str">
            <v>Net Off</v>
          </cell>
        </row>
        <row r="1026">
          <cell r="F1026" t="str">
            <v>SG-CN-BRQ LINK Payment-09-2024</v>
          </cell>
          <cell r="G1026" t="str">
            <v>Net Off</v>
          </cell>
        </row>
        <row r="1027">
          <cell r="F1027" t="str">
            <v>SG-CN-BRQ LINK Payment-10-2024</v>
          </cell>
          <cell r="G1027" t="str">
            <v>Net Off</v>
          </cell>
        </row>
        <row r="1028">
          <cell r="F1028" t="str">
            <v>US-Bsi Group Llc.-11/2022</v>
          </cell>
          <cell r="G1028" t="str">
            <v>Settled</v>
          </cell>
        </row>
        <row r="1029">
          <cell r="F1029" t="str">
            <v>US-Bsi Group Llc.-12/2022</v>
          </cell>
          <cell r="G1029" t="str">
            <v>Settled</v>
          </cell>
        </row>
        <row r="1030">
          <cell r="F1030" t="str">
            <v>US-Bsi Group Llc.-01/2023</v>
          </cell>
          <cell r="G1030" t="str">
            <v>Settled</v>
          </cell>
        </row>
        <row r="1031">
          <cell r="F1031" t="str">
            <v>US-Bsi Group Llc.-02/2023</v>
          </cell>
          <cell r="G1031" t="str">
            <v>Settled</v>
          </cell>
        </row>
        <row r="1032">
          <cell r="F1032" t="str">
            <v>US-Bsi Group Llc.-03/2023</v>
          </cell>
          <cell r="G1032" t="str">
            <v>Settled</v>
          </cell>
        </row>
        <row r="1033">
          <cell r="F1033" t="str">
            <v>US-Bsi Group Llc.-04/2023</v>
          </cell>
          <cell r="G1033" t="str">
            <v>Settled</v>
          </cell>
        </row>
        <row r="1034">
          <cell r="F1034" t="str">
            <v>US-Bsi Group Llc.-05/2023</v>
          </cell>
          <cell r="G1034" t="str">
            <v>Settled</v>
          </cell>
        </row>
        <row r="1035">
          <cell r="F1035" t="str">
            <v>US-Bsi Group Llc.-06/2023</v>
          </cell>
          <cell r="G1035" t="str">
            <v>Settled</v>
          </cell>
        </row>
        <row r="1036">
          <cell r="F1036" t="str">
            <v>US-Bsi Group Llc.-07/2023</v>
          </cell>
          <cell r="G1036" t="str">
            <v>Settled</v>
          </cell>
        </row>
        <row r="1037">
          <cell r="F1037" t="str">
            <v>US -Bsi Group Llc.-08/2023</v>
          </cell>
          <cell r="G1037" t="str">
            <v>Settled</v>
          </cell>
        </row>
        <row r="1038">
          <cell r="F1038" t="str">
            <v>US-Bsi Group Llc.-09/2023</v>
          </cell>
          <cell r="G1038" t="str">
            <v>Settled</v>
          </cell>
        </row>
        <row r="1039">
          <cell r="F1039" t="str">
            <v>US-Bsi Group Llc.-10/2023</v>
          </cell>
          <cell r="G1039" t="str">
            <v>Settled</v>
          </cell>
        </row>
        <row r="1040">
          <cell r="F1040" t="str">
            <v>US-Bsi Group Llc.-11/2023</v>
          </cell>
          <cell r="G1040" t="str">
            <v>Settled</v>
          </cell>
        </row>
        <row r="1041">
          <cell r="F1041" t="str">
            <v>US-Bsi Group Llc.-12/2023</v>
          </cell>
          <cell r="G1041" t="str">
            <v>Settled</v>
          </cell>
        </row>
        <row r="1042">
          <cell r="F1042" t="str">
            <v>US-Bsi Group Llc.-01/2024</v>
          </cell>
          <cell r="G1042" t="str">
            <v>Settled</v>
          </cell>
        </row>
        <row r="1043">
          <cell r="F1043" t="str">
            <v>US-Bsi Group Llc.-02/2024</v>
          </cell>
          <cell r="G1043" t="str">
            <v>Settled</v>
          </cell>
        </row>
        <row r="1044">
          <cell r="F1044" t="str">
            <v>US-Bsi Group Llc.-03/2024</v>
          </cell>
          <cell r="G1044" t="str">
            <v>Settled</v>
          </cell>
        </row>
        <row r="1045">
          <cell r="F1045" t="str">
            <v>US-Bsi Group Llc.-04/2024</v>
          </cell>
          <cell r="G1045" t="str">
            <v>Settled</v>
          </cell>
        </row>
        <row r="1046">
          <cell r="F1046" t="str">
            <v>US-Bsi Group Llc.-05/2024</v>
          </cell>
          <cell r="G1046" t="str">
            <v>Settled</v>
          </cell>
        </row>
        <row r="1047">
          <cell r="F1047" t="str">
            <v>US-Bsi Group Llc.-06/2024</v>
          </cell>
          <cell r="G1047" t="str">
            <v>Settled</v>
          </cell>
        </row>
        <row r="1048">
          <cell r="F1048" t="str">
            <v>US-Bsi Group Llc.-07/2024</v>
          </cell>
          <cell r="G1048" t="str">
            <v>Settled</v>
          </cell>
        </row>
        <row r="1049">
          <cell r="F1049" t="str">
            <v>US-Bsi Group Llc.-08/2024</v>
          </cell>
          <cell r="G1049" t="str">
            <v>Settled</v>
          </cell>
        </row>
        <row r="1050">
          <cell r="F1050" t="str">
            <v>US-Bsi Group Llc.-09/2024</v>
          </cell>
          <cell r="G1050" t="str">
            <v>Settled</v>
          </cell>
        </row>
        <row r="1051">
          <cell r="F1051" t="str">
            <v>US-Bsi Group Llc.-10/2024</v>
          </cell>
          <cell r="G1051" t="str">
            <v>Settled</v>
          </cell>
        </row>
        <row r="1052">
          <cell r="F1052" t="str">
            <v>US-Bsi Group Llc.-11/2024</v>
          </cell>
          <cell r="G1052" t="str">
            <v>Settled</v>
          </cell>
        </row>
        <row r="1053">
          <cell r="F1053" t="str">
            <v>US-Bsi Group Llc.-12/2024</v>
          </cell>
          <cell r="G1053" t="str">
            <v>Settled</v>
          </cell>
        </row>
        <row r="1054">
          <cell r="F1054" t="str">
            <v>US-Bsi Group Llc.-01/2025</v>
          </cell>
          <cell r="G1054" t="str">
            <v>Settled</v>
          </cell>
        </row>
        <row r="1055">
          <cell r="F1055" t="str">
            <v>US-Bsi Group Llc.-02/2025</v>
          </cell>
          <cell r="G1055" t="str">
            <v>Settled</v>
          </cell>
        </row>
        <row r="1056">
          <cell r="F1056" t="str">
            <v>US-Bsi Group Llc.-03/2025</v>
          </cell>
          <cell r="G1056" t="str">
            <v>Settled</v>
          </cell>
        </row>
        <row r="1057">
          <cell r="F1057" t="str">
            <v>US-Bsi Group Llc.-04/2025</v>
          </cell>
          <cell r="G1057" t="str">
            <v>Settled</v>
          </cell>
        </row>
        <row r="1058">
          <cell r="F1058" t="str">
            <v>US-Bsi Group Llc.-05/2025</v>
          </cell>
          <cell r="G1058" t="str">
            <v>Settled</v>
          </cell>
        </row>
        <row r="1059">
          <cell r="F1059" t="str">
            <v>US-Bsi Group Llc.-06/2025</v>
          </cell>
          <cell r="G1059" t="str">
            <v>Settled</v>
          </cell>
        </row>
        <row r="1060">
          <cell r="F1060" t="str">
            <v>US-Bsi Group Llc.-07/2025</v>
          </cell>
          <cell r="G1060" t="str">
            <v>Settled</v>
          </cell>
        </row>
        <row r="1061">
          <cell r="F1061" t="str">
            <v>US-Bsi Group Llc.-08/2025</v>
          </cell>
          <cell r="G1061" t="str">
            <v>Settled</v>
          </cell>
        </row>
        <row r="1062">
          <cell r="F1062" t="str">
            <v>US-Bsi Group Llc.-09/2025</v>
          </cell>
          <cell r="G1062" t="str">
            <v>Settled</v>
          </cell>
        </row>
        <row r="1063">
          <cell r="F1063" t="str">
            <v>US-Bsi Group Llc.-10/2025</v>
          </cell>
          <cell r="G1063" t="str">
            <v>Settled</v>
          </cell>
        </row>
        <row r="1064">
          <cell r="F1064" t="str">
            <v>US-Bsi Group Llc.-11/2025</v>
          </cell>
          <cell r="G1064" t="str">
            <v>Settled</v>
          </cell>
        </row>
        <row r="1065">
          <cell r="F1065" t="str">
            <v>US-Bsi Group Llc.-12/2025</v>
          </cell>
          <cell r="G1065" t="str">
            <v>Settled</v>
          </cell>
        </row>
        <row r="1066">
          <cell r="F1066" t="str">
            <v>US-Bsi Group Llc.-01/2026</v>
          </cell>
          <cell r="G1066" t="str">
            <v>Settled</v>
          </cell>
        </row>
        <row r="1067">
          <cell r="F1067" t="str">
            <v>US-Bsi Group Llc.-02/2026</v>
          </cell>
          <cell r="G1067" t="str">
            <v>Settled</v>
          </cell>
        </row>
        <row r="1068">
          <cell r="F1068" t="str">
            <v>SG-bucketmylist-02/2023</v>
          </cell>
          <cell r="G1068" t="str">
            <v>Settled</v>
          </cell>
        </row>
        <row r="1069">
          <cell r="F1069" t="str">
            <v>SG-bucketmylist-03/2023</v>
          </cell>
          <cell r="G1069" t="str">
            <v>Settled</v>
          </cell>
        </row>
        <row r="1070">
          <cell r="F1070" t="str">
            <v>SG-bucketmylist-05/2023</v>
          </cell>
          <cell r="G1070" t="str">
            <v>Settled</v>
          </cell>
        </row>
        <row r="1071">
          <cell r="F1071" t="str">
            <v>SG-bucketmylist-06/2023</v>
          </cell>
          <cell r="G1071" t="str">
            <v>Settled</v>
          </cell>
        </row>
        <row r="1072">
          <cell r="F1072" t="str">
            <v>SG-bucketmylist-07/2023</v>
          </cell>
          <cell r="G1072" t="str">
            <v>Settled</v>
          </cell>
        </row>
        <row r="1073">
          <cell r="F1073" t="str">
            <v>SG -bucketmylist-08/2023</v>
          </cell>
          <cell r="G1073" t="str">
            <v>Settled</v>
          </cell>
        </row>
        <row r="1074">
          <cell r="F1074" t="str">
            <v>SG-bucketmylist-09/2023</v>
          </cell>
          <cell r="G1074" t="str">
            <v>Settled</v>
          </cell>
        </row>
        <row r="1075">
          <cell r="F1075" t="str">
            <v>SG-bucketmylist-10/2023</v>
          </cell>
          <cell r="G1075" t="str">
            <v>Settled</v>
          </cell>
        </row>
        <row r="1076">
          <cell r="F1076" t="str">
            <v>SG-bucketmylist-11/2023</v>
          </cell>
          <cell r="G1076" t="str">
            <v>Settled</v>
          </cell>
        </row>
        <row r="1077">
          <cell r="F1077" t="str">
            <v>UK-Ryftpay-07/2024</v>
          </cell>
          <cell r="G1077" t="str">
            <v>Settled</v>
          </cell>
        </row>
        <row r="1078">
          <cell r="F1078" t="str">
            <v>UK-CN-Ryftpay-07-2024</v>
          </cell>
          <cell r="G1078" t="str">
            <v>Settled</v>
          </cell>
        </row>
        <row r="1079">
          <cell r="F1079" t="str">
            <v>US-cascade financial-10/2022</v>
          </cell>
          <cell r="G1079" t="str">
            <v>Waived Off</v>
          </cell>
        </row>
        <row r="1080">
          <cell r="F1080" t="str">
            <v>US-cascade financial technology corp-11/2022</v>
          </cell>
          <cell r="G1080" t="str">
            <v>Settled</v>
          </cell>
        </row>
        <row r="1081">
          <cell r="F1081" t="str">
            <v>SG-CFG GLOBAL LIMITED-11/2022</v>
          </cell>
          <cell r="G1081" t="str">
            <v>Settled</v>
          </cell>
        </row>
        <row r="1082">
          <cell r="F1082" t="str">
            <v>SG-CFG GLOBAL LIMITED-12/2022</v>
          </cell>
          <cell r="G1082" t="str">
            <v>Settled</v>
          </cell>
        </row>
        <row r="1083">
          <cell r="F1083" t="str">
            <v>SG-CFG-02/2025</v>
          </cell>
          <cell r="G1083" t="str">
            <v>Settled</v>
          </cell>
        </row>
        <row r="1084">
          <cell r="F1084" t="str">
            <v>SG-cheng wei co. ltd-12/2022</v>
          </cell>
          <cell r="G1084" t="str">
            <v>Settled</v>
          </cell>
        </row>
        <row r="1085">
          <cell r="F1085" t="str">
            <v>SG-cheng wei co. ltd-01/2023</v>
          </cell>
          <cell r="G1085" t="str">
            <v>Settled</v>
          </cell>
        </row>
        <row r="1086">
          <cell r="F1086" t="str">
            <v>SG-cheng wei co. ltd-10/2022</v>
          </cell>
          <cell r="G1086" t="str">
            <v>Settled</v>
          </cell>
        </row>
        <row r="1087">
          <cell r="F1087" t="str">
            <v>SG-cheng wei co. ltd-11/2022</v>
          </cell>
          <cell r="G1087" t="str">
            <v>Settled</v>
          </cell>
        </row>
        <row r="1088">
          <cell r="F1088" t="str">
            <v>SG-chengweico-02/2023</v>
          </cell>
          <cell r="G1088" t="str">
            <v>Settled</v>
          </cell>
        </row>
        <row r="1089">
          <cell r="F1089" t="str">
            <v>SG-chengweico-03/2023</v>
          </cell>
          <cell r="G1089" t="str">
            <v>Settled</v>
          </cell>
        </row>
        <row r="1090">
          <cell r="F1090" t="str">
            <v>SG-chengweico-04/2023</v>
          </cell>
          <cell r="G1090" t="str">
            <v>Settled</v>
          </cell>
        </row>
        <row r="1091">
          <cell r="F1091" t="str">
            <v>SG-chengweico-05/2023</v>
          </cell>
          <cell r="G1091" t="str">
            <v>Settled</v>
          </cell>
        </row>
        <row r="1092">
          <cell r="F1092" t="str">
            <v>SG-chengweico-06/2023</v>
          </cell>
          <cell r="G1092" t="str">
            <v>Settled</v>
          </cell>
        </row>
        <row r="1093">
          <cell r="F1093" t="str">
            <v>SG-CimbSpeedsend-11/2023</v>
          </cell>
          <cell r="G1093" t="str">
            <v>Settled</v>
          </cell>
        </row>
        <row r="1094">
          <cell r="F1094" t="str">
            <v>SG-CN-CimbSpeedsend-11-2023</v>
          </cell>
          <cell r="G1094" t="str">
            <v>Settled</v>
          </cell>
        </row>
        <row r="1095">
          <cell r="F1095" t="str">
            <v>SG-Cimb Speedsend-11/2022</v>
          </cell>
          <cell r="G1095" t="str">
            <v>Settled</v>
          </cell>
        </row>
        <row r="1096">
          <cell r="F1096" t="str">
            <v>SG-Cimb Speedsend-12/2022</v>
          </cell>
          <cell r="G1096" t="str">
            <v>Settled</v>
          </cell>
        </row>
        <row r="1097">
          <cell r="F1097" t="str">
            <v>SG-Cimb Speedsend-01/2023</v>
          </cell>
          <cell r="G1097" t="str">
            <v>Settled</v>
          </cell>
        </row>
        <row r="1098">
          <cell r="F1098" t="str">
            <v>SG-CimbSpeedsend-02/2023</v>
          </cell>
          <cell r="G1098" t="str">
            <v>Settled</v>
          </cell>
        </row>
        <row r="1099">
          <cell r="F1099" t="str">
            <v>SG-CimbSpeedsend-03/2023</v>
          </cell>
          <cell r="G1099" t="str">
            <v>Settled</v>
          </cell>
        </row>
        <row r="1100">
          <cell r="F1100" t="str">
            <v>SG-CimbSpeedsend-04/2023</v>
          </cell>
          <cell r="G1100" t="str">
            <v>Settled</v>
          </cell>
        </row>
        <row r="1101">
          <cell r="F1101" t="str">
            <v>SG-CimbSpeedsend-05/2023</v>
          </cell>
          <cell r="G1101" t="str">
            <v>Settled</v>
          </cell>
        </row>
        <row r="1102">
          <cell r="F1102" t="str">
            <v>SG-CimbSpeedsend-06/2023</v>
          </cell>
          <cell r="G1102" t="str">
            <v>Settled</v>
          </cell>
        </row>
        <row r="1103">
          <cell r="F1103" t="str">
            <v>SG-CimbSpeedsend-07/2023</v>
          </cell>
          <cell r="G1103" t="str">
            <v>Settled</v>
          </cell>
        </row>
        <row r="1104">
          <cell r="F1104" t="str">
            <v>SG -CimbSpeedsend-08/2023</v>
          </cell>
          <cell r="G1104" t="str">
            <v>Settled</v>
          </cell>
        </row>
        <row r="1105">
          <cell r="F1105" t="str">
            <v>SG-CimbSpeedsend-09/2023</v>
          </cell>
          <cell r="G1105" t="str">
            <v>Settled</v>
          </cell>
        </row>
        <row r="1106">
          <cell r="F1106" t="str">
            <v>SG-CimbSpeedsend-10/2023</v>
          </cell>
          <cell r="G1106" t="str">
            <v>Settled</v>
          </cell>
        </row>
        <row r="1107">
          <cell r="F1107" t="str">
            <v>SG-CimbSpeedsend-11/2023</v>
          </cell>
          <cell r="G1107" t="str">
            <v>Settled</v>
          </cell>
        </row>
        <row r="1108">
          <cell r="F1108" t="str">
            <v>SG-CimbSpeedsend-01/2024</v>
          </cell>
          <cell r="G1108" t="str">
            <v>Settled</v>
          </cell>
        </row>
        <row r="1109">
          <cell r="F1109" t="str">
            <v>SG-CimbSpeedsend-02/2024</v>
          </cell>
          <cell r="G1109" t="str">
            <v>Settled</v>
          </cell>
        </row>
        <row r="1110">
          <cell r="F1110" t="str">
            <v>SG-CimbSpeedsend-03/2024</v>
          </cell>
          <cell r="G1110" t="str">
            <v>Settled</v>
          </cell>
        </row>
        <row r="1111">
          <cell r="F1111" t="str">
            <v>SG-CimbSpeedsend-12/2023</v>
          </cell>
          <cell r="G1111" t="str">
            <v>Settled</v>
          </cell>
        </row>
        <row r="1112">
          <cell r="F1112" t="str">
            <v>SG-CimbSpeedsend-04/2024</v>
          </cell>
          <cell r="G1112" t="str">
            <v>Settled</v>
          </cell>
        </row>
        <row r="1113">
          <cell r="F1113" t="str">
            <v>SG-CimbSpeedsend-05/2024</v>
          </cell>
          <cell r="G1113" t="str">
            <v>Settled</v>
          </cell>
        </row>
        <row r="1114">
          <cell r="F1114" t="str">
            <v>SG-CimbSpeedsend-06/2024</v>
          </cell>
          <cell r="G1114" t="str">
            <v>Settled</v>
          </cell>
        </row>
        <row r="1115">
          <cell r="F1115" t="str">
            <v>SG-CimbSpeedsend-07/2024</v>
          </cell>
          <cell r="G1115" t="str">
            <v>Settled</v>
          </cell>
        </row>
        <row r="1116">
          <cell r="F1116" t="str">
            <v>SG-CimbSpeedsend-08/2024</v>
          </cell>
          <cell r="G1116" t="str">
            <v>Settled</v>
          </cell>
        </row>
        <row r="1117">
          <cell r="F1117" t="str">
            <v>SG-CimbSpeedsend-09/2024</v>
          </cell>
          <cell r="G1117" t="str">
            <v>Settled</v>
          </cell>
        </row>
        <row r="1118">
          <cell r="F1118" t="str">
            <v>SG-CimbSpeedsend-10/2024</v>
          </cell>
          <cell r="G1118" t="str">
            <v>Settled</v>
          </cell>
        </row>
        <row r="1119">
          <cell r="F1119" t="str">
            <v>SG-CimbSpeedsend-11/2024</v>
          </cell>
          <cell r="G1119" t="str">
            <v>Settled</v>
          </cell>
        </row>
        <row r="1120">
          <cell r="F1120" t="str">
            <v>SG-CimbSpeedsend-12/2024</v>
          </cell>
          <cell r="G1120" t="str">
            <v>Settled</v>
          </cell>
        </row>
        <row r="1121">
          <cell r="F1121" t="str">
            <v>SG-CimbSpeedsend-01/2025</v>
          </cell>
          <cell r="G1121" t="str">
            <v>Settled</v>
          </cell>
        </row>
        <row r="1122">
          <cell r="F1122" t="str">
            <v>SG-CimbSpeedsend-02/2025</v>
          </cell>
          <cell r="G1122" t="str">
            <v>Settled</v>
          </cell>
        </row>
        <row r="1123">
          <cell r="F1123" t="str">
            <v>SG-CimbSpeedsend-03/2025</v>
          </cell>
          <cell r="G1123" t="str">
            <v>Settled</v>
          </cell>
        </row>
        <row r="1124">
          <cell r="F1124" t="str">
            <v>SG-CimbSpeedsend-04/2025</v>
          </cell>
          <cell r="G1124" t="str">
            <v>Settled</v>
          </cell>
        </row>
        <row r="1125">
          <cell r="F1125" t="str">
            <v>SG-CimbSpeedsend-05/2025</v>
          </cell>
          <cell r="G1125" t="str">
            <v>Settled</v>
          </cell>
        </row>
        <row r="1126">
          <cell r="F1126" t="str">
            <v>SG-CN-CimbSpeedsend-05-2025</v>
          </cell>
          <cell r="G1126" t="str">
            <v>Settled</v>
          </cell>
        </row>
        <row r="1127">
          <cell r="F1127" t="str">
            <v>SG-CimbSpeedsend-06/2025</v>
          </cell>
          <cell r="G1127" t="str">
            <v>Settled</v>
          </cell>
        </row>
        <row r="1128">
          <cell r="F1128" t="str">
            <v>SG-CimbSpeedsend-07/2025</v>
          </cell>
          <cell r="G1128" t="str">
            <v>Settled</v>
          </cell>
        </row>
        <row r="1129">
          <cell r="F1129" t="str">
            <v>SG-CimbSpeedsend-08/2025</v>
          </cell>
          <cell r="G1129" t="str">
            <v>Settled</v>
          </cell>
        </row>
        <row r="1130">
          <cell r="F1130" t="str">
            <v>SG-CimbSpeedsend-09/2025</v>
          </cell>
          <cell r="G1130" t="str">
            <v>Settled</v>
          </cell>
        </row>
        <row r="1131">
          <cell r="F1131" t="str">
            <v>SG-CimbSpeedsend-10/2025</v>
          </cell>
          <cell r="G1131" t="str">
            <v>Settled</v>
          </cell>
        </row>
        <row r="1132">
          <cell r="F1132" t="str">
            <v>SG-CimbSpeedsend-11/2025</v>
          </cell>
          <cell r="G1132" t="str">
            <v>Settled</v>
          </cell>
        </row>
        <row r="1133">
          <cell r="F1133" t="str">
            <v>SG-CimbSpeedsend-12/2025</v>
          </cell>
          <cell r="G1133" t="str">
            <v>Settled</v>
          </cell>
        </row>
        <row r="1134">
          <cell r="F1134" t="str">
            <v>SG-CimbSpeedsend-01/2026</v>
          </cell>
          <cell r="G1134" t="str">
            <v>Settled</v>
          </cell>
        </row>
        <row r="1135">
          <cell r="F1135" t="str">
            <v>SG-CimbSpeedsend-02/2026</v>
          </cell>
          <cell r="G1135" t="str">
            <v>Settled</v>
          </cell>
        </row>
        <row r="1136">
          <cell r="F1136" t="str">
            <v>SG-Cimb Speedsend-EUR-01/2024</v>
          </cell>
          <cell r="G1136" t="str">
            <v>Settled</v>
          </cell>
        </row>
        <row r="1137">
          <cell r="F1137" t="str">
            <v>SG-Cimb Speedsend-EUR-02/2024</v>
          </cell>
          <cell r="G1137" t="str">
            <v>Settled</v>
          </cell>
        </row>
        <row r="1138">
          <cell r="F1138" t="str">
            <v>SG-Cimb Speedsend-EUR-03/2024</v>
          </cell>
          <cell r="G1138" t="str">
            <v>Settled</v>
          </cell>
        </row>
        <row r="1139">
          <cell r="F1139" t="str">
            <v>SG-Cimb Speedsend-EUR-12/2023</v>
          </cell>
          <cell r="G1139" t="str">
            <v>Settled</v>
          </cell>
        </row>
        <row r="1140">
          <cell r="F1140" t="str">
            <v>SG-Cimb Speedsend-EUR-04/2024</v>
          </cell>
          <cell r="G1140" t="str">
            <v>Settled</v>
          </cell>
        </row>
        <row r="1141">
          <cell r="F1141" t="str">
            <v>SG-Cimb Speedsend-EUR-05/2024</v>
          </cell>
          <cell r="G1141" t="str">
            <v>Settled</v>
          </cell>
        </row>
        <row r="1142">
          <cell r="F1142" t="str">
            <v>SG-Cimb Speedsend-EUR-06/2024</v>
          </cell>
          <cell r="G1142" t="str">
            <v>Settled</v>
          </cell>
        </row>
        <row r="1143">
          <cell r="F1143" t="str">
            <v>SG-Cimb Speedsend-EUR-07/2024</v>
          </cell>
          <cell r="G1143" t="str">
            <v>Settled</v>
          </cell>
        </row>
        <row r="1144">
          <cell r="F1144" t="str">
            <v>SG-Cimb Speedsend-EUR-08/2024</v>
          </cell>
          <cell r="G1144" t="str">
            <v>Settled</v>
          </cell>
        </row>
        <row r="1145">
          <cell r="F1145" t="str">
            <v>SG-Cimb Speedsend-EUR-09/2024</v>
          </cell>
          <cell r="G1145" t="str">
            <v>Settled</v>
          </cell>
        </row>
        <row r="1146">
          <cell r="F1146" t="str">
            <v>SG-Cimb Speedsend-EUR-10/2024</v>
          </cell>
          <cell r="G1146" t="str">
            <v>Settled</v>
          </cell>
        </row>
        <row r="1147">
          <cell r="F1147" t="str">
            <v>SG-Cimb Speedsend-EUR-11/2024</v>
          </cell>
          <cell r="G1147" t="str">
            <v>Settled</v>
          </cell>
        </row>
        <row r="1148">
          <cell r="F1148" t="str">
            <v>SG-Cimb Speedsend-EUR-12/2024</v>
          </cell>
          <cell r="G1148" t="str">
            <v>Settled</v>
          </cell>
        </row>
        <row r="1149">
          <cell r="F1149" t="str">
            <v>SG-Cimb Speedsend-EUR-01/2025</v>
          </cell>
          <cell r="G1149" t="str">
            <v>Settled</v>
          </cell>
        </row>
        <row r="1150">
          <cell r="F1150" t="str">
            <v>SG-Cimb Speedsend-EUR-02/2025</v>
          </cell>
          <cell r="G1150" t="str">
            <v>Settled</v>
          </cell>
        </row>
        <row r="1151">
          <cell r="F1151" t="str">
            <v>SG-Cimb Speedsend-EUR-03/2025</v>
          </cell>
          <cell r="G1151" t="str">
            <v>Settled</v>
          </cell>
        </row>
        <row r="1152">
          <cell r="F1152" t="str">
            <v>SG-Cimb Speedsend-EUR-04/2025</v>
          </cell>
          <cell r="G1152" t="str">
            <v>Settled</v>
          </cell>
        </row>
        <row r="1153">
          <cell r="F1153" t="str">
            <v>SG-Cimb Speedsend-EUR-05/2025</v>
          </cell>
          <cell r="G1153" t="str">
            <v>Settled</v>
          </cell>
        </row>
        <row r="1154">
          <cell r="F1154" t="str">
            <v>SG-Cimb Speedsend-EUR-06/2025</v>
          </cell>
          <cell r="G1154" t="str">
            <v>Settled</v>
          </cell>
        </row>
        <row r="1155">
          <cell r="F1155" t="str">
            <v>SG-Cimb Speedsend-EUR-07/2025</v>
          </cell>
          <cell r="G1155" t="str">
            <v>Settled</v>
          </cell>
        </row>
        <row r="1156">
          <cell r="F1156" t="str">
            <v>SG-Cimb Speedsend-EUR-08/2025</v>
          </cell>
          <cell r="G1156" t="str">
            <v>Settled</v>
          </cell>
        </row>
        <row r="1157">
          <cell r="F1157" t="str">
            <v>SG-Cimb Speedsend-EUR-09/2025</v>
          </cell>
          <cell r="G1157" t="str">
            <v>Settled</v>
          </cell>
        </row>
        <row r="1158">
          <cell r="F1158" t="str">
            <v>SG-Cimb Speedsend-EUR-10/2025</v>
          </cell>
          <cell r="G1158" t="str">
            <v>Settled</v>
          </cell>
        </row>
        <row r="1159">
          <cell r="F1159" t="str">
            <v>SG-Cimb Speedsend-EUR-11/2025</v>
          </cell>
          <cell r="G1159" t="str">
            <v>Settled</v>
          </cell>
        </row>
        <row r="1160">
          <cell r="F1160" t="str">
            <v>SG-Cimb Speedsend-EUR-12/2025</v>
          </cell>
          <cell r="G1160" t="str">
            <v>Settled</v>
          </cell>
        </row>
        <row r="1161">
          <cell r="F1161" t="str">
            <v>SG-Cimb Speedsend-EUR-01/2026</v>
          </cell>
          <cell r="G1161" t="str">
            <v>Settled</v>
          </cell>
        </row>
        <row r="1162">
          <cell r="F1162" t="str">
            <v>SG-Cimb Speedsend-EUR-02/2026</v>
          </cell>
          <cell r="G1162" t="str">
            <v>Settled</v>
          </cell>
        </row>
        <row r="1163">
          <cell r="F1163" t="str">
            <v>SG-Cimb Speedsend-EUR-11/2023</v>
          </cell>
          <cell r="G1163" t="str">
            <v>Settled</v>
          </cell>
        </row>
        <row r="1164">
          <cell r="F1164" t="str">
            <v>SG-Cimb Speedsend-GBP-01/2024</v>
          </cell>
          <cell r="G1164" t="str">
            <v>Settled</v>
          </cell>
        </row>
        <row r="1165">
          <cell r="F1165" t="str">
            <v>SG-Cimb Speedsend-GBP-02/2024</v>
          </cell>
          <cell r="G1165" t="str">
            <v>Settled</v>
          </cell>
        </row>
        <row r="1166">
          <cell r="F1166" t="str">
            <v>SG-Cimb Speedsend-GBP-03/2024</v>
          </cell>
          <cell r="G1166" t="str">
            <v>Settled</v>
          </cell>
        </row>
        <row r="1167">
          <cell r="F1167" t="str">
            <v>SG-Cimb Speedsend-GBP-12/2023</v>
          </cell>
          <cell r="G1167" t="str">
            <v>Settled</v>
          </cell>
        </row>
        <row r="1168">
          <cell r="F1168" t="str">
            <v>SG-Cimb Speedsend-GBP-04/2024</v>
          </cell>
          <cell r="G1168" t="str">
            <v>Settled</v>
          </cell>
        </row>
        <row r="1169">
          <cell r="F1169" t="str">
            <v>SG-Cimb Speedsend-GBP-05/2024</v>
          </cell>
          <cell r="G1169" t="str">
            <v>Settled</v>
          </cell>
        </row>
        <row r="1170">
          <cell r="F1170" t="str">
            <v>SG-Cimb Speedsend-GBP-06/2024</v>
          </cell>
          <cell r="G1170" t="str">
            <v>Settled</v>
          </cell>
        </row>
        <row r="1171">
          <cell r="F1171" t="str">
            <v>SG-Cimb Speedsend-GBP-07/2024</v>
          </cell>
          <cell r="G1171" t="str">
            <v>Settled</v>
          </cell>
        </row>
        <row r="1172">
          <cell r="F1172" t="str">
            <v>SG-Cimb Speedsend-GBP-08/2024</v>
          </cell>
          <cell r="G1172" t="str">
            <v>Settled</v>
          </cell>
        </row>
        <row r="1173">
          <cell r="F1173" t="str">
            <v>SG-Cimb Speedsend-GBP-09/2024</v>
          </cell>
          <cell r="G1173" t="str">
            <v>Settled</v>
          </cell>
        </row>
        <row r="1174">
          <cell r="F1174" t="str">
            <v>SG-Cimb Speedsend-GBP-10/2024</v>
          </cell>
          <cell r="G1174" t="str">
            <v>Settled</v>
          </cell>
        </row>
        <row r="1175">
          <cell r="F1175" t="str">
            <v>SG-Cimb Speedsend-GBP-11/2024</v>
          </cell>
          <cell r="G1175" t="str">
            <v>Settled</v>
          </cell>
        </row>
        <row r="1176">
          <cell r="F1176" t="str">
            <v>SG-Cimb Speedsend-GBP-12/2024</v>
          </cell>
          <cell r="G1176" t="str">
            <v>Settled</v>
          </cell>
        </row>
        <row r="1177">
          <cell r="F1177" t="str">
            <v>SG-Cimb Speedsend-GBP-01/2025</v>
          </cell>
          <cell r="G1177" t="str">
            <v>Settled</v>
          </cell>
        </row>
        <row r="1178">
          <cell r="F1178" t="str">
            <v>SG-Cimb Speedsend-GBP-02/2025</v>
          </cell>
          <cell r="G1178" t="str">
            <v>Settled</v>
          </cell>
        </row>
        <row r="1179">
          <cell r="F1179" t="str">
            <v>SG-Cimb Speedsend-GBP-03/2025</v>
          </cell>
          <cell r="G1179" t="str">
            <v>Settled</v>
          </cell>
        </row>
        <row r="1180">
          <cell r="F1180" t="str">
            <v>SG-Cimb Speedsend-GBP-04/2025</v>
          </cell>
          <cell r="G1180" t="str">
            <v>Settled</v>
          </cell>
        </row>
        <row r="1181">
          <cell r="F1181" t="str">
            <v>SG-Cimb Speedsend-GBP-05/2025</v>
          </cell>
          <cell r="G1181" t="str">
            <v>Settled</v>
          </cell>
        </row>
        <row r="1182">
          <cell r="F1182" t="str">
            <v>SG-Cimb Speedsend-GBP-06/2025</v>
          </cell>
          <cell r="G1182" t="str">
            <v>Settled</v>
          </cell>
        </row>
        <row r="1183">
          <cell r="F1183" t="str">
            <v>SG-Cimb Speedsend-GBP-07/2025</v>
          </cell>
          <cell r="G1183" t="str">
            <v>Settled</v>
          </cell>
        </row>
        <row r="1184">
          <cell r="F1184" t="str">
            <v>SG-Cimb Speedsend-GBP-08/2025</v>
          </cell>
          <cell r="G1184" t="str">
            <v>Settled</v>
          </cell>
        </row>
        <row r="1185">
          <cell r="F1185" t="str">
            <v>SG-Cimb Speedsend-GBP-09/2025</v>
          </cell>
          <cell r="G1185" t="str">
            <v>Settled</v>
          </cell>
        </row>
        <row r="1186">
          <cell r="F1186" t="str">
            <v>SG-Cimb Speedsend-GBP-10/2025</v>
          </cell>
          <cell r="G1186" t="str">
            <v>Settled</v>
          </cell>
        </row>
        <row r="1187">
          <cell r="F1187" t="str">
            <v>SG-Cimb Speedsend-GBP-11/2025</v>
          </cell>
          <cell r="G1187" t="str">
            <v>Settled</v>
          </cell>
        </row>
        <row r="1188">
          <cell r="F1188" t="str">
            <v>SG-Cimb Speedsend-GBP-12/2025</v>
          </cell>
          <cell r="G1188" t="str">
            <v>Settled</v>
          </cell>
        </row>
        <row r="1189">
          <cell r="F1189" t="str">
            <v>SG-Cimb Speedsend-GBP-01/2026</v>
          </cell>
          <cell r="G1189" t="str">
            <v>Settled</v>
          </cell>
        </row>
        <row r="1190">
          <cell r="F1190" t="str">
            <v>SG-Cimb Speedsend-GBP-02/2026</v>
          </cell>
          <cell r="G1190" t="str">
            <v>Settled</v>
          </cell>
        </row>
        <row r="1191">
          <cell r="F1191" t="str">
            <v>SG-CimbSpeedsend-09/2023</v>
          </cell>
          <cell r="G1191" t="str">
            <v>Settled</v>
          </cell>
        </row>
        <row r="1192">
          <cell r="F1192" t="str">
            <v>SG-CimbSpeedsend-10/2023</v>
          </cell>
          <cell r="G1192" t="str">
            <v>Settled</v>
          </cell>
        </row>
        <row r="1193">
          <cell r="F1193" t="str">
            <v>SG-CimbSGD-SGD-11/2023</v>
          </cell>
          <cell r="G1193" t="str">
            <v>Settled</v>
          </cell>
        </row>
        <row r="1194">
          <cell r="F1194" t="str">
            <v>SG-CimbSpeedsend-SGD-01/2024</v>
          </cell>
          <cell r="G1194" t="str">
            <v>Settled</v>
          </cell>
        </row>
        <row r="1195">
          <cell r="F1195" t="str">
            <v>SG-CimbSpeedsend-SGD-02/2024</v>
          </cell>
          <cell r="G1195" t="str">
            <v>Settled</v>
          </cell>
        </row>
        <row r="1196">
          <cell r="F1196" t="str">
            <v>SG-CimbSpeedsend-SGD-03/2024</v>
          </cell>
          <cell r="G1196" t="str">
            <v>Settled</v>
          </cell>
        </row>
        <row r="1197">
          <cell r="F1197" t="str">
            <v>SG-CimbSpeedsend-SGD-12/2023</v>
          </cell>
          <cell r="G1197" t="str">
            <v>Settled</v>
          </cell>
        </row>
        <row r="1198">
          <cell r="F1198" t="str">
            <v>SG-CimbSpeedsend-SGD-04/2024</v>
          </cell>
          <cell r="G1198" t="str">
            <v>Settled</v>
          </cell>
        </row>
        <row r="1199">
          <cell r="F1199" t="str">
            <v>SG-CimbSpeedsend-SGD-05/2024</v>
          </cell>
          <cell r="G1199" t="str">
            <v>Settled</v>
          </cell>
        </row>
        <row r="1200">
          <cell r="F1200" t="str">
            <v>SG-CimbSpeedsend-SGD-06/2024</v>
          </cell>
          <cell r="G1200" t="str">
            <v>Settled</v>
          </cell>
        </row>
        <row r="1201">
          <cell r="F1201" t="str">
            <v>SG-CimbSpeedsend-SGD-07/2024</v>
          </cell>
          <cell r="G1201" t="str">
            <v>Settled</v>
          </cell>
        </row>
        <row r="1202">
          <cell r="F1202" t="str">
            <v>SG-CimbSpeedsend-SGD-08/2024</v>
          </cell>
          <cell r="G1202" t="str">
            <v>Settled</v>
          </cell>
        </row>
        <row r="1203">
          <cell r="F1203" t="str">
            <v>SG-CimbSpeedsend-SGD-09/2024</v>
          </cell>
          <cell r="G1203" t="str">
            <v>Settled</v>
          </cell>
        </row>
        <row r="1204">
          <cell r="F1204" t="str">
            <v>SG-CimbSpeedsend-SGD-10/2024</v>
          </cell>
          <cell r="G1204" t="str">
            <v>Settled</v>
          </cell>
        </row>
        <row r="1205">
          <cell r="F1205" t="str">
            <v>SG-CimbSpeedsend-SGD-11/2024</v>
          </cell>
          <cell r="G1205" t="str">
            <v>Settled</v>
          </cell>
        </row>
        <row r="1206">
          <cell r="F1206" t="str">
            <v>SG-CimbSpeedsend-SGD-12/2024</v>
          </cell>
          <cell r="G1206" t="str">
            <v>Settled</v>
          </cell>
        </row>
        <row r="1207">
          <cell r="F1207" t="str">
            <v>SG-CimbSpeedsend-SGD-01/2025</v>
          </cell>
          <cell r="G1207" t="str">
            <v>Settled</v>
          </cell>
        </row>
        <row r="1208">
          <cell r="F1208" t="str">
            <v>SG-CimbSpeedsend-SGD-02/2025</v>
          </cell>
          <cell r="G1208" t="str">
            <v>Settled</v>
          </cell>
        </row>
        <row r="1209">
          <cell r="F1209" t="str">
            <v>SG-CimbSpeedsend-SGD-03/2025</v>
          </cell>
          <cell r="G1209" t="str">
            <v>Settled</v>
          </cell>
        </row>
        <row r="1210">
          <cell r="F1210" t="str">
            <v>SG-CimbSpeedsend-SGD-04/2025</v>
          </cell>
          <cell r="G1210" t="str">
            <v>Settled</v>
          </cell>
        </row>
        <row r="1211">
          <cell r="F1211" t="str">
            <v>SG-CimbSpeedsend-SGD-05/2025</v>
          </cell>
          <cell r="G1211" t="str">
            <v>Settled</v>
          </cell>
        </row>
        <row r="1212">
          <cell r="F1212" t="str">
            <v>SG-CimbSpeedsend-SGD-06/2025</v>
          </cell>
          <cell r="G1212" t="str">
            <v>Settled</v>
          </cell>
        </row>
        <row r="1213">
          <cell r="F1213" t="str">
            <v>SG-CimbSpeedsend-SGD-07/2025</v>
          </cell>
          <cell r="G1213" t="str">
            <v>Settled</v>
          </cell>
        </row>
        <row r="1214">
          <cell r="F1214" t="str">
            <v>SG-CimbSpeedsend-SGD-08/2025</v>
          </cell>
          <cell r="G1214" t="str">
            <v>Settled</v>
          </cell>
        </row>
        <row r="1215">
          <cell r="F1215" t="str">
            <v>SG-CimbSpeedsend-SGD-09/2025</v>
          </cell>
          <cell r="G1215" t="str">
            <v>Settled</v>
          </cell>
        </row>
        <row r="1216">
          <cell r="F1216" t="str">
            <v>SG-CimbSpeedsend-SGD-10/2025</v>
          </cell>
          <cell r="G1216" t="str">
            <v>Settled</v>
          </cell>
        </row>
        <row r="1217">
          <cell r="F1217" t="str">
            <v>SG-CimbSpeedsend-SGD-11/2025</v>
          </cell>
          <cell r="G1217" t="str">
            <v>Settled</v>
          </cell>
        </row>
        <row r="1218">
          <cell r="F1218" t="str">
            <v>SG-CimbSpeedsend-SGD-12/2025</v>
          </cell>
          <cell r="G1218" t="str">
            <v>Settled</v>
          </cell>
        </row>
        <row r="1219">
          <cell r="F1219" t="str">
            <v>SG-CimbSpeedsend-SGD-01/2026</v>
          </cell>
          <cell r="G1219" t="str">
            <v>Settled</v>
          </cell>
        </row>
        <row r="1220">
          <cell r="F1220" t="str">
            <v>SG-CimbSpeedsend-SGD-02/2026</v>
          </cell>
          <cell r="G1220" t="str">
            <v>Settled</v>
          </cell>
        </row>
        <row r="1221">
          <cell r="F1221" t="str">
            <v>HK-city foreign exchange limited-11/2022</v>
          </cell>
          <cell r="G1221" t="str">
            <v>Settled</v>
          </cell>
        </row>
        <row r="1222">
          <cell r="F1222" t="str">
            <v>HK-city foreign exchange limited-12/2022</v>
          </cell>
          <cell r="G1222" t="str">
            <v>Settled</v>
          </cell>
        </row>
        <row r="1223">
          <cell r="F1223" t="str">
            <v>HK-city foreign exchange limited-01/2023</v>
          </cell>
          <cell r="G1223" t="str">
            <v>Settled</v>
          </cell>
        </row>
        <row r="1224">
          <cell r="F1224" t="str">
            <v>HK-cityforeign-02/2023</v>
          </cell>
          <cell r="G1224" t="str">
            <v>Settled</v>
          </cell>
        </row>
        <row r="1225">
          <cell r="F1225" t="str">
            <v>HK-cityforeign-04/2023</v>
          </cell>
          <cell r="G1225" t="str">
            <v>Settled</v>
          </cell>
        </row>
        <row r="1226">
          <cell r="F1226" t="str">
            <v>HK-cityforeign-03/2023</v>
          </cell>
          <cell r="G1226" t="str">
            <v>Settled</v>
          </cell>
        </row>
        <row r="1227">
          <cell r="F1227" t="str">
            <v>HK-cityforeign-05/2023</v>
          </cell>
          <cell r="G1227" t="str">
            <v>Settled</v>
          </cell>
        </row>
        <row r="1228">
          <cell r="F1228" t="str">
            <v>HK-cityforeign-06/2023</v>
          </cell>
          <cell r="G1228" t="str">
            <v>Settled</v>
          </cell>
        </row>
        <row r="1229">
          <cell r="F1229" t="str">
            <v>HK-cityforeign-07/2023</v>
          </cell>
          <cell r="G1229" t="str">
            <v>Settled</v>
          </cell>
        </row>
        <row r="1230">
          <cell r="F1230" t="str">
            <v>HK -cityforeign-08/2023</v>
          </cell>
          <cell r="G1230" t="str">
            <v>Settled</v>
          </cell>
        </row>
        <row r="1231">
          <cell r="F1231" t="str">
            <v>HK -cityforeign-08/2023</v>
          </cell>
          <cell r="G1231" t="str">
            <v>Settled</v>
          </cell>
        </row>
        <row r="1232">
          <cell r="F1232" t="str">
            <v>HK-cityforeign-09/2023</v>
          </cell>
          <cell r="G1232" t="str">
            <v>Settled</v>
          </cell>
        </row>
        <row r="1233">
          <cell r="F1233" t="str">
            <v>HK-cityforeign-10/2023</v>
          </cell>
          <cell r="G1233" t="str">
            <v>Settled</v>
          </cell>
        </row>
        <row r="1234">
          <cell r="F1234" t="str">
            <v>HK-cityforeign-11/2023</v>
          </cell>
          <cell r="G1234" t="str">
            <v>Settled</v>
          </cell>
        </row>
        <row r="1235">
          <cell r="F1235" t="str">
            <v>HK-cityforeign-12/2023</v>
          </cell>
          <cell r="G1235" t="str">
            <v>Settled</v>
          </cell>
        </row>
        <row r="1236">
          <cell r="F1236" t="str">
            <v>HK-cityforeign-01/2024</v>
          </cell>
          <cell r="G1236" t="str">
            <v>Settled</v>
          </cell>
        </row>
        <row r="1237">
          <cell r="F1237" t="str">
            <v>HK-cityforeign-02/2024</v>
          </cell>
          <cell r="G1237" t="str">
            <v>Settled</v>
          </cell>
        </row>
        <row r="1238">
          <cell r="F1238" t="str">
            <v>HK-cityforeign-03/2024</v>
          </cell>
          <cell r="G1238" t="str">
            <v>Settled</v>
          </cell>
        </row>
        <row r="1239">
          <cell r="F1239" t="str">
            <v>HK-cityforeign-04/2024</v>
          </cell>
          <cell r="G1239" t="str">
            <v>Settled</v>
          </cell>
        </row>
        <row r="1240">
          <cell r="F1240" t="str">
            <v>HK-cityforeign-05/2024</v>
          </cell>
          <cell r="G1240" t="str">
            <v>Settled</v>
          </cell>
        </row>
        <row r="1241">
          <cell r="F1241" t="str">
            <v>HK-cityforeign-06/2024</v>
          </cell>
          <cell r="G1241" t="str">
            <v>Settled</v>
          </cell>
        </row>
        <row r="1242">
          <cell r="F1242" t="str">
            <v>HK-cityforeign-07/2024</v>
          </cell>
          <cell r="G1242" t="str">
            <v>Settled</v>
          </cell>
        </row>
        <row r="1243">
          <cell r="F1243" t="str">
            <v>HK-cityforeign-08/2024</v>
          </cell>
          <cell r="G1243" t="str">
            <v>Settled</v>
          </cell>
        </row>
        <row r="1244">
          <cell r="F1244" t="str">
            <v>HK-cityforeign-09/2024</v>
          </cell>
          <cell r="G1244" t="str">
            <v>Settled</v>
          </cell>
        </row>
        <row r="1245">
          <cell r="F1245" t="str">
            <v>HK-cityforeign-10/2024</v>
          </cell>
          <cell r="G1245" t="str">
            <v>Settled</v>
          </cell>
        </row>
        <row r="1246">
          <cell r="F1246" t="str">
            <v>HK-cityforeign-11/2024</v>
          </cell>
          <cell r="G1246" t="str">
            <v>Settled</v>
          </cell>
        </row>
        <row r="1247">
          <cell r="F1247" t="str">
            <v>HK-cityforeign-12/2024</v>
          </cell>
          <cell r="G1247" t="str">
            <v>Settled</v>
          </cell>
        </row>
        <row r="1248">
          <cell r="F1248" t="str">
            <v>HK-cityforeign-01/2025</v>
          </cell>
          <cell r="G1248" t="str">
            <v>Settled</v>
          </cell>
        </row>
        <row r="1249">
          <cell r="F1249" t="str">
            <v>HK-cityforeign-02/2025</v>
          </cell>
          <cell r="G1249" t="str">
            <v>Settled</v>
          </cell>
        </row>
        <row r="1250">
          <cell r="F1250" t="str">
            <v>HK-cityforeign-03/2025</v>
          </cell>
          <cell r="G1250" t="str">
            <v>Settled</v>
          </cell>
        </row>
        <row r="1251">
          <cell r="F1251" t="str">
            <v>HK-cityforeign-04/2025</v>
          </cell>
          <cell r="G1251" t="str">
            <v>Settled</v>
          </cell>
        </row>
        <row r="1252">
          <cell r="F1252" t="str">
            <v>HK-cityforeign-05/2025</v>
          </cell>
          <cell r="G1252" t="str">
            <v>Settled</v>
          </cell>
        </row>
        <row r="1253">
          <cell r="F1253" t="str">
            <v>HK-cityforeign-06/2025</v>
          </cell>
          <cell r="G1253" t="str">
            <v>Settled</v>
          </cell>
        </row>
        <row r="1254">
          <cell r="F1254" t="str">
            <v>HK-cityforeign-07/2025</v>
          </cell>
          <cell r="G1254" t="str">
            <v>Settled</v>
          </cell>
        </row>
        <row r="1255">
          <cell r="F1255" t="str">
            <v>HK-cityforeign-08/2025</v>
          </cell>
          <cell r="G1255" t="str">
            <v>Settled</v>
          </cell>
        </row>
        <row r="1256">
          <cell r="F1256" t="str">
            <v>HK-cityforeign-09/2025</v>
          </cell>
          <cell r="G1256" t="str">
            <v>Settled</v>
          </cell>
        </row>
        <row r="1257">
          <cell r="F1257" t="str">
            <v>HK-cityforeign-10/2025</v>
          </cell>
          <cell r="G1257" t="str">
            <v>Settled</v>
          </cell>
        </row>
        <row r="1258">
          <cell r="F1258" t="str">
            <v>HK-cityforeign-11/2025</v>
          </cell>
          <cell r="G1258" t="str">
            <v>Settled</v>
          </cell>
        </row>
        <row r="1259">
          <cell r="F1259" t="str">
            <v>HK-cityforeign-12/2025</v>
          </cell>
          <cell r="G1259" t="str">
            <v>Settled</v>
          </cell>
        </row>
        <row r="1260">
          <cell r="F1260" t="str">
            <v>HK-cityforeign-01/2026</v>
          </cell>
          <cell r="G1260" t="str">
            <v>Settled</v>
          </cell>
        </row>
        <row r="1261">
          <cell r="F1261" t="str">
            <v>HK-cityforeign-02/2026</v>
          </cell>
          <cell r="G1261" t="str">
            <v>Settled</v>
          </cell>
        </row>
        <row r="1262">
          <cell r="F1262" t="str">
            <v>HK -clash arts hk ltd-01/2022</v>
          </cell>
          <cell r="G1262" t="str">
            <v>Waived Off</v>
          </cell>
        </row>
        <row r="1263">
          <cell r="F1263" t="str">
            <v>HK -clash arts hk ltd-02/2022</v>
          </cell>
          <cell r="G1263" t="str">
            <v>Waived Off</v>
          </cell>
        </row>
        <row r="1264">
          <cell r="F1264" t="str">
            <v>HK-clash arts hk ltd-11/2022</v>
          </cell>
          <cell r="G1264" t="str">
            <v>Settled</v>
          </cell>
        </row>
        <row r="1265">
          <cell r="F1265" t="str">
            <v>HK-clash arts hk ltd-12/2022</v>
          </cell>
          <cell r="G1265" t="str">
            <v>Settled</v>
          </cell>
        </row>
        <row r="1266">
          <cell r="F1266" t="str">
            <v>HK-clash arts hk ltd-01/2023</v>
          </cell>
          <cell r="G1266" t="str">
            <v>Settled</v>
          </cell>
        </row>
        <row r="1267">
          <cell r="F1267" t="str">
            <v>HK-clash arts-02/2023</v>
          </cell>
          <cell r="G1267" t="str">
            <v>Settled</v>
          </cell>
        </row>
        <row r="1268">
          <cell r="F1268" t="str">
            <v>HK-clash arts-03/2023</v>
          </cell>
          <cell r="G1268" t="str">
            <v>Settled</v>
          </cell>
        </row>
        <row r="1269">
          <cell r="F1269" t="str">
            <v>HK-clash arts-04/2023</v>
          </cell>
          <cell r="G1269" t="str">
            <v>Settled</v>
          </cell>
        </row>
        <row r="1270">
          <cell r="F1270" t="str">
            <v>HK-clash arts-05/2023</v>
          </cell>
          <cell r="G1270" t="str">
            <v>Settled</v>
          </cell>
        </row>
        <row r="1271">
          <cell r="F1271" t="str">
            <v>HK-clash arts-06/2023</v>
          </cell>
          <cell r="G1271" t="str">
            <v>Settled</v>
          </cell>
        </row>
        <row r="1272">
          <cell r="F1272" t="str">
            <v>SG-clear aligners pte ltd-04/2023</v>
          </cell>
          <cell r="G1272" t="str">
            <v>Settled</v>
          </cell>
        </row>
        <row r="1273">
          <cell r="F1273" t="str">
            <v>SG-clear aligners pte ltd-05/2023</v>
          </cell>
          <cell r="G1273" t="str">
            <v>Settled</v>
          </cell>
        </row>
        <row r="1274">
          <cell r="F1274" t="str">
            <v>SG-clear aligners pte ltd-06/2023</v>
          </cell>
          <cell r="G1274" t="str">
            <v>Settled</v>
          </cell>
        </row>
        <row r="1275">
          <cell r="F1275" t="str">
            <v>AU -clear marketing solutions pty ltd-03/2022</v>
          </cell>
          <cell r="G1275" t="str">
            <v>Waived Off</v>
          </cell>
        </row>
        <row r="1276">
          <cell r="F1276" t="str">
            <v>SG-Cobblestone Energy-05/2023</v>
          </cell>
          <cell r="G1276" t="str">
            <v>Settled</v>
          </cell>
        </row>
        <row r="1277">
          <cell r="F1277" t="str">
            <v>SG-Cobblestone Energy-06/2023</v>
          </cell>
          <cell r="G1277" t="str">
            <v>Settled</v>
          </cell>
        </row>
        <row r="1278">
          <cell r="F1278" t="str">
            <v>SG-Coda Payments-03/2024</v>
          </cell>
          <cell r="G1278" t="str">
            <v>Settled</v>
          </cell>
        </row>
        <row r="1279">
          <cell r="F1279" t="str">
            <v>SG-Coda Payments-CR-03/2024</v>
          </cell>
          <cell r="G1279" t="str">
            <v>Settled</v>
          </cell>
        </row>
        <row r="1280">
          <cell r="F1280" t="str">
            <v>SG-Coda Payments-04/2024</v>
          </cell>
          <cell r="G1280" t="str">
            <v>Settled</v>
          </cell>
        </row>
        <row r="1281">
          <cell r="F1281" t="str">
            <v>SG-Coda Payments-CR-04/2024</v>
          </cell>
          <cell r="G1281" t="str">
            <v>Settled</v>
          </cell>
        </row>
        <row r="1282">
          <cell r="F1282" t="str">
            <v>SG-Coda Payments-11/2022</v>
          </cell>
          <cell r="G1282" t="str">
            <v>Settled</v>
          </cell>
        </row>
        <row r="1283">
          <cell r="F1283" t="str">
            <v>SG-Coda Payments-12/2022</v>
          </cell>
          <cell r="G1283" t="str">
            <v>Settled</v>
          </cell>
        </row>
        <row r="1284">
          <cell r="F1284" t="str">
            <v>SG-Coda Payments-01/2023</v>
          </cell>
          <cell r="G1284" t="str">
            <v>Settled</v>
          </cell>
        </row>
        <row r="1285">
          <cell r="F1285" t="str">
            <v>SG-Coda Payments-02/2023</v>
          </cell>
          <cell r="G1285" t="str">
            <v>Settled</v>
          </cell>
        </row>
        <row r="1286">
          <cell r="F1286" t="str">
            <v>SG-Coda Payments-03/2023</v>
          </cell>
          <cell r="G1286" t="str">
            <v>Settled</v>
          </cell>
        </row>
        <row r="1287">
          <cell r="F1287" t="str">
            <v>SG-Coda Payments-04/2023</v>
          </cell>
          <cell r="G1287" t="str">
            <v>Settled</v>
          </cell>
        </row>
        <row r="1288">
          <cell r="F1288" t="str">
            <v>SG-Coda Payments-05/2023</v>
          </cell>
          <cell r="G1288" t="str">
            <v>Settled</v>
          </cell>
        </row>
        <row r="1289">
          <cell r="F1289" t="str">
            <v>SG-Coda Payments-06/2023</v>
          </cell>
          <cell r="G1289" t="str">
            <v>Settled</v>
          </cell>
        </row>
        <row r="1290">
          <cell r="F1290" t="str">
            <v>SG-Coda Payments-07/2023</v>
          </cell>
          <cell r="G1290" t="str">
            <v>Settled</v>
          </cell>
        </row>
        <row r="1291">
          <cell r="F1291" t="str">
            <v>SG -Coda Payments-08/2023</v>
          </cell>
          <cell r="G1291" t="str">
            <v>Settled</v>
          </cell>
        </row>
        <row r="1292">
          <cell r="F1292" t="str">
            <v>SG-Coda Payments-09/2023</v>
          </cell>
          <cell r="G1292" t="str">
            <v>Settled</v>
          </cell>
        </row>
        <row r="1293">
          <cell r="F1293" t="str">
            <v>SG-Coda Payments-10/2023</v>
          </cell>
          <cell r="G1293" t="str">
            <v>Settled</v>
          </cell>
        </row>
        <row r="1294">
          <cell r="F1294" t="str">
            <v>SG-Coda Payments-11/2023</v>
          </cell>
          <cell r="G1294" t="str">
            <v>Settled</v>
          </cell>
        </row>
        <row r="1295">
          <cell r="F1295" t="str">
            <v>SG-Coda Payments-12/2023</v>
          </cell>
          <cell r="G1295" t="str">
            <v>Settled</v>
          </cell>
        </row>
        <row r="1296">
          <cell r="F1296" t="str">
            <v>SG-Coda Payments-01/2024</v>
          </cell>
          <cell r="G1296" t="str">
            <v>Settled</v>
          </cell>
        </row>
        <row r="1297">
          <cell r="F1297" t="str">
            <v>SG-Coda Payments-CR-01/2024</v>
          </cell>
          <cell r="G1297" t="str">
            <v>Settled</v>
          </cell>
        </row>
        <row r="1298">
          <cell r="F1298" t="str">
            <v>SG-Coda Payments-02/2024</v>
          </cell>
          <cell r="G1298" t="str">
            <v>Settled</v>
          </cell>
        </row>
        <row r="1299">
          <cell r="F1299" t="str">
            <v>SG-Coda Payments-CR-02/2024</v>
          </cell>
          <cell r="G1299" t="str">
            <v>Settled</v>
          </cell>
        </row>
        <row r="1300">
          <cell r="F1300" t="str">
            <v>MY-coda aplikasi-11/2023</v>
          </cell>
          <cell r="G1300" t="str">
            <v>Settled</v>
          </cell>
        </row>
        <row r="1301">
          <cell r="F1301" t="str">
            <v>MY-coda aplikasi-01/2024</v>
          </cell>
          <cell r="G1301" t="str">
            <v>Settled</v>
          </cell>
        </row>
        <row r="1302">
          <cell r="F1302" t="str">
            <v>MY-coda aplikasi-02/2024</v>
          </cell>
          <cell r="G1302" t="str">
            <v>Settled</v>
          </cell>
        </row>
        <row r="1303">
          <cell r="F1303" t="str">
            <v>MY-coda aplikasi-03/2024</v>
          </cell>
          <cell r="G1303" t="str">
            <v>Settled</v>
          </cell>
        </row>
        <row r="1304">
          <cell r="F1304" t="str">
            <v>MY-coda aplikasi-11/2023</v>
          </cell>
          <cell r="G1304" t="str">
            <v>Reversed</v>
          </cell>
        </row>
        <row r="1305">
          <cell r="F1305" t="str">
            <v>AU-Cohortgo-11/2022</v>
          </cell>
          <cell r="G1305" t="str">
            <v>Settled</v>
          </cell>
        </row>
        <row r="1306">
          <cell r="F1306" t="str">
            <v>AU-Cohortgo-12/2022</v>
          </cell>
          <cell r="G1306" t="str">
            <v>Settled</v>
          </cell>
        </row>
        <row r="1307">
          <cell r="F1307" t="str">
            <v>AU-Cohortgo-01/2023</v>
          </cell>
          <cell r="G1307" t="str">
            <v>Settled</v>
          </cell>
        </row>
        <row r="1308">
          <cell r="F1308" t="str">
            <v>AU-Cohortgo-02/2023</v>
          </cell>
          <cell r="G1308" t="str">
            <v>Settled</v>
          </cell>
        </row>
        <row r="1309">
          <cell r="F1309" t="str">
            <v>AU-Cohortgo-03/2023</v>
          </cell>
          <cell r="G1309" t="str">
            <v>Settled</v>
          </cell>
        </row>
        <row r="1310">
          <cell r="F1310" t="str">
            <v>AU-Cohortgo-04/2023</v>
          </cell>
          <cell r="G1310" t="str">
            <v>Settled</v>
          </cell>
        </row>
        <row r="1311">
          <cell r="F1311" t="str">
            <v>AU-Cohortgo-05/2023</v>
          </cell>
          <cell r="G1311" t="str">
            <v>Settled</v>
          </cell>
        </row>
        <row r="1312">
          <cell r="F1312" t="str">
            <v>AU-Cohortgo-06/2023</v>
          </cell>
          <cell r="G1312" t="str">
            <v>Settled</v>
          </cell>
        </row>
        <row r="1313">
          <cell r="F1313" t="str">
            <v>AU-Cohortgo-07/2023</v>
          </cell>
          <cell r="G1313" t="str">
            <v>Settled</v>
          </cell>
        </row>
        <row r="1314">
          <cell r="F1314" t="str">
            <v>AU -Cohortgo-08/2023</v>
          </cell>
          <cell r="G1314" t="str">
            <v>Settled</v>
          </cell>
        </row>
        <row r="1315">
          <cell r="F1315" t="str">
            <v>AU-Cohortgo-09/2023</v>
          </cell>
          <cell r="G1315" t="str">
            <v>Settled</v>
          </cell>
        </row>
        <row r="1316">
          <cell r="F1316" t="str">
            <v>AU-Cohortgo-10/2023</v>
          </cell>
          <cell r="G1316" t="str">
            <v>Settled</v>
          </cell>
        </row>
        <row r="1317">
          <cell r="F1317" t="str">
            <v>AU-Cohortgo-11/2023</v>
          </cell>
          <cell r="G1317" t="str">
            <v>Settled</v>
          </cell>
        </row>
        <row r="1318">
          <cell r="F1318" t="str">
            <v>AU-Cohortgo-12/2023</v>
          </cell>
          <cell r="G1318" t="str">
            <v>Settled</v>
          </cell>
        </row>
        <row r="1319">
          <cell r="F1319" t="str">
            <v>AU-Cohortgo-01/2024</v>
          </cell>
          <cell r="G1319" t="str">
            <v>Settled</v>
          </cell>
        </row>
        <row r="1320">
          <cell r="F1320" t="str">
            <v>AU-Cohortgo-02/2024</v>
          </cell>
          <cell r="G1320" t="str">
            <v>Settled</v>
          </cell>
        </row>
        <row r="1321">
          <cell r="F1321" t="str">
            <v>AU-Cohortgo-03/2024</v>
          </cell>
          <cell r="G1321" t="str">
            <v>Settled</v>
          </cell>
        </row>
        <row r="1322">
          <cell r="F1322" t="str">
            <v>AU-Cohortgo-04/2024</v>
          </cell>
          <cell r="G1322" t="str">
            <v>Settled</v>
          </cell>
        </row>
        <row r="1323">
          <cell r="F1323" t="str">
            <v>AU-Cohortgo-05/2024</v>
          </cell>
          <cell r="G1323" t="str">
            <v>Settled</v>
          </cell>
        </row>
        <row r="1324">
          <cell r="F1324" t="str">
            <v>AU-Cohortgo-06/2024</v>
          </cell>
          <cell r="G1324" t="str">
            <v>Settled</v>
          </cell>
        </row>
        <row r="1325">
          <cell r="F1325" t="str">
            <v>AU-Cohortgo-07/2024</v>
          </cell>
          <cell r="G1325" t="str">
            <v>Settled</v>
          </cell>
        </row>
        <row r="1326">
          <cell r="F1326" t="str">
            <v>AU-Cohortgo-08/2024</v>
          </cell>
          <cell r="G1326" t="str">
            <v>Settled</v>
          </cell>
        </row>
        <row r="1327">
          <cell r="F1327" t="str">
            <v>AU-Cohortgo-09/2024</v>
          </cell>
          <cell r="G1327" t="str">
            <v>Settled</v>
          </cell>
        </row>
        <row r="1328">
          <cell r="F1328" t="str">
            <v>AU-Cohortgo-10/2024</v>
          </cell>
          <cell r="G1328" t="str">
            <v>Settled</v>
          </cell>
        </row>
        <row r="1329">
          <cell r="F1329" t="str">
            <v>AU-Cohortgo-11/2024</v>
          </cell>
          <cell r="G1329" t="str">
            <v>Settled</v>
          </cell>
        </row>
        <row r="1330">
          <cell r="F1330" t="str">
            <v>AU-Cohortgo-12/2024</v>
          </cell>
          <cell r="G1330" t="str">
            <v>Settled</v>
          </cell>
        </row>
        <row r="1331">
          <cell r="F1331" t="str">
            <v>AU-Cohortgo-01/2025</v>
          </cell>
          <cell r="G1331" t="str">
            <v>Settled</v>
          </cell>
        </row>
        <row r="1332">
          <cell r="F1332" t="str">
            <v>AU-Cohortgo-02/2025</v>
          </cell>
          <cell r="G1332" t="str">
            <v>Settled</v>
          </cell>
        </row>
        <row r="1333">
          <cell r="F1333" t="str">
            <v>AU-Cohortgo-03/2025</v>
          </cell>
          <cell r="G1333" t="str">
            <v>Settled</v>
          </cell>
        </row>
        <row r="1334">
          <cell r="F1334" t="str">
            <v>AU-Cohortgo-04/2025</v>
          </cell>
          <cell r="G1334" t="str">
            <v>Settled</v>
          </cell>
        </row>
        <row r="1335">
          <cell r="F1335" t="str">
            <v>AU-Cohortgo-05/2025</v>
          </cell>
          <cell r="G1335" t="str">
            <v>Settled</v>
          </cell>
        </row>
        <row r="1336">
          <cell r="F1336" t="str">
            <v>AU-Cohortgo-06/2025</v>
          </cell>
          <cell r="G1336" t="str">
            <v>Settled</v>
          </cell>
        </row>
        <row r="1337">
          <cell r="F1337" t="str">
            <v>AU-Cohortgo-07/2025</v>
          </cell>
          <cell r="G1337" t="str">
            <v>Settled</v>
          </cell>
        </row>
        <row r="1338">
          <cell r="F1338" t="str">
            <v>AU-Cohortgo-08/2025</v>
          </cell>
          <cell r="G1338" t="str">
            <v>Settled</v>
          </cell>
        </row>
        <row r="1339">
          <cell r="F1339" t="str">
            <v>AU-Cohortgo-09/2025</v>
          </cell>
          <cell r="G1339" t="str">
            <v>Settled</v>
          </cell>
        </row>
        <row r="1340">
          <cell r="F1340" t="str">
            <v>AU-Cohortgo-10/2025</v>
          </cell>
          <cell r="G1340" t="str">
            <v>Settled</v>
          </cell>
        </row>
        <row r="1341">
          <cell r="F1341" t="str">
            <v>AU-Cohortgo-11/2025</v>
          </cell>
          <cell r="G1341" t="str">
            <v>Settled</v>
          </cell>
        </row>
        <row r="1342">
          <cell r="F1342" t="str">
            <v>AU-Cohortgo-12/2025</v>
          </cell>
          <cell r="G1342" t="str">
            <v>Settled</v>
          </cell>
        </row>
        <row r="1343">
          <cell r="F1343" t="str">
            <v>AU-Cohortgo-01/2026</v>
          </cell>
          <cell r="G1343" t="str">
            <v>Settled</v>
          </cell>
        </row>
        <row r="1344">
          <cell r="F1344" t="str">
            <v>AU-Cohortgo-02/2026</v>
          </cell>
          <cell r="G1344" t="str">
            <v>Settled</v>
          </cell>
        </row>
        <row r="1345">
          <cell r="F1345" t="str">
            <v>AU -CorporateAlliance-09/2023</v>
          </cell>
          <cell r="G1345" t="str">
            <v>Settled</v>
          </cell>
        </row>
        <row r="1346">
          <cell r="F1346" t="str">
            <v>AU-CorporateAlliance-02/2026</v>
          </cell>
          <cell r="G1346" t="str">
            <v>Overdue</v>
          </cell>
        </row>
        <row r="1347">
          <cell r="F1347" t="str">
            <v>AU-CorporateAlliance-09/2023</v>
          </cell>
          <cell r="G1347" t="str">
            <v>Settled</v>
          </cell>
        </row>
        <row r="1348">
          <cell r="F1348" t="str">
            <v>AU-CorporateAlliance-10/2023</v>
          </cell>
          <cell r="G1348" t="str">
            <v>Settled</v>
          </cell>
        </row>
        <row r="1349">
          <cell r="F1349" t="str">
            <v>AU-CorporateAlliance-11/2023</v>
          </cell>
          <cell r="G1349" t="str">
            <v>Settled</v>
          </cell>
        </row>
        <row r="1350">
          <cell r="F1350" t="str">
            <v>AU-CorporateAlliance-12/2023</v>
          </cell>
          <cell r="G1350" t="str">
            <v>Settled</v>
          </cell>
        </row>
        <row r="1351">
          <cell r="F1351" t="str">
            <v>AU-CorporateAlliance-01/2024</v>
          </cell>
          <cell r="G1351" t="str">
            <v>Settled</v>
          </cell>
        </row>
        <row r="1352">
          <cell r="F1352" t="str">
            <v>AU-CorporateAlliance-02/2024</v>
          </cell>
          <cell r="G1352" t="str">
            <v>Settled</v>
          </cell>
        </row>
        <row r="1353">
          <cell r="F1353" t="str">
            <v>AU-CorporateAlliance-03/2024</v>
          </cell>
          <cell r="G1353" t="str">
            <v>Settled</v>
          </cell>
        </row>
        <row r="1354">
          <cell r="F1354" t="str">
            <v>AU-CorporateAlliance-04/2024</v>
          </cell>
          <cell r="G1354" t="str">
            <v>Settled</v>
          </cell>
        </row>
        <row r="1355">
          <cell r="F1355" t="str">
            <v>AU-CorporateAlliance-05/2024</v>
          </cell>
          <cell r="G1355" t="str">
            <v>Settled</v>
          </cell>
        </row>
        <row r="1356">
          <cell r="F1356" t="str">
            <v>AU-CorporateAlliance-06/2024</v>
          </cell>
          <cell r="G1356" t="str">
            <v>Settled</v>
          </cell>
        </row>
        <row r="1357">
          <cell r="F1357" t="str">
            <v>AU-CorporateAlliance-07/2024</v>
          </cell>
          <cell r="G1357" t="str">
            <v>Settled</v>
          </cell>
        </row>
        <row r="1358">
          <cell r="F1358" t="str">
            <v>AU-CorporateAlliance-08/2024</v>
          </cell>
          <cell r="G1358" t="str">
            <v>Settled</v>
          </cell>
        </row>
        <row r="1359">
          <cell r="F1359" t="str">
            <v>AU-CorporateAlliance-09/2024</v>
          </cell>
          <cell r="G1359" t="str">
            <v>Settled</v>
          </cell>
        </row>
        <row r="1360">
          <cell r="F1360" t="str">
            <v>AU-CorporateAlliance-10/2024</v>
          </cell>
          <cell r="G1360" t="str">
            <v>Settled</v>
          </cell>
        </row>
        <row r="1361">
          <cell r="F1361" t="str">
            <v>AU-CorporateAlliance-11/2024</v>
          </cell>
          <cell r="G1361" t="str">
            <v>Settled</v>
          </cell>
        </row>
        <row r="1362">
          <cell r="F1362" t="str">
            <v>AU-CorporateAlliance-12/2024</v>
          </cell>
          <cell r="G1362" t="str">
            <v>Settled</v>
          </cell>
        </row>
        <row r="1363">
          <cell r="F1363" t="str">
            <v>AU-CorporateAlliance-01/2025</v>
          </cell>
          <cell r="G1363" t="str">
            <v>Settled</v>
          </cell>
        </row>
        <row r="1364">
          <cell r="F1364" t="str">
            <v>AU-CorporateAlliance-02/2025</v>
          </cell>
          <cell r="G1364" t="str">
            <v>Settled</v>
          </cell>
        </row>
        <row r="1365">
          <cell r="F1365" t="str">
            <v>AU-CorporateAlliance-03/2025</v>
          </cell>
          <cell r="G1365" t="str">
            <v>Settled</v>
          </cell>
        </row>
        <row r="1366">
          <cell r="F1366" t="str">
            <v>AU-CorporateAlliance-04/2025</v>
          </cell>
          <cell r="G1366" t="str">
            <v>Settled</v>
          </cell>
        </row>
        <row r="1367">
          <cell r="F1367" t="str">
            <v>AU-CorporateAlliance-05/2025</v>
          </cell>
          <cell r="G1367" t="str">
            <v>Settled</v>
          </cell>
        </row>
        <row r="1368">
          <cell r="F1368" t="str">
            <v>AU-CorporateAlliance-06/2025</v>
          </cell>
          <cell r="G1368" t="str">
            <v>Settled</v>
          </cell>
        </row>
        <row r="1369">
          <cell r="F1369" t="str">
            <v>AU-CorporateAlliance-07/2025</v>
          </cell>
          <cell r="G1369" t="str">
            <v>Settled</v>
          </cell>
        </row>
        <row r="1370">
          <cell r="F1370" t="str">
            <v>AU-CorporateAlliance-08/2025</v>
          </cell>
          <cell r="G1370" t="str">
            <v>Settled</v>
          </cell>
        </row>
        <row r="1371">
          <cell r="F1371" t="str">
            <v>AU-CorporateAlliance-09/2025</v>
          </cell>
          <cell r="G1371" t="str">
            <v>Settled</v>
          </cell>
        </row>
        <row r="1372">
          <cell r="F1372" t="str">
            <v>AU-CorporateAlliance-10/2025</v>
          </cell>
          <cell r="G1372" t="str">
            <v>Settled</v>
          </cell>
        </row>
        <row r="1373">
          <cell r="F1373" t="str">
            <v>AU-CorporateAlliance-11/2025</v>
          </cell>
          <cell r="G1373" t="str">
            <v>Settled</v>
          </cell>
        </row>
        <row r="1374">
          <cell r="F1374" t="str">
            <v>AU-CorporateAlliance-12/2025</v>
          </cell>
          <cell r="G1374" t="str">
            <v>Settled</v>
          </cell>
        </row>
        <row r="1375">
          <cell r="F1375" t="str">
            <v>AU-CorporateAlliance-01/2026</v>
          </cell>
          <cell r="G1375" t="str">
            <v>Settled</v>
          </cell>
        </row>
        <row r="1376">
          <cell r="F1376" t="str">
            <v>US-Currency Bird-11/2022</v>
          </cell>
          <cell r="G1376" t="str">
            <v>Settled</v>
          </cell>
        </row>
        <row r="1377">
          <cell r="F1377" t="str">
            <v>US-Currency Bird-12/2022</v>
          </cell>
          <cell r="G1377" t="str">
            <v>Settled</v>
          </cell>
        </row>
        <row r="1378">
          <cell r="F1378" t="str">
            <v>US-Currency Bird-01/2023</v>
          </cell>
          <cell r="G1378" t="str">
            <v>Settled</v>
          </cell>
        </row>
        <row r="1379">
          <cell r="F1379" t="str">
            <v>US-CurrencyBird-02/2023</v>
          </cell>
          <cell r="G1379" t="str">
            <v>Settled</v>
          </cell>
        </row>
        <row r="1380">
          <cell r="F1380" t="str">
            <v>US-CurrencyBird-03/2023</v>
          </cell>
          <cell r="G1380" t="str">
            <v>Settled</v>
          </cell>
        </row>
        <row r="1381">
          <cell r="F1381" t="str">
            <v>US-CurrencyBird-04/2023</v>
          </cell>
          <cell r="G1381" t="str">
            <v>Settled</v>
          </cell>
        </row>
        <row r="1382">
          <cell r="F1382" t="str">
            <v>US-CurrencyBird-05/2023</v>
          </cell>
          <cell r="G1382" t="str">
            <v>Settled</v>
          </cell>
        </row>
        <row r="1383">
          <cell r="F1383" t="str">
            <v>US-CurrencyBird-06/2023</v>
          </cell>
          <cell r="G1383" t="str">
            <v>Settled</v>
          </cell>
        </row>
        <row r="1384">
          <cell r="F1384" t="str">
            <v>US-CurrencyBird-07/2023</v>
          </cell>
          <cell r="G1384" t="str">
            <v>Settled</v>
          </cell>
        </row>
        <row r="1385">
          <cell r="F1385" t="str">
            <v>US -CurrencyBird-08/2023</v>
          </cell>
          <cell r="G1385" t="str">
            <v>Settled</v>
          </cell>
        </row>
        <row r="1386">
          <cell r="F1386" t="str">
            <v>US-CurrencyBird-09/2023</v>
          </cell>
          <cell r="G1386" t="str">
            <v>Settled</v>
          </cell>
        </row>
        <row r="1387">
          <cell r="F1387" t="str">
            <v>US-CurrencyBird-10/2023</v>
          </cell>
          <cell r="G1387" t="str">
            <v>Settled</v>
          </cell>
        </row>
        <row r="1388">
          <cell r="F1388" t="str">
            <v>US-CurrencyBird-11/2023</v>
          </cell>
          <cell r="G1388" t="str">
            <v>Settled</v>
          </cell>
        </row>
        <row r="1389">
          <cell r="F1389" t="str">
            <v>US-CurrencyBird-12/2023</v>
          </cell>
          <cell r="G1389" t="str">
            <v>Settled</v>
          </cell>
        </row>
        <row r="1390">
          <cell r="F1390" t="str">
            <v>US-CurrencyBird-01/2024</v>
          </cell>
          <cell r="G1390" t="str">
            <v>Settled</v>
          </cell>
        </row>
        <row r="1391">
          <cell r="F1391" t="str">
            <v>US-CurrencyBird-02/2024</v>
          </cell>
          <cell r="G1391" t="str">
            <v>Settled</v>
          </cell>
        </row>
        <row r="1392">
          <cell r="F1392" t="str">
            <v>US-CurrencyBird-03/2024</v>
          </cell>
          <cell r="G1392" t="str">
            <v>Settled</v>
          </cell>
        </row>
        <row r="1393">
          <cell r="F1393" t="str">
            <v>US-CurrencyBird-04/2024</v>
          </cell>
          <cell r="G1393" t="str">
            <v>Settled</v>
          </cell>
        </row>
        <row r="1394">
          <cell r="F1394" t="str">
            <v>US-CurrencyBird-05/2024</v>
          </cell>
          <cell r="G1394" t="str">
            <v>Settled</v>
          </cell>
        </row>
        <row r="1395">
          <cell r="F1395" t="str">
            <v>US-CurrencyBird-06/2024</v>
          </cell>
          <cell r="G1395" t="str">
            <v>Settled</v>
          </cell>
        </row>
        <row r="1396">
          <cell r="F1396" t="str">
            <v>US-CurrencyBird-07/2024</v>
          </cell>
          <cell r="G1396" t="str">
            <v>Settled</v>
          </cell>
        </row>
        <row r="1397">
          <cell r="F1397" t="str">
            <v>US-CurrencyBird-08/2024</v>
          </cell>
          <cell r="G1397" t="str">
            <v>Settled</v>
          </cell>
        </row>
        <row r="1398">
          <cell r="F1398" t="str">
            <v>US-CurrencyBird-09/2024</v>
          </cell>
          <cell r="G1398" t="str">
            <v>Settled</v>
          </cell>
        </row>
        <row r="1399">
          <cell r="F1399" t="str">
            <v>US-CurrencyBird-10/2024</v>
          </cell>
          <cell r="G1399" t="str">
            <v>Settled</v>
          </cell>
        </row>
        <row r="1400">
          <cell r="F1400" t="str">
            <v>US-CurrencyBird-11/2024</v>
          </cell>
          <cell r="G1400" t="str">
            <v>Settled</v>
          </cell>
        </row>
        <row r="1401">
          <cell r="F1401" t="str">
            <v>US-CurrencyBird-12/2024</v>
          </cell>
          <cell r="G1401" t="str">
            <v>Settled</v>
          </cell>
        </row>
        <row r="1402">
          <cell r="F1402" t="str">
            <v>US-CurrencyBird-01/2025</v>
          </cell>
          <cell r="G1402" t="str">
            <v>Settled</v>
          </cell>
        </row>
        <row r="1403">
          <cell r="F1403" t="str">
            <v>US-CurrencyBird-02/2025</v>
          </cell>
          <cell r="G1403" t="str">
            <v>Settled</v>
          </cell>
        </row>
        <row r="1404">
          <cell r="F1404" t="str">
            <v>US-CurrencyBird-03/2025</v>
          </cell>
          <cell r="G1404" t="str">
            <v>Settled</v>
          </cell>
        </row>
        <row r="1405">
          <cell r="F1405" t="str">
            <v>US-CurrencyBird-04/2025</v>
          </cell>
          <cell r="G1405" t="str">
            <v>Settled</v>
          </cell>
        </row>
        <row r="1406">
          <cell r="F1406" t="str">
            <v>US-CurrencyBird-05/2025</v>
          </cell>
          <cell r="G1406" t="str">
            <v>Settled</v>
          </cell>
        </row>
        <row r="1407">
          <cell r="F1407" t="str">
            <v>US-CurrencyBird-06/2025</v>
          </cell>
          <cell r="G1407" t="str">
            <v>Settled</v>
          </cell>
        </row>
        <row r="1408">
          <cell r="F1408" t="str">
            <v>US-CurrencyBird-07/2025</v>
          </cell>
          <cell r="G1408" t="str">
            <v>Settled</v>
          </cell>
        </row>
        <row r="1409">
          <cell r="F1409" t="str">
            <v>US-CurrencyBird-08/2025</v>
          </cell>
          <cell r="G1409" t="str">
            <v>Settled</v>
          </cell>
        </row>
        <row r="1410">
          <cell r="F1410" t="str">
            <v>US-CurrencyBird-09/2025</v>
          </cell>
          <cell r="G1410" t="str">
            <v>Settled</v>
          </cell>
        </row>
        <row r="1411">
          <cell r="F1411" t="str">
            <v>US-CurrencyBird-10/2025</v>
          </cell>
          <cell r="G1411" t="str">
            <v>Settled</v>
          </cell>
        </row>
        <row r="1412">
          <cell r="F1412" t="str">
            <v>US-CurrencyBird-11/2025</v>
          </cell>
          <cell r="G1412" t="str">
            <v>Settled</v>
          </cell>
        </row>
        <row r="1413">
          <cell r="F1413" t="str">
            <v>US-CurrencyBird-12/2025</v>
          </cell>
          <cell r="G1413" t="str">
            <v>Settled</v>
          </cell>
        </row>
        <row r="1414">
          <cell r="F1414" t="str">
            <v>US-CurrencyBird-01/2026</v>
          </cell>
          <cell r="G1414" t="str">
            <v>Settled</v>
          </cell>
        </row>
        <row r="1415">
          <cell r="F1415" t="str">
            <v>US-CurrencyBird-02/2026</v>
          </cell>
          <cell r="G1415" t="str">
            <v>Settled</v>
          </cell>
        </row>
        <row r="1416">
          <cell r="F1416" t="str">
            <v>AU-Currency Exchange-05/2023</v>
          </cell>
          <cell r="G1416" t="str">
            <v>Settled</v>
          </cell>
        </row>
        <row r="1417">
          <cell r="F1417" t="str">
            <v>AU-Currency Exchange-06/2023</v>
          </cell>
          <cell r="G1417" t="str">
            <v>Settled</v>
          </cell>
        </row>
        <row r="1418">
          <cell r="F1418" t="str">
            <v>AU-Currency Exchange-07/2023</v>
          </cell>
          <cell r="G1418" t="str">
            <v>Settled</v>
          </cell>
        </row>
        <row r="1419">
          <cell r="F1419" t="str">
            <v>AU -Currency Exchange-08/2023</v>
          </cell>
          <cell r="G1419" t="str">
            <v>Settled</v>
          </cell>
        </row>
        <row r="1420">
          <cell r="F1420" t="str">
            <v>AU-CurrencyExchange-09/2023</v>
          </cell>
          <cell r="G1420" t="str">
            <v>Settled</v>
          </cell>
        </row>
        <row r="1421">
          <cell r="F1421" t="str">
            <v>AU-Currency Exchange-10/2023</v>
          </cell>
          <cell r="G1421" t="str">
            <v>Settled</v>
          </cell>
        </row>
        <row r="1422">
          <cell r="F1422" t="str">
            <v>AU-Currency Exchange-11/2023</v>
          </cell>
          <cell r="G1422" t="str">
            <v>Settled</v>
          </cell>
        </row>
        <row r="1423">
          <cell r="F1423" t="str">
            <v>AU-Currency Exchange-12/2023</v>
          </cell>
          <cell r="G1423" t="str">
            <v>Settled</v>
          </cell>
        </row>
        <row r="1424">
          <cell r="F1424" t="str">
            <v>AU-Currency Exchange-01/2024</v>
          </cell>
          <cell r="G1424" t="str">
            <v>Settled</v>
          </cell>
        </row>
        <row r="1425">
          <cell r="F1425" t="str">
            <v>AU-Currency Exchange-02/2024</v>
          </cell>
          <cell r="G1425" t="str">
            <v>Settled</v>
          </cell>
        </row>
        <row r="1426">
          <cell r="F1426" t="str">
            <v>AU-Currency Exchange-03/2024</v>
          </cell>
          <cell r="G1426" t="str">
            <v>Settled</v>
          </cell>
        </row>
        <row r="1427">
          <cell r="F1427" t="str">
            <v>AU-Currency Exchange-04/2024</v>
          </cell>
          <cell r="G1427" t="str">
            <v>Settled</v>
          </cell>
        </row>
        <row r="1428">
          <cell r="F1428" t="str">
            <v>AU-Currency Exchange-05/2024</v>
          </cell>
          <cell r="G1428" t="str">
            <v>Settled</v>
          </cell>
        </row>
        <row r="1429">
          <cell r="F1429" t="str">
            <v>AU-Currency Exchange-06/2024</v>
          </cell>
          <cell r="G1429" t="str">
            <v>Settled</v>
          </cell>
        </row>
        <row r="1430">
          <cell r="F1430" t="str">
            <v>AU-Currency Exchange-07/2024</v>
          </cell>
          <cell r="G1430" t="str">
            <v>Settled</v>
          </cell>
        </row>
        <row r="1431">
          <cell r="F1431" t="str">
            <v>AU-Currency Exchange-09/2024</v>
          </cell>
          <cell r="G1431" t="str">
            <v>Settled</v>
          </cell>
        </row>
        <row r="1432">
          <cell r="F1432" t="str">
            <v>AU-Currency Exchange-10/2024</v>
          </cell>
          <cell r="G1432" t="str">
            <v>Settled</v>
          </cell>
        </row>
        <row r="1433">
          <cell r="F1433" t="str">
            <v>AU-Currency Exchange-11/2024</v>
          </cell>
          <cell r="G1433" t="str">
            <v>Settled</v>
          </cell>
        </row>
        <row r="1434">
          <cell r="F1434" t="str">
            <v>AU-Currency Exchange-12/2024</v>
          </cell>
          <cell r="G1434" t="str">
            <v>Settled</v>
          </cell>
        </row>
        <row r="1435">
          <cell r="F1435" t="str">
            <v>AU-Currency Exchange-01/2025</v>
          </cell>
          <cell r="G1435" t="str">
            <v>Settled</v>
          </cell>
        </row>
        <row r="1436">
          <cell r="F1436" t="str">
            <v>AU-Currency Exchange-02/2025</v>
          </cell>
          <cell r="G1436" t="str">
            <v>Settled</v>
          </cell>
        </row>
        <row r="1437">
          <cell r="F1437" t="str">
            <v>AU-Currency Exchange-03/2025</v>
          </cell>
          <cell r="G1437" t="str">
            <v>Settled</v>
          </cell>
        </row>
        <row r="1438">
          <cell r="F1438" t="str">
            <v>AU-Currency Exchange-04/2025</v>
          </cell>
          <cell r="G1438" t="str">
            <v>Settled</v>
          </cell>
        </row>
        <row r="1439">
          <cell r="F1439" t="str">
            <v>AU-Currency Exchange-05/2025</v>
          </cell>
          <cell r="G1439" t="str">
            <v>Settled</v>
          </cell>
        </row>
        <row r="1440">
          <cell r="F1440" t="str">
            <v>AU-Currency Exchange-06/2025</v>
          </cell>
          <cell r="G1440" t="str">
            <v>Settled</v>
          </cell>
        </row>
        <row r="1441">
          <cell r="F1441" t="str">
            <v>AU-Currency Exchange-07/2025</v>
          </cell>
          <cell r="G1441" t="str">
            <v>Settled</v>
          </cell>
        </row>
        <row r="1442">
          <cell r="F1442" t="str">
            <v>AU-Currency Exchange-08/2025</v>
          </cell>
          <cell r="G1442" t="str">
            <v>Settled</v>
          </cell>
        </row>
        <row r="1443">
          <cell r="F1443" t="str">
            <v>AU-Currency Exchange-09/2025</v>
          </cell>
          <cell r="G1443" t="str">
            <v>Settled</v>
          </cell>
        </row>
        <row r="1444">
          <cell r="F1444" t="str">
            <v>AU-Currency Exchange-10/2025</v>
          </cell>
          <cell r="G1444" t="str">
            <v>Settled</v>
          </cell>
        </row>
        <row r="1445">
          <cell r="F1445" t="str">
            <v>AU-Currency Exchange-11/2025</v>
          </cell>
          <cell r="G1445" t="str">
            <v>Settled</v>
          </cell>
        </row>
        <row r="1446">
          <cell r="F1446" t="str">
            <v>AU-Currency Exchange-12/2025</v>
          </cell>
          <cell r="G1446" t="str">
            <v>Settled</v>
          </cell>
        </row>
        <row r="1447">
          <cell r="F1447" t="str">
            <v>AU-Currency Exchange-01/2026</v>
          </cell>
          <cell r="G1447" t="str">
            <v>Settled</v>
          </cell>
        </row>
        <row r="1448">
          <cell r="F1448" t="str">
            <v>AU-Currency Exchange-02/2026</v>
          </cell>
          <cell r="G1448" t="str">
            <v>Settled</v>
          </cell>
        </row>
        <row r="1449">
          <cell r="F1449" t="str">
            <v>SG-DAFFODIL-11/2023</v>
          </cell>
          <cell r="G1449" t="str">
            <v>Settled</v>
          </cell>
        </row>
        <row r="1450">
          <cell r="F1450" t="str">
            <v>SG-CN-DAFFODIL-11-2023</v>
          </cell>
          <cell r="G1450" t="str">
            <v>Settled</v>
          </cell>
        </row>
        <row r="1451">
          <cell r="F1451" t="str">
            <v>SG-DAFFODIL-10/2023</v>
          </cell>
          <cell r="G1451" t="str">
            <v>Settled</v>
          </cell>
        </row>
        <row r="1452">
          <cell r="F1452" t="str">
            <v>HK-Deemoney-12/2022</v>
          </cell>
          <cell r="G1452" t="str">
            <v>Settled</v>
          </cell>
        </row>
        <row r="1453">
          <cell r="F1453" t="str">
            <v>HK-Deemoney-01/2023</v>
          </cell>
          <cell r="G1453" t="str">
            <v>Settled</v>
          </cell>
        </row>
        <row r="1454">
          <cell r="F1454" t="str">
            <v>HK-Deemoney-02/2023</v>
          </cell>
          <cell r="G1454" t="str">
            <v>Settled</v>
          </cell>
        </row>
        <row r="1455">
          <cell r="F1455" t="str">
            <v>HK-Deemoney-03/2023</v>
          </cell>
          <cell r="G1455" t="str">
            <v>Settled</v>
          </cell>
        </row>
        <row r="1456">
          <cell r="F1456" t="str">
            <v>HK-deemoney-04/2023</v>
          </cell>
          <cell r="G1456" t="str">
            <v>Settled</v>
          </cell>
        </row>
        <row r="1457">
          <cell r="F1457" t="str">
            <v>SG-DESFRAN-09/2023</v>
          </cell>
          <cell r="G1457" t="str">
            <v>Settled</v>
          </cell>
        </row>
        <row r="1458">
          <cell r="F1458" t="str">
            <v>SG-DESFRAN-10/2023</v>
          </cell>
          <cell r="G1458" t="str">
            <v>Settled</v>
          </cell>
        </row>
        <row r="1459">
          <cell r="F1459" t="str">
            <v>SG-digital company spa-11/2022</v>
          </cell>
          <cell r="G1459" t="str">
            <v>Settled</v>
          </cell>
        </row>
        <row r="1460">
          <cell r="F1460" t="str">
            <v>SG-digital company spa-12/2022</v>
          </cell>
          <cell r="G1460" t="str">
            <v>Settled</v>
          </cell>
        </row>
        <row r="1461">
          <cell r="F1461" t="str">
            <v>SG-digital company spa-01/2023</v>
          </cell>
          <cell r="G1461" t="str">
            <v>Settled</v>
          </cell>
        </row>
        <row r="1462">
          <cell r="F1462" t="str">
            <v>SG-digitalcompany-02/2023</v>
          </cell>
          <cell r="G1462" t="str">
            <v>Settled</v>
          </cell>
        </row>
        <row r="1463">
          <cell r="F1463" t="str">
            <v>SG-digitalcompany-03/2023</v>
          </cell>
          <cell r="G1463" t="str">
            <v>Settled</v>
          </cell>
        </row>
        <row r="1464">
          <cell r="F1464" t="str">
            <v>SG-digitalcompany-04/2023</v>
          </cell>
          <cell r="G1464" t="str">
            <v>Settled</v>
          </cell>
        </row>
        <row r="1465">
          <cell r="F1465" t="str">
            <v>SG-digitalcompany-05/2023</v>
          </cell>
          <cell r="G1465" t="str">
            <v>Settled</v>
          </cell>
        </row>
        <row r="1466">
          <cell r="F1466" t="str">
            <v>SG-digitalcompany-06/2023</v>
          </cell>
          <cell r="G1466" t="str">
            <v>Settled</v>
          </cell>
        </row>
        <row r="1467">
          <cell r="F1467" t="str">
            <v>SG-digitalcompany-07/2023</v>
          </cell>
          <cell r="G1467" t="str">
            <v>Settled</v>
          </cell>
        </row>
        <row r="1468">
          <cell r="F1468" t="str">
            <v>SG -digitalcompany-08/2023</v>
          </cell>
          <cell r="G1468" t="str">
            <v>Settled</v>
          </cell>
        </row>
        <row r="1469">
          <cell r="F1469" t="str">
            <v>SG-digitalcompany-09/2023</v>
          </cell>
          <cell r="G1469" t="str">
            <v>Settled</v>
          </cell>
        </row>
        <row r="1470">
          <cell r="F1470" t="str">
            <v>SG-digitalcompany-10/2023</v>
          </cell>
          <cell r="G1470" t="str">
            <v>Settled</v>
          </cell>
        </row>
        <row r="1471">
          <cell r="F1471" t="str">
            <v>SG-digitalcompany-12/2023</v>
          </cell>
          <cell r="G1471" t="str">
            <v>Settled</v>
          </cell>
        </row>
        <row r="1472">
          <cell r="F1472" t="str">
            <v>SG-digitalcompany-01/2024</v>
          </cell>
          <cell r="G1472" t="str">
            <v>Settled</v>
          </cell>
        </row>
        <row r="1473">
          <cell r="F1473" t="str">
            <v>SG-digitalcompany-03/2024</v>
          </cell>
          <cell r="G1473" t="str">
            <v>Settled</v>
          </cell>
        </row>
        <row r="1474">
          <cell r="F1474" t="str">
            <v>SG-digitalcompany-05/2024</v>
          </cell>
          <cell r="G1474" t="str">
            <v>Settled</v>
          </cell>
        </row>
        <row r="1475">
          <cell r="F1475" t="str">
            <v>SG-digitalcompany-07/2024</v>
          </cell>
          <cell r="G1475" t="str">
            <v>Settled</v>
          </cell>
        </row>
        <row r="1476">
          <cell r="F1476" t="str">
            <v>SG-digitalcompany-08/2024</v>
          </cell>
          <cell r="G1476" t="str">
            <v>Settled</v>
          </cell>
        </row>
        <row r="1477">
          <cell r="F1477" t="str">
            <v>SG-digitalcompany-09/2024</v>
          </cell>
          <cell r="G1477" t="str">
            <v>Settled</v>
          </cell>
        </row>
        <row r="1478">
          <cell r="F1478" t="str">
            <v>SG-digitalcompany-12/2024</v>
          </cell>
          <cell r="G1478" t="str">
            <v>Settled</v>
          </cell>
        </row>
        <row r="1479">
          <cell r="F1479" t="str">
            <v>SG-digital services sg five pte. ltd-11/2022</v>
          </cell>
          <cell r="G1479" t="str">
            <v>Settled</v>
          </cell>
        </row>
        <row r="1480">
          <cell r="F1480" t="str">
            <v>SG-digital services sg five pte. ltd-12/2022</v>
          </cell>
          <cell r="G1480" t="str">
            <v>Settled</v>
          </cell>
        </row>
        <row r="1481">
          <cell r="F1481" t="str">
            <v>SG-digital services-01/2023</v>
          </cell>
          <cell r="G1481" t="str">
            <v>Settled</v>
          </cell>
        </row>
        <row r="1482">
          <cell r="F1482" t="str">
            <v>SG-digital services-02/2023</v>
          </cell>
          <cell r="G1482" t="str">
            <v>Settled</v>
          </cell>
        </row>
        <row r="1483">
          <cell r="F1483" t="str">
            <v>SG-digital services-03/2023</v>
          </cell>
          <cell r="G1483" t="str">
            <v>Settled</v>
          </cell>
        </row>
        <row r="1484">
          <cell r="F1484" t="str">
            <v>SG-digital services-04/2023</v>
          </cell>
          <cell r="G1484" t="str">
            <v>Settled</v>
          </cell>
        </row>
        <row r="1485">
          <cell r="F1485" t="str">
            <v>SG-digital services-05/2023</v>
          </cell>
          <cell r="G1485" t="str">
            <v>Settled</v>
          </cell>
        </row>
        <row r="1486">
          <cell r="F1486" t="str">
            <v>SG-digital services-06/2023</v>
          </cell>
          <cell r="G1486" t="str">
            <v>Settled</v>
          </cell>
        </row>
        <row r="1487">
          <cell r="F1487" t="str">
            <v>SG-digital services-07/2023</v>
          </cell>
          <cell r="G1487" t="str">
            <v>Settled</v>
          </cell>
        </row>
        <row r="1488">
          <cell r="F1488" t="str">
            <v>SG -digital services-08/2023</v>
          </cell>
          <cell r="G1488" t="str">
            <v>Settled</v>
          </cell>
        </row>
        <row r="1489">
          <cell r="F1489" t="str">
            <v>SG-digital services-09/2023</v>
          </cell>
          <cell r="G1489" t="str">
            <v>Settled</v>
          </cell>
        </row>
        <row r="1490">
          <cell r="F1490" t="str">
            <v>SG-digital services-10/2023</v>
          </cell>
          <cell r="G1490" t="str">
            <v>Settled</v>
          </cell>
        </row>
        <row r="1491">
          <cell r="F1491" t="str">
            <v>SG-digital services-11/2023</v>
          </cell>
          <cell r="G1491" t="str">
            <v>Settled</v>
          </cell>
        </row>
        <row r="1492">
          <cell r="F1492" t="str">
            <v>SG-Dol Technology Pte Ltd-11/2022</v>
          </cell>
          <cell r="G1492" t="str">
            <v>Settled</v>
          </cell>
        </row>
        <row r="1493">
          <cell r="F1493" t="str">
            <v>SG-Dol Technology Pte Ltd-12/2022</v>
          </cell>
          <cell r="G1493" t="str">
            <v>Settled</v>
          </cell>
        </row>
        <row r="1494">
          <cell r="F1494" t="str">
            <v>SG-Dol Technology Pte Ltd-01/2023</v>
          </cell>
          <cell r="G1494" t="str">
            <v>Settled</v>
          </cell>
        </row>
        <row r="1495">
          <cell r="F1495" t="str">
            <v>SG-DolTech-02/2023</v>
          </cell>
          <cell r="G1495" t="str">
            <v>Settled</v>
          </cell>
        </row>
        <row r="1496">
          <cell r="F1496" t="str">
            <v>SG-DolTech-03/2023</v>
          </cell>
          <cell r="G1496" t="str">
            <v>Settled</v>
          </cell>
        </row>
        <row r="1497">
          <cell r="F1497" t="str">
            <v>SG-DolTech-04/2023</v>
          </cell>
          <cell r="G1497" t="str">
            <v>Settled</v>
          </cell>
        </row>
        <row r="1498">
          <cell r="F1498" t="str">
            <v>SG-DolTech-05/2023</v>
          </cell>
          <cell r="G1498" t="str">
            <v>Settled</v>
          </cell>
        </row>
        <row r="1499">
          <cell r="F1499" t="str">
            <v>SG-DolTech-06/2023</v>
          </cell>
          <cell r="G1499" t="str">
            <v>Settled</v>
          </cell>
        </row>
        <row r="1500">
          <cell r="F1500" t="str">
            <v>SG-DolTech-10/2023</v>
          </cell>
          <cell r="G1500" t="str">
            <v>Settled</v>
          </cell>
        </row>
        <row r="1501">
          <cell r="F1501" t="str">
            <v>SG-E9 Pay-11/2022</v>
          </cell>
          <cell r="G1501" t="str">
            <v>Settled</v>
          </cell>
        </row>
        <row r="1502">
          <cell r="F1502" t="str">
            <v>SG-E9 Pay-12/2022</v>
          </cell>
          <cell r="G1502" t="str">
            <v>Settled</v>
          </cell>
        </row>
        <row r="1503">
          <cell r="F1503" t="str">
            <v>SG-E9 Pay-01/2023</v>
          </cell>
          <cell r="G1503" t="str">
            <v>Settled</v>
          </cell>
        </row>
        <row r="1504">
          <cell r="F1504" t="str">
            <v>SG-E9 Pay-02/2023</v>
          </cell>
          <cell r="G1504" t="str">
            <v>Settled</v>
          </cell>
        </row>
        <row r="1505">
          <cell r="F1505" t="str">
            <v>SG-E9 Pay-03/2023</v>
          </cell>
          <cell r="G1505" t="str">
            <v>Settled</v>
          </cell>
        </row>
        <row r="1506">
          <cell r="F1506" t="str">
            <v>SG-E9 Pay-04/2023</v>
          </cell>
          <cell r="G1506" t="str">
            <v>Settled</v>
          </cell>
        </row>
        <row r="1507">
          <cell r="F1507" t="str">
            <v>SG-E9 Pay-05/2023</v>
          </cell>
          <cell r="G1507" t="str">
            <v>Settled</v>
          </cell>
        </row>
        <row r="1508">
          <cell r="F1508" t="str">
            <v>SG-E9 Pay-06/2023</v>
          </cell>
          <cell r="G1508" t="str">
            <v>Settled</v>
          </cell>
        </row>
        <row r="1509">
          <cell r="F1509" t="str">
            <v>SG-E9 Pay-07/2023</v>
          </cell>
          <cell r="G1509" t="str">
            <v>Settled</v>
          </cell>
        </row>
        <row r="1510">
          <cell r="F1510" t="str">
            <v>SG -E9 Pay-08/2023</v>
          </cell>
          <cell r="G1510" t="str">
            <v>Settled</v>
          </cell>
        </row>
        <row r="1511">
          <cell r="F1511" t="str">
            <v>SG-E9 Pay-09/2023</v>
          </cell>
          <cell r="G1511" t="str">
            <v>Settled</v>
          </cell>
        </row>
        <row r="1512">
          <cell r="F1512" t="str">
            <v>SG-E9 Pay-10/2023</v>
          </cell>
          <cell r="G1512" t="str">
            <v>Settled</v>
          </cell>
        </row>
        <row r="1513">
          <cell r="F1513" t="str">
            <v>SG-E9 Pay-11/2023</v>
          </cell>
          <cell r="G1513" t="str">
            <v>Settled</v>
          </cell>
        </row>
        <row r="1514">
          <cell r="F1514" t="str">
            <v>SG-E9 Pay-12/2023</v>
          </cell>
          <cell r="G1514" t="str">
            <v>Settled</v>
          </cell>
        </row>
        <row r="1515">
          <cell r="F1515" t="str">
            <v>SG-E9 Pay-01/2024</v>
          </cell>
          <cell r="G1515" t="str">
            <v>Settled</v>
          </cell>
        </row>
        <row r="1516">
          <cell r="F1516" t="str">
            <v>SG-E9 Pay-02/2024</v>
          </cell>
          <cell r="G1516" t="str">
            <v>Settled</v>
          </cell>
        </row>
        <row r="1517">
          <cell r="F1517" t="str">
            <v>SG-E9 Pay-03/2024</v>
          </cell>
          <cell r="G1517" t="str">
            <v>Settled</v>
          </cell>
        </row>
        <row r="1518">
          <cell r="F1518" t="str">
            <v>SG-E9 Pay-04/2024</v>
          </cell>
          <cell r="G1518" t="str">
            <v>Settled</v>
          </cell>
        </row>
        <row r="1519">
          <cell r="F1519" t="str">
            <v>SG-E9 Pay-05/2024</v>
          </cell>
          <cell r="G1519" t="str">
            <v>Settled</v>
          </cell>
        </row>
        <row r="1520">
          <cell r="F1520" t="str">
            <v>SG-E9 Pay-06/2024</v>
          </cell>
          <cell r="G1520" t="str">
            <v>Settled</v>
          </cell>
        </row>
        <row r="1521">
          <cell r="F1521" t="str">
            <v>SG-E9 Pay-07/2024</v>
          </cell>
          <cell r="G1521" t="str">
            <v>Settled</v>
          </cell>
        </row>
        <row r="1522">
          <cell r="F1522" t="str">
            <v>SG-E9 Pay-08/2024</v>
          </cell>
          <cell r="G1522" t="str">
            <v>Settled</v>
          </cell>
        </row>
        <row r="1523">
          <cell r="F1523" t="str">
            <v>SG-E9 Pay-09/2024</v>
          </cell>
          <cell r="G1523" t="str">
            <v>Settled</v>
          </cell>
        </row>
        <row r="1524">
          <cell r="F1524" t="str">
            <v>SG-E9 Pay-10/2024</v>
          </cell>
          <cell r="G1524" t="str">
            <v>Settled</v>
          </cell>
        </row>
        <row r="1525">
          <cell r="F1525" t="str">
            <v>SG-E9 Pay-11/2024</v>
          </cell>
          <cell r="G1525" t="str">
            <v>Settled</v>
          </cell>
        </row>
        <row r="1526">
          <cell r="F1526" t="str">
            <v>SG-E9 Pay-12/2024</v>
          </cell>
          <cell r="G1526" t="str">
            <v>Settled</v>
          </cell>
        </row>
        <row r="1527">
          <cell r="F1527" t="str">
            <v>SG-E9 Pay-01/2025</v>
          </cell>
          <cell r="G1527" t="str">
            <v>Settled</v>
          </cell>
        </row>
        <row r="1528">
          <cell r="F1528" t="str">
            <v>SG-E9 Pay-02/2025</v>
          </cell>
          <cell r="G1528" t="str">
            <v>Settled</v>
          </cell>
        </row>
        <row r="1529">
          <cell r="F1529" t="str">
            <v>SG-E9 Pay-03/2025</v>
          </cell>
          <cell r="G1529" t="str">
            <v>Settled</v>
          </cell>
        </row>
        <row r="1530">
          <cell r="F1530" t="str">
            <v>SG-E9 Pay-04/2025</v>
          </cell>
          <cell r="G1530" t="str">
            <v>Settled</v>
          </cell>
        </row>
        <row r="1531">
          <cell r="F1531" t="str">
            <v>SG-E9 Pay-05/2025</v>
          </cell>
          <cell r="G1531" t="str">
            <v>Settled</v>
          </cell>
        </row>
        <row r="1532">
          <cell r="F1532" t="str">
            <v>SG-E9 Pay-06/2025</v>
          </cell>
          <cell r="G1532" t="str">
            <v>Settled</v>
          </cell>
        </row>
        <row r="1533">
          <cell r="F1533" t="str">
            <v>SG-E9 Pay-07/2025</v>
          </cell>
          <cell r="G1533" t="str">
            <v>Settled</v>
          </cell>
        </row>
        <row r="1534">
          <cell r="F1534" t="str">
            <v>SG-E9 Pay-08/2025</v>
          </cell>
          <cell r="G1534" t="str">
            <v>Settled</v>
          </cell>
        </row>
        <row r="1535">
          <cell r="F1535" t="str">
            <v>SG-E9 Pay-09/2025</v>
          </cell>
          <cell r="G1535" t="str">
            <v>Settled</v>
          </cell>
        </row>
        <row r="1536">
          <cell r="F1536" t="str">
            <v>SG-E9 Pay-10/2025</v>
          </cell>
          <cell r="G1536" t="str">
            <v>Settled</v>
          </cell>
        </row>
        <row r="1537">
          <cell r="F1537" t="str">
            <v>SG-E9 Pay-11/2025</v>
          </cell>
          <cell r="G1537" t="str">
            <v>Settled</v>
          </cell>
        </row>
        <row r="1538">
          <cell r="F1538" t="str">
            <v>SG-E9 Pay-12/2025</v>
          </cell>
          <cell r="G1538" t="str">
            <v>Settled</v>
          </cell>
        </row>
        <row r="1539">
          <cell r="F1539" t="str">
            <v>SG-E9 Pay-01/2026</v>
          </cell>
          <cell r="G1539" t="str">
            <v>Settled</v>
          </cell>
        </row>
        <row r="1540">
          <cell r="F1540" t="str">
            <v>SG-E9 Pay-02/2026</v>
          </cell>
          <cell r="G1540" t="str">
            <v>Settled</v>
          </cell>
        </row>
        <row r="1541">
          <cell r="F1541" t="str">
            <v>SG-ebury mass payments-11/2022</v>
          </cell>
          <cell r="G1541" t="str">
            <v>Settled</v>
          </cell>
        </row>
        <row r="1542">
          <cell r="F1542" t="str">
            <v>SG-ebury mass payments-12/2022</v>
          </cell>
          <cell r="G1542" t="str">
            <v>Settled</v>
          </cell>
        </row>
        <row r="1543">
          <cell r="F1543" t="str">
            <v>SG-ebury mass payments-01/2023</v>
          </cell>
          <cell r="G1543" t="str">
            <v>Settled</v>
          </cell>
        </row>
        <row r="1544">
          <cell r="F1544" t="str">
            <v>SG-eburymass-02/2023</v>
          </cell>
          <cell r="G1544" t="str">
            <v>Settled</v>
          </cell>
        </row>
        <row r="1545">
          <cell r="F1545" t="str">
            <v>SG-eburymass-03/2023</v>
          </cell>
          <cell r="G1545" t="str">
            <v>Settled</v>
          </cell>
        </row>
        <row r="1546">
          <cell r="F1546" t="str">
            <v>SG-eburymass-04/2023</v>
          </cell>
          <cell r="G1546" t="str">
            <v>Settled</v>
          </cell>
        </row>
        <row r="1547">
          <cell r="F1547" t="str">
            <v>SG-eburymass-05/2023</v>
          </cell>
          <cell r="G1547" t="str">
            <v>Settled</v>
          </cell>
        </row>
        <row r="1548">
          <cell r="F1548" t="str">
            <v>SG-eburymass-06/2023</v>
          </cell>
          <cell r="G1548" t="str">
            <v>Settled</v>
          </cell>
        </row>
        <row r="1549">
          <cell r="F1549" t="str">
            <v>SG-eburymass-07/2023</v>
          </cell>
          <cell r="G1549" t="str">
            <v>Settled</v>
          </cell>
        </row>
        <row r="1550">
          <cell r="F1550" t="str">
            <v>SG -eburymass-08/2023</v>
          </cell>
          <cell r="G1550" t="str">
            <v>Settled</v>
          </cell>
        </row>
        <row r="1551">
          <cell r="F1551" t="str">
            <v>SG-eburymass-09/2023</v>
          </cell>
          <cell r="G1551" t="str">
            <v>Settled</v>
          </cell>
        </row>
        <row r="1552">
          <cell r="F1552" t="str">
            <v>SG-eburymass-10/2023</v>
          </cell>
          <cell r="G1552" t="str">
            <v>Settled</v>
          </cell>
        </row>
        <row r="1553">
          <cell r="F1553" t="str">
            <v>SG-eburymass-11/2023</v>
          </cell>
          <cell r="G1553" t="str">
            <v>Settled</v>
          </cell>
        </row>
        <row r="1554">
          <cell r="F1554" t="str">
            <v>SG -eburymass-CR-11/2023</v>
          </cell>
          <cell r="G1554" t="str">
            <v>Settled</v>
          </cell>
        </row>
        <row r="1555">
          <cell r="F1555" t="str">
            <v>SG -eburymass-CR-11/2023</v>
          </cell>
          <cell r="G1555" t="str">
            <v>Settled</v>
          </cell>
        </row>
        <row r="1556">
          <cell r="F1556" t="str">
            <v>SG-eburymass-12/2023</v>
          </cell>
          <cell r="G1556" t="str">
            <v>Settled</v>
          </cell>
        </row>
        <row r="1557">
          <cell r="F1557" t="str">
            <v>SG -eburymass-CR-12/2023</v>
          </cell>
          <cell r="G1557" t="str">
            <v>Settled</v>
          </cell>
        </row>
        <row r="1558">
          <cell r="F1558" t="str">
            <v>SG-eburymass-01/2024</v>
          </cell>
          <cell r="G1558" t="str">
            <v>Settled</v>
          </cell>
        </row>
        <row r="1559">
          <cell r="F1559" t="str">
            <v>SG-eburymass-02/2024</v>
          </cell>
          <cell r="G1559" t="str">
            <v>Settled</v>
          </cell>
        </row>
        <row r="1560">
          <cell r="F1560" t="str">
            <v>SG-eburymass-03/2024</v>
          </cell>
          <cell r="G1560" t="str">
            <v>Settled</v>
          </cell>
        </row>
        <row r="1561">
          <cell r="F1561" t="str">
            <v>SG-eburymass-04/2024</v>
          </cell>
          <cell r="G1561" t="str">
            <v>Settled</v>
          </cell>
        </row>
        <row r="1562">
          <cell r="F1562" t="str">
            <v>SG-eburymass-05/2024</v>
          </cell>
          <cell r="G1562" t="str">
            <v>Settled</v>
          </cell>
        </row>
        <row r="1563">
          <cell r="F1563" t="str">
            <v>SG-eburymass-06/2024</v>
          </cell>
          <cell r="G1563" t="str">
            <v>Settled</v>
          </cell>
        </row>
        <row r="1564">
          <cell r="F1564" t="str">
            <v>SG-eburymass-07/2024</v>
          </cell>
          <cell r="G1564" t="str">
            <v>Settled</v>
          </cell>
        </row>
        <row r="1565">
          <cell r="F1565" t="str">
            <v>SG-eburymass-08/2024</v>
          </cell>
          <cell r="G1565" t="str">
            <v>Settled</v>
          </cell>
        </row>
        <row r="1566">
          <cell r="F1566" t="str">
            <v>SG-eburymass-09/2024</v>
          </cell>
          <cell r="G1566" t="str">
            <v>Settled</v>
          </cell>
        </row>
        <row r="1567">
          <cell r="F1567" t="str">
            <v>SG-eburymass-10/2024</v>
          </cell>
          <cell r="G1567" t="str">
            <v>Settled</v>
          </cell>
        </row>
        <row r="1568">
          <cell r="F1568" t="str">
            <v>SG-eburymass-11/2024</v>
          </cell>
          <cell r="G1568" t="str">
            <v>Settled</v>
          </cell>
        </row>
        <row r="1569">
          <cell r="F1569" t="str">
            <v>SG-eburymass-12/2024</v>
          </cell>
          <cell r="G1569" t="str">
            <v>Settled</v>
          </cell>
        </row>
        <row r="1570">
          <cell r="F1570" t="str">
            <v>SG-eburymass-01/2025</v>
          </cell>
          <cell r="G1570" t="str">
            <v>Settled</v>
          </cell>
        </row>
        <row r="1571">
          <cell r="F1571" t="str">
            <v>SG-eburymass-02/2025</v>
          </cell>
          <cell r="G1571" t="str">
            <v>Settled</v>
          </cell>
        </row>
        <row r="1572">
          <cell r="F1572" t="str">
            <v>SG-eburymass-03/2025</v>
          </cell>
          <cell r="G1572" t="str">
            <v>Settled</v>
          </cell>
        </row>
        <row r="1573">
          <cell r="F1573" t="str">
            <v>SG-eburymass-04/2025</v>
          </cell>
          <cell r="G1573" t="str">
            <v>Settled</v>
          </cell>
        </row>
        <row r="1574">
          <cell r="F1574" t="str">
            <v>SG-eburymass-05/2025</v>
          </cell>
          <cell r="G1574" t="str">
            <v>Settled</v>
          </cell>
        </row>
        <row r="1575">
          <cell r="F1575" t="str">
            <v>SG-eburymass-06/2025</v>
          </cell>
          <cell r="G1575" t="str">
            <v>Settled</v>
          </cell>
        </row>
        <row r="1576">
          <cell r="F1576" t="str">
            <v>SG-eburymass-07/2025</v>
          </cell>
          <cell r="G1576" t="str">
            <v>Settled</v>
          </cell>
        </row>
        <row r="1577">
          <cell r="F1577" t="str">
            <v>SG-eburymass-08/2025</v>
          </cell>
          <cell r="G1577" t="str">
            <v>Settled</v>
          </cell>
        </row>
        <row r="1578">
          <cell r="F1578" t="str">
            <v>SG-eburymass-09/2025</v>
          </cell>
          <cell r="G1578" t="str">
            <v>Settled</v>
          </cell>
        </row>
        <row r="1579">
          <cell r="F1579" t="str">
            <v>SG-eburymass-10/2025</v>
          </cell>
          <cell r="G1579" t="str">
            <v>Settled</v>
          </cell>
        </row>
        <row r="1580">
          <cell r="F1580" t="str">
            <v>SG-eburymass-11/2025</v>
          </cell>
          <cell r="G1580" t="str">
            <v>Settled</v>
          </cell>
        </row>
        <row r="1581">
          <cell r="F1581" t="str">
            <v>SG-eburymass-12/2025</v>
          </cell>
          <cell r="G1581" t="str">
            <v>Settled</v>
          </cell>
        </row>
        <row r="1582">
          <cell r="F1582" t="str">
            <v>SG-eburymass-01/2026</v>
          </cell>
          <cell r="G1582" t="str">
            <v>Settled</v>
          </cell>
        </row>
        <row r="1583">
          <cell r="F1583" t="str">
            <v>SG-eburymass-02/2026</v>
          </cell>
          <cell r="G1583" t="str">
            <v>Overdue</v>
          </cell>
        </row>
        <row r="1584">
          <cell r="F1584" t="str">
            <v>SG-Ebury Partners UK Limited-11/2022</v>
          </cell>
          <cell r="G1584" t="str">
            <v>Settled</v>
          </cell>
        </row>
        <row r="1585">
          <cell r="F1585" t="str">
            <v>SG-Ebury Partners UK Limited-12/2022</v>
          </cell>
          <cell r="G1585" t="str">
            <v>Settled</v>
          </cell>
        </row>
        <row r="1586">
          <cell r="F1586" t="str">
            <v>SG-Ebury Partners UK Limited-01/2023</v>
          </cell>
          <cell r="G1586" t="str">
            <v>Settled</v>
          </cell>
        </row>
        <row r="1587">
          <cell r="F1587" t="str">
            <v>SG-EburyPartUKLtd-02/2023</v>
          </cell>
          <cell r="G1587" t="str">
            <v>Settled</v>
          </cell>
        </row>
        <row r="1588">
          <cell r="F1588" t="str">
            <v>SG-EburyPartUKLtd-03/2023</v>
          </cell>
          <cell r="G1588" t="str">
            <v>Settled</v>
          </cell>
        </row>
        <row r="1589">
          <cell r="F1589" t="str">
            <v>SG-EburyPartUKLtd-04/2023</v>
          </cell>
          <cell r="G1589" t="str">
            <v>Settled</v>
          </cell>
        </row>
        <row r="1590">
          <cell r="F1590" t="str">
            <v>SG-EburyPartUKLtd-05/2023</v>
          </cell>
          <cell r="G1590" t="str">
            <v>Settled</v>
          </cell>
        </row>
        <row r="1591">
          <cell r="F1591" t="str">
            <v>SG-EburyPartUKLtd-06/2023</v>
          </cell>
          <cell r="G1591" t="str">
            <v>Settled</v>
          </cell>
        </row>
        <row r="1592">
          <cell r="F1592" t="str">
            <v>SG-EburyPartUKLtd-07/2023</v>
          </cell>
          <cell r="G1592" t="str">
            <v>Settled</v>
          </cell>
        </row>
        <row r="1593">
          <cell r="F1593" t="str">
            <v>SG -EburyPartUKLtd-08/2023</v>
          </cell>
          <cell r="G1593" t="str">
            <v>Settled</v>
          </cell>
        </row>
        <row r="1594">
          <cell r="F1594" t="str">
            <v>SG-EburyPartUKLtd-09/2023</v>
          </cell>
          <cell r="G1594" t="str">
            <v>Settled</v>
          </cell>
        </row>
        <row r="1595">
          <cell r="F1595" t="str">
            <v>SG-EburyPartUKLtd-10/2023</v>
          </cell>
          <cell r="G1595" t="str">
            <v>Settled</v>
          </cell>
        </row>
        <row r="1596">
          <cell r="F1596" t="str">
            <v>SG-EburyPartUKLtd-11/2023</v>
          </cell>
          <cell r="G1596" t="str">
            <v>Settled</v>
          </cell>
        </row>
        <row r="1597">
          <cell r="F1597" t="str">
            <v>SG-EburyPartUKLtd-12/2023</v>
          </cell>
          <cell r="G1597" t="str">
            <v>Settled</v>
          </cell>
        </row>
        <row r="1598">
          <cell r="F1598" t="str">
            <v>SG-EburyPartUKLtd-01/2024</v>
          </cell>
          <cell r="G1598" t="str">
            <v>Settled</v>
          </cell>
        </row>
        <row r="1599">
          <cell r="F1599" t="str">
            <v>SG-EburyPartUKLtd-02/2024</v>
          </cell>
          <cell r="G1599" t="str">
            <v>Settled</v>
          </cell>
        </row>
        <row r="1600">
          <cell r="F1600" t="str">
            <v>SG-EburyPartUKLtd-03/2024</v>
          </cell>
          <cell r="G1600" t="str">
            <v>Settled</v>
          </cell>
        </row>
        <row r="1601">
          <cell r="F1601" t="str">
            <v>SG-EburyPartUKLtd-04/2024</v>
          </cell>
          <cell r="G1601" t="str">
            <v>Settled</v>
          </cell>
        </row>
        <row r="1602">
          <cell r="F1602" t="str">
            <v>SG-EburyPartUKLtd-05/2024</v>
          </cell>
          <cell r="G1602" t="str">
            <v>Settled</v>
          </cell>
        </row>
        <row r="1603">
          <cell r="F1603" t="str">
            <v>SG-EburyPartUKLtd-06/2024</v>
          </cell>
          <cell r="G1603" t="str">
            <v>Settled</v>
          </cell>
        </row>
        <row r="1604">
          <cell r="F1604" t="str">
            <v>SG-CN-EburyPartUKLtd-07-2024</v>
          </cell>
          <cell r="G1604" t="str">
            <v>Settled</v>
          </cell>
        </row>
        <row r="1605">
          <cell r="F1605" t="str">
            <v>SG-EburyPartUKLtd-07/2024</v>
          </cell>
          <cell r="G1605" t="str">
            <v>Settled</v>
          </cell>
        </row>
        <row r="1606">
          <cell r="F1606" t="str">
            <v>SG-CN-EburyPartUKLtd-06-2024</v>
          </cell>
          <cell r="G1606" t="str">
            <v>Settled</v>
          </cell>
        </row>
        <row r="1607">
          <cell r="F1607" t="str">
            <v>SG-CN-EburyPartUKLtd-08-2024</v>
          </cell>
          <cell r="G1607" t="str">
            <v>Settled</v>
          </cell>
        </row>
        <row r="1608">
          <cell r="F1608" t="str">
            <v>SG-EburyPartUKLtd-08/2024</v>
          </cell>
          <cell r="G1608" t="str">
            <v>Settled</v>
          </cell>
        </row>
        <row r="1609">
          <cell r="F1609" t="str">
            <v>SG-CN-EburyPartUKLtd-09-2024</v>
          </cell>
          <cell r="G1609" t="str">
            <v>Settled</v>
          </cell>
        </row>
        <row r="1610">
          <cell r="F1610" t="str">
            <v>SG-DN-EburyPartUKLtd-09-2024</v>
          </cell>
          <cell r="G1610" t="str">
            <v>Settled</v>
          </cell>
        </row>
        <row r="1611">
          <cell r="F1611" t="str">
            <v>SG-EburyPartUKLtd-09/2024</v>
          </cell>
          <cell r="G1611" t="str">
            <v>Settled</v>
          </cell>
        </row>
        <row r="1612">
          <cell r="F1612" t="str">
            <v>SG-DN-EburyPartUKLtd-10-2024</v>
          </cell>
          <cell r="G1612" t="str">
            <v>Settled</v>
          </cell>
        </row>
        <row r="1613">
          <cell r="F1613" t="str">
            <v>SG-EburyPartUKLtd-10/2024</v>
          </cell>
          <cell r="G1613" t="str">
            <v>Settled</v>
          </cell>
        </row>
        <row r="1614">
          <cell r="F1614" t="str">
            <v>SG-CN-EburyPartUKLtd-11-2024</v>
          </cell>
          <cell r="G1614" t="str">
            <v>Settled</v>
          </cell>
        </row>
        <row r="1615">
          <cell r="F1615" t="str">
            <v>SG-EburyPartUKLtd-11/2024</v>
          </cell>
          <cell r="G1615" t="str">
            <v>Settled</v>
          </cell>
        </row>
        <row r="1616">
          <cell r="F1616" t="str">
            <v>SG-EburyPartUKLtd-12/2024</v>
          </cell>
          <cell r="G1616" t="str">
            <v>Settled</v>
          </cell>
        </row>
        <row r="1617">
          <cell r="F1617" t="str">
            <v>SG-CN-EburyPartUKLtd-01-2025</v>
          </cell>
          <cell r="G1617" t="str">
            <v>Settled</v>
          </cell>
        </row>
        <row r="1618">
          <cell r="F1618" t="str">
            <v>SG-EburyPartUKLtd-01/2025</v>
          </cell>
          <cell r="G1618" t="str">
            <v>Settled</v>
          </cell>
        </row>
        <row r="1619">
          <cell r="F1619" t="str">
            <v>SG-CN-EburyPartUKLtd-02-2025</v>
          </cell>
          <cell r="G1619" t="str">
            <v>Settled</v>
          </cell>
        </row>
        <row r="1620">
          <cell r="F1620" t="str">
            <v>SG-EburyPartUKLtd-02/2025</v>
          </cell>
          <cell r="G1620" t="str">
            <v>Settled</v>
          </cell>
        </row>
        <row r="1621">
          <cell r="F1621" t="str">
            <v>SG-EburyPartUKLtd-03/2025</v>
          </cell>
          <cell r="G1621" t="str">
            <v>Settled</v>
          </cell>
        </row>
        <row r="1622">
          <cell r="F1622" t="str">
            <v>SG-CN-EburyPartUKLtd-03-2025</v>
          </cell>
          <cell r="G1622" t="str">
            <v>Settled</v>
          </cell>
        </row>
        <row r="1623">
          <cell r="F1623" t="str">
            <v>SG-EburyPartUKLtd-04/2025</v>
          </cell>
          <cell r="G1623" t="str">
            <v>Settled</v>
          </cell>
        </row>
        <row r="1624">
          <cell r="F1624" t="str">
            <v>SG-CN-EburyPartUKLtd-04-2025</v>
          </cell>
          <cell r="G1624" t="str">
            <v>Settled</v>
          </cell>
        </row>
        <row r="1625">
          <cell r="F1625" t="str">
            <v>SG-CN-EburyPartUKLtd-05-2025</v>
          </cell>
          <cell r="G1625" t="str">
            <v>Settled</v>
          </cell>
        </row>
        <row r="1626">
          <cell r="F1626" t="str">
            <v>SG-EburyPartUKLtd-05/2025</v>
          </cell>
          <cell r="G1626" t="str">
            <v>Settled</v>
          </cell>
        </row>
        <row r="1627">
          <cell r="F1627" t="str">
            <v>SG-EburyPartUKLtd-06/2025</v>
          </cell>
          <cell r="G1627" t="str">
            <v>Settled</v>
          </cell>
        </row>
        <row r="1628">
          <cell r="F1628" t="str">
            <v>SG-CN-EburyPartUKLtd-09-2025</v>
          </cell>
          <cell r="G1628" t="str">
            <v>Settled</v>
          </cell>
        </row>
        <row r="1629">
          <cell r="F1629" t="str">
            <v>SG-EburyPartUKLtd-09/2025</v>
          </cell>
          <cell r="G1629" t="str">
            <v>Settled</v>
          </cell>
        </row>
        <row r="1630">
          <cell r="F1630" t="str">
            <v>SG-CN-EburyPartUKLtd-10/2025</v>
          </cell>
          <cell r="G1630" t="str">
            <v>Settled</v>
          </cell>
        </row>
        <row r="1631">
          <cell r="F1631" t="str">
            <v>SG-EburyPartUKLtd-10/2025</v>
          </cell>
          <cell r="G1631" t="str">
            <v>Settled</v>
          </cell>
        </row>
        <row r="1632">
          <cell r="F1632" t="str">
            <v>SG-EburyPartUKLtd-11/2025</v>
          </cell>
          <cell r="G1632" t="str">
            <v>Settled</v>
          </cell>
        </row>
        <row r="1633">
          <cell r="F1633" t="str">
            <v>SG-CN-EburyPartUKLtd-11-2025</v>
          </cell>
          <cell r="G1633" t="str">
            <v>Settled</v>
          </cell>
        </row>
        <row r="1634">
          <cell r="F1634" t="str">
            <v>SG-CN-EburyPartUKLtd-12-2025</v>
          </cell>
          <cell r="G1634" t="str">
            <v>Settled</v>
          </cell>
        </row>
        <row r="1635">
          <cell r="F1635" t="str">
            <v>SG-EburyPartUKLtd-12/2025</v>
          </cell>
          <cell r="G1635" t="str">
            <v>Settled</v>
          </cell>
        </row>
        <row r="1636">
          <cell r="F1636" t="str">
            <v>SG-CN-EburyPartUKLtd-01-2026</v>
          </cell>
          <cell r="G1636" t="str">
            <v>Settled</v>
          </cell>
        </row>
        <row r="1637">
          <cell r="F1637" t="str">
            <v>SG-EburyPartUKLtd-01/2026</v>
          </cell>
          <cell r="G1637" t="str">
            <v>Settled</v>
          </cell>
        </row>
        <row r="1638">
          <cell r="F1638" t="str">
            <v>SG-CN-EburyPartUKLtd-02-2026</v>
          </cell>
          <cell r="G1638" t="str">
            <v>Overdue</v>
          </cell>
        </row>
        <row r="1639">
          <cell r="F1639" t="str">
            <v>SG-EburyPartUKLtd-02/2026</v>
          </cell>
          <cell r="G1639" t="str">
            <v>Overdue</v>
          </cell>
        </row>
        <row r="1640">
          <cell r="F1640" t="str">
            <v>SG-CN-EburyPartUKLtd-06-2025</v>
          </cell>
          <cell r="G1640" t="str">
            <v>Settled</v>
          </cell>
        </row>
        <row r="1641">
          <cell r="F1641" t="str">
            <v>SG-CN-EburyPartUKLtd-07-2025</v>
          </cell>
          <cell r="G1641" t="str">
            <v>Settled</v>
          </cell>
        </row>
        <row r="1642">
          <cell r="F1642" t="str">
            <v>SG-EburyPartUKLtd-07/2025</v>
          </cell>
          <cell r="G1642" t="str">
            <v>Settled</v>
          </cell>
        </row>
        <row r="1643">
          <cell r="F1643" t="str">
            <v>SG-CN-EburyPartUKLtd-08-2025</v>
          </cell>
          <cell r="G1643" t="str">
            <v>Settled</v>
          </cell>
        </row>
        <row r="1644">
          <cell r="F1644" t="str">
            <v>SG-EburyPartUKLtd-08/2025</v>
          </cell>
          <cell r="G1644" t="str">
            <v>Settled</v>
          </cell>
        </row>
        <row r="1645">
          <cell r="F1645" t="str">
            <v>SG -ECOMMBX LIMITED-03/2022</v>
          </cell>
          <cell r="G1645" t="str">
            <v>Settled</v>
          </cell>
        </row>
        <row r="1646">
          <cell r="F1646" t="str">
            <v>SG -ECOMMBX LIMITED-04/2022</v>
          </cell>
          <cell r="G1646" t="str">
            <v>Settled</v>
          </cell>
        </row>
        <row r="1647">
          <cell r="F1647" t="str">
            <v>SG -ECOMMBX LIMITED-06/2022</v>
          </cell>
          <cell r="G1647" t="str">
            <v>Settled</v>
          </cell>
        </row>
        <row r="1648">
          <cell r="F1648" t="str">
            <v>SG-ECOMMBX LIMITED-08/2022</v>
          </cell>
          <cell r="G1648" t="str">
            <v>Settled</v>
          </cell>
        </row>
        <row r="1649">
          <cell r="F1649" t="str">
            <v>SG-ECOMMBX LIMITED-09/2022</v>
          </cell>
          <cell r="G1649" t="str">
            <v>Settled</v>
          </cell>
        </row>
        <row r="1650">
          <cell r="F1650" t="str">
            <v>SG-ECOMMBX LIMITED-10/2022</v>
          </cell>
          <cell r="G1650" t="str">
            <v>Settled</v>
          </cell>
        </row>
        <row r="1651">
          <cell r="F1651" t="str">
            <v>SG-ECOMMBX LIMITED-11/2022</v>
          </cell>
          <cell r="G1651" t="str">
            <v>Settled</v>
          </cell>
        </row>
        <row r="1652">
          <cell r="F1652" t="str">
            <v>SG-ECOMMBX LIMITED-12/2022</v>
          </cell>
          <cell r="G1652" t="str">
            <v>Settled</v>
          </cell>
        </row>
        <row r="1653">
          <cell r="F1653" t="str">
            <v>SG-ECOMMBX LIMITED-06/2023</v>
          </cell>
          <cell r="G1653" t="str">
            <v>Settled</v>
          </cell>
        </row>
        <row r="1654">
          <cell r="F1654" t="str">
            <v>SG-ECOMMBX LIMITED-07/2023</v>
          </cell>
          <cell r="G1654" t="str">
            <v>Settled</v>
          </cell>
        </row>
        <row r="1655">
          <cell r="F1655" t="str">
            <v>SG-ECOMMBX LIMITED-09/2023</v>
          </cell>
          <cell r="G1655" t="str">
            <v>Settled</v>
          </cell>
        </row>
        <row r="1656">
          <cell r="F1656" t="str">
            <v>SG-ECOMMBX LIMITED-01/2024</v>
          </cell>
          <cell r="G1656" t="str">
            <v>Settled</v>
          </cell>
        </row>
        <row r="1657">
          <cell r="F1657" t="str">
            <v>SG-ECOMMBX LIMITED-01/2023</v>
          </cell>
          <cell r="G1657" t="str">
            <v>Settled</v>
          </cell>
        </row>
        <row r="1658">
          <cell r="F1658" t="str">
            <v>SG-ECOMMBX LIMITED-02/2023</v>
          </cell>
          <cell r="G1658" t="str">
            <v>Settled</v>
          </cell>
        </row>
        <row r="1659">
          <cell r="F1659" t="str">
            <v>SG-ECOMMBX LIMITED-03/2023</v>
          </cell>
          <cell r="G1659" t="str">
            <v>Settled</v>
          </cell>
        </row>
        <row r="1660">
          <cell r="F1660" t="str">
            <v>SG-ECOMMBX LIMITED-04/2023</v>
          </cell>
          <cell r="G1660" t="str">
            <v>Settled</v>
          </cell>
        </row>
        <row r="1661">
          <cell r="F1661" t="str">
            <v>SG-ECOMMBX LIMITED-05/2023</v>
          </cell>
          <cell r="G1661" t="str">
            <v>Settled</v>
          </cell>
        </row>
        <row r="1662">
          <cell r="F1662" t="str">
            <v>SG -ECOMMBX LIMITED-08/2023</v>
          </cell>
          <cell r="G1662" t="str">
            <v>Settled</v>
          </cell>
        </row>
        <row r="1663">
          <cell r="F1663" t="str">
            <v>SG-ECOMMBX LIMITED-10/2023</v>
          </cell>
          <cell r="G1663" t="str">
            <v>Settled</v>
          </cell>
        </row>
        <row r="1664">
          <cell r="F1664" t="str">
            <v>SG-ECOMMBX-11/2023</v>
          </cell>
          <cell r="G1664" t="str">
            <v>Settled</v>
          </cell>
        </row>
        <row r="1665">
          <cell r="F1665" t="str">
            <v>SG-ECOMMBX LIMITED-12/2023</v>
          </cell>
          <cell r="G1665" t="str">
            <v>Settled</v>
          </cell>
        </row>
        <row r="1666">
          <cell r="F1666" t="str">
            <v>SG-ECOMMBX LIMITED-02/2024</v>
          </cell>
          <cell r="G1666" t="str">
            <v>Settled</v>
          </cell>
        </row>
        <row r="1667">
          <cell r="F1667" t="str">
            <v>SG-ECOMMBX LIMITED-03/2024</v>
          </cell>
          <cell r="G1667" t="str">
            <v>Settled</v>
          </cell>
        </row>
        <row r="1668">
          <cell r="F1668" t="str">
            <v>SG-ECOMMBX LIMITED-04/2024</v>
          </cell>
          <cell r="G1668" t="str">
            <v>Settled</v>
          </cell>
        </row>
        <row r="1669">
          <cell r="F1669" t="str">
            <v>SG-ECOMMBX LIMITED-05/2024</v>
          </cell>
          <cell r="G1669" t="str">
            <v>Settled</v>
          </cell>
        </row>
        <row r="1670">
          <cell r="F1670" t="str">
            <v>SG-ECOMMBX LIMITED-06/2024</v>
          </cell>
          <cell r="G1670" t="str">
            <v>Settled</v>
          </cell>
        </row>
        <row r="1671">
          <cell r="F1671" t="str">
            <v>SG-ECOMMBX LIMITED-07/2024</v>
          </cell>
          <cell r="G1671" t="str">
            <v>Settled</v>
          </cell>
        </row>
        <row r="1672">
          <cell r="F1672" t="str">
            <v>SG-ECOMMBX LIMITED-07/2024</v>
          </cell>
          <cell r="G1672" t="str">
            <v>Settled</v>
          </cell>
        </row>
        <row r="1673">
          <cell r="F1673" t="str">
            <v>SG -ELEKSE ELEKTRONIK-08/2023</v>
          </cell>
          <cell r="G1673" t="str">
            <v>Settled</v>
          </cell>
        </row>
        <row r="1674">
          <cell r="F1674" t="str">
            <v>SG-ELEKSE-09/2023</v>
          </cell>
          <cell r="G1674" t="str">
            <v>Settled</v>
          </cell>
        </row>
        <row r="1675">
          <cell r="F1675" t="str">
            <v>SG-ELEKSE ELEKTRONIK-10/2023</v>
          </cell>
          <cell r="G1675" t="str">
            <v>Settled</v>
          </cell>
        </row>
        <row r="1676">
          <cell r="F1676" t="str">
            <v>SG-ELEKSE ELEKTRONIK-11/2023</v>
          </cell>
          <cell r="G1676" t="str">
            <v>Settled</v>
          </cell>
        </row>
        <row r="1677">
          <cell r="F1677" t="str">
            <v>SG-ELEKSE-12/2023</v>
          </cell>
          <cell r="G1677" t="str">
            <v>Settled</v>
          </cell>
        </row>
        <row r="1678">
          <cell r="F1678" t="str">
            <v>SG-ELEKSE ELEKTRONIK-01/2024</v>
          </cell>
          <cell r="G1678" t="str">
            <v>Settled</v>
          </cell>
        </row>
        <row r="1679">
          <cell r="F1679" t="str">
            <v>SG-ELEKSE ELEKTRONIK-02/2024</v>
          </cell>
          <cell r="G1679" t="str">
            <v>Settled</v>
          </cell>
        </row>
        <row r="1680">
          <cell r="F1680" t="str">
            <v>SG-CN-ELEKSE ELEKTRONIK-01-2024</v>
          </cell>
          <cell r="G1680" t="str">
            <v>Settled</v>
          </cell>
        </row>
        <row r="1681">
          <cell r="F1681" t="str">
            <v>SG-CN-ELEKSE ELEKTRONIK-02-2024</v>
          </cell>
          <cell r="G1681" t="str">
            <v>Settled</v>
          </cell>
        </row>
        <row r="1682">
          <cell r="F1682" t="str">
            <v>SG-CN-ELEKSE ELEKTRONIK-12-2023</v>
          </cell>
          <cell r="G1682" t="str">
            <v>Settled</v>
          </cell>
        </row>
        <row r="1683">
          <cell r="F1683" t="str">
            <v>SG-CN-ELEKSE ELEKTRONIK-11-2023</v>
          </cell>
          <cell r="G1683" t="str">
            <v>Settled</v>
          </cell>
        </row>
        <row r="1684">
          <cell r="F1684" t="str">
            <v>SG-ELEKSE ELEKTRONIK-10/2024</v>
          </cell>
          <cell r="G1684" t="str">
            <v>Settled</v>
          </cell>
        </row>
        <row r="1685">
          <cell r="F1685" t="str">
            <v>SG-ELEKSE ELEKTRONIK-11/2024</v>
          </cell>
          <cell r="G1685" t="str">
            <v>Settled</v>
          </cell>
        </row>
        <row r="1686">
          <cell r="F1686" t="str">
            <v>SG-Emirates India-11/2022</v>
          </cell>
          <cell r="G1686" t="str">
            <v>Settled</v>
          </cell>
        </row>
        <row r="1687">
          <cell r="F1687" t="str">
            <v>SG-Emirates India-01/2023</v>
          </cell>
          <cell r="G1687" t="str">
            <v>Write Off</v>
          </cell>
        </row>
        <row r="1688">
          <cell r="F1688" t="str">
            <v>SG-eurostar global services pte. ltd.-11/2022</v>
          </cell>
          <cell r="G1688" t="str">
            <v>Settled</v>
          </cell>
        </row>
        <row r="1689">
          <cell r="F1689" t="str">
            <v>SG-eurostar-03/2023</v>
          </cell>
          <cell r="G1689" t="str">
            <v>Settled</v>
          </cell>
        </row>
        <row r="1690">
          <cell r="F1690" t="str">
            <v>SG-eurostar-04/2023</v>
          </cell>
          <cell r="G1690" t="str">
            <v>Settled</v>
          </cell>
        </row>
        <row r="1691">
          <cell r="F1691" t="str">
            <v>SG-eurostar-05/2023</v>
          </cell>
          <cell r="G1691" t="str">
            <v>Settled</v>
          </cell>
        </row>
        <row r="1692">
          <cell r="F1692" t="str">
            <v>SG-eurostar-06/2023</v>
          </cell>
          <cell r="G1692" t="str">
            <v>Settled</v>
          </cell>
        </row>
        <row r="1693">
          <cell r="F1693" t="str">
            <v>SG-eurostar-07/2023</v>
          </cell>
          <cell r="G1693" t="str">
            <v>Settled</v>
          </cell>
        </row>
        <row r="1694">
          <cell r="F1694" t="str">
            <v>SG -eurostar-08/2023</v>
          </cell>
          <cell r="G1694" t="str">
            <v>Settled</v>
          </cell>
        </row>
        <row r="1695">
          <cell r="F1695" t="str">
            <v>SG-eurostar-09/2023</v>
          </cell>
          <cell r="G1695" t="str">
            <v>Settled</v>
          </cell>
        </row>
        <row r="1696">
          <cell r="F1696" t="str">
            <v>SG-eurostar-10/2023</v>
          </cell>
          <cell r="G1696" t="str">
            <v>Settled</v>
          </cell>
        </row>
        <row r="1697">
          <cell r="F1697" t="str">
            <v>SG-eurostar-11/2023</v>
          </cell>
          <cell r="G1697" t="str">
            <v>Settled</v>
          </cell>
        </row>
        <row r="1698">
          <cell r="F1698" t="str">
            <v>HK-Everpro-12/2023</v>
          </cell>
          <cell r="G1698" t="str">
            <v>Waived Off</v>
          </cell>
        </row>
        <row r="1699">
          <cell r="F1699" t="str">
            <v>HK-Everpro-02/2024</v>
          </cell>
          <cell r="G1699" t="str">
            <v>Waived Off</v>
          </cell>
        </row>
        <row r="1700">
          <cell r="F1700" t="str">
            <v>HK-Everpro-03/2024</v>
          </cell>
          <cell r="G1700" t="str">
            <v>Settled</v>
          </cell>
        </row>
        <row r="1701">
          <cell r="F1701" t="str">
            <v>HK-Everpro-04/2024</v>
          </cell>
          <cell r="G1701" t="str">
            <v>Settled</v>
          </cell>
        </row>
        <row r="1702">
          <cell r="F1702" t="str">
            <v>HK-Everpro-05/2024</v>
          </cell>
          <cell r="G1702" t="str">
            <v>Settled</v>
          </cell>
        </row>
        <row r="1703">
          <cell r="F1703" t="str">
            <v>HK-Everpro-06/2024</v>
          </cell>
          <cell r="G1703" t="str">
            <v>Settled</v>
          </cell>
        </row>
        <row r="1704">
          <cell r="F1704" t="str">
            <v>HK-Everpro-07/2024</v>
          </cell>
          <cell r="G1704" t="str">
            <v>Settled</v>
          </cell>
        </row>
        <row r="1705">
          <cell r="F1705" t="str">
            <v>HK-Everpro-08/2024</v>
          </cell>
          <cell r="G1705" t="str">
            <v>Settled</v>
          </cell>
        </row>
        <row r="1706">
          <cell r="F1706" t="str">
            <v>HK-Everpro-09/2024</v>
          </cell>
          <cell r="G1706" t="str">
            <v>Settled</v>
          </cell>
        </row>
        <row r="1707">
          <cell r="F1707" t="str">
            <v>HK-Everpro-10/2024</v>
          </cell>
          <cell r="G1707" t="str">
            <v>Settled</v>
          </cell>
        </row>
        <row r="1708">
          <cell r="F1708" t="str">
            <v>HK-Everpro-11/2024</v>
          </cell>
          <cell r="G1708" t="str">
            <v>Settled</v>
          </cell>
        </row>
        <row r="1709">
          <cell r="F1709" t="str">
            <v>HK-Everpro-12/2024</v>
          </cell>
          <cell r="G1709" t="str">
            <v>Settled</v>
          </cell>
        </row>
        <row r="1710">
          <cell r="F1710" t="str">
            <v>HK-Everpro-01/2025</v>
          </cell>
          <cell r="G1710" t="str">
            <v>Settled</v>
          </cell>
        </row>
        <row r="1711">
          <cell r="F1711" t="str">
            <v>HK-Everpro-02/2025</v>
          </cell>
          <cell r="G1711" t="str">
            <v>Settled</v>
          </cell>
        </row>
        <row r="1712">
          <cell r="F1712" t="str">
            <v>HK-Everpro-03/2025</v>
          </cell>
          <cell r="G1712" t="str">
            <v>Settled</v>
          </cell>
        </row>
        <row r="1713">
          <cell r="F1713" t="str">
            <v>HK-Everpro-04/2025</v>
          </cell>
          <cell r="G1713" t="str">
            <v>Settled</v>
          </cell>
        </row>
        <row r="1714">
          <cell r="F1714" t="str">
            <v>HK-Everpro-05/2025</v>
          </cell>
          <cell r="G1714" t="str">
            <v>Settled</v>
          </cell>
        </row>
        <row r="1715">
          <cell r="F1715" t="str">
            <v>HK-Everpro-06/2025</v>
          </cell>
          <cell r="G1715" t="str">
            <v>Settled</v>
          </cell>
        </row>
        <row r="1716">
          <cell r="F1716" t="str">
            <v>HK-Everpro-07/2025</v>
          </cell>
          <cell r="G1716" t="str">
            <v>Settled</v>
          </cell>
        </row>
        <row r="1717">
          <cell r="F1717" t="str">
            <v>HK-Everpro-08/2025</v>
          </cell>
          <cell r="G1717" t="str">
            <v>Settled</v>
          </cell>
        </row>
        <row r="1718">
          <cell r="F1718" t="str">
            <v>HK-Everpro-09/2025</v>
          </cell>
          <cell r="G1718" t="str">
            <v>Settled</v>
          </cell>
        </row>
        <row r="1719">
          <cell r="F1719" t="str">
            <v>HK-Everpro-10/2025</v>
          </cell>
          <cell r="G1719" t="str">
            <v>Settled</v>
          </cell>
        </row>
        <row r="1720">
          <cell r="F1720" t="str">
            <v>HK-Everpro-11/2025</v>
          </cell>
          <cell r="G1720" t="str">
            <v>Settled</v>
          </cell>
        </row>
        <row r="1721">
          <cell r="F1721" t="str">
            <v>HK-Everpro-12/2025</v>
          </cell>
          <cell r="G1721" t="str">
            <v>Settled</v>
          </cell>
        </row>
        <row r="1722">
          <cell r="F1722" t="str">
            <v>HK-Everpro-01/2026</v>
          </cell>
          <cell r="G1722" t="str">
            <v>Overdue</v>
          </cell>
        </row>
        <row r="1723">
          <cell r="F1723" t="str">
            <v>HK-Everpro-02/2026</v>
          </cell>
          <cell r="G1723" t="str">
            <v>Overdue</v>
          </cell>
        </row>
        <row r="1724">
          <cell r="F1724" t="str">
            <v>MY-EZ Money-02/2025</v>
          </cell>
          <cell r="G1724" t="str">
            <v>Settled</v>
          </cell>
        </row>
        <row r="1725">
          <cell r="F1725" t="str">
            <v>US -Fair Fintech Inc-10/2021</v>
          </cell>
          <cell r="G1725" t="str">
            <v>Waived Off</v>
          </cell>
        </row>
        <row r="1726">
          <cell r="F1726" t="str">
            <v>US -Fair Fintech Inc-11/2021</v>
          </cell>
          <cell r="G1726" t="str">
            <v>Waived Off</v>
          </cell>
        </row>
        <row r="1727">
          <cell r="F1727" t="str">
            <v>US -Fair Fintech Inc-12/2021</v>
          </cell>
          <cell r="G1727" t="str">
            <v>Waived Off</v>
          </cell>
        </row>
        <row r="1728">
          <cell r="F1728" t="str">
            <v>US -Fair Fintech Inc-01/2022</v>
          </cell>
          <cell r="G1728" t="str">
            <v>Waived Off</v>
          </cell>
        </row>
        <row r="1729">
          <cell r="F1729" t="str">
            <v>US -Fair Fintech Inc-02/2022</v>
          </cell>
          <cell r="G1729" t="str">
            <v>Waived Off</v>
          </cell>
        </row>
        <row r="1730">
          <cell r="F1730" t="str">
            <v>US -Fair Fintech Inc-03/2022</v>
          </cell>
          <cell r="G1730" t="str">
            <v>Waived Off</v>
          </cell>
        </row>
        <row r="1731">
          <cell r="F1731" t="str">
            <v>US -Fair Fintech Inc-04/2022</v>
          </cell>
          <cell r="G1731" t="str">
            <v>Waived Off</v>
          </cell>
        </row>
        <row r="1732">
          <cell r="F1732" t="str">
            <v>US -Fair Fintech Inc-05/2022</v>
          </cell>
          <cell r="G1732" t="str">
            <v>Waived Off</v>
          </cell>
        </row>
        <row r="1733">
          <cell r="F1733" t="str">
            <v>US -Fair Fintech Inc-06/2022</v>
          </cell>
          <cell r="G1733" t="str">
            <v>Waived Off</v>
          </cell>
        </row>
        <row r="1734">
          <cell r="F1734" t="str">
            <v>US-Fair Fintech-07/2022</v>
          </cell>
          <cell r="G1734" t="str">
            <v>Waived Off</v>
          </cell>
        </row>
        <row r="1735">
          <cell r="F1735" t="str">
            <v>US-Fair Fintech-08/2022</v>
          </cell>
          <cell r="G1735" t="str">
            <v>Waived Off</v>
          </cell>
        </row>
        <row r="1736">
          <cell r="F1736" t="str">
            <v>US-Fair Fintech-09/2022</v>
          </cell>
          <cell r="G1736" t="str">
            <v>Waived Off</v>
          </cell>
        </row>
        <row r="1737">
          <cell r="F1737" t="str">
            <v>US-Fair Fintech-10/2022</v>
          </cell>
          <cell r="G1737" t="str">
            <v>Waived Off</v>
          </cell>
        </row>
        <row r="1738">
          <cell r="F1738" t="str">
            <v>US-Fair Fintech Inc-11/2022</v>
          </cell>
          <cell r="G1738" t="str">
            <v>Waived Off</v>
          </cell>
        </row>
        <row r="1739">
          <cell r="F1739" t="str">
            <v>US-Fair Fintech Inc-12/2022</v>
          </cell>
          <cell r="G1739" t="str">
            <v>Write Off</v>
          </cell>
        </row>
        <row r="1740">
          <cell r="F1740" t="str">
            <v>US-Fair Fintech Inc-01/2023</v>
          </cell>
          <cell r="G1740" t="str">
            <v>Write Off</v>
          </cell>
        </row>
        <row r="1741">
          <cell r="F1741" t="str">
            <v>SG-FALCON-09/2023</v>
          </cell>
          <cell r="G1741" t="str">
            <v>Settled</v>
          </cell>
        </row>
        <row r="1742">
          <cell r="F1742" t="str">
            <v>SG-FALCON-10/2023</v>
          </cell>
          <cell r="G1742" t="str">
            <v>Settled</v>
          </cell>
        </row>
        <row r="1743">
          <cell r="F1743" t="str">
            <v>SG-FALCON-11/2023</v>
          </cell>
          <cell r="G1743" t="str">
            <v>Settled</v>
          </cell>
        </row>
        <row r="1744">
          <cell r="F1744" t="str">
            <v>EU-FINCI, UAB-11/2022</v>
          </cell>
          <cell r="G1744" t="str">
            <v>Settled</v>
          </cell>
        </row>
        <row r="1745">
          <cell r="F1745" t="str">
            <v>EU-FINCI, UAB-12/2022</v>
          </cell>
          <cell r="G1745" t="str">
            <v>Settled</v>
          </cell>
        </row>
        <row r="1746">
          <cell r="F1746" t="str">
            <v>EU-FINCI, UAB-01/2023</v>
          </cell>
          <cell r="G1746" t="str">
            <v>Settled</v>
          </cell>
        </row>
        <row r="1747">
          <cell r="F1747" t="str">
            <v>EU-FINCI, UAB-02/2023</v>
          </cell>
          <cell r="G1747" t="str">
            <v>Settled</v>
          </cell>
        </row>
        <row r="1748">
          <cell r="F1748" t="str">
            <v>EU-FINCI, UAB-03/2023</v>
          </cell>
          <cell r="G1748" t="str">
            <v>Settled</v>
          </cell>
        </row>
        <row r="1749">
          <cell r="F1749" t="str">
            <v>EU-FINCI, UAB-04/2023</v>
          </cell>
          <cell r="G1749" t="str">
            <v>Settled</v>
          </cell>
        </row>
        <row r="1750">
          <cell r="F1750" t="str">
            <v>EU-FINCI, UAB-05/2023</v>
          </cell>
          <cell r="G1750" t="str">
            <v>Settled</v>
          </cell>
        </row>
        <row r="1751">
          <cell r="F1751" t="str">
            <v>EU-FINCI, UAB-06/2023</v>
          </cell>
          <cell r="G1751" t="str">
            <v>Settled</v>
          </cell>
        </row>
        <row r="1752">
          <cell r="F1752" t="str">
            <v>EU-FINCI, UAB-07/2023</v>
          </cell>
          <cell r="G1752" t="str">
            <v>Settled</v>
          </cell>
        </row>
        <row r="1753">
          <cell r="F1753" t="str">
            <v>EU -FINCI, UAB-08/2023</v>
          </cell>
          <cell r="G1753" t="str">
            <v>Settled</v>
          </cell>
        </row>
        <row r="1754">
          <cell r="F1754" t="str">
            <v>EU-FINCI, UAB-09/2023</v>
          </cell>
          <cell r="G1754" t="str">
            <v>Settled</v>
          </cell>
        </row>
        <row r="1755">
          <cell r="F1755" t="str">
            <v>EU-FINCI, UAB-10/2023</v>
          </cell>
          <cell r="G1755" t="str">
            <v>Settled</v>
          </cell>
        </row>
        <row r="1756">
          <cell r="F1756" t="str">
            <v>EU-FINCI, UAB-11/2023</v>
          </cell>
          <cell r="G1756" t="str">
            <v>Settled</v>
          </cell>
        </row>
        <row r="1757">
          <cell r="F1757" t="str">
            <v>EU-FINCI, UAB-12/2023</v>
          </cell>
          <cell r="G1757" t="str">
            <v>Settled</v>
          </cell>
        </row>
        <row r="1758">
          <cell r="F1758" t="str">
            <v>EU-FINCI, UAB-01/2024</v>
          </cell>
          <cell r="G1758" t="str">
            <v>Settled</v>
          </cell>
        </row>
        <row r="1759">
          <cell r="F1759" t="str">
            <v>EU-FINCI, UAB-02/2024</v>
          </cell>
          <cell r="G1759" t="str">
            <v>Settled</v>
          </cell>
        </row>
        <row r="1760">
          <cell r="F1760" t="str">
            <v>EU-FINCI, UAB-03/2024</v>
          </cell>
          <cell r="G1760" t="str">
            <v>Settled</v>
          </cell>
        </row>
        <row r="1761">
          <cell r="F1761" t="str">
            <v>EU-FINCI, UAB-04/2024</v>
          </cell>
          <cell r="G1761" t="str">
            <v>Settled</v>
          </cell>
        </row>
        <row r="1762">
          <cell r="F1762" t="str">
            <v>EU-FINCI, UAB-05/2024</v>
          </cell>
          <cell r="G1762" t="str">
            <v>Settled</v>
          </cell>
        </row>
        <row r="1763">
          <cell r="F1763" t="str">
            <v>EU-FINCI, UAB-06/2024</v>
          </cell>
          <cell r="G1763" t="str">
            <v>Settled</v>
          </cell>
        </row>
        <row r="1764">
          <cell r="F1764" t="str">
            <v>EU-FINCI, UAB-07/2024</v>
          </cell>
          <cell r="G1764" t="str">
            <v>Settled</v>
          </cell>
        </row>
        <row r="1765">
          <cell r="F1765" t="str">
            <v>EU-FINCI, UAB-08/2024</v>
          </cell>
          <cell r="G1765" t="str">
            <v>Settled</v>
          </cell>
        </row>
        <row r="1766">
          <cell r="F1766" t="str">
            <v>EU-FINCI, UAB-09/2024</v>
          </cell>
          <cell r="G1766" t="str">
            <v>Settled</v>
          </cell>
        </row>
        <row r="1767">
          <cell r="F1767" t="str">
            <v>EU-FINCI, UAB-10/2024</v>
          </cell>
          <cell r="G1767" t="str">
            <v>Settled</v>
          </cell>
        </row>
        <row r="1768">
          <cell r="F1768" t="str">
            <v>EU-FINCI, UAB-11/2024</v>
          </cell>
          <cell r="G1768" t="str">
            <v>Settled</v>
          </cell>
        </row>
        <row r="1769">
          <cell r="F1769" t="str">
            <v>EU-FINCI, UAB-12/2024</v>
          </cell>
          <cell r="G1769" t="str">
            <v>Settled</v>
          </cell>
        </row>
        <row r="1770">
          <cell r="F1770" t="str">
            <v>EU-FINCI, UAB-01/2025</v>
          </cell>
          <cell r="G1770" t="str">
            <v>Settled</v>
          </cell>
        </row>
        <row r="1771">
          <cell r="F1771" t="str">
            <v>EU-FINCI, UAB-02/2025</v>
          </cell>
          <cell r="G1771" t="str">
            <v>Settled</v>
          </cell>
        </row>
        <row r="1772">
          <cell r="F1772" t="str">
            <v>EU-FINCI, UAB-03/2025</v>
          </cell>
          <cell r="G1772" t="str">
            <v>Settled</v>
          </cell>
        </row>
        <row r="1773">
          <cell r="F1773" t="str">
            <v>EU-FINCI, UAB-04/2025</v>
          </cell>
          <cell r="G1773" t="str">
            <v>Settled</v>
          </cell>
        </row>
        <row r="1774">
          <cell r="F1774" t="str">
            <v>EU-FINCI, UAB-05/2025</v>
          </cell>
          <cell r="G1774" t="str">
            <v>Settled</v>
          </cell>
        </row>
        <row r="1775">
          <cell r="F1775" t="str">
            <v>EU-FINCI, UAB-06/2025</v>
          </cell>
          <cell r="G1775" t="str">
            <v>Settled</v>
          </cell>
        </row>
        <row r="1776">
          <cell r="F1776" t="str">
            <v>EU-FINCI, UAB-07/2025</v>
          </cell>
          <cell r="G1776" t="str">
            <v>Settled</v>
          </cell>
        </row>
        <row r="1777">
          <cell r="F1777" t="str">
            <v>EU-FINCI, UAB-08/2025</v>
          </cell>
          <cell r="G1777" t="str">
            <v>Settled</v>
          </cell>
        </row>
        <row r="1778">
          <cell r="F1778" t="str">
            <v>EU-FINCI, UAB-09/2025</v>
          </cell>
          <cell r="G1778" t="str">
            <v>Settled</v>
          </cell>
        </row>
        <row r="1779">
          <cell r="F1779" t="str">
            <v>EU-FINCI, UAB-10/2025</v>
          </cell>
          <cell r="G1779" t="str">
            <v>Settled</v>
          </cell>
        </row>
        <row r="1780">
          <cell r="F1780" t="str">
            <v>EU-FINCI, UAB-11/2025</v>
          </cell>
          <cell r="G1780" t="str">
            <v>Settled</v>
          </cell>
        </row>
        <row r="1781">
          <cell r="F1781" t="str">
            <v>EU-FINCI, UAB-12/2025</v>
          </cell>
          <cell r="G1781" t="str">
            <v>Settled</v>
          </cell>
        </row>
        <row r="1782">
          <cell r="F1782" t="str">
            <v>EU-FINCI, UAB-01/2026</v>
          </cell>
          <cell r="G1782" t="str">
            <v>Settled</v>
          </cell>
        </row>
        <row r="1783">
          <cell r="F1783" t="str">
            <v>EU-FINCI, UAB-02/2026</v>
          </cell>
          <cell r="G1783" t="str">
            <v>Settled</v>
          </cell>
        </row>
        <row r="1784">
          <cell r="F1784" t="str">
            <v>SG-Fino Transfer-11/2022</v>
          </cell>
          <cell r="G1784" t="str">
            <v>Settled</v>
          </cell>
        </row>
        <row r="1785">
          <cell r="F1785" t="str">
            <v>SG-Fino Transfer-12/2022</v>
          </cell>
          <cell r="G1785" t="str">
            <v>Settled</v>
          </cell>
        </row>
        <row r="1786">
          <cell r="F1786" t="str">
            <v>SG-Fino Transfer-01/2023</v>
          </cell>
          <cell r="G1786" t="str">
            <v>Settled</v>
          </cell>
        </row>
        <row r="1787">
          <cell r="F1787" t="str">
            <v>SG-Fino Transfer-02/2023</v>
          </cell>
          <cell r="G1787" t="str">
            <v>Settled</v>
          </cell>
        </row>
        <row r="1788">
          <cell r="F1788" t="str">
            <v>SG-Fino Transfer-03/2023</v>
          </cell>
          <cell r="G1788" t="str">
            <v>Settled</v>
          </cell>
        </row>
        <row r="1789">
          <cell r="F1789" t="str">
            <v>SG-Fino Transfer-04/2023</v>
          </cell>
          <cell r="G1789" t="str">
            <v>Waived Off</v>
          </cell>
        </row>
        <row r="1790">
          <cell r="F1790" t="str">
            <v>SG-Fino Transfer-05/2023</v>
          </cell>
          <cell r="G1790" t="str">
            <v>Waived Off</v>
          </cell>
        </row>
        <row r="1791">
          <cell r="F1791" t="str">
            <v>SG-finshot inc-11/2022</v>
          </cell>
          <cell r="G1791" t="str">
            <v>Settled</v>
          </cell>
        </row>
        <row r="1792">
          <cell r="F1792" t="str">
            <v>SG-finshot inc-12/2022</v>
          </cell>
          <cell r="G1792" t="str">
            <v>Settled</v>
          </cell>
        </row>
        <row r="1793">
          <cell r="F1793" t="str">
            <v>SG-finshot inc-01/2023</v>
          </cell>
          <cell r="G1793" t="str">
            <v>Settled</v>
          </cell>
        </row>
        <row r="1794">
          <cell r="F1794" t="str">
            <v>SG-finshot inc-02/2023</v>
          </cell>
          <cell r="G1794" t="str">
            <v>Settled</v>
          </cell>
        </row>
        <row r="1795">
          <cell r="F1795" t="str">
            <v>SG-finshot inc-03/2023</v>
          </cell>
          <cell r="G1795" t="str">
            <v>Settled</v>
          </cell>
        </row>
        <row r="1796">
          <cell r="F1796" t="str">
            <v>SG-finshot inc-04/2023</v>
          </cell>
          <cell r="G1796" t="str">
            <v>Settled</v>
          </cell>
        </row>
        <row r="1797">
          <cell r="F1797" t="str">
            <v>SG-finshot inc-05/2023</v>
          </cell>
          <cell r="G1797" t="str">
            <v>Settled</v>
          </cell>
        </row>
        <row r="1798">
          <cell r="F1798" t="str">
            <v>SG-finshot inc-06/2023</v>
          </cell>
          <cell r="G1798" t="str">
            <v>Settled</v>
          </cell>
        </row>
        <row r="1799">
          <cell r="F1799" t="str">
            <v>SG-finshot inc-07/2023</v>
          </cell>
          <cell r="G1799" t="str">
            <v>Settled</v>
          </cell>
        </row>
        <row r="1800">
          <cell r="F1800" t="str">
            <v>SG -finshot inc-08/2023</v>
          </cell>
          <cell r="G1800" t="str">
            <v>Settled</v>
          </cell>
        </row>
        <row r="1801">
          <cell r="F1801" t="str">
            <v>SG-finshot inc-09/2023</v>
          </cell>
          <cell r="G1801" t="str">
            <v>Settled</v>
          </cell>
        </row>
        <row r="1802">
          <cell r="F1802" t="str">
            <v>SG-finshot inc-10/2023</v>
          </cell>
          <cell r="G1802" t="str">
            <v>Settled</v>
          </cell>
        </row>
        <row r="1803">
          <cell r="F1803" t="str">
            <v>SG-finshot inc-11/2023</v>
          </cell>
          <cell r="G1803" t="str">
            <v>Settled</v>
          </cell>
        </row>
        <row r="1804">
          <cell r="F1804" t="str">
            <v>SG-finshot inc-12/2023</v>
          </cell>
          <cell r="G1804" t="str">
            <v>Settled</v>
          </cell>
        </row>
        <row r="1805">
          <cell r="F1805" t="str">
            <v>SG-finshot inc-01/2024</v>
          </cell>
          <cell r="G1805" t="str">
            <v>Settled</v>
          </cell>
        </row>
        <row r="1806">
          <cell r="F1806" t="str">
            <v>SG-finshot inc-02/2024</v>
          </cell>
          <cell r="G1806" t="str">
            <v>Settled</v>
          </cell>
        </row>
        <row r="1807">
          <cell r="F1807" t="str">
            <v>SG-finshot inc-03/2024</v>
          </cell>
          <cell r="G1807" t="str">
            <v>Settled</v>
          </cell>
        </row>
        <row r="1808">
          <cell r="F1808" t="str">
            <v>SG-finshot inc-04/2024</v>
          </cell>
          <cell r="G1808" t="str">
            <v>Settled</v>
          </cell>
        </row>
        <row r="1809">
          <cell r="F1809" t="str">
            <v>SG-finshot inc-05/2024</v>
          </cell>
          <cell r="G1809" t="str">
            <v>Settled</v>
          </cell>
        </row>
        <row r="1810">
          <cell r="F1810" t="str">
            <v>SG-finshot inc-06/2024</v>
          </cell>
          <cell r="G1810" t="str">
            <v>Settled</v>
          </cell>
        </row>
        <row r="1811">
          <cell r="F1811" t="str">
            <v>SG-finshot inc-07/2024</v>
          </cell>
          <cell r="G1811" t="str">
            <v>Settled</v>
          </cell>
        </row>
        <row r="1812">
          <cell r="F1812" t="str">
            <v>SG-finshot inc-08/2024</v>
          </cell>
          <cell r="G1812" t="str">
            <v>Settled</v>
          </cell>
        </row>
        <row r="1813">
          <cell r="F1813" t="str">
            <v>SG-finshot inc-09/2024</v>
          </cell>
          <cell r="G1813" t="str">
            <v>Settled</v>
          </cell>
        </row>
        <row r="1814">
          <cell r="F1814" t="str">
            <v>SG-finshot inc-10/2024</v>
          </cell>
          <cell r="G1814" t="str">
            <v>Settled</v>
          </cell>
        </row>
        <row r="1815">
          <cell r="F1815" t="str">
            <v>SG-finshot inc-11/2024</v>
          </cell>
          <cell r="G1815" t="str">
            <v>Settled</v>
          </cell>
        </row>
        <row r="1816">
          <cell r="F1816" t="str">
            <v>SG-finshot inc-12/2024</v>
          </cell>
          <cell r="G1816" t="str">
            <v>Settled</v>
          </cell>
        </row>
        <row r="1817">
          <cell r="F1817" t="str">
            <v>AU-Flash Partners Pty Ltd-06/2023</v>
          </cell>
          <cell r="G1817" t="str">
            <v>Settled</v>
          </cell>
        </row>
        <row r="1818">
          <cell r="F1818" t="str">
            <v>AU-Flash Partners Pty Ltd-07/2023</v>
          </cell>
          <cell r="G1818" t="str">
            <v>Settled</v>
          </cell>
        </row>
        <row r="1819">
          <cell r="F1819" t="str">
            <v>AU -Flash Partners Pty Ltd-08/2023</v>
          </cell>
          <cell r="G1819" t="str">
            <v>Settled</v>
          </cell>
        </row>
        <row r="1820">
          <cell r="F1820" t="str">
            <v>AU-Flash Partners Pty Ltd-09/2023</v>
          </cell>
          <cell r="G1820" t="str">
            <v>Settled</v>
          </cell>
        </row>
        <row r="1821">
          <cell r="F1821" t="str">
            <v>AU-Flash Partners Pty-10/2023</v>
          </cell>
          <cell r="G1821" t="str">
            <v>Settled</v>
          </cell>
        </row>
        <row r="1822">
          <cell r="F1822" t="str">
            <v>AU-FlashPartnersPty-11/2023</v>
          </cell>
          <cell r="G1822" t="str">
            <v>Settled</v>
          </cell>
        </row>
        <row r="1823">
          <cell r="F1823" t="str">
            <v>AU-Flash Partners Pty Ltd-12/2023</v>
          </cell>
          <cell r="G1823" t="str">
            <v>Settled</v>
          </cell>
        </row>
        <row r="1824">
          <cell r="F1824" t="str">
            <v>AU-Flash Partners-01/2024</v>
          </cell>
          <cell r="G1824" t="str">
            <v>Settled</v>
          </cell>
        </row>
        <row r="1825">
          <cell r="F1825" t="str">
            <v>AU-Flash Partners Pty Ltd-02/2024</v>
          </cell>
          <cell r="G1825" t="str">
            <v>Settled</v>
          </cell>
        </row>
        <row r="1826">
          <cell r="F1826" t="str">
            <v>AU-Flash Partners Pty Ltd-03/2024</v>
          </cell>
          <cell r="G1826" t="str">
            <v>Settled</v>
          </cell>
        </row>
        <row r="1827">
          <cell r="F1827" t="str">
            <v>AU-Flash Partners Pty Ltd-04/2024</v>
          </cell>
          <cell r="G1827" t="str">
            <v>Settled</v>
          </cell>
        </row>
        <row r="1828">
          <cell r="F1828" t="str">
            <v>AU-Flash Partners Pty Ltd-05/2024</v>
          </cell>
          <cell r="G1828" t="str">
            <v>Settled</v>
          </cell>
        </row>
        <row r="1829">
          <cell r="F1829" t="str">
            <v>AU-Flash Partners Pty Ltd-06/2024</v>
          </cell>
          <cell r="G1829" t="str">
            <v>Settled</v>
          </cell>
        </row>
        <row r="1830">
          <cell r="F1830" t="str">
            <v>AU-Flash Partners Pty Ltd-07/2024</v>
          </cell>
          <cell r="G1830" t="str">
            <v>Settled</v>
          </cell>
        </row>
        <row r="1831">
          <cell r="F1831" t="str">
            <v>AU-Flash Partners Pty Ltd-08/2024</v>
          </cell>
          <cell r="G1831" t="str">
            <v>Settled</v>
          </cell>
        </row>
        <row r="1832">
          <cell r="F1832" t="str">
            <v>AU-Flash Partners Pty Ltd-09/2024</v>
          </cell>
          <cell r="G1832" t="str">
            <v>Settled</v>
          </cell>
        </row>
        <row r="1833">
          <cell r="F1833" t="str">
            <v>AU-Flash Partners Pty Ltd-10/2024</v>
          </cell>
          <cell r="G1833" t="str">
            <v>Settled</v>
          </cell>
        </row>
        <row r="1834">
          <cell r="F1834" t="str">
            <v>AU-Flash Partners Pty Ltd-11/2024</v>
          </cell>
          <cell r="G1834" t="str">
            <v>Settled</v>
          </cell>
        </row>
        <row r="1835">
          <cell r="F1835" t="str">
            <v>AU-Flash Partners Pty Ltd-12/2024</v>
          </cell>
          <cell r="G1835" t="str">
            <v>Settled</v>
          </cell>
        </row>
        <row r="1836">
          <cell r="F1836" t="str">
            <v>AU-Flash Partners Pty Ltd-01/2025</v>
          </cell>
          <cell r="G1836" t="str">
            <v>Settled</v>
          </cell>
        </row>
        <row r="1837">
          <cell r="F1837" t="str">
            <v>AU-Flash Partners Pty Ltd-02/2025</v>
          </cell>
          <cell r="G1837" t="str">
            <v>Settled</v>
          </cell>
        </row>
        <row r="1838">
          <cell r="F1838" t="str">
            <v>AU-Flash Partners Pty Ltd-03/2025</v>
          </cell>
          <cell r="G1838" t="str">
            <v>Settled</v>
          </cell>
        </row>
        <row r="1839">
          <cell r="F1839" t="str">
            <v>AU-Flash Partners Pty Ltd-04/2025</v>
          </cell>
          <cell r="G1839" t="str">
            <v>Settled</v>
          </cell>
        </row>
        <row r="1840">
          <cell r="F1840" t="str">
            <v>AU-Flash Partners Pty Ltd-05/2025</v>
          </cell>
          <cell r="G1840" t="str">
            <v>Settled</v>
          </cell>
        </row>
        <row r="1841">
          <cell r="F1841" t="str">
            <v>AU-Flash Partners Pty Ltd-06/2025</v>
          </cell>
          <cell r="G1841" t="str">
            <v>Settled</v>
          </cell>
        </row>
        <row r="1842">
          <cell r="F1842" t="str">
            <v>AU-Flash Partners Pty Ltd-07/2025</v>
          </cell>
          <cell r="G1842" t="str">
            <v>Settled</v>
          </cell>
        </row>
        <row r="1843">
          <cell r="F1843" t="str">
            <v>AU-Flash Partners Pty Ltd-08/2025</v>
          </cell>
          <cell r="G1843" t="str">
            <v>Settled</v>
          </cell>
        </row>
        <row r="1844">
          <cell r="F1844" t="str">
            <v>AU-Flash Partners Pty Ltd-09/2025</v>
          </cell>
          <cell r="G1844" t="str">
            <v>Settled</v>
          </cell>
        </row>
        <row r="1845">
          <cell r="F1845" t="str">
            <v>AU-Flash Partners Pty Ltd-10/2025</v>
          </cell>
          <cell r="G1845" t="str">
            <v>Settled</v>
          </cell>
        </row>
        <row r="1846">
          <cell r="F1846" t="str">
            <v>AU-Flash Partners Pty Ltd-11/2025</v>
          </cell>
          <cell r="G1846" t="str">
            <v>Settled</v>
          </cell>
        </row>
        <row r="1847">
          <cell r="F1847" t="str">
            <v>AU-Flash Partners Pty Ltd-12/2025</v>
          </cell>
          <cell r="G1847" t="str">
            <v>Settled</v>
          </cell>
        </row>
        <row r="1848">
          <cell r="F1848" t="str">
            <v>AU-Flash Partners Pty Ltd-01/2026</v>
          </cell>
          <cell r="G1848" t="str">
            <v>Settled</v>
          </cell>
        </row>
        <row r="1849">
          <cell r="F1849" t="str">
            <v>AU-Flash Partners Pty Ltd-02/2026</v>
          </cell>
          <cell r="G1849" t="str">
            <v>Settled</v>
          </cell>
        </row>
        <row r="1850">
          <cell r="F1850" t="str">
            <v>EU-Frente-11/2022</v>
          </cell>
          <cell r="G1850" t="str">
            <v>Settled</v>
          </cell>
        </row>
        <row r="1851">
          <cell r="F1851" t="str">
            <v>EU-Frente-12/2022</v>
          </cell>
          <cell r="G1851" t="str">
            <v>Settled</v>
          </cell>
        </row>
        <row r="1852">
          <cell r="F1852" t="str">
            <v>EU-Frente-01/2023</v>
          </cell>
          <cell r="G1852" t="str">
            <v>Settled</v>
          </cell>
        </row>
        <row r="1853">
          <cell r="F1853" t="str">
            <v>EU-Frente-02/2023</v>
          </cell>
          <cell r="G1853" t="str">
            <v>Settled</v>
          </cell>
        </row>
        <row r="1854">
          <cell r="F1854" t="str">
            <v>EU-Frente-03/2023</v>
          </cell>
          <cell r="G1854" t="str">
            <v>Settled</v>
          </cell>
        </row>
        <row r="1855">
          <cell r="F1855" t="str">
            <v>EU-frente-04/2023</v>
          </cell>
          <cell r="G1855" t="str">
            <v>Settled</v>
          </cell>
        </row>
        <row r="1856">
          <cell r="F1856" t="str">
            <v>EU-frente-05/2023</v>
          </cell>
          <cell r="G1856" t="str">
            <v>Settled</v>
          </cell>
        </row>
        <row r="1857">
          <cell r="F1857" t="str">
            <v>EU-frente-06/2023</v>
          </cell>
          <cell r="G1857" t="str">
            <v>Settled</v>
          </cell>
        </row>
        <row r="1858">
          <cell r="F1858" t="str">
            <v>EU-frente-07/2023</v>
          </cell>
          <cell r="G1858" t="str">
            <v>Settled</v>
          </cell>
        </row>
        <row r="1859">
          <cell r="F1859" t="str">
            <v>EU -frente-08/2023</v>
          </cell>
          <cell r="G1859" t="str">
            <v>Settled</v>
          </cell>
        </row>
        <row r="1860">
          <cell r="F1860" t="str">
            <v>EU-frente-09/2023</v>
          </cell>
          <cell r="G1860" t="str">
            <v>Settled</v>
          </cell>
        </row>
        <row r="1861">
          <cell r="F1861" t="str">
            <v>EU-frente-10/2023</v>
          </cell>
          <cell r="G1861" t="str">
            <v>Settled</v>
          </cell>
        </row>
        <row r="1862">
          <cell r="F1862" t="str">
            <v>EU-frente-11/2023</v>
          </cell>
          <cell r="G1862" t="str">
            <v>Settled</v>
          </cell>
        </row>
        <row r="1863">
          <cell r="F1863" t="str">
            <v>EU-frente-12/2023</v>
          </cell>
          <cell r="G1863" t="str">
            <v>Settled</v>
          </cell>
        </row>
        <row r="1864">
          <cell r="F1864" t="str">
            <v>EU-frente-01/2024</v>
          </cell>
          <cell r="G1864" t="str">
            <v>Settled</v>
          </cell>
        </row>
        <row r="1865">
          <cell r="F1865" t="str">
            <v>EU-frente-02/2024</v>
          </cell>
          <cell r="G1865" t="str">
            <v>Settled</v>
          </cell>
        </row>
        <row r="1866">
          <cell r="F1866" t="str">
            <v>EU-frente-03/2024</v>
          </cell>
          <cell r="G1866" t="str">
            <v>Settled</v>
          </cell>
        </row>
        <row r="1867">
          <cell r="F1867" t="str">
            <v>EU-frente-04/2024</v>
          </cell>
          <cell r="G1867" t="str">
            <v>Settled</v>
          </cell>
        </row>
        <row r="1868">
          <cell r="F1868" t="str">
            <v>EU-frente-05/2024</v>
          </cell>
          <cell r="G1868" t="str">
            <v>Settled</v>
          </cell>
        </row>
        <row r="1869">
          <cell r="F1869" t="str">
            <v>EU-frente-06/2024</v>
          </cell>
          <cell r="G1869" t="str">
            <v>Settled</v>
          </cell>
        </row>
        <row r="1870">
          <cell r="F1870" t="str">
            <v>EU-frente-07/2024</v>
          </cell>
          <cell r="G1870" t="str">
            <v>Settled</v>
          </cell>
        </row>
        <row r="1871">
          <cell r="F1871" t="str">
            <v>EU-frente-08/2024</v>
          </cell>
          <cell r="G1871" t="str">
            <v>Settled</v>
          </cell>
        </row>
        <row r="1872">
          <cell r="F1872" t="str">
            <v>EU-frente-09/2024</v>
          </cell>
          <cell r="G1872" t="str">
            <v>Settled</v>
          </cell>
        </row>
        <row r="1873">
          <cell r="F1873" t="str">
            <v>EU-frente-10/2024</v>
          </cell>
          <cell r="G1873" t="str">
            <v>Settled</v>
          </cell>
        </row>
        <row r="1874">
          <cell r="F1874" t="str">
            <v>EU-frente-11/2024</v>
          </cell>
          <cell r="G1874" t="str">
            <v>Settled</v>
          </cell>
        </row>
        <row r="1875">
          <cell r="F1875" t="str">
            <v>EU-frente-12/2024</v>
          </cell>
          <cell r="G1875" t="str">
            <v>Settled</v>
          </cell>
        </row>
        <row r="1876">
          <cell r="F1876" t="str">
            <v>EU-frente-01/2025</v>
          </cell>
          <cell r="G1876" t="str">
            <v>Settled</v>
          </cell>
        </row>
        <row r="1877">
          <cell r="F1877" t="str">
            <v>EU-frente-02/2025</v>
          </cell>
          <cell r="G1877" t="str">
            <v>Settled</v>
          </cell>
        </row>
        <row r="1878">
          <cell r="F1878" t="str">
            <v>EU-frente-03/2025</v>
          </cell>
          <cell r="G1878" t="str">
            <v>Settled</v>
          </cell>
        </row>
        <row r="1879">
          <cell r="F1879" t="str">
            <v>EU-frente-04/2025</v>
          </cell>
          <cell r="G1879" t="str">
            <v>Settled</v>
          </cell>
        </row>
        <row r="1880">
          <cell r="F1880" t="str">
            <v>EU-frente-05/2025</v>
          </cell>
          <cell r="G1880" t="str">
            <v>Settled</v>
          </cell>
        </row>
        <row r="1881">
          <cell r="F1881" t="str">
            <v>EU-frente-06/2025</v>
          </cell>
          <cell r="G1881" t="str">
            <v>Settled</v>
          </cell>
        </row>
        <row r="1882">
          <cell r="F1882" t="str">
            <v>EU-frente-07/2025</v>
          </cell>
          <cell r="G1882" t="str">
            <v>Settled</v>
          </cell>
        </row>
        <row r="1883">
          <cell r="F1883" t="str">
            <v>EU-frente-08/2025</v>
          </cell>
          <cell r="G1883" t="str">
            <v>Settled</v>
          </cell>
        </row>
        <row r="1884">
          <cell r="F1884" t="str">
            <v>EU-frente-09/2025</v>
          </cell>
          <cell r="G1884" t="str">
            <v>Settled</v>
          </cell>
        </row>
        <row r="1885">
          <cell r="F1885" t="str">
            <v>EU-frente-10/2025</v>
          </cell>
          <cell r="G1885" t="str">
            <v>Settled</v>
          </cell>
        </row>
        <row r="1886">
          <cell r="F1886" t="str">
            <v>EU-frente-11/2025</v>
          </cell>
          <cell r="G1886" t="str">
            <v>Settled</v>
          </cell>
        </row>
        <row r="1887">
          <cell r="F1887" t="str">
            <v>EU-frente-12/2025</v>
          </cell>
          <cell r="G1887" t="str">
            <v>Settled</v>
          </cell>
        </row>
        <row r="1888">
          <cell r="F1888" t="str">
            <v>EU-frente-01/2026</v>
          </cell>
          <cell r="G1888" t="str">
            <v>Settled</v>
          </cell>
        </row>
        <row r="1889">
          <cell r="F1889" t="str">
            <v>EU-frente-02/2026</v>
          </cell>
          <cell r="G1889" t="str">
            <v>Settled</v>
          </cell>
        </row>
        <row r="1890">
          <cell r="F1890" t="str">
            <v>SG-FTB HUB S.A.C-11/2022</v>
          </cell>
          <cell r="G1890" t="str">
            <v>Settled</v>
          </cell>
        </row>
        <row r="1891">
          <cell r="F1891" t="str">
            <v>SG-FTB HUB S.A.C -12/2022</v>
          </cell>
          <cell r="G1891" t="str">
            <v>Settled</v>
          </cell>
        </row>
        <row r="1892">
          <cell r="F1892" t="str">
            <v>SG-FTB HUB S.A.C-01/2023</v>
          </cell>
          <cell r="G1892" t="str">
            <v>Settled</v>
          </cell>
        </row>
        <row r="1893">
          <cell r="F1893" t="str">
            <v>SG-FTBHUB-02/2023</v>
          </cell>
          <cell r="G1893" t="str">
            <v>Settled</v>
          </cell>
        </row>
        <row r="1894">
          <cell r="F1894" t="str">
            <v>SG-FTBHUB-03/2023</v>
          </cell>
          <cell r="G1894" t="str">
            <v>Settled</v>
          </cell>
        </row>
        <row r="1895">
          <cell r="F1895" t="str">
            <v>SG-FTBHUB-CR-12-2022-02-2023</v>
          </cell>
          <cell r="G1895" t="str">
            <v>Settled</v>
          </cell>
        </row>
        <row r="1896">
          <cell r="F1896" t="str">
            <v>SG-FTBHUB-04/2023</v>
          </cell>
          <cell r="G1896" t="str">
            <v>Settled</v>
          </cell>
        </row>
        <row r="1897">
          <cell r="F1897" t="str">
            <v>SG-FTBHUB-05/2023</v>
          </cell>
          <cell r="G1897" t="str">
            <v>Settled</v>
          </cell>
        </row>
        <row r="1898">
          <cell r="F1898" t="str">
            <v>SG-FTBHUB-06/2023</v>
          </cell>
          <cell r="G1898" t="str">
            <v>Settled</v>
          </cell>
        </row>
        <row r="1899">
          <cell r="F1899" t="str">
            <v>SG-FTBHUB-07/2023</v>
          </cell>
          <cell r="G1899" t="str">
            <v>Settled</v>
          </cell>
        </row>
        <row r="1900">
          <cell r="F1900" t="str">
            <v>SG -FTBHUB-08/2023</v>
          </cell>
          <cell r="G1900" t="str">
            <v>Settled</v>
          </cell>
        </row>
        <row r="1901">
          <cell r="F1901" t="str">
            <v>SG-FTBHUB-09/2023</v>
          </cell>
          <cell r="G1901" t="str">
            <v>Settled</v>
          </cell>
        </row>
        <row r="1902">
          <cell r="F1902" t="str">
            <v>SG-FTBHUB-10/2023</v>
          </cell>
          <cell r="G1902" t="str">
            <v>Settled</v>
          </cell>
        </row>
        <row r="1903">
          <cell r="F1903" t="str">
            <v>SG-FTBHUB-11/2023</v>
          </cell>
          <cell r="G1903" t="str">
            <v>Waived Off</v>
          </cell>
        </row>
        <row r="1904">
          <cell r="F1904" t="str">
            <v>SG-FTBHUB-12/2023</v>
          </cell>
          <cell r="G1904" t="str">
            <v>Waived Off</v>
          </cell>
        </row>
        <row r="1905">
          <cell r="F1905" t="str">
            <v>SG-FTBHUB-01/2024</v>
          </cell>
          <cell r="G1905" t="str">
            <v>Waived Off</v>
          </cell>
        </row>
        <row r="1906">
          <cell r="F1906" t="str">
            <v>SG-FTBHUB-02/2024</v>
          </cell>
          <cell r="G1906" t="str">
            <v>Waived Off</v>
          </cell>
        </row>
        <row r="1907">
          <cell r="F1907" t="str">
            <v>SG-FTBHUB-03/2024</v>
          </cell>
          <cell r="G1907" t="str">
            <v>Waived Off</v>
          </cell>
        </row>
        <row r="1908">
          <cell r="F1908" t="str">
            <v>SG-FTBHUB-04/2024</v>
          </cell>
          <cell r="G1908" t="str">
            <v>Waived Off</v>
          </cell>
        </row>
        <row r="1909">
          <cell r="F1909" t="str">
            <v>SG-FTBHUB-05/2024</v>
          </cell>
          <cell r="G1909" t="str">
            <v>Waived Off</v>
          </cell>
        </row>
        <row r="1910">
          <cell r="F1910" t="str">
            <v>SG-CN-FTBHUB-06-2024</v>
          </cell>
          <cell r="G1910" t="str">
            <v>Settled</v>
          </cell>
        </row>
        <row r="1911">
          <cell r="F1911" t="str">
            <v>SG-FTBHUB-06/2024</v>
          </cell>
          <cell r="G1911" t="str">
            <v>Settled</v>
          </cell>
        </row>
        <row r="1912">
          <cell r="F1912" t="str">
            <v>SG-FTBHUB-07/2024</v>
          </cell>
          <cell r="G1912" t="str">
            <v>Settled</v>
          </cell>
        </row>
        <row r="1913">
          <cell r="F1913" t="str">
            <v>SG-FTBHUB-08/2024</v>
          </cell>
          <cell r="G1913" t="str">
            <v>Settled</v>
          </cell>
        </row>
        <row r="1914">
          <cell r="F1914" t="str">
            <v>SG-FTBHUB-09/2024</v>
          </cell>
          <cell r="G1914" t="str">
            <v>Settled</v>
          </cell>
        </row>
        <row r="1915">
          <cell r="F1915" t="str">
            <v>SG-FTBHUB-10/2024</v>
          </cell>
          <cell r="G1915" t="str">
            <v>Settled</v>
          </cell>
        </row>
        <row r="1916">
          <cell r="F1916" t="str">
            <v>SG-FTBHUB-11/2024</v>
          </cell>
          <cell r="G1916" t="str">
            <v>Settled</v>
          </cell>
        </row>
        <row r="1917">
          <cell r="F1917" t="str">
            <v>SG-FTBHUB-12/2024</v>
          </cell>
          <cell r="G1917" t="str">
            <v>Settled</v>
          </cell>
        </row>
        <row r="1918">
          <cell r="F1918" t="str">
            <v>SG-FTBHUB-01/2025</v>
          </cell>
          <cell r="G1918" t="str">
            <v>Settled</v>
          </cell>
        </row>
        <row r="1919">
          <cell r="F1919" t="str">
            <v>SG-FTBHUB-02/2025</v>
          </cell>
          <cell r="G1919" t="str">
            <v>Settled</v>
          </cell>
        </row>
        <row r="1920">
          <cell r="F1920" t="str">
            <v>SG-FTBHUB-03/2025</v>
          </cell>
          <cell r="G1920" t="str">
            <v>Settled</v>
          </cell>
        </row>
        <row r="1921">
          <cell r="F1921" t="str">
            <v>SG-FTBHUB-04/2025</v>
          </cell>
          <cell r="G1921" t="str">
            <v>Settled</v>
          </cell>
        </row>
        <row r="1922">
          <cell r="F1922" t="str">
            <v>SG-FTBHUB-05/2025</v>
          </cell>
          <cell r="G1922" t="str">
            <v>Settled</v>
          </cell>
        </row>
        <row r="1923">
          <cell r="F1923" t="str">
            <v>SG-FTBHUB-06/2025</v>
          </cell>
          <cell r="G1923" t="str">
            <v>Settled</v>
          </cell>
        </row>
        <row r="1924">
          <cell r="F1924" t="str">
            <v>SG-FTBHUB-07/2025</v>
          </cell>
          <cell r="G1924" t="str">
            <v>Settled</v>
          </cell>
        </row>
        <row r="1925">
          <cell r="F1925" t="str">
            <v>SG-FTBHUB-08/2025</v>
          </cell>
          <cell r="G1925" t="str">
            <v>Settled</v>
          </cell>
        </row>
        <row r="1926">
          <cell r="F1926" t="str">
            <v>SG-FTBHUB-09/2025</v>
          </cell>
          <cell r="G1926" t="str">
            <v>Force Settlement</v>
          </cell>
        </row>
        <row r="1927">
          <cell r="F1927" t="str">
            <v>SG-FTBHUB-10/2025</v>
          </cell>
          <cell r="G1927" t="str">
            <v>Force Settlement</v>
          </cell>
        </row>
        <row r="1928">
          <cell r="F1928" t="str">
            <v>SG-FTBHUB-11/2025</v>
          </cell>
          <cell r="G1928" t="str">
            <v>Force Settlement</v>
          </cell>
        </row>
        <row r="1929">
          <cell r="F1929" t="str">
            <v>SG-gates apac pte ltd-01/2023</v>
          </cell>
          <cell r="G1929" t="str">
            <v>Settled</v>
          </cell>
        </row>
        <row r="1930">
          <cell r="F1930" t="str">
            <v>UK-ghana international bank plc-01/2023</v>
          </cell>
          <cell r="G1930" t="str">
            <v>Reversed</v>
          </cell>
        </row>
        <row r="1931">
          <cell r="F1931" t="str">
            <v>UK -GLOBAL CURRENCY EXCHANGE NETWORK-08/2021</v>
          </cell>
          <cell r="G1931" t="str">
            <v>Settled</v>
          </cell>
        </row>
        <row r="1932">
          <cell r="F1932" t="str">
            <v>UK -GLOBAL CURRENCY EXCHANGE NETWORK-01/2022</v>
          </cell>
          <cell r="G1932" t="str">
            <v>Write Off</v>
          </cell>
        </row>
        <row r="1933">
          <cell r="F1933" t="str">
            <v>UK -GLOBAL CURRENCY EXCHANGE NETWORK-03/2022</v>
          </cell>
          <cell r="G1933" t="str">
            <v>Write Off</v>
          </cell>
        </row>
        <row r="1934">
          <cell r="F1934" t="str">
            <v>UK -GLOBAL CURRENCY EXCHANGE NETWORK-04/2022</v>
          </cell>
          <cell r="G1934" t="str">
            <v>Write Off</v>
          </cell>
        </row>
        <row r="1935">
          <cell r="F1935" t="str">
            <v>UK -GLOBAL CURRENCY EXCHANGE NETWORK-05/2022</v>
          </cell>
          <cell r="G1935" t="str">
            <v>Settled</v>
          </cell>
        </row>
        <row r="1936">
          <cell r="F1936" t="str">
            <v>UK -GLOBAL CURRENCY EXCHANGE NETWORK-06/2022</v>
          </cell>
          <cell r="G1936" t="str">
            <v>Settled</v>
          </cell>
        </row>
        <row r="1937">
          <cell r="F1937" t="str">
            <v>UK-GLOBAL CURRENCY-08/2022</v>
          </cell>
          <cell r="G1937" t="str">
            <v>Settled</v>
          </cell>
        </row>
        <row r="1938">
          <cell r="F1938" t="str">
            <v>UK-GLOBAL CURRENCY-10/2022</v>
          </cell>
          <cell r="G1938" t="str">
            <v>Settled</v>
          </cell>
        </row>
        <row r="1939">
          <cell r="F1939" t="str">
            <v>UK-GLOBAL CURRENCY EXCHANGE NETWORK-11/2022</v>
          </cell>
          <cell r="G1939" t="str">
            <v>Settled</v>
          </cell>
        </row>
        <row r="1940">
          <cell r="F1940" t="str">
            <v>UK-GLOBALCURRENCY-06/2023</v>
          </cell>
          <cell r="G1940" t="str">
            <v>Waived Off</v>
          </cell>
        </row>
        <row r="1941">
          <cell r="F1941" t="str">
            <v>UK-GLOBALCURRENCY-07/2023</v>
          </cell>
          <cell r="G1941" t="str">
            <v>Waived Off</v>
          </cell>
        </row>
        <row r="1942">
          <cell r="F1942" t="str">
            <v>UK-GLOBAL CURRENCY EXCHANGE NETWORK-12/2022</v>
          </cell>
          <cell r="G1942" t="str">
            <v>Settled</v>
          </cell>
        </row>
        <row r="1943">
          <cell r="F1943" t="str">
            <v>UK-GLOBAL CURRENCY EXCHANGE NETWORK-01/2023</v>
          </cell>
          <cell r="G1943" t="str">
            <v>Settled</v>
          </cell>
        </row>
        <row r="1944">
          <cell r="F1944" t="str">
            <v>UK-GLOBALCURRENCY-02/2023</v>
          </cell>
          <cell r="G1944" t="str">
            <v>Settled</v>
          </cell>
        </row>
        <row r="1945">
          <cell r="F1945" t="str">
            <v>UK-GLOBALCURRENCY-03/2023</v>
          </cell>
          <cell r="G1945" t="str">
            <v>Settled</v>
          </cell>
        </row>
        <row r="1946">
          <cell r="F1946" t="str">
            <v>UK-GLOBALCURRENCY-04/2023</v>
          </cell>
          <cell r="G1946" t="str">
            <v>Settled</v>
          </cell>
        </row>
        <row r="1947">
          <cell r="F1947" t="str">
            <v>UK-GLOBALCURRENCY-05/2023</v>
          </cell>
          <cell r="G1947" t="str">
            <v>Settled</v>
          </cell>
        </row>
        <row r="1948">
          <cell r="F1948" t="str">
            <v>UK-global exchange uk-11/2022</v>
          </cell>
          <cell r="G1948" t="str">
            <v>Settled</v>
          </cell>
        </row>
        <row r="1949">
          <cell r="F1949" t="str">
            <v>UK-global exchange uk-12/2022</v>
          </cell>
          <cell r="G1949" t="str">
            <v>Settled</v>
          </cell>
        </row>
        <row r="1950">
          <cell r="F1950" t="str">
            <v>UK-global exchange uk-01/2023</v>
          </cell>
          <cell r="G1950" t="str">
            <v>Settled</v>
          </cell>
        </row>
        <row r="1951">
          <cell r="F1951" t="str">
            <v>UK-globalex-02/2023</v>
          </cell>
          <cell r="G1951" t="str">
            <v>Settled</v>
          </cell>
        </row>
        <row r="1952">
          <cell r="F1952" t="str">
            <v>UK-globalex-03/2023</v>
          </cell>
          <cell r="G1952" t="str">
            <v>Settled</v>
          </cell>
        </row>
        <row r="1953">
          <cell r="F1953" t="str">
            <v>UK-globalex-04/2023</v>
          </cell>
          <cell r="G1953" t="str">
            <v>Settled</v>
          </cell>
        </row>
        <row r="1954">
          <cell r="F1954" t="str">
            <v>UK-globalex-05/2023</v>
          </cell>
          <cell r="G1954" t="str">
            <v>Settled</v>
          </cell>
        </row>
        <row r="1955">
          <cell r="F1955" t="str">
            <v>UK-globalex-06/2023</v>
          </cell>
          <cell r="G1955" t="str">
            <v>Settled</v>
          </cell>
        </row>
        <row r="1956">
          <cell r="F1956" t="str">
            <v>UK-globalex-07/2023</v>
          </cell>
          <cell r="G1956" t="str">
            <v>Settled</v>
          </cell>
        </row>
        <row r="1957">
          <cell r="F1957" t="str">
            <v>UK -globalex-08/2023</v>
          </cell>
          <cell r="G1957" t="str">
            <v>Settled</v>
          </cell>
        </row>
        <row r="1958">
          <cell r="F1958" t="str">
            <v>UK-globalex-09/2023</v>
          </cell>
          <cell r="G1958" t="str">
            <v>Settled</v>
          </cell>
        </row>
        <row r="1959">
          <cell r="F1959" t="str">
            <v>UK-globalex-10/2023</v>
          </cell>
          <cell r="G1959" t="str">
            <v>Settled</v>
          </cell>
        </row>
        <row r="1960">
          <cell r="F1960" t="str">
            <v>UK-globalex-11/2023</v>
          </cell>
          <cell r="G1960" t="str">
            <v>Settled</v>
          </cell>
        </row>
        <row r="1961">
          <cell r="F1961" t="str">
            <v>UK-globalex-12/2023</v>
          </cell>
          <cell r="G1961" t="str">
            <v>Settled</v>
          </cell>
        </row>
        <row r="1962">
          <cell r="F1962" t="str">
            <v>UK-globalex-01/2024</v>
          </cell>
          <cell r="G1962" t="str">
            <v>Settled</v>
          </cell>
        </row>
        <row r="1963">
          <cell r="F1963" t="str">
            <v>UK-globalex-02/2024</v>
          </cell>
          <cell r="G1963" t="str">
            <v>Settled</v>
          </cell>
        </row>
        <row r="1964">
          <cell r="F1964" t="str">
            <v>UK-globalex-03/2024</v>
          </cell>
          <cell r="G1964" t="str">
            <v>Settled</v>
          </cell>
        </row>
        <row r="1965">
          <cell r="F1965" t="str">
            <v>UK-globalex-04/2024</v>
          </cell>
          <cell r="G1965" t="str">
            <v>Settled</v>
          </cell>
        </row>
        <row r="1966">
          <cell r="F1966" t="str">
            <v>UK-globalex-05/2024</v>
          </cell>
          <cell r="G1966" t="str">
            <v>Settled</v>
          </cell>
        </row>
        <row r="1967">
          <cell r="F1967" t="str">
            <v>UK-globalex-06/2024</v>
          </cell>
          <cell r="G1967" t="str">
            <v>Settled</v>
          </cell>
        </row>
        <row r="1968">
          <cell r="F1968" t="str">
            <v>UK-globalex-07/2024</v>
          </cell>
          <cell r="G1968" t="str">
            <v>Settled</v>
          </cell>
        </row>
        <row r="1969">
          <cell r="F1969" t="str">
            <v>UK-globalex-08/2024</v>
          </cell>
          <cell r="G1969" t="str">
            <v>Settled</v>
          </cell>
        </row>
        <row r="1970">
          <cell r="F1970" t="str">
            <v>UK-globalex-09/2024</v>
          </cell>
          <cell r="G1970" t="str">
            <v>Settled</v>
          </cell>
        </row>
        <row r="1971">
          <cell r="F1971" t="str">
            <v>UK-globalex-10/2024</v>
          </cell>
          <cell r="G1971" t="str">
            <v>Settled</v>
          </cell>
        </row>
        <row r="1972">
          <cell r="F1972" t="str">
            <v>UK-globalex-11/2024</v>
          </cell>
          <cell r="G1972" t="str">
            <v>Settled</v>
          </cell>
        </row>
        <row r="1973">
          <cell r="F1973" t="str">
            <v>UK-globalex-12/2024</v>
          </cell>
          <cell r="G1973" t="str">
            <v>Settled</v>
          </cell>
        </row>
        <row r="1974">
          <cell r="F1974" t="str">
            <v>UK-globalex-01/2025</v>
          </cell>
          <cell r="G1974" t="str">
            <v>Settled</v>
          </cell>
        </row>
        <row r="1975">
          <cell r="F1975" t="str">
            <v>UK-globalex-02/2025</v>
          </cell>
          <cell r="G1975" t="str">
            <v>Settled</v>
          </cell>
        </row>
        <row r="1976">
          <cell r="F1976" t="str">
            <v>UK-globalex-03/2025</v>
          </cell>
          <cell r="G1976" t="str">
            <v>Settled</v>
          </cell>
        </row>
        <row r="1977">
          <cell r="F1977" t="str">
            <v>UK-globalex-04/2025</v>
          </cell>
          <cell r="G1977" t="str">
            <v>Settled</v>
          </cell>
        </row>
        <row r="1978">
          <cell r="F1978" t="str">
            <v>UK-globalex-05/2025</v>
          </cell>
          <cell r="G1978" t="str">
            <v>Settled</v>
          </cell>
        </row>
        <row r="1979">
          <cell r="F1979" t="str">
            <v>UK-globalex-06/2025</v>
          </cell>
          <cell r="G1979" t="str">
            <v>Settled</v>
          </cell>
        </row>
        <row r="1980">
          <cell r="F1980" t="str">
            <v>UK-globalex-07/2025</v>
          </cell>
          <cell r="G1980" t="str">
            <v>Settled</v>
          </cell>
        </row>
        <row r="1981">
          <cell r="F1981" t="str">
            <v>UK-globalex-08/2025</v>
          </cell>
          <cell r="G1981" t="str">
            <v>Settled</v>
          </cell>
        </row>
        <row r="1982">
          <cell r="F1982" t="str">
            <v>UK-globalex-09/2025</v>
          </cell>
          <cell r="G1982" t="str">
            <v>Settled</v>
          </cell>
        </row>
        <row r="1983">
          <cell r="F1983" t="str">
            <v>UK-globalex-10/2025</v>
          </cell>
          <cell r="G1983" t="str">
            <v>Settled</v>
          </cell>
        </row>
        <row r="1984">
          <cell r="F1984" t="str">
            <v>UK-globalex-11/2025</v>
          </cell>
          <cell r="G1984" t="str">
            <v>Settled</v>
          </cell>
        </row>
        <row r="1985">
          <cell r="F1985" t="str">
            <v>UK-globalex-12/2025</v>
          </cell>
          <cell r="G1985" t="str">
            <v>Settled</v>
          </cell>
        </row>
        <row r="1986">
          <cell r="F1986" t="str">
            <v>UK-globalex-01/2026</v>
          </cell>
          <cell r="G1986" t="str">
            <v>Settled</v>
          </cell>
        </row>
        <row r="1987">
          <cell r="F1987" t="str">
            <v>UK-globalex-02/2026</v>
          </cell>
          <cell r="G1987" t="str">
            <v>Settled</v>
          </cell>
        </row>
        <row r="1988">
          <cell r="F1988" t="str">
            <v>SG-global feeder shipping pte ltd-11/2022</v>
          </cell>
          <cell r="G1988" t="str">
            <v>Settled</v>
          </cell>
        </row>
        <row r="1989">
          <cell r="F1989" t="str">
            <v>SG-global feeder shipping pte ltd-12/2022</v>
          </cell>
          <cell r="G1989" t="str">
            <v>Settled</v>
          </cell>
        </row>
        <row r="1990">
          <cell r="F1990" t="str">
            <v>SG-global feeder shipping pte ltd-01/2023</v>
          </cell>
          <cell r="G1990" t="str">
            <v>Settled</v>
          </cell>
        </row>
        <row r="1991">
          <cell r="F1991" t="str">
            <v>SG-globalfeeder-02/2023</v>
          </cell>
          <cell r="G1991" t="str">
            <v>Settled</v>
          </cell>
        </row>
        <row r="1992">
          <cell r="F1992" t="str">
            <v>SG-globalfeeder-03/2023</v>
          </cell>
          <cell r="G1992" t="str">
            <v>Settled</v>
          </cell>
        </row>
        <row r="1993">
          <cell r="F1993" t="str">
            <v>SG-globalfeeder-04/2023</v>
          </cell>
          <cell r="G1993" t="str">
            <v>Settled</v>
          </cell>
        </row>
        <row r="1994">
          <cell r="F1994" t="str">
            <v>SG-globalfeeder-05/2023</v>
          </cell>
          <cell r="G1994" t="str">
            <v>Settled</v>
          </cell>
        </row>
        <row r="1995">
          <cell r="F1995" t="str">
            <v>SG-globalfeeder-06/2023</v>
          </cell>
          <cell r="G1995" t="str">
            <v>Settled</v>
          </cell>
        </row>
        <row r="1996">
          <cell r="F1996" t="str">
            <v>SG-globalfeeder-07/2023</v>
          </cell>
          <cell r="G1996" t="str">
            <v>Settled</v>
          </cell>
        </row>
        <row r="1997">
          <cell r="F1997" t="str">
            <v>SG -globalfeeder-08/2023</v>
          </cell>
          <cell r="G1997" t="str">
            <v>Settled</v>
          </cell>
        </row>
        <row r="1998">
          <cell r="F1998" t="str">
            <v>SG-globalfeeder-DN-08/2023</v>
          </cell>
          <cell r="G1998" t="str">
            <v>Settled</v>
          </cell>
        </row>
        <row r="1999">
          <cell r="F1999" t="str">
            <v>SG-globalfeeder-09/2023</v>
          </cell>
          <cell r="G1999" t="str">
            <v>Settled</v>
          </cell>
        </row>
        <row r="2000">
          <cell r="F2000" t="str">
            <v>SG-globalfeeder-10/2023</v>
          </cell>
          <cell r="G2000" t="str">
            <v>Settled</v>
          </cell>
        </row>
        <row r="2001">
          <cell r="F2001" t="str">
            <v>SG-globalfeeder-11/2023</v>
          </cell>
          <cell r="G2001" t="str">
            <v>Settled</v>
          </cell>
        </row>
        <row r="2002">
          <cell r="F2002" t="str">
            <v>SG-globalfeeder-12/2023</v>
          </cell>
          <cell r="G2002" t="str">
            <v>Settled</v>
          </cell>
        </row>
        <row r="2003">
          <cell r="F2003" t="str">
            <v>SG-globalfeeder-01/2024</v>
          </cell>
          <cell r="G2003" t="str">
            <v>Settled</v>
          </cell>
        </row>
        <row r="2004">
          <cell r="F2004" t="str">
            <v>SG-globalfeeder-02/2024</v>
          </cell>
          <cell r="G2004" t="str">
            <v>Settled</v>
          </cell>
        </row>
        <row r="2005">
          <cell r="F2005" t="str">
            <v>SG-globalfeeder-03/2024</v>
          </cell>
          <cell r="G2005" t="str">
            <v>Settled</v>
          </cell>
        </row>
        <row r="2006">
          <cell r="F2006" t="str">
            <v>SG-globalfeeder-04/2024</v>
          </cell>
          <cell r="G2006" t="str">
            <v>Settled</v>
          </cell>
        </row>
        <row r="2007">
          <cell r="F2007" t="str">
            <v>SG-globalfeeder-05/2024</v>
          </cell>
          <cell r="G2007" t="str">
            <v>Settled</v>
          </cell>
        </row>
        <row r="2008">
          <cell r="F2008" t="str">
            <v>SG-globalfeeder-06/2024</v>
          </cell>
          <cell r="G2008" t="str">
            <v>Settled</v>
          </cell>
        </row>
        <row r="2009">
          <cell r="F2009" t="str">
            <v>SG-globalfeeder-07/2024</v>
          </cell>
          <cell r="G2009" t="str">
            <v>Settled</v>
          </cell>
        </row>
        <row r="2010">
          <cell r="F2010" t="str">
            <v>SG-globalfeeder-08/2024</v>
          </cell>
          <cell r="G2010" t="str">
            <v>Settled</v>
          </cell>
        </row>
        <row r="2011">
          <cell r="F2011" t="str">
            <v>SG-globalfeeder-09/2024</v>
          </cell>
          <cell r="G2011" t="str">
            <v>Settled</v>
          </cell>
        </row>
        <row r="2012">
          <cell r="F2012" t="str">
            <v>SG-globalfeeder-10/2024</v>
          </cell>
          <cell r="G2012" t="str">
            <v>Settled</v>
          </cell>
        </row>
        <row r="2013">
          <cell r="F2013" t="str">
            <v>SG-globalfeeder-11/2024</v>
          </cell>
          <cell r="G2013" t="str">
            <v>Settled</v>
          </cell>
        </row>
        <row r="2014">
          <cell r="F2014" t="str">
            <v>SG-globalfeeder-12/2024</v>
          </cell>
          <cell r="G2014" t="str">
            <v>Settled</v>
          </cell>
        </row>
        <row r="2015">
          <cell r="F2015" t="str">
            <v>SG-globalfeeder-01/2025</v>
          </cell>
          <cell r="G2015" t="str">
            <v>Settled</v>
          </cell>
        </row>
        <row r="2016">
          <cell r="F2016" t="str">
            <v>SG-globalfeeder-02/2025</v>
          </cell>
          <cell r="G2016" t="str">
            <v>Settled</v>
          </cell>
        </row>
        <row r="2017">
          <cell r="F2017" t="str">
            <v>SG-globalfeeder-03/2025</v>
          </cell>
          <cell r="G2017" t="str">
            <v>Settled</v>
          </cell>
        </row>
        <row r="2018">
          <cell r="F2018" t="str">
            <v>SG-globalfeeder-04/2025</v>
          </cell>
          <cell r="G2018" t="str">
            <v>Settled</v>
          </cell>
        </row>
        <row r="2019">
          <cell r="F2019" t="str">
            <v>SG-globalfeeder-05/2025</v>
          </cell>
          <cell r="G2019" t="str">
            <v>Settled</v>
          </cell>
        </row>
        <row r="2020">
          <cell r="F2020" t="str">
            <v>SG-globalfeeder-06/2025</v>
          </cell>
          <cell r="G2020" t="str">
            <v>Settled</v>
          </cell>
        </row>
        <row r="2021">
          <cell r="F2021" t="str">
            <v>SG-globalfeeder-07/2025</v>
          </cell>
          <cell r="G2021" t="str">
            <v>Settled</v>
          </cell>
        </row>
        <row r="2022">
          <cell r="F2022" t="str">
            <v>SG-globalfeeder-08/2025</v>
          </cell>
          <cell r="G2022" t="str">
            <v>Settled</v>
          </cell>
        </row>
        <row r="2023">
          <cell r="F2023" t="str">
            <v>SG-globalfeeder-09/2025</v>
          </cell>
          <cell r="G2023" t="str">
            <v>Settled</v>
          </cell>
        </row>
        <row r="2024">
          <cell r="F2024" t="str">
            <v>SG-globalfeeder-10/2025</v>
          </cell>
          <cell r="G2024" t="str">
            <v>Settled</v>
          </cell>
        </row>
        <row r="2025">
          <cell r="F2025" t="str">
            <v>SG-globalfeeder-11/2025</v>
          </cell>
          <cell r="G2025" t="str">
            <v>Settled</v>
          </cell>
        </row>
        <row r="2026">
          <cell r="F2026" t="str">
            <v>SG-globalfeeder-12/2025</v>
          </cell>
          <cell r="G2026" t="str">
            <v>Settled</v>
          </cell>
        </row>
        <row r="2027">
          <cell r="F2027" t="str">
            <v>SG-globalfeeder-01/2026</v>
          </cell>
          <cell r="G2027" t="str">
            <v>Settled</v>
          </cell>
        </row>
        <row r="2028">
          <cell r="F2028" t="str">
            <v>SG-globalfeeder-02/2026</v>
          </cell>
          <cell r="G2028" t="str">
            <v>Settled</v>
          </cell>
        </row>
        <row r="2029">
          <cell r="F2029" t="str">
            <v>US-GLOBAL ROOTS INC-12/2025</v>
          </cell>
          <cell r="G2029" t="str">
            <v>Overdue</v>
          </cell>
        </row>
        <row r="2030">
          <cell r="F2030" t="str">
            <v>US-GLOBAL ROOTS INC-01/2026</v>
          </cell>
          <cell r="G2030" t="str">
            <v>Overdue</v>
          </cell>
        </row>
        <row r="2031">
          <cell r="F2031" t="str">
            <v>US-GLOBAL ROOTS INC-02/2026</v>
          </cell>
          <cell r="G2031" t="str">
            <v>Overdue</v>
          </cell>
        </row>
        <row r="2032">
          <cell r="F2032" t="str">
            <v>US-GLOBAL ROOTS INC-04/2023</v>
          </cell>
          <cell r="G2032" t="str">
            <v>Settled</v>
          </cell>
        </row>
        <row r="2033">
          <cell r="F2033" t="str">
            <v>US-GLOBAL ROOTS INC-05/2023</v>
          </cell>
          <cell r="G2033" t="str">
            <v>Settled</v>
          </cell>
        </row>
        <row r="2034">
          <cell r="F2034" t="str">
            <v>US-GLOBAL ROOTS INC-06/2023</v>
          </cell>
          <cell r="G2034" t="str">
            <v>Settled</v>
          </cell>
        </row>
        <row r="2035">
          <cell r="F2035" t="str">
            <v>US-GLOBAL ROOTS INC-07/2023</v>
          </cell>
          <cell r="G2035" t="str">
            <v>Settled</v>
          </cell>
        </row>
        <row r="2036">
          <cell r="F2036" t="str">
            <v>US -GLOBAL ROOTS INC-08/2023</v>
          </cell>
          <cell r="G2036" t="str">
            <v>Settled</v>
          </cell>
        </row>
        <row r="2037">
          <cell r="F2037" t="str">
            <v>US -GLOBAL ROOTS INC-CR-08/2023</v>
          </cell>
          <cell r="G2037" t="str">
            <v>Settled</v>
          </cell>
        </row>
        <row r="2038">
          <cell r="F2038" t="str">
            <v>US-GLOBALROOTS-09/2023</v>
          </cell>
          <cell r="G2038" t="str">
            <v>Settled</v>
          </cell>
        </row>
        <row r="2039">
          <cell r="F2039" t="str">
            <v>US-GLOBAL ROOTS-10/2023</v>
          </cell>
          <cell r="G2039" t="str">
            <v>Settled</v>
          </cell>
        </row>
        <row r="2040">
          <cell r="F2040" t="str">
            <v>US-GLOBAL ROOTS-11/2023</v>
          </cell>
          <cell r="G2040" t="str">
            <v>Settled</v>
          </cell>
        </row>
        <row r="2041">
          <cell r="F2041" t="str">
            <v>US-GLOBAL ROOTS-12/2023</v>
          </cell>
          <cell r="G2041" t="str">
            <v>Settled</v>
          </cell>
        </row>
        <row r="2042">
          <cell r="F2042" t="str">
            <v>US-GLOBAL ROOTS-01/2024</v>
          </cell>
          <cell r="G2042" t="str">
            <v>Settled</v>
          </cell>
        </row>
        <row r="2043">
          <cell r="F2043" t="str">
            <v>US-GLOBAL ROOTS INC-02/2024</v>
          </cell>
          <cell r="G2043" t="str">
            <v>Settled</v>
          </cell>
        </row>
        <row r="2044">
          <cell r="F2044" t="str">
            <v>US-GLOBAL ROOTS INC-03/2024</v>
          </cell>
          <cell r="G2044" t="str">
            <v>Settled</v>
          </cell>
        </row>
        <row r="2045">
          <cell r="F2045" t="str">
            <v>US-GLOBAL ROOTS INC-04/2024</v>
          </cell>
          <cell r="G2045" t="str">
            <v>Settled</v>
          </cell>
        </row>
        <row r="2046">
          <cell r="F2046" t="str">
            <v>US-GLOBAL ROOTS INC-05/2024</v>
          </cell>
          <cell r="G2046" t="str">
            <v>Settled</v>
          </cell>
        </row>
        <row r="2047">
          <cell r="F2047" t="str">
            <v>US-GLOBAL ROOTS INC-06/2024</v>
          </cell>
          <cell r="G2047" t="str">
            <v>Settled</v>
          </cell>
        </row>
        <row r="2048">
          <cell r="F2048" t="str">
            <v>US-GLOBAL ROOTS INC-07/2024</v>
          </cell>
          <cell r="G2048" t="str">
            <v>Settled</v>
          </cell>
        </row>
        <row r="2049">
          <cell r="F2049" t="str">
            <v>US-GLOBAL ROOTS INC-08/2024</v>
          </cell>
          <cell r="G2049" t="str">
            <v>Settled</v>
          </cell>
        </row>
        <row r="2050">
          <cell r="F2050" t="str">
            <v>US-GLOBAL ROOTS INC-09/2024</v>
          </cell>
          <cell r="G2050" t="str">
            <v>Settled</v>
          </cell>
        </row>
        <row r="2051">
          <cell r="F2051" t="str">
            <v>US-GLOBAL ROOTS INC-10/2024</v>
          </cell>
          <cell r="G2051" t="str">
            <v>Settled</v>
          </cell>
        </row>
        <row r="2052">
          <cell r="F2052" t="str">
            <v>US-GLOBAL ROOTS INC-11/2024</v>
          </cell>
          <cell r="G2052" t="str">
            <v>Settled</v>
          </cell>
        </row>
        <row r="2053">
          <cell r="F2053" t="str">
            <v>US-GLOBAL ROOTS INC-12/2024</v>
          </cell>
          <cell r="G2053" t="str">
            <v>Settled</v>
          </cell>
        </row>
        <row r="2054">
          <cell r="F2054" t="str">
            <v>US-GLOBAL ROOTS INC-01/2025</v>
          </cell>
          <cell r="G2054" t="str">
            <v>Settled</v>
          </cell>
        </row>
        <row r="2055">
          <cell r="F2055" t="str">
            <v>US-GLOBAL ROOTS INC-02/2025</v>
          </cell>
          <cell r="G2055" t="str">
            <v>Settled</v>
          </cell>
        </row>
        <row r="2056">
          <cell r="F2056" t="str">
            <v>US-GLOBAL ROOTS INC-03/2025</v>
          </cell>
          <cell r="G2056" t="str">
            <v>Settled</v>
          </cell>
        </row>
        <row r="2057">
          <cell r="F2057" t="str">
            <v>US-GLOBAL ROOTS INC-04/2025</v>
          </cell>
          <cell r="G2057" t="str">
            <v>Settled</v>
          </cell>
        </row>
        <row r="2058">
          <cell r="F2058" t="str">
            <v>US-GLOBAL ROOTS INC-05/2025</v>
          </cell>
          <cell r="G2058" t="str">
            <v>Settled</v>
          </cell>
        </row>
        <row r="2059">
          <cell r="F2059" t="str">
            <v>US-GLOBAL ROOTS INC-06/2025</v>
          </cell>
          <cell r="G2059" t="str">
            <v>Settled</v>
          </cell>
        </row>
        <row r="2060">
          <cell r="F2060" t="str">
            <v>US-CN-GLOBAL ROOTS INC-05-2025</v>
          </cell>
          <cell r="G2060" t="str">
            <v>Settled</v>
          </cell>
        </row>
        <row r="2061">
          <cell r="F2061" t="str">
            <v>US-GLOBAL ROOTS INC-07/2025</v>
          </cell>
          <cell r="G2061" t="str">
            <v>Settled</v>
          </cell>
        </row>
        <row r="2062">
          <cell r="F2062" t="str">
            <v>US-GLOBAL ROOTS INC-08/2025</v>
          </cell>
          <cell r="G2062" t="str">
            <v>Settled</v>
          </cell>
        </row>
        <row r="2063">
          <cell r="F2063" t="str">
            <v>US-GLOBAL ROOTS INC-09/2025</v>
          </cell>
          <cell r="G2063" t="str">
            <v>Settled</v>
          </cell>
        </row>
        <row r="2064">
          <cell r="F2064" t="str">
            <v>US-GLOBAL ROOTS INC-10/2025</v>
          </cell>
          <cell r="G2064" t="str">
            <v>Settled</v>
          </cell>
        </row>
        <row r="2065">
          <cell r="F2065" t="str">
            <v>US-GLOBAL ROOTS INC-11/2025</v>
          </cell>
          <cell r="G2065" t="str">
            <v>Settled</v>
          </cell>
        </row>
        <row r="2066">
          <cell r="F2066" t="str">
            <v>SG-Global81-11/2022</v>
          </cell>
          <cell r="G2066" t="str">
            <v>Settled</v>
          </cell>
        </row>
        <row r="2067">
          <cell r="F2067" t="str">
            <v>SG-Global81-12/2022</v>
          </cell>
          <cell r="G2067" t="str">
            <v>Settled</v>
          </cell>
        </row>
        <row r="2068">
          <cell r="F2068" t="str">
            <v>SG-Global81-01/2023</v>
          </cell>
          <cell r="G2068" t="str">
            <v>Settled</v>
          </cell>
        </row>
        <row r="2069">
          <cell r="F2069" t="str">
            <v>SG-Global81-02/2023</v>
          </cell>
          <cell r="G2069" t="str">
            <v>Settled</v>
          </cell>
        </row>
        <row r="2070">
          <cell r="F2070" t="str">
            <v>SG-Global81-03/2023</v>
          </cell>
          <cell r="G2070" t="str">
            <v>Settled</v>
          </cell>
        </row>
        <row r="2071">
          <cell r="F2071" t="str">
            <v>SG-Global81-04/2023</v>
          </cell>
          <cell r="G2071" t="str">
            <v>Settled</v>
          </cell>
        </row>
        <row r="2072">
          <cell r="F2072" t="str">
            <v>SG-Global81-05/2023</v>
          </cell>
          <cell r="G2072" t="str">
            <v>Settled</v>
          </cell>
        </row>
        <row r="2073">
          <cell r="F2073" t="str">
            <v>SG-Global81-06/2023</v>
          </cell>
          <cell r="G2073" t="str">
            <v>Settled</v>
          </cell>
        </row>
        <row r="2074">
          <cell r="F2074" t="str">
            <v>SG-Global81-07/2023</v>
          </cell>
          <cell r="G2074" t="str">
            <v>Settled</v>
          </cell>
        </row>
        <row r="2075">
          <cell r="F2075" t="str">
            <v>SG -Global81-CR-06/2023</v>
          </cell>
          <cell r="G2075" t="str">
            <v>Settled</v>
          </cell>
        </row>
        <row r="2076">
          <cell r="F2076" t="str">
            <v>SG -Global81-CR-07/2023</v>
          </cell>
          <cell r="G2076" t="str">
            <v>Settled</v>
          </cell>
        </row>
        <row r="2077">
          <cell r="F2077" t="str">
            <v>SG -Global81-CR-06/2023</v>
          </cell>
          <cell r="G2077" t="str">
            <v>Settled</v>
          </cell>
        </row>
        <row r="2078">
          <cell r="F2078" t="str">
            <v>SG -Global81-CR-07/2023</v>
          </cell>
          <cell r="G2078" t="str">
            <v>Settled</v>
          </cell>
        </row>
        <row r="2079">
          <cell r="F2079" t="str">
            <v>SG -Global81-08/2023</v>
          </cell>
          <cell r="G2079" t="str">
            <v>Settled</v>
          </cell>
        </row>
        <row r="2080">
          <cell r="F2080" t="str">
            <v>SG-Global81-09/2023</v>
          </cell>
          <cell r="G2080" t="str">
            <v>Settled</v>
          </cell>
        </row>
        <row r="2081">
          <cell r="F2081" t="str">
            <v>SG-Global81-10/2023</v>
          </cell>
          <cell r="G2081" t="str">
            <v>Settled</v>
          </cell>
        </row>
        <row r="2082">
          <cell r="F2082" t="str">
            <v>SG-Global81-11/2023</v>
          </cell>
          <cell r="G2082" t="str">
            <v>Settled</v>
          </cell>
        </row>
        <row r="2083">
          <cell r="F2083" t="str">
            <v>SG-Global81-12/2023</v>
          </cell>
          <cell r="G2083" t="str">
            <v>Settled</v>
          </cell>
        </row>
        <row r="2084">
          <cell r="F2084" t="str">
            <v>SG-Global81-01/2024</v>
          </cell>
          <cell r="G2084" t="str">
            <v>Settled</v>
          </cell>
        </row>
        <row r="2085">
          <cell r="F2085" t="str">
            <v>SG-Global81-02/2024</v>
          </cell>
          <cell r="G2085" t="str">
            <v>Settled</v>
          </cell>
        </row>
        <row r="2086">
          <cell r="F2086" t="str">
            <v>SG-Global81-03/2024</v>
          </cell>
          <cell r="G2086" t="str">
            <v>Settled</v>
          </cell>
        </row>
        <row r="2087">
          <cell r="F2087" t="str">
            <v>SG-Global81-04/2024</v>
          </cell>
          <cell r="G2087" t="str">
            <v>Settled</v>
          </cell>
        </row>
        <row r="2088">
          <cell r="F2088" t="str">
            <v>SG-Global81-05/2024</v>
          </cell>
          <cell r="G2088" t="str">
            <v>Settled</v>
          </cell>
        </row>
        <row r="2089">
          <cell r="F2089" t="str">
            <v>SG-Global81-06/2024</v>
          </cell>
          <cell r="G2089" t="str">
            <v>Settled</v>
          </cell>
        </row>
        <row r="2090">
          <cell r="F2090" t="str">
            <v>SG-Global81-07/2024</v>
          </cell>
          <cell r="G2090" t="str">
            <v>Settled</v>
          </cell>
        </row>
        <row r="2091">
          <cell r="F2091" t="str">
            <v>SG-Global81-08/2024</v>
          </cell>
          <cell r="G2091" t="str">
            <v>Settled</v>
          </cell>
        </row>
        <row r="2092">
          <cell r="F2092" t="str">
            <v>SG-Global81-09/2024</v>
          </cell>
          <cell r="G2092" t="str">
            <v>Settled</v>
          </cell>
        </row>
        <row r="2093">
          <cell r="F2093" t="str">
            <v>SG-Global81-10/2024</v>
          </cell>
          <cell r="G2093" t="str">
            <v>Settled</v>
          </cell>
        </row>
        <row r="2094">
          <cell r="F2094" t="str">
            <v>SG-Global81-11/2024</v>
          </cell>
          <cell r="G2094" t="str">
            <v>Settled</v>
          </cell>
        </row>
        <row r="2095">
          <cell r="F2095" t="str">
            <v>SG-Global81-12/2024</v>
          </cell>
          <cell r="G2095" t="str">
            <v>Settled</v>
          </cell>
        </row>
        <row r="2096">
          <cell r="F2096" t="str">
            <v>SG-Global81-01/2025</v>
          </cell>
          <cell r="G2096" t="str">
            <v>Settled</v>
          </cell>
        </row>
        <row r="2097">
          <cell r="F2097" t="str">
            <v>SG-Global81-02/2025</v>
          </cell>
          <cell r="G2097" t="str">
            <v>Settled</v>
          </cell>
        </row>
        <row r="2098">
          <cell r="F2098" t="str">
            <v>SG-Global81-03/2025</v>
          </cell>
          <cell r="G2098" t="str">
            <v>Settled</v>
          </cell>
        </row>
        <row r="2099">
          <cell r="F2099" t="str">
            <v>SG-Global81-04/2025</v>
          </cell>
          <cell r="G2099" t="str">
            <v>Settled</v>
          </cell>
        </row>
        <row r="2100">
          <cell r="F2100" t="str">
            <v>SG-Global81-05/2025</v>
          </cell>
          <cell r="G2100" t="str">
            <v>Settled</v>
          </cell>
        </row>
        <row r="2101">
          <cell r="F2101" t="str">
            <v>SG-Global81-06/2025</v>
          </cell>
          <cell r="G2101" t="str">
            <v>Settled</v>
          </cell>
        </row>
        <row r="2102">
          <cell r="F2102" t="str">
            <v>SG-Global81-07/2025</v>
          </cell>
          <cell r="G2102" t="str">
            <v>Settled</v>
          </cell>
        </row>
        <row r="2103">
          <cell r="F2103" t="str">
            <v>SG-Global81-08/2025</v>
          </cell>
          <cell r="G2103" t="str">
            <v>Settled</v>
          </cell>
        </row>
        <row r="2104">
          <cell r="F2104" t="str">
            <v>SG-Global81-09/2025</v>
          </cell>
          <cell r="G2104" t="str">
            <v>Settled</v>
          </cell>
        </row>
        <row r="2105">
          <cell r="F2105" t="str">
            <v>SG-Global81-10/2025</v>
          </cell>
          <cell r="G2105" t="str">
            <v>Settled</v>
          </cell>
        </row>
        <row r="2106">
          <cell r="F2106" t="str">
            <v>SG-Global81-11/2025</v>
          </cell>
          <cell r="G2106" t="str">
            <v>Settled</v>
          </cell>
        </row>
        <row r="2107">
          <cell r="F2107" t="str">
            <v>SG-Global81-12/2025</v>
          </cell>
          <cell r="G2107" t="str">
            <v>Settled</v>
          </cell>
        </row>
        <row r="2108">
          <cell r="F2108" t="str">
            <v>SG-Global81-01/2026</v>
          </cell>
          <cell r="G2108" t="str">
            <v>Settled</v>
          </cell>
        </row>
        <row r="2109">
          <cell r="F2109" t="str">
            <v>SG-Global81-02/2026</v>
          </cell>
          <cell r="G2109" t="str">
            <v>Settled</v>
          </cell>
        </row>
        <row r="2110">
          <cell r="F2110" t="str">
            <v>SG-globsol singapore pte ltd-03/2023</v>
          </cell>
          <cell r="G2110" t="str">
            <v>Waived Off</v>
          </cell>
        </row>
        <row r="2111">
          <cell r="F2111" t="str">
            <v>SG-globsol singapore pte ltd-05/2023</v>
          </cell>
          <cell r="G2111" t="str">
            <v>Settled</v>
          </cell>
        </row>
        <row r="2112">
          <cell r="F2112" t="str">
            <v>SG-golden money-10/2022</v>
          </cell>
          <cell r="G2112" t="str">
            <v>Settled</v>
          </cell>
        </row>
        <row r="2113">
          <cell r="F2113" t="str">
            <v>SG-golden money transfer, inc-11/2022</v>
          </cell>
          <cell r="G2113" t="str">
            <v>Settled</v>
          </cell>
        </row>
        <row r="2114">
          <cell r="F2114" t="str">
            <v>SG-golden money transfer, inc-12/2022</v>
          </cell>
          <cell r="G2114" t="str">
            <v>Settled</v>
          </cell>
        </row>
        <row r="2115">
          <cell r="F2115" t="str">
            <v>SG-golden money transfer, inc-01/2023</v>
          </cell>
          <cell r="G2115" t="str">
            <v>Settled</v>
          </cell>
        </row>
        <row r="2116">
          <cell r="F2116" t="str">
            <v>SG-goldenmoney-02/2023</v>
          </cell>
          <cell r="G2116" t="str">
            <v>Settled</v>
          </cell>
        </row>
        <row r="2117">
          <cell r="F2117" t="str">
            <v>SG-goldenmoney-03/2023</v>
          </cell>
          <cell r="G2117" t="str">
            <v>Settled</v>
          </cell>
        </row>
        <row r="2118">
          <cell r="F2118" t="str">
            <v>SG-goldenmoney-04/2023</v>
          </cell>
          <cell r="G2118" t="str">
            <v>Settled</v>
          </cell>
        </row>
        <row r="2119">
          <cell r="F2119" t="str">
            <v>SG-goldenmoney-05/2023</v>
          </cell>
          <cell r="G2119" t="str">
            <v>Settled</v>
          </cell>
        </row>
        <row r="2120">
          <cell r="F2120" t="str">
            <v>SG-goldenmoney-06/2023</v>
          </cell>
          <cell r="G2120" t="str">
            <v>Settled</v>
          </cell>
        </row>
        <row r="2121">
          <cell r="F2121" t="str">
            <v>SG-goldenmoney-12/2023</v>
          </cell>
          <cell r="G2121" t="str">
            <v>Settled</v>
          </cell>
        </row>
        <row r="2122">
          <cell r="F2122" t="str">
            <v>SG-goldenmoney-01/2024</v>
          </cell>
          <cell r="G2122" t="str">
            <v>Settled</v>
          </cell>
        </row>
        <row r="2123">
          <cell r="F2123" t="str">
            <v>SG-goldenmoney-03/2024</v>
          </cell>
          <cell r="G2123" t="str">
            <v>Settled</v>
          </cell>
        </row>
        <row r="2124">
          <cell r="F2124" t="str">
            <v>SG-goldenmoney-05/2024</v>
          </cell>
          <cell r="G2124" t="str">
            <v>Settled</v>
          </cell>
        </row>
        <row r="2125">
          <cell r="F2125" t="str">
            <v>SG-goldenmoney-06/2024</v>
          </cell>
          <cell r="G2125" t="str">
            <v>Settled</v>
          </cell>
        </row>
        <row r="2126">
          <cell r="F2126" t="str">
            <v>SG-GOOGLY MEDIA-12/2023</v>
          </cell>
          <cell r="G2126" t="str">
            <v>Settled</v>
          </cell>
        </row>
        <row r="2127">
          <cell r="F2127" t="str">
            <v>SG-bob-03/2023</v>
          </cell>
          <cell r="G2127" t="str">
            <v>Settled</v>
          </cell>
        </row>
        <row r="2128">
          <cell r="F2128" t="str">
            <v>SG-bob-04/2023</v>
          </cell>
          <cell r="G2128" t="str">
            <v>Settled</v>
          </cell>
        </row>
        <row r="2129">
          <cell r="F2129" t="str">
            <v>SG-hamilton reserve bank ltd.-11/2022</v>
          </cell>
          <cell r="G2129" t="str">
            <v>Settled</v>
          </cell>
        </row>
        <row r="2130">
          <cell r="F2130" t="str">
            <v>SG-hamilton reserve bank ltd.-12/2022</v>
          </cell>
          <cell r="G2130" t="str">
            <v>Settled</v>
          </cell>
        </row>
        <row r="2131">
          <cell r="F2131" t="str">
            <v>SG-hamilton reserve bank ltd.-01/2023</v>
          </cell>
          <cell r="G2131" t="str">
            <v>Settled</v>
          </cell>
        </row>
        <row r="2132">
          <cell r="F2132" t="str">
            <v>SG-hamilton-02/2023</v>
          </cell>
          <cell r="G2132" t="str">
            <v>Settled</v>
          </cell>
        </row>
        <row r="2133">
          <cell r="F2133" t="str">
            <v>SG-hamilton-03/2023</v>
          </cell>
          <cell r="G2133" t="str">
            <v>Settled</v>
          </cell>
        </row>
        <row r="2134">
          <cell r="F2134" t="str">
            <v>SG-hamilton-04/2023</v>
          </cell>
          <cell r="G2134" t="str">
            <v>Settled</v>
          </cell>
        </row>
        <row r="2135">
          <cell r="F2135" t="str">
            <v>SG-hamilton-05/2023</v>
          </cell>
          <cell r="G2135" t="str">
            <v>Settled</v>
          </cell>
        </row>
        <row r="2136">
          <cell r="F2136" t="str">
            <v>SG-hamilton-06/2023</v>
          </cell>
          <cell r="G2136" t="str">
            <v>Settled</v>
          </cell>
        </row>
        <row r="2137">
          <cell r="F2137" t="str">
            <v>SG-hamilton-07/2023</v>
          </cell>
          <cell r="G2137" t="str">
            <v>Settled</v>
          </cell>
        </row>
        <row r="2138">
          <cell r="F2138" t="str">
            <v>SG -hamilton-08/2023</v>
          </cell>
          <cell r="G2138" t="str">
            <v>Settled</v>
          </cell>
        </row>
        <row r="2139">
          <cell r="F2139" t="str">
            <v>SG-hamilton-09/2023</v>
          </cell>
          <cell r="G2139" t="str">
            <v>Settled</v>
          </cell>
        </row>
        <row r="2140">
          <cell r="F2140" t="str">
            <v>SG-hamilton-10/2023</v>
          </cell>
          <cell r="G2140" t="str">
            <v>Settled</v>
          </cell>
        </row>
        <row r="2141">
          <cell r="F2141" t="str">
            <v>SG-hamilton-11/2023</v>
          </cell>
          <cell r="G2141" t="str">
            <v>Settled</v>
          </cell>
        </row>
        <row r="2142">
          <cell r="F2142" t="str">
            <v>SG-hamilton-12/2023</v>
          </cell>
          <cell r="G2142" t="str">
            <v>Settled</v>
          </cell>
        </row>
        <row r="2143">
          <cell r="F2143" t="str">
            <v>SG-hamilton-01/2024</v>
          </cell>
          <cell r="G2143" t="str">
            <v>Settled</v>
          </cell>
        </row>
        <row r="2144">
          <cell r="F2144" t="str">
            <v>SG-hamilton-02/2024</v>
          </cell>
          <cell r="G2144" t="str">
            <v>Settled</v>
          </cell>
        </row>
        <row r="2145">
          <cell r="F2145" t="str">
            <v>SG-hamilton-03/2024</v>
          </cell>
          <cell r="G2145" t="str">
            <v>Settled</v>
          </cell>
        </row>
        <row r="2146">
          <cell r="F2146" t="str">
            <v>SG-hamilton-04/2024</v>
          </cell>
          <cell r="G2146" t="str">
            <v>Settled</v>
          </cell>
        </row>
        <row r="2147">
          <cell r="F2147" t="str">
            <v>SG-hamilton-05/2024</v>
          </cell>
          <cell r="G2147" t="str">
            <v>Settled</v>
          </cell>
        </row>
        <row r="2148">
          <cell r="F2148" t="str">
            <v>SG-hamilton-06/2024</v>
          </cell>
          <cell r="G2148" t="str">
            <v>Settled</v>
          </cell>
        </row>
        <row r="2149">
          <cell r="F2149" t="str">
            <v>SG-hamilton-07/2024</v>
          </cell>
          <cell r="G2149" t="str">
            <v>Settled</v>
          </cell>
        </row>
        <row r="2150">
          <cell r="F2150" t="str">
            <v>SG-hamilton-08/2024</v>
          </cell>
          <cell r="G2150" t="str">
            <v>Settled</v>
          </cell>
        </row>
        <row r="2151">
          <cell r="F2151" t="str">
            <v>SG-hamilton-09/2024</v>
          </cell>
          <cell r="G2151" t="str">
            <v>Settled</v>
          </cell>
        </row>
        <row r="2152">
          <cell r="F2152" t="str">
            <v>SG-hamilton-10/2024</v>
          </cell>
          <cell r="G2152" t="str">
            <v>Settled</v>
          </cell>
        </row>
        <row r="2153">
          <cell r="F2153" t="str">
            <v>SG-hamilton-11/2024</v>
          </cell>
          <cell r="G2153" t="str">
            <v>Settled</v>
          </cell>
        </row>
        <row r="2154">
          <cell r="F2154" t="str">
            <v>SG-hamilton-12/2024</v>
          </cell>
          <cell r="G2154" t="str">
            <v>Settled</v>
          </cell>
        </row>
        <row r="2155">
          <cell r="F2155" t="str">
            <v>SG-hamilton-01/2025</v>
          </cell>
          <cell r="G2155" t="str">
            <v>Settled</v>
          </cell>
        </row>
        <row r="2156">
          <cell r="F2156" t="str">
            <v>SG-hamilton-02/2025</v>
          </cell>
          <cell r="G2156" t="str">
            <v>Settled</v>
          </cell>
        </row>
        <row r="2157">
          <cell r="F2157" t="str">
            <v>SG-hamilton-03/2025</v>
          </cell>
          <cell r="G2157" t="str">
            <v>Settled</v>
          </cell>
        </row>
        <row r="2158">
          <cell r="F2158" t="str">
            <v>SG-hamilton-04/2025</v>
          </cell>
          <cell r="G2158" t="str">
            <v>Settled</v>
          </cell>
        </row>
        <row r="2159">
          <cell r="F2159" t="str">
            <v>SG-hamilton-05/2025</v>
          </cell>
          <cell r="G2159" t="str">
            <v>Settled</v>
          </cell>
        </row>
        <row r="2160">
          <cell r="F2160" t="str">
            <v>SG-hamilton-06/2025</v>
          </cell>
          <cell r="G2160" t="str">
            <v>Settled</v>
          </cell>
        </row>
        <row r="2161">
          <cell r="F2161" t="str">
            <v>SG-hamilton-07/2025</v>
          </cell>
          <cell r="G2161" t="str">
            <v>Settled</v>
          </cell>
        </row>
        <row r="2162">
          <cell r="F2162" t="str">
            <v>SG-hamilton-08/2025</v>
          </cell>
          <cell r="G2162" t="str">
            <v>Settled</v>
          </cell>
        </row>
        <row r="2163">
          <cell r="F2163" t="str">
            <v>SG-hamilton-09/2025</v>
          </cell>
          <cell r="G2163" t="str">
            <v>Settled</v>
          </cell>
        </row>
        <row r="2164">
          <cell r="F2164" t="str">
            <v>SG-hamilton-10/2025</v>
          </cell>
          <cell r="G2164" t="str">
            <v>Settled</v>
          </cell>
        </row>
        <row r="2165">
          <cell r="F2165" t="str">
            <v>SG-hamilton-11/2025</v>
          </cell>
          <cell r="G2165" t="str">
            <v>Settled</v>
          </cell>
        </row>
        <row r="2166">
          <cell r="F2166" t="str">
            <v>SG-hamilton-12/2025</v>
          </cell>
          <cell r="G2166" t="str">
            <v>Settled</v>
          </cell>
        </row>
        <row r="2167">
          <cell r="F2167" t="str">
            <v>SG-hamilton-01/2026</v>
          </cell>
          <cell r="G2167" t="str">
            <v>Settled</v>
          </cell>
        </row>
        <row r="2168">
          <cell r="F2168" t="str">
            <v>SG-hamilton-02/2026</v>
          </cell>
          <cell r="G2168" t="str">
            <v>Settled</v>
          </cell>
        </row>
        <row r="2169">
          <cell r="F2169" t="str">
            <v>SG -Hamsa Pay-01/2022</v>
          </cell>
          <cell r="G2169" t="str">
            <v>Waived Off</v>
          </cell>
        </row>
        <row r="2170">
          <cell r="F2170" t="str">
            <v>SG -Hamsa Pay-02/2022</v>
          </cell>
          <cell r="G2170" t="str">
            <v>Waived Off</v>
          </cell>
        </row>
        <row r="2171">
          <cell r="F2171" t="str">
            <v>SG -Hamsa Pay-03/2022</v>
          </cell>
          <cell r="G2171" t="str">
            <v>Waived Off</v>
          </cell>
        </row>
        <row r="2172">
          <cell r="F2172" t="str">
            <v>SG -Hamsa Pay-04/2022</v>
          </cell>
          <cell r="G2172" t="str">
            <v>Waived Off</v>
          </cell>
        </row>
        <row r="2173">
          <cell r="F2173" t="str">
            <v>SG -Hamsa Pay-05/2022</v>
          </cell>
          <cell r="G2173" t="str">
            <v>Waived Off</v>
          </cell>
        </row>
        <row r="2174">
          <cell r="F2174" t="str">
            <v>SG -Hamsa Pay-06/2022</v>
          </cell>
          <cell r="G2174" t="str">
            <v>Waived Off</v>
          </cell>
        </row>
        <row r="2175">
          <cell r="F2175" t="str">
            <v>SG-HamsaPay-07/2022</v>
          </cell>
          <cell r="G2175" t="str">
            <v>Waived Off</v>
          </cell>
        </row>
        <row r="2176">
          <cell r="F2176" t="str">
            <v>SG-HamsaPay-08/2022</v>
          </cell>
          <cell r="G2176" t="str">
            <v>Waived Off</v>
          </cell>
        </row>
        <row r="2177">
          <cell r="F2177" t="str">
            <v>SG-HamsaPay-09/2022</v>
          </cell>
          <cell r="G2177" t="str">
            <v>Waived Off</v>
          </cell>
        </row>
        <row r="2178">
          <cell r="F2178" t="str">
            <v>SG-HamsaPay-10/2022</v>
          </cell>
          <cell r="G2178" t="str">
            <v>Waived Off</v>
          </cell>
        </row>
        <row r="2179">
          <cell r="F2179" t="str">
            <v>SG-HamsaPay-11/2022</v>
          </cell>
          <cell r="G2179" t="str">
            <v>Waived Off</v>
          </cell>
        </row>
        <row r="2180">
          <cell r="F2180" t="str">
            <v>SG -Healthtestgo Pte. Ltd.-02/2022</v>
          </cell>
          <cell r="G2180" t="str">
            <v>Reversed</v>
          </cell>
        </row>
        <row r="2181">
          <cell r="F2181" t="str">
            <v>SG -Healthtestgo Pte. Ltd.-03/2022</v>
          </cell>
          <cell r="G2181" t="str">
            <v>Reversed</v>
          </cell>
        </row>
        <row r="2182">
          <cell r="F2182" t="str">
            <v>SG -Healthtestgo Pte. Ltd.-04/2022</v>
          </cell>
          <cell r="G2182" t="str">
            <v>Reversed</v>
          </cell>
        </row>
        <row r="2183">
          <cell r="F2183" t="str">
            <v>SG -Healthtestgo Pte. Ltd.-05/2022</v>
          </cell>
          <cell r="G2183" t="str">
            <v>Reversed</v>
          </cell>
        </row>
        <row r="2184">
          <cell r="F2184" t="str">
            <v>SG -Healthtestgo Pte. Ltd.-06/2022</v>
          </cell>
          <cell r="G2184" t="str">
            <v>Reversed</v>
          </cell>
        </row>
        <row r="2185">
          <cell r="F2185" t="str">
            <v>SG-Healthtestgo-09/2022</v>
          </cell>
          <cell r="G2185" t="str">
            <v>Reversed</v>
          </cell>
        </row>
        <row r="2186">
          <cell r="F2186" t="str">
            <v>SG-Healthtestgo-10/2022</v>
          </cell>
          <cell r="G2186" t="str">
            <v>Reversed</v>
          </cell>
        </row>
        <row r="2187">
          <cell r="F2187" t="str">
            <v>SG-Healthtestgo Pte. Ltd.-11/2022</v>
          </cell>
          <cell r="G2187" t="str">
            <v>Reversed</v>
          </cell>
        </row>
        <row r="2188">
          <cell r="F2188" t="str">
            <v>SG-Healthtestgo Pte. Ltd.-12/2022</v>
          </cell>
          <cell r="G2188" t="str">
            <v>Reversed</v>
          </cell>
        </row>
        <row r="2189">
          <cell r="F2189" t="str">
            <v>SG-Healthtestgo Pte. Ltd.-01/2023</v>
          </cell>
          <cell r="G2189" t="str">
            <v>Reversed</v>
          </cell>
        </row>
        <row r="2190">
          <cell r="F2190" t="str">
            <v>US -Helios-10/2023</v>
          </cell>
          <cell r="G2190" t="str">
            <v>Settled</v>
          </cell>
        </row>
        <row r="2191">
          <cell r="F2191" t="str">
            <v>SG-hello yo pte. ltd.-12/2022</v>
          </cell>
          <cell r="G2191" t="str">
            <v>Settled</v>
          </cell>
        </row>
        <row r="2192">
          <cell r="F2192" t="str">
            <v>SG-hello yo pte. ltd.-01/2023</v>
          </cell>
          <cell r="G2192" t="str">
            <v>Settled</v>
          </cell>
        </row>
        <row r="2193">
          <cell r="F2193" t="str">
            <v>SG-helloyo-02/2023</v>
          </cell>
          <cell r="G2193" t="str">
            <v>Settled</v>
          </cell>
        </row>
        <row r="2194">
          <cell r="F2194" t="str">
            <v>SG-helloyo-03/2023</v>
          </cell>
          <cell r="G2194" t="str">
            <v>Settled</v>
          </cell>
        </row>
        <row r="2195">
          <cell r="F2195" t="str">
            <v>SG-helloyo-04/2023</v>
          </cell>
          <cell r="G2195" t="str">
            <v>Settled</v>
          </cell>
        </row>
        <row r="2196">
          <cell r="F2196" t="str">
            <v>SG-helloyo-05/2023</v>
          </cell>
          <cell r="G2196" t="str">
            <v>Settled</v>
          </cell>
        </row>
        <row r="2197">
          <cell r="F2197" t="str">
            <v>SG-helloyo-06/2023</v>
          </cell>
          <cell r="G2197" t="str">
            <v>Settled</v>
          </cell>
        </row>
        <row r="2198">
          <cell r="F2198" t="str">
            <v>SG-helloyo-07/2023</v>
          </cell>
          <cell r="G2198" t="str">
            <v>Settled</v>
          </cell>
        </row>
        <row r="2199">
          <cell r="F2199" t="str">
            <v>HK-Holiday World-07/2023</v>
          </cell>
          <cell r="G2199" t="str">
            <v>Waived Off</v>
          </cell>
        </row>
        <row r="2200">
          <cell r="F2200" t="str">
            <v>UK-HOWELL METALS LLC-01/2023</v>
          </cell>
          <cell r="G2200" t="str">
            <v>Write Off</v>
          </cell>
        </row>
        <row r="2201">
          <cell r="F2201" t="str">
            <v>US-Ibanera LLC-01/2023</v>
          </cell>
          <cell r="G2201" t="str">
            <v>Settled</v>
          </cell>
        </row>
        <row r="2202">
          <cell r="F2202" t="str">
            <v>US-Ibanera LLC-02/2023</v>
          </cell>
          <cell r="G2202" t="str">
            <v>Settled</v>
          </cell>
        </row>
        <row r="2203">
          <cell r="F2203" t="str">
            <v>US -Ibanera LLC-08/2023</v>
          </cell>
          <cell r="G2203" t="str">
            <v>Settled</v>
          </cell>
        </row>
        <row r="2204">
          <cell r="F2204" t="str">
            <v>US-Ibanera LLC-09/2023</v>
          </cell>
          <cell r="G2204" t="str">
            <v>Settled</v>
          </cell>
        </row>
        <row r="2205">
          <cell r="F2205" t="str">
            <v>US-Ibanera LLC-10/2023</v>
          </cell>
          <cell r="G2205" t="str">
            <v>Settled</v>
          </cell>
        </row>
        <row r="2206">
          <cell r="F2206" t="str">
            <v>US-Ibanera LLC-11/2023</v>
          </cell>
          <cell r="G2206" t="str">
            <v>Settled</v>
          </cell>
        </row>
        <row r="2207">
          <cell r="F2207" t="str">
            <v>US-Ibanera LLC-12/2023</v>
          </cell>
          <cell r="G2207" t="str">
            <v>Settled</v>
          </cell>
        </row>
        <row r="2208">
          <cell r="F2208" t="str">
            <v>US-Ibanera LLC-01/2024</v>
          </cell>
          <cell r="G2208" t="str">
            <v>Settled</v>
          </cell>
        </row>
        <row r="2209">
          <cell r="F2209" t="str">
            <v>US-Ibanera LLC-02/2024</v>
          </cell>
          <cell r="G2209" t="str">
            <v>Settled</v>
          </cell>
        </row>
        <row r="2210">
          <cell r="F2210" t="str">
            <v>US-Ibanera LLC-03/2024</v>
          </cell>
          <cell r="G2210" t="str">
            <v>Settled</v>
          </cell>
        </row>
        <row r="2211">
          <cell r="F2211" t="str">
            <v>US-Ibanera LLC-04/2024</v>
          </cell>
          <cell r="G2211" t="str">
            <v>Settled</v>
          </cell>
        </row>
        <row r="2212">
          <cell r="F2212" t="str">
            <v>US-Ibanera LLC-05/2024</v>
          </cell>
          <cell r="G2212" t="str">
            <v>Settled</v>
          </cell>
        </row>
        <row r="2213">
          <cell r="F2213" t="str">
            <v>US-Ibanera LLC-06/2024</v>
          </cell>
          <cell r="G2213" t="str">
            <v>Settled</v>
          </cell>
        </row>
        <row r="2214">
          <cell r="F2214" t="str">
            <v>US-Ibanera LLC-07/2024</v>
          </cell>
          <cell r="G2214" t="str">
            <v>Settled</v>
          </cell>
        </row>
        <row r="2215">
          <cell r="F2215" t="str">
            <v>US-Ibanera LLC-08/2024</v>
          </cell>
          <cell r="G2215" t="str">
            <v>Settled</v>
          </cell>
        </row>
        <row r="2216">
          <cell r="F2216" t="str">
            <v>US-Ibanera LLC-09/2024</v>
          </cell>
          <cell r="G2216" t="str">
            <v>Settled</v>
          </cell>
        </row>
        <row r="2217">
          <cell r="F2217" t="str">
            <v>US-Ibanera LLC-10/2024</v>
          </cell>
          <cell r="G2217" t="str">
            <v>Settled</v>
          </cell>
        </row>
        <row r="2218">
          <cell r="F2218" t="str">
            <v>US-Ibanera LLC-11/2024</v>
          </cell>
          <cell r="G2218" t="str">
            <v>Settled</v>
          </cell>
        </row>
        <row r="2219">
          <cell r="F2219" t="str">
            <v>US-Ibanera LLC-12/2024</v>
          </cell>
          <cell r="G2219" t="str">
            <v>Settled</v>
          </cell>
        </row>
        <row r="2220">
          <cell r="F2220" t="str">
            <v>US-Ibanera LLC-01/2025</v>
          </cell>
          <cell r="G2220" t="str">
            <v>Settled</v>
          </cell>
        </row>
        <row r="2221">
          <cell r="F2221" t="str">
            <v>US-Ibanera LLC-02/2025</v>
          </cell>
          <cell r="G2221" t="str">
            <v>Settled</v>
          </cell>
        </row>
        <row r="2222">
          <cell r="F2222" t="str">
            <v>US-Ibanera LLC-03/2025</v>
          </cell>
          <cell r="G2222" t="str">
            <v>Settled</v>
          </cell>
        </row>
        <row r="2223">
          <cell r="F2223" t="str">
            <v>US-Ibanera LLC-04/2025</v>
          </cell>
          <cell r="G2223" t="str">
            <v>Settled</v>
          </cell>
        </row>
        <row r="2224">
          <cell r="F2224" t="str">
            <v>US-Ibanera LLC-05/2025</v>
          </cell>
          <cell r="G2224" t="str">
            <v>Settled</v>
          </cell>
        </row>
        <row r="2225">
          <cell r="F2225" t="str">
            <v>US-Ibanera LLC-06/2025</v>
          </cell>
          <cell r="G2225" t="str">
            <v>Settled</v>
          </cell>
        </row>
        <row r="2226">
          <cell r="F2226" t="str">
            <v>US-Ibanera LLC-07/2025</v>
          </cell>
          <cell r="G2226" t="str">
            <v>Settled</v>
          </cell>
        </row>
        <row r="2227">
          <cell r="F2227" t="str">
            <v>US-Ibanera LLC-08/2025</v>
          </cell>
          <cell r="G2227" t="str">
            <v>Settled</v>
          </cell>
        </row>
        <row r="2228">
          <cell r="F2228" t="str">
            <v>US-Ibanera LLC-09/2025</v>
          </cell>
          <cell r="G2228" t="str">
            <v>Settled</v>
          </cell>
        </row>
        <row r="2229">
          <cell r="F2229" t="str">
            <v>US-Ibanera LLC-10/2025</v>
          </cell>
          <cell r="G2229" t="str">
            <v>Settled</v>
          </cell>
        </row>
        <row r="2230">
          <cell r="F2230" t="str">
            <v>US-Ibanera LLC-11/2025</v>
          </cell>
          <cell r="G2230" t="str">
            <v>Settled</v>
          </cell>
        </row>
        <row r="2231">
          <cell r="F2231" t="str">
            <v>US-Ibanera LLC-12/2025</v>
          </cell>
          <cell r="G2231" t="str">
            <v>Settled</v>
          </cell>
        </row>
        <row r="2232">
          <cell r="F2232" t="str">
            <v>US-Ibanera LLC-01/2026</v>
          </cell>
          <cell r="G2232" t="str">
            <v>Settled</v>
          </cell>
        </row>
        <row r="2233">
          <cell r="F2233" t="str">
            <v>US-Ibanera LLC-02/2026</v>
          </cell>
          <cell r="G2233" t="str">
            <v>Settled</v>
          </cell>
        </row>
        <row r="2234">
          <cell r="F2234" t="str">
            <v>SG-Ibanera Private Limited-12/2024</v>
          </cell>
          <cell r="G2234" t="str">
            <v>Settled</v>
          </cell>
        </row>
        <row r="2235">
          <cell r="F2235" t="str">
            <v>SG-Ibanera Private Limited-01/2025</v>
          </cell>
          <cell r="G2235" t="str">
            <v>Settled</v>
          </cell>
        </row>
        <row r="2236">
          <cell r="F2236" t="str">
            <v>SG-Ibanera Private Limited-02/2025</v>
          </cell>
          <cell r="G2236" t="str">
            <v>Settled</v>
          </cell>
        </row>
        <row r="2237">
          <cell r="F2237" t="str">
            <v>SG-Ibanera Private Limited-03/2025</v>
          </cell>
          <cell r="G2237" t="str">
            <v>Settled</v>
          </cell>
        </row>
        <row r="2238">
          <cell r="F2238" t="str">
            <v>SG-Ibanera Private Limited-04/2025</v>
          </cell>
          <cell r="G2238" t="str">
            <v>Settled</v>
          </cell>
        </row>
        <row r="2239">
          <cell r="F2239" t="str">
            <v>SG-SlideSG-02/2024</v>
          </cell>
          <cell r="G2239" t="str">
            <v>Settled</v>
          </cell>
        </row>
        <row r="2240">
          <cell r="F2240" t="str">
            <v>SG-SlideSG-03/2024</v>
          </cell>
          <cell r="G2240" t="str">
            <v>Settled</v>
          </cell>
        </row>
        <row r="2241">
          <cell r="F2241" t="str">
            <v>SG-SlideSG-04/2024</v>
          </cell>
          <cell r="G2241" t="str">
            <v>Settled</v>
          </cell>
        </row>
        <row r="2242">
          <cell r="F2242" t="str">
            <v>SG-SlideSG-05/2024</v>
          </cell>
          <cell r="G2242" t="str">
            <v>Settled</v>
          </cell>
        </row>
        <row r="2243">
          <cell r="F2243" t="str">
            <v>SG-SlideSG-06/2024</v>
          </cell>
          <cell r="G2243" t="str">
            <v>Settled</v>
          </cell>
        </row>
        <row r="2244">
          <cell r="F2244" t="str">
            <v>SG-SlideSG-07/2024</v>
          </cell>
          <cell r="G2244" t="str">
            <v>Settled</v>
          </cell>
        </row>
        <row r="2245">
          <cell r="F2245" t="str">
            <v>SG-SlideSG-08/2024</v>
          </cell>
          <cell r="G2245" t="str">
            <v>Settled</v>
          </cell>
        </row>
        <row r="2246">
          <cell r="F2246" t="str">
            <v>SG-SlideSG-09/2024</v>
          </cell>
          <cell r="G2246" t="str">
            <v>Settled</v>
          </cell>
        </row>
        <row r="2247">
          <cell r="F2247" t="str">
            <v>SG-SlideSG-10/2024</v>
          </cell>
          <cell r="G2247" t="str">
            <v>Settled</v>
          </cell>
        </row>
        <row r="2248">
          <cell r="F2248" t="str">
            <v>SG-SlideSG-11/2024</v>
          </cell>
          <cell r="G2248" t="str">
            <v>Settled</v>
          </cell>
        </row>
        <row r="2249">
          <cell r="F2249" t="str">
            <v>SG-SlideSG-12/2024</v>
          </cell>
          <cell r="G2249" t="str">
            <v>Settled</v>
          </cell>
        </row>
        <row r="2250">
          <cell r="F2250" t="str">
            <v>SG-SlideSG-01/2025</v>
          </cell>
          <cell r="G2250" t="str">
            <v>Settled</v>
          </cell>
        </row>
        <row r="2251">
          <cell r="F2251" t="str">
            <v>SG-SlideSG-02/2025</v>
          </cell>
          <cell r="G2251" t="str">
            <v>Settled</v>
          </cell>
        </row>
        <row r="2252">
          <cell r="F2252" t="str">
            <v>SG-SlideSG-03/2025</v>
          </cell>
          <cell r="G2252" t="str">
            <v>Settled</v>
          </cell>
        </row>
        <row r="2253">
          <cell r="F2253" t="str">
            <v>SG-SlideSG-04/2025</v>
          </cell>
          <cell r="G2253" t="str">
            <v>Settled</v>
          </cell>
        </row>
        <row r="2254">
          <cell r="F2254" t="str">
            <v>SG-SlideSG-05/2025</v>
          </cell>
          <cell r="G2254" t="str">
            <v>Settled</v>
          </cell>
        </row>
        <row r="2255">
          <cell r="F2255" t="str">
            <v>SG-SlideSG-06/2025</v>
          </cell>
          <cell r="G2255" t="str">
            <v>Settled</v>
          </cell>
        </row>
        <row r="2256">
          <cell r="F2256" t="str">
            <v>SG-SlideSG-07/2025</v>
          </cell>
          <cell r="G2256" t="str">
            <v>Settled</v>
          </cell>
        </row>
        <row r="2257">
          <cell r="F2257" t="str">
            <v>SG-SlideSG-08/2025</v>
          </cell>
          <cell r="G2257" t="str">
            <v>Settled</v>
          </cell>
        </row>
        <row r="2258">
          <cell r="F2258" t="str">
            <v>SG-SlideSG-09/2025</v>
          </cell>
          <cell r="G2258" t="str">
            <v>Settled</v>
          </cell>
        </row>
        <row r="2259">
          <cell r="F2259" t="str">
            <v>SG-SlideSG-10/2025</v>
          </cell>
          <cell r="G2259" t="str">
            <v>Settled</v>
          </cell>
        </row>
        <row r="2260">
          <cell r="F2260" t="str">
            <v>SG-SlideSG-11/2025</v>
          </cell>
          <cell r="G2260" t="str">
            <v>Settled</v>
          </cell>
        </row>
        <row r="2261">
          <cell r="F2261" t="str">
            <v>SG-SlideSG-12/2025</v>
          </cell>
          <cell r="G2261" t="str">
            <v>Settled</v>
          </cell>
        </row>
        <row r="2262">
          <cell r="F2262" t="str">
            <v>SG-SlideSG-01/2026</v>
          </cell>
          <cell r="G2262" t="str">
            <v>Settled</v>
          </cell>
        </row>
        <row r="2263">
          <cell r="F2263" t="str">
            <v>SG-Ichange Pte Ltd-02/2026</v>
          </cell>
          <cell r="G2263" t="str">
            <v>Settled</v>
          </cell>
        </row>
        <row r="2264">
          <cell r="F2264" t="str">
            <v>SG-ICOGNITO-11/2023</v>
          </cell>
          <cell r="G2264" t="str">
            <v>Settled</v>
          </cell>
        </row>
        <row r="2265">
          <cell r="F2265" t="str">
            <v>SG-Iec Telecom Singapore Pte. Ltd.-11/2022</v>
          </cell>
          <cell r="G2265" t="str">
            <v>Settled</v>
          </cell>
        </row>
        <row r="2266">
          <cell r="F2266" t="str">
            <v>SG-Iec Telecom Singapore Pte. Ltd.-12/2022</v>
          </cell>
          <cell r="G2266" t="str">
            <v>Settled</v>
          </cell>
        </row>
        <row r="2267">
          <cell r="F2267" t="str">
            <v>SG-Iec Telecom Singapore Pte. Ltd.-01/2023</v>
          </cell>
          <cell r="G2267" t="str">
            <v>Settled</v>
          </cell>
        </row>
        <row r="2268">
          <cell r="F2268" t="str">
            <v>SG-IecTele-02/2023</v>
          </cell>
          <cell r="G2268" t="str">
            <v>Settled</v>
          </cell>
        </row>
        <row r="2269">
          <cell r="F2269" t="str">
            <v>SG-IecTele-03/2023</v>
          </cell>
          <cell r="G2269" t="str">
            <v>Settled</v>
          </cell>
        </row>
        <row r="2270">
          <cell r="F2270" t="str">
            <v>SG-IecTele-04/2023</v>
          </cell>
          <cell r="G2270" t="str">
            <v>Settled</v>
          </cell>
        </row>
        <row r="2271">
          <cell r="F2271" t="str">
            <v>SG-IecTele-05/2023</v>
          </cell>
          <cell r="G2271" t="str">
            <v>Settled</v>
          </cell>
        </row>
        <row r="2272">
          <cell r="F2272" t="str">
            <v>SG-IecTele-06/2023</v>
          </cell>
          <cell r="G2272" t="str">
            <v>Settled</v>
          </cell>
        </row>
        <row r="2273">
          <cell r="F2273" t="str">
            <v>SG-IecTele-07/2023</v>
          </cell>
          <cell r="G2273" t="str">
            <v>Settled</v>
          </cell>
        </row>
        <row r="2274">
          <cell r="F2274" t="str">
            <v>SG -IecTele-08/2023</v>
          </cell>
          <cell r="G2274" t="str">
            <v>Settled</v>
          </cell>
        </row>
        <row r="2275">
          <cell r="F2275" t="str">
            <v>SG-Ifx-11/2022</v>
          </cell>
          <cell r="G2275" t="str">
            <v>Settled</v>
          </cell>
        </row>
        <row r="2276">
          <cell r="F2276" t="str">
            <v>SG-Ifx-12/2022</v>
          </cell>
          <cell r="G2276" t="str">
            <v>Settled</v>
          </cell>
        </row>
        <row r="2277">
          <cell r="F2277" t="str">
            <v>SG-Ifx-01/2023</v>
          </cell>
          <cell r="G2277" t="str">
            <v>Settled</v>
          </cell>
        </row>
        <row r="2278">
          <cell r="F2278" t="str">
            <v>SG-Ifx-02/2023</v>
          </cell>
          <cell r="G2278" t="str">
            <v>Settled</v>
          </cell>
        </row>
        <row r="2279">
          <cell r="F2279" t="str">
            <v>SG-Ifx-03/2023</v>
          </cell>
          <cell r="G2279" t="str">
            <v>Settled</v>
          </cell>
        </row>
        <row r="2280">
          <cell r="F2280" t="str">
            <v>SG-Ifx-04/2023</v>
          </cell>
          <cell r="G2280" t="str">
            <v>Settled</v>
          </cell>
        </row>
        <row r="2281">
          <cell r="F2281" t="str">
            <v>SG-Ifx-05/2023</v>
          </cell>
          <cell r="G2281" t="str">
            <v>Settled</v>
          </cell>
        </row>
        <row r="2282">
          <cell r="F2282" t="str">
            <v>SG-Ifx-06/2023</v>
          </cell>
          <cell r="G2282" t="str">
            <v>Settled</v>
          </cell>
        </row>
        <row r="2283">
          <cell r="F2283" t="str">
            <v>SG-Ifx-07/2023</v>
          </cell>
          <cell r="G2283" t="str">
            <v>Settled</v>
          </cell>
        </row>
        <row r="2284">
          <cell r="F2284" t="str">
            <v>SG -Ifx-08/2023</v>
          </cell>
          <cell r="G2284" t="str">
            <v>Settled</v>
          </cell>
        </row>
        <row r="2285">
          <cell r="F2285" t="str">
            <v>SG-Ifx-09/2023</v>
          </cell>
          <cell r="G2285" t="str">
            <v>Settled</v>
          </cell>
        </row>
        <row r="2286">
          <cell r="F2286" t="str">
            <v>SG-Ifx-10/2023</v>
          </cell>
          <cell r="G2286" t="str">
            <v>Settled</v>
          </cell>
        </row>
        <row r="2287">
          <cell r="F2287" t="str">
            <v>SG-Ifx-11/2023</v>
          </cell>
          <cell r="G2287" t="str">
            <v>Settled</v>
          </cell>
        </row>
        <row r="2288">
          <cell r="F2288" t="str">
            <v>SG-Ifx-12/2023</v>
          </cell>
          <cell r="G2288" t="str">
            <v>Settled</v>
          </cell>
        </row>
        <row r="2289">
          <cell r="F2289" t="str">
            <v>SG-Ifx-01/2024</v>
          </cell>
          <cell r="G2289" t="str">
            <v>Settled</v>
          </cell>
        </row>
        <row r="2290">
          <cell r="F2290" t="str">
            <v>SG-Ifx-02/2024</v>
          </cell>
          <cell r="G2290" t="str">
            <v>Settled</v>
          </cell>
        </row>
        <row r="2291">
          <cell r="F2291" t="str">
            <v>SG-Ifx-03/2024</v>
          </cell>
          <cell r="G2291" t="str">
            <v>Settled</v>
          </cell>
        </row>
        <row r="2292">
          <cell r="F2292" t="str">
            <v>SG-Ifx-04/2024</v>
          </cell>
          <cell r="G2292" t="str">
            <v>Settled</v>
          </cell>
        </row>
        <row r="2293">
          <cell r="F2293" t="str">
            <v>SG-Ifx-05/2024</v>
          </cell>
          <cell r="G2293" t="str">
            <v>Settled</v>
          </cell>
        </row>
        <row r="2294">
          <cell r="F2294" t="str">
            <v>SG-Ifx-06/2024</v>
          </cell>
          <cell r="G2294" t="str">
            <v>Settled</v>
          </cell>
        </row>
        <row r="2295">
          <cell r="F2295" t="str">
            <v>SG-Ifx-07/2024</v>
          </cell>
          <cell r="G2295" t="str">
            <v>Settled</v>
          </cell>
        </row>
        <row r="2296">
          <cell r="F2296" t="str">
            <v>SG-Ifx-08/2024</v>
          </cell>
          <cell r="G2296" t="str">
            <v>Settled</v>
          </cell>
        </row>
        <row r="2297">
          <cell r="F2297" t="str">
            <v>SG-Ifx-09/2024</v>
          </cell>
          <cell r="G2297" t="str">
            <v>Settled</v>
          </cell>
        </row>
        <row r="2298">
          <cell r="F2298" t="str">
            <v>SG-Ifx-10/2024</v>
          </cell>
          <cell r="G2298" t="str">
            <v>Settled</v>
          </cell>
        </row>
        <row r="2299">
          <cell r="F2299" t="str">
            <v>SG-Ifx-11/2024</v>
          </cell>
          <cell r="G2299" t="str">
            <v>Settled</v>
          </cell>
        </row>
        <row r="2300">
          <cell r="F2300" t="str">
            <v>SG-Ifx-12/2024</v>
          </cell>
          <cell r="G2300" t="str">
            <v>Settled</v>
          </cell>
        </row>
        <row r="2301">
          <cell r="F2301" t="str">
            <v>SG-Ifx-01/2025</v>
          </cell>
          <cell r="G2301" t="str">
            <v>Settled</v>
          </cell>
        </row>
        <row r="2302">
          <cell r="F2302" t="str">
            <v>SG-Ifx-02/2025</v>
          </cell>
          <cell r="G2302" t="str">
            <v>Settled</v>
          </cell>
        </row>
        <row r="2303">
          <cell r="F2303" t="str">
            <v>SG-Ifx-03/2025</v>
          </cell>
          <cell r="G2303" t="str">
            <v>Settled</v>
          </cell>
        </row>
        <row r="2304">
          <cell r="F2304" t="str">
            <v>SG-Ifx-04/2025</v>
          </cell>
          <cell r="G2304" t="str">
            <v>Settled</v>
          </cell>
        </row>
        <row r="2305">
          <cell r="F2305" t="str">
            <v>SG-Ifx-05/2025</v>
          </cell>
          <cell r="G2305" t="str">
            <v>Settled</v>
          </cell>
        </row>
        <row r="2306">
          <cell r="F2306" t="str">
            <v>SG-Ifx-06/2025</v>
          </cell>
          <cell r="G2306" t="str">
            <v>Settled</v>
          </cell>
        </row>
        <row r="2307">
          <cell r="F2307" t="str">
            <v>SG-Ifx-07/2025</v>
          </cell>
          <cell r="G2307" t="str">
            <v>Settled</v>
          </cell>
        </row>
        <row r="2308">
          <cell r="F2308" t="str">
            <v>SG-Ifx-08/2025</v>
          </cell>
          <cell r="G2308" t="str">
            <v>Settled</v>
          </cell>
        </row>
        <row r="2309">
          <cell r="F2309" t="str">
            <v>SG-Ifx-09/2025</v>
          </cell>
          <cell r="G2309" t="str">
            <v>Settled</v>
          </cell>
        </row>
        <row r="2310">
          <cell r="F2310" t="str">
            <v>SG-Ifx-10/2025</v>
          </cell>
          <cell r="G2310" t="str">
            <v>Settled</v>
          </cell>
        </row>
        <row r="2311">
          <cell r="F2311" t="str">
            <v>SG-Ifx-11/2025</v>
          </cell>
          <cell r="G2311" t="str">
            <v>Settled</v>
          </cell>
        </row>
        <row r="2312">
          <cell r="F2312" t="str">
            <v>SG-Ifx-12/2025</v>
          </cell>
          <cell r="G2312" t="str">
            <v>Settled</v>
          </cell>
        </row>
        <row r="2313">
          <cell r="F2313" t="str">
            <v>SG-Ifx-01/2026</v>
          </cell>
          <cell r="G2313" t="str">
            <v>Settled</v>
          </cell>
        </row>
        <row r="2314">
          <cell r="F2314" t="str">
            <v>SG-Ifx-02/2026</v>
          </cell>
          <cell r="G2314" t="str">
            <v>Settled</v>
          </cell>
        </row>
        <row r="2315">
          <cell r="F2315" t="str">
            <v>SG-Iia Technologies-01/2023</v>
          </cell>
          <cell r="G2315" t="str">
            <v>Settled</v>
          </cell>
        </row>
        <row r="2316">
          <cell r="F2316" t="str">
            <v>SG-Index Standard Dmcc-11/2022</v>
          </cell>
          <cell r="G2316" t="str">
            <v>Settled</v>
          </cell>
        </row>
        <row r="2317">
          <cell r="F2317" t="str">
            <v>SG-Index Standard Dmcc-12/2022</v>
          </cell>
          <cell r="G2317" t="str">
            <v>Settled</v>
          </cell>
        </row>
        <row r="2318">
          <cell r="F2318" t="str">
            <v>SG-Index Standard Dmcc-01/2023</v>
          </cell>
          <cell r="G2318" t="str">
            <v>Settled</v>
          </cell>
        </row>
        <row r="2319">
          <cell r="F2319" t="str">
            <v>SG-IndexStDmcc-02/2023</v>
          </cell>
          <cell r="G2319" t="str">
            <v>Settled</v>
          </cell>
        </row>
        <row r="2320">
          <cell r="F2320" t="str">
            <v>SG-IndexStDmcc-03/2023</v>
          </cell>
          <cell r="G2320" t="str">
            <v>Settled</v>
          </cell>
        </row>
        <row r="2321">
          <cell r="F2321" t="str">
            <v>SG-IndexStDmcc-04/2023</v>
          </cell>
          <cell r="G2321" t="str">
            <v>Settled</v>
          </cell>
        </row>
        <row r="2322">
          <cell r="F2322" t="str">
            <v>SG-IndexStDmcc-05/2023</v>
          </cell>
          <cell r="G2322" t="str">
            <v>Settled</v>
          </cell>
        </row>
        <row r="2323">
          <cell r="F2323" t="str">
            <v>SG-IndexStDmcc-06/2023</v>
          </cell>
          <cell r="G2323" t="str">
            <v>Settled</v>
          </cell>
        </row>
        <row r="2324">
          <cell r="F2324" t="str">
            <v>SG-IndexStDmcc-07/2023</v>
          </cell>
          <cell r="G2324" t="str">
            <v>Settled</v>
          </cell>
        </row>
        <row r="2325">
          <cell r="F2325" t="str">
            <v>SG -IndexStDmcc-08/2023</v>
          </cell>
          <cell r="G2325" t="str">
            <v>Settled</v>
          </cell>
        </row>
        <row r="2326">
          <cell r="F2326" t="str">
            <v>SG-IndexStDmcc-09/2023</v>
          </cell>
          <cell r="G2326" t="str">
            <v>Settled</v>
          </cell>
        </row>
        <row r="2327">
          <cell r="F2327" t="str">
            <v>SG-IndexStDmcc-10/2023</v>
          </cell>
          <cell r="G2327" t="str">
            <v>Settled</v>
          </cell>
        </row>
        <row r="2328">
          <cell r="F2328" t="str">
            <v>SG-IndexStDmcc-11/2023</v>
          </cell>
          <cell r="G2328" t="str">
            <v>Settled</v>
          </cell>
        </row>
        <row r="2329">
          <cell r="F2329" t="str">
            <v>SG-IndexStDmcc-12/2023</v>
          </cell>
          <cell r="G2329" t="str">
            <v>Settled</v>
          </cell>
        </row>
        <row r="2330">
          <cell r="F2330" t="str">
            <v>SG-IndexStDmcc-01/2024</v>
          </cell>
          <cell r="G2330" t="str">
            <v>Settled</v>
          </cell>
        </row>
        <row r="2331">
          <cell r="F2331" t="str">
            <v>SG-IndexStDmcc-02/2024</v>
          </cell>
          <cell r="G2331" t="str">
            <v>Settled</v>
          </cell>
        </row>
        <row r="2332">
          <cell r="F2332" t="str">
            <v>SG-IndexStDmcc-03/2024</v>
          </cell>
          <cell r="G2332" t="str">
            <v>Settled</v>
          </cell>
        </row>
        <row r="2333">
          <cell r="F2333" t="str">
            <v>SG-IndexStDmcc-04/2024</v>
          </cell>
          <cell r="G2333" t="str">
            <v>Settled</v>
          </cell>
        </row>
        <row r="2334">
          <cell r="F2334" t="str">
            <v>SG-CN-IndexStDmcc-03-2024</v>
          </cell>
          <cell r="G2334" t="str">
            <v>Settled</v>
          </cell>
        </row>
        <row r="2335">
          <cell r="F2335" t="str">
            <v>SG-CN-IndexStDmcc-04-2024</v>
          </cell>
          <cell r="G2335" t="str">
            <v>Settled</v>
          </cell>
        </row>
        <row r="2336">
          <cell r="F2336" t="str">
            <v>SG-indigo-01/2024</v>
          </cell>
          <cell r="G2336" t="str">
            <v>Settled</v>
          </cell>
        </row>
        <row r="2337">
          <cell r="F2337" t="str">
            <v>SG-inshorts pte. ltd.-11/2022</v>
          </cell>
          <cell r="G2337" t="str">
            <v>Settled</v>
          </cell>
        </row>
        <row r="2338">
          <cell r="F2338" t="str">
            <v>SG-inshorts pte. ltd.-01/2023</v>
          </cell>
          <cell r="G2338" t="str">
            <v>Settled</v>
          </cell>
        </row>
        <row r="2339">
          <cell r="F2339" t="str">
            <v>SG-inshorts-03/2023</v>
          </cell>
          <cell r="G2339" t="str">
            <v>Settled</v>
          </cell>
        </row>
        <row r="2340">
          <cell r="F2340" t="str">
            <v>HK-Ipaylinks-11/2022</v>
          </cell>
          <cell r="G2340" t="str">
            <v>Settled</v>
          </cell>
        </row>
        <row r="2341">
          <cell r="F2341" t="str">
            <v>HK-Ipaylinks-12/2022</v>
          </cell>
          <cell r="G2341" t="str">
            <v>Settled</v>
          </cell>
        </row>
        <row r="2342">
          <cell r="F2342" t="str">
            <v>HK-Ipaylinks-01/2023</v>
          </cell>
          <cell r="G2342" t="str">
            <v>Settled</v>
          </cell>
        </row>
        <row r="2343">
          <cell r="F2343" t="str">
            <v>HK-Ipaylinks-02/2023</v>
          </cell>
          <cell r="G2343" t="str">
            <v>Settled</v>
          </cell>
        </row>
        <row r="2344">
          <cell r="F2344" t="str">
            <v>HK-Ipaylinks-03/2023</v>
          </cell>
          <cell r="G2344" t="str">
            <v>Settled</v>
          </cell>
        </row>
        <row r="2345">
          <cell r="F2345" t="str">
            <v>HK-ipaylinks-04/2023</v>
          </cell>
          <cell r="G2345" t="str">
            <v>Settled</v>
          </cell>
        </row>
        <row r="2346">
          <cell r="F2346" t="str">
            <v>HK-ipaylinks-05/2023</v>
          </cell>
          <cell r="G2346" t="str">
            <v>Settled</v>
          </cell>
        </row>
        <row r="2347">
          <cell r="F2347" t="str">
            <v>HK-ipaylinks-06/2023</v>
          </cell>
          <cell r="G2347" t="str">
            <v>Settled</v>
          </cell>
        </row>
        <row r="2348">
          <cell r="F2348" t="str">
            <v>HK-ipaylinks-07/2023</v>
          </cell>
          <cell r="G2348" t="str">
            <v>Settled</v>
          </cell>
        </row>
        <row r="2349">
          <cell r="F2349" t="str">
            <v>HK -ipaylinks-08/2023</v>
          </cell>
          <cell r="G2349" t="str">
            <v>Settled</v>
          </cell>
        </row>
        <row r="2350">
          <cell r="F2350" t="str">
            <v>HK-ipaylinks-09/2023</v>
          </cell>
          <cell r="G2350" t="str">
            <v>Settled</v>
          </cell>
        </row>
        <row r="2351">
          <cell r="F2351" t="str">
            <v>HK-ipaylinks-10/2023</v>
          </cell>
          <cell r="G2351" t="str">
            <v>Settled</v>
          </cell>
        </row>
        <row r="2352">
          <cell r="F2352" t="str">
            <v>HK-ipaylinks-11/2023</v>
          </cell>
          <cell r="G2352" t="str">
            <v>Settled</v>
          </cell>
        </row>
        <row r="2353">
          <cell r="F2353" t="str">
            <v>HK-ipaylinks-12/2023</v>
          </cell>
          <cell r="G2353" t="str">
            <v>Settled</v>
          </cell>
        </row>
        <row r="2354">
          <cell r="F2354" t="str">
            <v>HK-ipaylinks-01/2024</v>
          </cell>
          <cell r="G2354" t="str">
            <v>Settled</v>
          </cell>
        </row>
        <row r="2355">
          <cell r="F2355" t="str">
            <v>HK-ipaylinks-02/2024</v>
          </cell>
          <cell r="G2355" t="str">
            <v>Settled</v>
          </cell>
        </row>
        <row r="2356">
          <cell r="F2356" t="str">
            <v>HK-ipaylinks-03/2024</v>
          </cell>
          <cell r="G2356" t="str">
            <v>Settled</v>
          </cell>
        </row>
        <row r="2357">
          <cell r="F2357" t="str">
            <v>HK-ipaylinks-04/2024</v>
          </cell>
          <cell r="G2357" t="str">
            <v>Settled</v>
          </cell>
        </row>
        <row r="2358">
          <cell r="F2358" t="str">
            <v>HK-ipaylinks-05/2024</v>
          </cell>
          <cell r="G2358" t="str">
            <v>Settled</v>
          </cell>
        </row>
        <row r="2359">
          <cell r="F2359" t="str">
            <v>HK-ipaylinks-06/2024</v>
          </cell>
          <cell r="G2359" t="str">
            <v>Settled</v>
          </cell>
        </row>
        <row r="2360">
          <cell r="F2360" t="str">
            <v>HK-ipaylinks-07/2024</v>
          </cell>
          <cell r="G2360" t="str">
            <v>Settled</v>
          </cell>
        </row>
        <row r="2361">
          <cell r="F2361" t="str">
            <v>HK-ipaylinks-08/2024</v>
          </cell>
          <cell r="G2361" t="str">
            <v>Settled</v>
          </cell>
        </row>
        <row r="2362">
          <cell r="F2362" t="str">
            <v>HK-ipaylinks-09/2024</v>
          </cell>
          <cell r="G2362" t="str">
            <v>Settled</v>
          </cell>
        </row>
        <row r="2363">
          <cell r="F2363" t="str">
            <v>HK-ipaylinks-10/2024</v>
          </cell>
          <cell r="G2363" t="str">
            <v>Settled</v>
          </cell>
        </row>
        <row r="2364">
          <cell r="F2364" t="str">
            <v>HK-ipaylinks-11/2024</v>
          </cell>
          <cell r="G2364" t="str">
            <v>Settled</v>
          </cell>
        </row>
        <row r="2365">
          <cell r="F2365" t="str">
            <v>HK-ipaylinks-12/2024</v>
          </cell>
          <cell r="G2365" t="str">
            <v>Settled</v>
          </cell>
        </row>
        <row r="2366">
          <cell r="F2366" t="str">
            <v>HK-ipaylinks-01/2025</v>
          </cell>
          <cell r="G2366" t="str">
            <v>Settled</v>
          </cell>
        </row>
        <row r="2367">
          <cell r="F2367" t="str">
            <v>HK-ipaylinks-02/2025</v>
          </cell>
          <cell r="G2367" t="str">
            <v>Settled</v>
          </cell>
        </row>
        <row r="2368">
          <cell r="F2368" t="str">
            <v>HK-ipaylinks-03/2025</v>
          </cell>
          <cell r="G2368" t="str">
            <v>Settled</v>
          </cell>
        </row>
        <row r="2369">
          <cell r="F2369" t="str">
            <v>HK-ipaylinks-04/2025</v>
          </cell>
          <cell r="G2369" t="str">
            <v>Settled</v>
          </cell>
        </row>
        <row r="2370">
          <cell r="F2370" t="str">
            <v>HK-ipaylinks-05/2025</v>
          </cell>
          <cell r="G2370" t="str">
            <v>Settled</v>
          </cell>
        </row>
        <row r="2371">
          <cell r="F2371" t="str">
            <v>HK-ipaylinks-06/2025</v>
          </cell>
          <cell r="G2371" t="str">
            <v>Settled</v>
          </cell>
        </row>
        <row r="2372">
          <cell r="F2372" t="str">
            <v>HK-ipaylinks-07/2025</v>
          </cell>
          <cell r="G2372" t="str">
            <v>Settled</v>
          </cell>
        </row>
        <row r="2373">
          <cell r="F2373" t="str">
            <v>HK-ipaylinks-08/2025</v>
          </cell>
          <cell r="G2373" t="str">
            <v>Settled</v>
          </cell>
        </row>
        <row r="2374">
          <cell r="F2374" t="str">
            <v>HK-ipaylinks-09/2025</v>
          </cell>
          <cell r="G2374" t="str">
            <v>Settled</v>
          </cell>
        </row>
        <row r="2375">
          <cell r="F2375" t="str">
            <v>HK-ipaylinks-10/2025</v>
          </cell>
          <cell r="G2375" t="str">
            <v>Settled</v>
          </cell>
        </row>
        <row r="2376">
          <cell r="F2376" t="str">
            <v>HK-ipaylinks-11/2025</v>
          </cell>
          <cell r="G2376" t="str">
            <v>Settled</v>
          </cell>
        </row>
        <row r="2377">
          <cell r="F2377" t="str">
            <v>HK-ipaylinks-12/2025</v>
          </cell>
          <cell r="G2377" t="str">
            <v>Settled</v>
          </cell>
        </row>
        <row r="2378">
          <cell r="F2378" t="str">
            <v>HK-ipaylinks-01/2026</v>
          </cell>
          <cell r="G2378" t="str">
            <v>Settled</v>
          </cell>
        </row>
        <row r="2379">
          <cell r="F2379" t="str">
            <v>HK-ipaylinks-02/2026</v>
          </cell>
          <cell r="G2379" t="str">
            <v>Settled</v>
          </cell>
        </row>
        <row r="2380">
          <cell r="F2380" t="str">
            <v>SG-Isx financial eu ltd-11/2022</v>
          </cell>
          <cell r="G2380" t="str">
            <v>Settled</v>
          </cell>
        </row>
        <row r="2381">
          <cell r="F2381" t="str">
            <v>SG-Isx financial eu ltd-12/2022</v>
          </cell>
          <cell r="G2381" t="str">
            <v>Settled</v>
          </cell>
        </row>
        <row r="2382">
          <cell r="F2382" t="str">
            <v>SG-Isx financial eu ltd-01/2023</v>
          </cell>
          <cell r="G2382" t="str">
            <v>Settled</v>
          </cell>
        </row>
        <row r="2383">
          <cell r="F2383" t="str">
            <v>SG-Isxfin-02/2023</v>
          </cell>
          <cell r="G2383" t="str">
            <v>Settled</v>
          </cell>
        </row>
        <row r="2384">
          <cell r="F2384" t="str">
            <v>SG-Isxfin-03/2023</v>
          </cell>
          <cell r="G2384" t="str">
            <v>Settled</v>
          </cell>
        </row>
        <row r="2385">
          <cell r="F2385" t="str">
            <v>SG-Isxfin-04/2023</v>
          </cell>
          <cell r="G2385" t="str">
            <v>Settled</v>
          </cell>
        </row>
        <row r="2386">
          <cell r="F2386" t="str">
            <v>SG-Isxfin-05/2023</v>
          </cell>
          <cell r="G2386" t="str">
            <v>Settled</v>
          </cell>
        </row>
        <row r="2387">
          <cell r="F2387" t="str">
            <v>SG-Isxfin-06/2023</v>
          </cell>
          <cell r="G2387" t="str">
            <v>Settled</v>
          </cell>
        </row>
        <row r="2388">
          <cell r="F2388" t="str">
            <v>SG-Isxfin-07/2023</v>
          </cell>
          <cell r="G2388" t="str">
            <v>Settled</v>
          </cell>
        </row>
        <row r="2389">
          <cell r="F2389" t="str">
            <v>SG -Isxfin-08/2023</v>
          </cell>
          <cell r="G2389" t="str">
            <v>Settled</v>
          </cell>
        </row>
        <row r="2390">
          <cell r="F2390" t="str">
            <v>SG-Isxfin-09/2023</v>
          </cell>
          <cell r="G2390" t="str">
            <v>Settled</v>
          </cell>
        </row>
        <row r="2391">
          <cell r="F2391" t="str">
            <v>SG-Isxfin-10/2023</v>
          </cell>
          <cell r="G2391" t="str">
            <v>Settled</v>
          </cell>
        </row>
        <row r="2392">
          <cell r="F2392" t="str">
            <v>SG-Isxfin-11/2023</v>
          </cell>
          <cell r="G2392" t="str">
            <v>Settled</v>
          </cell>
        </row>
        <row r="2393">
          <cell r="F2393" t="str">
            <v>SG-Isxfin-12/2023</v>
          </cell>
          <cell r="G2393" t="str">
            <v>Settled</v>
          </cell>
        </row>
        <row r="2394">
          <cell r="F2394" t="str">
            <v>SG-Isxfin-01/2024</v>
          </cell>
          <cell r="G2394" t="str">
            <v>Settled</v>
          </cell>
        </row>
        <row r="2395">
          <cell r="F2395" t="str">
            <v>SG-Isxfin-02/2024</v>
          </cell>
          <cell r="G2395" t="str">
            <v>Settled</v>
          </cell>
        </row>
        <row r="2396">
          <cell r="F2396" t="str">
            <v>SG-Isxfin-03/2024</v>
          </cell>
          <cell r="G2396" t="str">
            <v>Settled</v>
          </cell>
        </row>
        <row r="2397">
          <cell r="F2397" t="str">
            <v>SG-Isxfin-04/2024</v>
          </cell>
          <cell r="G2397" t="str">
            <v>Settled</v>
          </cell>
        </row>
        <row r="2398">
          <cell r="F2398" t="str">
            <v>SG-Isxfin-05/2024</v>
          </cell>
          <cell r="G2398" t="str">
            <v>Settled</v>
          </cell>
        </row>
        <row r="2399">
          <cell r="F2399" t="str">
            <v>SG-Isxfin-06/2024</v>
          </cell>
          <cell r="G2399" t="str">
            <v>Settled</v>
          </cell>
        </row>
        <row r="2400">
          <cell r="F2400" t="str">
            <v>SG-Isxfin-07/2024</v>
          </cell>
          <cell r="G2400" t="str">
            <v>Settled</v>
          </cell>
        </row>
        <row r="2401">
          <cell r="F2401" t="str">
            <v>SG-Isxfin-08/2024</v>
          </cell>
          <cell r="G2401" t="str">
            <v>Settled</v>
          </cell>
        </row>
        <row r="2402">
          <cell r="F2402" t="str">
            <v>SG-Isxfin-09/2024</v>
          </cell>
          <cell r="G2402" t="str">
            <v>Settled</v>
          </cell>
        </row>
        <row r="2403">
          <cell r="F2403" t="str">
            <v>SG-Isxfin-10/2024</v>
          </cell>
          <cell r="G2403" t="str">
            <v>Settled</v>
          </cell>
        </row>
        <row r="2404">
          <cell r="F2404" t="str">
            <v>SG-Isxfin-11/2024</v>
          </cell>
          <cell r="G2404" t="str">
            <v>Settled</v>
          </cell>
        </row>
        <row r="2405">
          <cell r="F2405" t="str">
            <v>SG-Isxfin-12/2024</v>
          </cell>
          <cell r="G2405" t="str">
            <v>Settled</v>
          </cell>
        </row>
        <row r="2406">
          <cell r="F2406" t="str">
            <v>SG-Isxfin-01/2025</v>
          </cell>
          <cell r="G2406" t="str">
            <v>Settled</v>
          </cell>
        </row>
        <row r="2407">
          <cell r="F2407" t="str">
            <v>SG-Isxfin-02/2025</v>
          </cell>
          <cell r="G2407" t="str">
            <v>Settled</v>
          </cell>
        </row>
        <row r="2408">
          <cell r="F2408" t="str">
            <v>SG-Isxfin-03/2025</v>
          </cell>
          <cell r="G2408" t="str">
            <v>Settled</v>
          </cell>
        </row>
        <row r="2409">
          <cell r="F2409" t="str">
            <v>SG-Isxfin-04/2025</v>
          </cell>
          <cell r="G2409" t="str">
            <v>Settled</v>
          </cell>
        </row>
        <row r="2410">
          <cell r="F2410" t="str">
            <v>SG-Isxfin-05/2025</v>
          </cell>
          <cell r="G2410" t="str">
            <v>Settled</v>
          </cell>
        </row>
        <row r="2411">
          <cell r="F2411" t="str">
            <v>SG-Isxfin-06/2025</v>
          </cell>
          <cell r="G2411" t="str">
            <v>Settled</v>
          </cell>
        </row>
        <row r="2412">
          <cell r="F2412" t="str">
            <v>SG-Isxfin-07/2025</v>
          </cell>
          <cell r="G2412" t="str">
            <v>Settled</v>
          </cell>
        </row>
        <row r="2413">
          <cell r="F2413" t="str">
            <v>SG-Isxfin-08/2025</v>
          </cell>
          <cell r="G2413" t="str">
            <v>Settled</v>
          </cell>
        </row>
        <row r="2414">
          <cell r="F2414" t="str">
            <v>SG-Isxfin-09/2025</v>
          </cell>
          <cell r="G2414" t="str">
            <v>Settled</v>
          </cell>
        </row>
        <row r="2415">
          <cell r="F2415" t="str">
            <v>SG-Isxfin-10/2025</v>
          </cell>
          <cell r="G2415" t="str">
            <v>Settled</v>
          </cell>
        </row>
        <row r="2416">
          <cell r="F2416" t="str">
            <v>SG-Isxfin-11/2025</v>
          </cell>
          <cell r="G2416" t="str">
            <v>Settled</v>
          </cell>
        </row>
        <row r="2417">
          <cell r="F2417" t="str">
            <v>SG-Isxfin-12/2025</v>
          </cell>
          <cell r="G2417" t="str">
            <v>Settled</v>
          </cell>
        </row>
        <row r="2418">
          <cell r="F2418" t="str">
            <v>SG-Isxfin-01/2026</v>
          </cell>
          <cell r="G2418" t="str">
            <v>Net Off</v>
          </cell>
        </row>
        <row r="2419">
          <cell r="F2419" t="str">
            <v>SG-CN-Isxfin-01-2026</v>
          </cell>
          <cell r="G2419" t="str">
            <v>Net Off</v>
          </cell>
        </row>
        <row r="2420">
          <cell r="F2420" t="str">
            <v>SG-Jainesis-11/2022</v>
          </cell>
          <cell r="G2420" t="str">
            <v>Settled</v>
          </cell>
        </row>
        <row r="2421">
          <cell r="F2421" t="str">
            <v>SG-Jainesis-12/2022</v>
          </cell>
          <cell r="G2421" t="str">
            <v>Settled</v>
          </cell>
        </row>
        <row r="2422">
          <cell r="F2422" t="str">
            <v>SG-Jainesis-01/2023</v>
          </cell>
          <cell r="G2422" t="str">
            <v>Settled</v>
          </cell>
        </row>
        <row r="2423">
          <cell r="F2423" t="str">
            <v>SG-Jainesis-02/2023</v>
          </cell>
          <cell r="G2423" t="str">
            <v>Settled</v>
          </cell>
        </row>
        <row r="2424">
          <cell r="F2424" t="str">
            <v>SG-Jainesis-03/2023</v>
          </cell>
          <cell r="G2424" t="str">
            <v>Settled</v>
          </cell>
        </row>
        <row r="2425">
          <cell r="F2425" t="str">
            <v>SG-Jainesis-04/2023</v>
          </cell>
          <cell r="G2425" t="str">
            <v>Settled</v>
          </cell>
        </row>
        <row r="2426">
          <cell r="F2426" t="str">
            <v>SG-Jainesis-05/2023</v>
          </cell>
          <cell r="G2426" t="str">
            <v>Settled</v>
          </cell>
        </row>
        <row r="2427">
          <cell r="F2427" t="str">
            <v>SG-Jainesis-06/2023</v>
          </cell>
          <cell r="G2427" t="str">
            <v>Settled</v>
          </cell>
        </row>
        <row r="2428">
          <cell r="F2428" t="str">
            <v>SG-Jainesis-07/2023</v>
          </cell>
          <cell r="G2428" t="str">
            <v>Settled</v>
          </cell>
        </row>
        <row r="2429">
          <cell r="F2429" t="str">
            <v>SG -Jainesis-08/2023</v>
          </cell>
          <cell r="G2429" t="str">
            <v>Settled</v>
          </cell>
        </row>
        <row r="2430">
          <cell r="F2430" t="str">
            <v>SG-Jeonbuk-04/2024</v>
          </cell>
          <cell r="G2430" t="str">
            <v>Settled</v>
          </cell>
        </row>
        <row r="2431">
          <cell r="F2431" t="str">
            <v>SG-Jeonbuk-05/2024</v>
          </cell>
          <cell r="G2431" t="str">
            <v>Settled</v>
          </cell>
        </row>
        <row r="2432">
          <cell r="F2432" t="str">
            <v>SG-Jeonbuk-06/2024</v>
          </cell>
          <cell r="G2432" t="str">
            <v>Settled</v>
          </cell>
        </row>
        <row r="2433">
          <cell r="F2433" t="str">
            <v>SG-Jeonbuk-07/2024</v>
          </cell>
          <cell r="G2433" t="str">
            <v>Settled</v>
          </cell>
        </row>
        <row r="2434">
          <cell r="F2434" t="str">
            <v>SG-Jeonbuk-08/2024</v>
          </cell>
          <cell r="G2434" t="str">
            <v>Settled</v>
          </cell>
        </row>
        <row r="2435">
          <cell r="F2435" t="str">
            <v>SG-Jeonbuk-09/2024</v>
          </cell>
          <cell r="G2435" t="str">
            <v>Settled</v>
          </cell>
        </row>
        <row r="2436">
          <cell r="F2436" t="str">
            <v>SG-Jeonbuk-10/2024</v>
          </cell>
          <cell r="G2436" t="str">
            <v>Settled</v>
          </cell>
        </row>
        <row r="2437">
          <cell r="F2437" t="str">
            <v>SG-Jeonbuk-11/2024</v>
          </cell>
          <cell r="G2437" t="str">
            <v>Settled</v>
          </cell>
        </row>
        <row r="2438">
          <cell r="F2438" t="str">
            <v>SG-Jeonbuk-12/2024</v>
          </cell>
          <cell r="G2438" t="str">
            <v>Settled</v>
          </cell>
        </row>
        <row r="2439">
          <cell r="F2439" t="str">
            <v>SG-Jeonbuk-01/2025</v>
          </cell>
          <cell r="G2439" t="str">
            <v>Settled</v>
          </cell>
        </row>
        <row r="2440">
          <cell r="F2440" t="str">
            <v>SG-Jeonbuk-02/2025</v>
          </cell>
          <cell r="G2440" t="str">
            <v>Settled</v>
          </cell>
        </row>
        <row r="2441">
          <cell r="F2441" t="str">
            <v>SG-Jeonbuk-03/2025</v>
          </cell>
          <cell r="G2441" t="str">
            <v>Settled</v>
          </cell>
        </row>
        <row r="2442">
          <cell r="F2442" t="str">
            <v>SG-Jeonbuk-04/2025</v>
          </cell>
          <cell r="G2442" t="str">
            <v>Settled</v>
          </cell>
        </row>
        <row r="2443">
          <cell r="F2443" t="str">
            <v>SG-Jeonbuk-05/2025</v>
          </cell>
          <cell r="G2443" t="str">
            <v>Settled</v>
          </cell>
        </row>
        <row r="2444">
          <cell r="F2444" t="str">
            <v>SG-Jeonbuk-06/2025</v>
          </cell>
          <cell r="G2444" t="str">
            <v>Settled</v>
          </cell>
        </row>
        <row r="2445">
          <cell r="F2445" t="str">
            <v>SG-Jeonbuk-07/2025</v>
          </cell>
          <cell r="G2445" t="str">
            <v>Settled</v>
          </cell>
        </row>
        <row r="2446">
          <cell r="F2446" t="str">
            <v>SG-Jeonbuk-08/2025</v>
          </cell>
          <cell r="G2446" t="str">
            <v>Settled</v>
          </cell>
        </row>
        <row r="2447">
          <cell r="F2447" t="str">
            <v>SG-Jeonbuk-09/2025</v>
          </cell>
          <cell r="G2447" t="str">
            <v>Settled</v>
          </cell>
        </row>
        <row r="2448">
          <cell r="F2448" t="str">
            <v>SG-Jeonbuk-10/2025</v>
          </cell>
          <cell r="G2448" t="str">
            <v>Settled</v>
          </cell>
        </row>
        <row r="2449">
          <cell r="F2449" t="str">
            <v>SG-Jeonbuk-11/2025</v>
          </cell>
          <cell r="G2449" t="str">
            <v>Settled</v>
          </cell>
        </row>
        <row r="2450">
          <cell r="F2450" t="str">
            <v>SG-Jeonbuk-12/2025</v>
          </cell>
          <cell r="G2450" t="str">
            <v>Settled</v>
          </cell>
        </row>
        <row r="2451">
          <cell r="F2451" t="str">
            <v>SG-Jeonbuk-01/2026</v>
          </cell>
          <cell r="G2451" t="str">
            <v>Settled</v>
          </cell>
        </row>
        <row r="2452">
          <cell r="F2452" t="str">
            <v>SG-Jeonbuk-02/2026</v>
          </cell>
          <cell r="G2452" t="str">
            <v>Settled</v>
          </cell>
        </row>
        <row r="2453">
          <cell r="F2453" t="str">
            <v>SG -Karbon united pte. ltd.-01/2022</v>
          </cell>
          <cell r="G2453" t="str">
            <v>Settled</v>
          </cell>
        </row>
        <row r="2454">
          <cell r="F2454" t="str">
            <v>SG -Karbon united pte. ltd.-02/2022</v>
          </cell>
          <cell r="G2454" t="str">
            <v>Settled</v>
          </cell>
        </row>
        <row r="2455">
          <cell r="F2455" t="str">
            <v>SG -Karbon united pte. ltd.-03/2022</v>
          </cell>
          <cell r="G2455" t="str">
            <v>Settled</v>
          </cell>
        </row>
        <row r="2456">
          <cell r="F2456" t="str">
            <v>SG -Karbon united pte. ltd.-07/2022</v>
          </cell>
          <cell r="G2456" t="str">
            <v>Settled</v>
          </cell>
        </row>
        <row r="2457">
          <cell r="F2457" t="str">
            <v>SG-Karbon-08/2022</v>
          </cell>
          <cell r="G2457" t="str">
            <v>Settled</v>
          </cell>
        </row>
        <row r="2458">
          <cell r="F2458" t="str">
            <v>SG-Kasikorn Bank-11/2022</v>
          </cell>
          <cell r="G2458" t="str">
            <v>Settled</v>
          </cell>
        </row>
        <row r="2459">
          <cell r="F2459" t="str">
            <v>SG-Kasikorn Bank-12/2022</v>
          </cell>
          <cell r="G2459" t="str">
            <v>Settled</v>
          </cell>
        </row>
        <row r="2460">
          <cell r="F2460" t="str">
            <v>SG-Kasikorn Bank-01/2023</v>
          </cell>
          <cell r="G2460" t="str">
            <v>Settled</v>
          </cell>
        </row>
        <row r="2461">
          <cell r="F2461" t="str">
            <v>SG-KasikornBank-02/2023</v>
          </cell>
          <cell r="G2461" t="str">
            <v>Settled</v>
          </cell>
        </row>
        <row r="2462">
          <cell r="F2462" t="str">
            <v>SG-KasikornBank-03/2023</v>
          </cell>
          <cell r="G2462" t="str">
            <v>Settled</v>
          </cell>
        </row>
        <row r="2463">
          <cell r="F2463" t="str">
            <v>SG-KasikornBank-04/2023</v>
          </cell>
          <cell r="G2463" t="str">
            <v>Settled</v>
          </cell>
        </row>
        <row r="2464">
          <cell r="F2464" t="str">
            <v>SG-KasikornBank-05/2023</v>
          </cell>
          <cell r="G2464" t="str">
            <v>Settled</v>
          </cell>
        </row>
        <row r="2465">
          <cell r="F2465" t="str">
            <v>SG-KasikornBank-06/2023</v>
          </cell>
          <cell r="G2465" t="str">
            <v>Settled</v>
          </cell>
        </row>
        <row r="2466">
          <cell r="F2466" t="str">
            <v>SG-KasikornBank-07/2023</v>
          </cell>
          <cell r="G2466" t="str">
            <v>Settled</v>
          </cell>
        </row>
        <row r="2467">
          <cell r="F2467" t="str">
            <v>SG -KasikornBank-08/2023</v>
          </cell>
          <cell r="G2467" t="str">
            <v>Settled</v>
          </cell>
        </row>
        <row r="2468">
          <cell r="F2468" t="str">
            <v>SG-KasikornBank-09/2023</v>
          </cell>
          <cell r="G2468" t="str">
            <v>Settled</v>
          </cell>
        </row>
        <row r="2469">
          <cell r="F2469" t="str">
            <v>SG-KasikornBank-10/2023</v>
          </cell>
          <cell r="G2469" t="str">
            <v>Settled</v>
          </cell>
        </row>
        <row r="2470">
          <cell r="F2470" t="str">
            <v>SG-KasikornBank-11/2023</v>
          </cell>
          <cell r="G2470" t="str">
            <v>Settled</v>
          </cell>
        </row>
        <row r="2471">
          <cell r="F2471" t="str">
            <v>SG-KasikornBank-12/2023</v>
          </cell>
          <cell r="G2471" t="str">
            <v>Settled</v>
          </cell>
        </row>
        <row r="2472">
          <cell r="F2472" t="str">
            <v>SG-KasikornBank-01/2024</v>
          </cell>
          <cell r="G2472" t="str">
            <v>Settled</v>
          </cell>
        </row>
        <row r="2473">
          <cell r="F2473" t="str">
            <v>SG-KasikornBank-02/2024</v>
          </cell>
          <cell r="G2473" t="str">
            <v>Settled</v>
          </cell>
        </row>
        <row r="2474">
          <cell r="F2474" t="str">
            <v>SG-KasikornBank-03/2024</v>
          </cell>
          <cell r="G2474" t="str">
            <v>Settled</v>
          </cell>
        </row>
        <row r="2475">
          <cell r="F2475" t="str">
            <v>SG-KasikornBank-04/2024</v>
          </cell>
          <cell r="G2475" t="str">
            <v>Settled</v>
          </cell>
        </row>
        <row r="2476">
          <cell r="F2476" t="str">
            <v>SG-KasikornBank-05/2024</v>
          </cell>
          <cell r="G2476" t="str">
            <v>Settled</v>
          </cell>
        </row>
        <row r="2477">
          <cell r="F2477" t="str">
            <v>SG-KasikornBank-06/2024</v>
          </cell>
          <cell r="G2477" t="str">
            <v>Settled</v>
          </cell>
        </row>
        <row r="2478">
          <cell r="F2478" t="str">
            <v>SG-KasikornBank-07/2024</v>
          </cell>
          <cell r="G2478" t="str">
            <v>Settled</v>
          </cell>
        </row>
        <row r="2479">
          <cell r="F2479" t="str">
            <v>SG-KasikornBank-08/2024</v>
          </cell>
          <cell r="G2479" t="str">
            <v>Settled</v>
          </cell>
        </row>
        <row r="2480">
          <cell r="F2480" t="str">
            <v>SG-KasikornBank-09/2024</v>
          </cell>
          <cell r="G2480" t="str">
            <v>Settled</v>
          </cell>
        </row>
        <row r="2481">
          <cell r="F2481" t="str">
            <v>SG-KasikornBank-10/2024</v>
          </cell>
          <cell r="G2481" t="str">
            <v>Settled</v>
          </cell>
        </row>
        <row r="2482">
          <cell r="F2482" t="str">
            <v>SG-KasikornBank-11/2024</v>
          </cell>
          <cell r="G2482" t="str">
            <v>Settled</v>
          </cell>
        </row>
        <row r="2483">
          <cell r="F2483" t="str">
            <v>SG-KasikornBank-12/2024</v>
          </cell>
          <cell r="G2483" t="str">
            <v>Settled</v>
          </cell>
        </row>
        <row r="2484">
          <cell r="F2484" t="str">
            <v>SG-KasikornBank-01/2025</v>
          </cell>
          <cell r="G2484" t="str">
            <v>Settled</v>
          </cell>
        </row>
        <row r="2485">
          <cell r="F2485" t="str">
            <v>SG-KasikornBank-02/2025</v>
          </cell>
          <cell r="G2485" t="str">
            <v>Settled</v>
          </cell>
        </row>
        <row r="2486">
          <cell r="F2486" t="str">
            <v>SG-KasikornBank-03/2025</v>
          </cell>
          <cell r="G2486" t="str">
            <v>Settled</v>
          </cell>
        </row>
        <row r="2487">
          <cell r="F2487" t="str">
            <v>SG-KasikornBank-04/2025</v>
          </cell>
          <cell r="G2487" t="str">
            <v>Settled</v>
          </cell>
        </row>
        <row r="2488">
          <cell r="F2488" t="str">
            <v>SG-KasikornBank-05/2025</v>
          </cell>
          <cell r="G2488" t="str">
            <v>Settled</v>
          </cell>
        </row>
        <row r="2489">
          <cell r="F2489" t="str">
            <v>SG-KasikornBank-06/2025</v>
          </cell>
          <cell r="G2489" t="str">
            <v>Settled</v>
          </cell>
        </row>
        <row r="2490">
          <cell r="F2490" t="str">
            <v>SG-KasikornBank-07/2025</v>
          </cell>
          <cell r="G2490" t="str">
            <v>Settled</v>
          </cell>
        </row>
        <row r="2491">
          <cell r="F2491" t="str">
            <v>SG-KasikornBank-08/2025</v>
          </cell>
          <cell r="G2491" t="str">
            <v>Settled</v>
          </cell>
        </row>
        <row r="2492">
          <cell r="F2492" t="str">
            <v>SG-KasikornBank-09/2025</v>
          </cell>
          <cell r="G2492" t="str">
            <v>Settled</v>
          </cell>
        </row>
        <row r="2493">
          <cell r="F2493" t="str">
            <v>SG-KasikornBank-10/2025</v>
          </cell>
          <cell r="G2493" t="str">
            <v>Settled</v>
          </cell>
        </row>
        <row r="2494">
          <cell r="F2494" t="str">
            <v>SG-KasikornBank-11/2025</v>
          </cell>
          <cell r="G2494" t="str">
            <v>Settled</v>
          </cell>
        </row>
        <row r="2495">
          <cell r="F2495" t="str">
            <v>SG-KasikornBank-12/2025</v>
          </cell>
          <cell r="G2495" t="str">
            <v>Settled</v>
          </cell>
        </row>
        <row r="2496">
          <cell r="F2496" t="str">
            <v>SG-KasikornBank-01/2026</v>
          </cell>
          <cell r="G2496" t="str">
            <v>Settled</v>
          </cell>
        </row>
        <row r="2497">
          <cell r="F2497" t="str">
            <v>SG-KasikornBank-02/2026</v>
          </cell>
          <cell r="G2497" t="str">
            <v>Overdue</v>
          </cell>
        </row>
        <row r="2498">
          <cell r="F2498" t="str">
            <v>AU-kina bank-11/2022</v>
          </cell>
          <cell r="G2498" t="str">
            <v>Settled</v>
          </cell>
        </row>
        <row r="2499">
          <cell r="F2499" t="str">
            <v>AU-kina bank-12/2022</v>
          </cell>
          <cell r="G2499" t="str">
            <v>Settled</v>
          </cell>
        </row>
        <row r="2500">
          <cell r="F2500" t="str">
            <v>AU-kina bank-01/2023</v>
          </cell>
          <cell r="G2500" t="str">
            <v>Settled</v>
          </cell>
        </row>
        <row r="2501">
          <cell r="F2501" t="str">
            <v>AU-kina bank-02/2023</v>
          </cell>
          <cell r="G2501" t="str">
            <v>Settled</v>
          </cell>
        </row>
        <row r="2502">
          <cell r="F2502" t="str">
            <v>AU-kina bank-03/2023</v>
          </cell>
          <cell r="G2502" t="str">
            <v>Settled</v>
          </cell>
        </row>
        <row r="2503">
          <cell r="F2503" t="str">
            <v>AU-kina bank-04/2023</v>
          </cell>
          <cell r="G2503" t="str">
            <v>Settled</v>
          </cell>
        </row>
        <row r="2504">
          <cell r="F2504" t="str">
            <v>AU-kina bank-05/2023</v>
          </cell>
          <cell r="G2504" t="str">
            <v>Settled</v>
          </cell>
        </row>
        <row r="2505">
          <cell r="F2505" t="str">
            <v>AU-kina bank-06/2023</v>
          </cell>
          <cell r="G2505" t="str">
            <v>Settled</v>
          </cell>
        </row>
        <row r="2506">
          <cell r="F2506" t="str">
            <v>AU-kina bank-07/2023</v>
          </cell>
          <cell r="G2506" t="str">
            <v>Settled</v>
          </cell>
        </row>
        <row r="2507">
          <cell r="F2507" t="str">
            <v>AU -kina bank-08/2023</v>
          </cell>
          <cell r="G2507" t="str">
            <v>Settled</v>
          </cell>
        </row>
        <row r="2508">
          <cell r="F2508" t="str">
            <v>AU-kina bank-09/2023</v>
          </cell>
          <cell r="G2508" t="str">
            <v>Settled</v>
          </cell>
        </row>
        <row r="2509">
          <cell r="F2509" t="str">
            <v>AU-kina bank-10/2023</v>
          </cell>
          <cell r="G2509" t="str">
            <v>Settled</v>
          </cell>
        </row>
        <row r="2510">
          <cell r="F2510" t="str">
            <v>AU-kina bank-11/2023</v>
          </cell>
          <cell r="G2510" t="str">
            <v>Settled</v>
          </cell>
        </row>
        <row r="2511">
          <cell r="F2511" t="str">
            <v>AU-kina bank-12/2023</v>
          </cell>
          <cell r="G2511" t="str">
            <v>Settled</v>
          </cell>
        </row>
        <row r="2512">
          <cell r="F2512" t="str">
            <v>AU-kina bank-01/2024</v>
          </cell>
          <cell r="G2512" t="str">
            <v>Settled</v>
          </cell>
        </row>
        <row r="2513">
          <cell r="F2513" t="str">
            <v>AU-kina bank-02/2024</v>
          </cell>
          <cell r="G2513" t="str">
            <v>Settled</v>
          </cell>
        </row>
        <row r="2514">
          <cell r="F2514" t="str">
            <v>AU-kina bank-03/2024</v>
          </cell>
          <cell r="G2514" t="str">
            <v>Settled</v>
          </cell>
        </row>
        <row r="2515">
          <cell r="F2515" t="str">
            <v>AU-kina bank-04/2024</v>
          </cell>
          <cell r="G2515" t="str">
            <v>Settled</v>
          </cell>
        </row>
        <row r="2516">
          <cell r="F2516" t="str">
            <v>AU-kina bank-05/2024</v>
          </cell>
          <cell r="G2516" t="str">
            <v>Settled</v>
          </cell>
        </row>
        <row r="2517">
          <cell r="F2517" t="str">
            <v>AU-kina bank-06/2024</v>
          </cell>
          <cell r="G2517" t="str">
            <v>Settled</v>
          </cell>
        </row>
        <row r="2518">
          <cell r="F2518" t="str">
            <v>AU-kina bank-07/2024</v>
          </cell>
          <cell r="G2518" t="str">
            <v>Settled</v>
          </cell>
        </row>
        <row r="2519">
          <cell r="F2519" t="str">
            <v>AU-kina bank-08/2024</v>
          </cell>
          <cell r="G2519" t="str">
            <v>Settled</v>
          </cell>
        </row>
        <row r="2520">
          <cell r="F2520" t="str">
            <v>AU-kina bank-09/2024</v>
          </cell>
          <cell r="G2520" t="str">
            <v>Settled</v>
          </cell>
        </row>
        <row r="2521">
          <cell r="F2521" t="str">
            <v>AU-kina bank-10/2024</v>
          </cell>
          <cell r="G2521" t="str">
            <v>Settled</v>
          </cell>
        </row>
        <row r="2522">
          <cell r="F2522" t="str">
            <v>AU-kina bank-11/2024</v>
          </cell>
          <cell r="G2522" t="str">
            <v>Settled</v>
          </cell>
        </row>
        <row r="2523">
          <cell r="F2523" t="str">
            <v>AU-kina bank-12/2024</v>
          </cell>
          <cell r="G2523" t="str">
            <v>Settled</v>
          </cell>
        </row>
        <row r="2524">
          <cell r="F2524" t="str">
            <v>AU-kina bank-01/2025</v>
          </cell>
          <cell r="G2524" t="str">
            <v>Settled</v>
          </cell>
        </row>
        <row r="2525">
          <cell r="F2525" t="str">
            <v>AU-kina bank-02/2025</v>
          </cell>
          <cell r="G2525" t="str">
            <v>Settled</v>
          </cell>
        </row>
        <row r="2526">
          <cell r="F2526" t="str">
            <v>AU-kina bank-03/2025</v>
          </cell>
          <cell r="G2526" t="str">
            <v>Settled</v>
          </cell>
        </row>
        <row r="2527">
          <cell r="F2527" t="str">
            <v>AU-kina bank-04/2025</v>
          </cell>
          <cell r="G2527" t="str">
            <v>Settled</v>
          </cell>
        </row>
        <row r="2528">
          <cell r="F2528" t="str">
            <v>AU-kina bank-05/2025</v>
          </cell>
          <cell r="G2528" t="str">
            <v>Settled</v>
          </cell>
        </row>
        <row r="2529">
          <cell r="F2529" t="str">
            <v>AU-kina bank-06/2025</v>
          </cell>
          <cell r="G2529" t="str">
            <v>Settled</v>
          </cell>
        </row>
        <row r="2530">
          <cell r="F2530" t="str">
            <v>AU-kina bank-07/2025</v>
          </cell>
          <cell r="G2530" t="str">
            <v>Settled</v>
          </cell>
        </row>
        <row r="2531">
          <cell r="F2531" t="str">
            <v>AU-kina bank-08/2025</v>
          </cell>
          <cell r="G2531" t="str">
            <v>Settled</v>
          </cell>
        </row>
        <row r="2532">
          <cell r="F2532" t="str">
            <v>AU-kina bank-09/2025</v>
          </cell>
          <cell r="G2532" t="str">
            <v>Settled</v>
          </cell>
        </row>
        <row r="2533">
          <cell r="F2533" t="str">
            <v>AU-kina bank-10/2025</v>
          </cell>
          <cell r="G2533" t="str">
            <v>Settled</v>
          </cell>
        </row>
        <row r="2534">
          <cell r="F2534" t="str">
            <v>AU-kina bank-11/2025</v>
          </cell>
          <cell r="G2534" t="str">
            <v>Settled</v>
          </cell>
        </row>
        <row r="2535">
          <cell r="F2535" t="str">
            <v>AU-kina bank-12/2025</v>
          </cell>
          <cell r="G2535" t="str">
            <v>Settled</v>
          </cell>
        </row>
        <row r="2536">
          <cell r="F2536" t="str">
            <v>AU-kina bank-01/2026</v>
          </cell>
          <cell r="G2536" t="str">
            <v>Settled</v>
          </cell>
        </row>
        <row r="2537">
          <cell r="F2537" t="str">
            <v>AU-kina bank-02/2026</v>
          </cell>
          <cell r="G2537" t="str">
            <v>Settled</v>
          </cell>
        </row>
        <row r="2538">
          <cell r="F2538" t="str">
            <v>SG-Klasha-02/2024</v>
          </cell>
          <cell r="G2538" t="str">
            <v>Settled</v>
          </cell>
        </row>
        <row r="2539">
          <cell r="F2539" t="str">
            <v>SG-Klasha-03/2024</v>
          </cell>
          <cell r="G2539" t="str">
            <v>Settled</v>
          </cell>
        </row>
        <row r="2540">
          <cell r="F2540" t="str">
            <v>SG-Klasha-04/2024</v>
          </cell>
          <cell r="G2540" t="str">
            <v>Settled</v>
          </cell>
        </row>
        <row r="2541">
          <cell r="F2541" t="str">
            <v>SG-Klasha-05/2024</v>
          </cell>
          <cell r="G2541" t="str">
            <v>Settled</v>
          </cell>
        </row>
        <row r="2542">
          <cell r="F2542" t="str">
            <v>SG-Klasha-06/2024</v>
          </cell>
          <cell r="G2542" t="str">
            <v>Settled</v>
          </cell>
        </row>
        <row r="2543">
          <cell r="F2543" t="str">
            <v>SG -Klasha-11/2023</v>
          </cell>
          <cell r="G2543" t="str">
            <v>Settled</v>
          </cell>
        </row>
        <row r="2544">
          <cell r="F2544" t="str">
            <v>SG-Klasha-01/2024</v>
          </cell>
          <cell r="G2544" t="str">
            <v>Settled</v>
          </cell>
        </row>
        <row r="2545">
          <cell r="F2545" t="str">
            <v>SG-Klasha-07/2024</v>
          </cell>
          <cell r="G2545" t="str">
            <v>Settled</v>
          </cell>
        </row>
        <row r="2546">
          <cell r="F2546" t="str">
            <v>SG-Klasha-08/2024</v>
          </cell>
          <cell r="G2546" t="str">
            <v>Settled</v>
          </cell>
        </row>
        <row r="2547">
          <cell r="F2547" t="str">
            <v>SG-Klasha-09/2024</v>
          </cell>
          <cell r="G2547" t="str">
            <v>Settled</v>
          </cell>
        </row>
        <row r="2548">
          <cell r="F2548" t="str">
            <v>SG-Klasha-10/2024</v>
          </cell>
          <cell r="G2548" t="str">
            <v>Settled</v>
          </cell>
        </row>
        <row r="2549">
          <cell r="F2549" t="str">
            <v>SG-Klasha-11/2024</v>
          </cell>
          <cell r="G2549" t="str">
            <v>Settled</v>
          </cell>
        </row>
        <row r="2550">
          <cell r="F2550" t="str">
            <v>SG-klu tech-08/2022</v>
          </cell>
          <cell r="G2550" t="str">
            <v>Waived Off</v>
          </cell>
        </row>
        <row r="2551">
          <cell r="F2551" t="str">
            <v>SG-klu tech-09/2022</v>
          </cell>
          <cell r="G2551" t="str">
            <v>Waived Off</v>
          </cell>
        </row>
        <row r="2552">
          <cell r="F2552" t="str">
            <v>SG-klu tech-10/2022</v>
          </cell>
          <cell r="G2552" t="str">
            <v>Waived Off</v>
          </cell>
        </row>
        <row r="2553">
          <cell r="F2553" t="str">
            <v>SG-klu tech-11/2022</v>
          </cell>
          <cell r="G2553" t="str">
            <v>Waived Off</v>
          </cell>
        </row>
        <row r="2554">
          <cell r="F2554" t="str">
            <v>SG-klu tech-12/2022</v>
          </cell>
          <cell r="G2554" t="str">
            <v>Waived Off</v>
          </cell>
        </row>
        <row r="2555">
          <cell r="F2555" t="str">
            <v>SG-klu tech-01/2023</v>
          </cell>
          <cell r="G2555" t="str">
            <v>Waived Off</v>
          </cell>
        </row>
        <row r="2556">
          <cell r="F2556" t="str">
            <v>SG-klu tech-02/2023</v>
          </cell>
          <cell r="G2556" t="str">
            <v>Waived Off</v>
          </cell>
        </row>
        <row r="2557">
          <cell r="F2557" t="str">
            <v>SG-klu tech-04/2023</v>
          </cell>
          <cell r="G2557" t="str">
            <v>Settled</v>
          </cell>
        </row>
        <row r="2558">
          <cell r="F2558" t="str">
            <v>SG-klu tech-05/2023</v>
          </cell>
          <cell r="G2558" t="str">
            <v>Settled</v>
          </cell>
        </row>
        <row r="2559">
          <cell r="F2559" t="str">
            <v>SG-klu tech-06/2023</v>
          </cell>
          <cell r="G2559" t="str">
            <v>Settled</v>
          </cell>
        </row>
        <row r="2560">
          <cell r="F2560" t="str">
            <v>SG-klu tech-07/2023</v>
          </cell>
          <cell r="G2560" t="str">
            <v>Settled</v>
          </cell>
        </row>
        <row r="2561">
          <cell r="F2561" t="str">
            <v>SG -klu tech-08/2023</v>
          </cell>
          <cell r="G2561" t="str">
            <v>Settled</v>
          </cell>
        </row>
        <row r="2562">
          <cell r="F2562" t="str">
            <v>SG-klu tech-09/2023</v>
          </cell>
          <cell r="G2562" t="str">
            <v>Settled</v>
          </cell>
        </row>
        <row r="2563">
          <cell r="F2563" t="str">
            <v>SG-klu tech-10/2023</v>
          </cell>
          <cell r="G2563" t="str">
            <v>Settled</v>
          </cell>
        </row>
        <row r="2564">
          <cell r="F2564" t="str">
            <v>SG-klu tech-11/2023</v>
          </cell>
          <cell r="G2564" t="str">
            <v>Settled</v>
          </cell>
        </row>
        <row r="2565">
          <cell r="F2565" t="str">
            <v>SG-klu tech-12/2023</v>
          </cell>
          <cell r="G2565" t="str">
            <v>Settled</v>
          </cell>
        </row>
        <row r="2566">
          <cell r="F2566" t="str">
            <v>SG-klu tech-01/2024</v>
          </cell>
          <cell r="G2566" t="str">
            <v>Settled</v>
          </cell>
        </row>
        <row r="2567">
          <cell r="F2567" t="str">
            <v>SG-klu tech-02/2024</v>
          </cell>
          <cell r="G2567" t="str">
            <v>Settled</v>
          </cell>
        </row>
        <row r="2568">
          <cell r="F2568" t="str">
            <v>SG-klu tech-03/2024</v>
          </cell>
          <cell r="G2568" t="str">
            <v>Settled</v>
          </cell>
        </row>
        <row r="2569">
          <cell r="F2569" t="str">
            <v>SG-klu tech-04/2024</v>
          </cell>
          <cell r="G2569" t="str">
            <v>Settled</v>
          </cell>
        </row>
        <row r="2570">
          <cell r="F2570" t="str">
            <v>SG-klu tech-05/2024</v>
          </cell>
          <cell r="G2570" t="str">
            <v>Settled</v>
          </cell>
        </row>
        <row r="2571">
          <cell r="F2571" t="str">
            <v>SG-klu tech-06/2024</v>
          </cell>
          <cell r="G2571" t="str">
            <v>Settled</v>
          </cell>
        </row>
        <row r="2572">
          <cell r="F2572" t="str">
            <v>SG-klu tech-07/2024</v>
          </cell>
          <cell r="G2572" t="str">
            <v>Settled</v>
          </cell>
        </row>
        <row r="2573">
          <cell r="F2573" t="str">
            <v>SG-klu tech-08/2024</v>
          </cell>
          <cell r="G2573" t="str">
            <v>Settled</v>
          </cell>
        </row>
        <row r="2574">
          <cell r="F2574" t="str">
            <v>SG-klu tech-09/2024</v>
          </cell>
          <cell r="G2574" t="str">
            <v>Settled</v>
          </cell>
        </row>
        <row r="2575">
          <cell r="F2575" t="str">
            <v>SG-klu tech-10/2024</v>
          </cell>
          <cell r="G2575" t="str">
            <v>Settled</v>
          </cell>
        </row>
        <row r="2576">
          <cell r="F2576" t="str">
            <v>SG-klu tech-11/2024</v>
          </cell>
          <cell r="G2576" t="str">
            <v>Settled</v>
          </cell>
        </row>
        <row r="2577">
          <cell r="F2577" t="str">
            <v>SG-klu tech-12/2024</v>
          </cell>
          <cell r="G2577" t="str">
            <v>Settled</v>
          </cell>
        </row>
        <row r="2578">
          <cell r="F2578" t="str">
            <v>SG-klu tech-01/2025</v>
          </cell>
          <cell r="G2578" t="str">
            <v>Settled</v>
          </cell>
        </row>
        <row r="2579">
          <cell r="F2579" t="str">
            <v>SG-klu tech-02/2025</v>
          </cell>
          <cell r="G2579" t="str">
            <v>Settled</v>
          </cell>
        </row>
        <row r="2580">
          <cell r="F2580" t="str">
            <v>SG-klu tech-03/2025</v>
          </cell>
          <cell r="G2580" t="str">
            <v>Settled</v>
          </cell>
        </row>
        <row r="2581">
          <cell r="F2581" t="str">
            <v>SG-klu tech-04/2025</v>
          </cell>
          <cell r="G2581" t="str">
            <v>Settled</v>
          </cell>
        </row>
        <row r="2582">
          <cell r="F2582" t="str">
            <v>SG-klu tech-05/2025</v>
          </cell>
          <cell r="G2582" t="str">
            <v>Settled</v>
          </cell>
        </row>
        <row r="2583">
          <cell r="F2583" t="str">
            <v>SG-klu tech-06/2025</v>
          </cell>
          <cell r="G2583" t="str">
            <v>Settled</v>
          </cell>
        </row>
        <row r="2584">
          <cell r="F2584" t="str">
            <v>SG-klu tech-07/2025</v>
          </cell>
          <cell r="G2584" t="str">
            <v>Settled</v>
          </cell>
        </row>
        <row r="2585">
          <cell r="F2585" t="str">
            <v>SG-klu tech-08/2025</v>
          </cell>
          <cell r="G2585" t="str">
            <v>Settled</v>
          </cell>
        </row>
        <row r="2586">
          <cell r="F2586" t="str">
            <v>SG-klu tech-09/2025</v>
          </cell>
          <cell r="G2586" t="str">
            <v>Settled</v>
          </cell>
        </row>
        <row r="2587">
          <cell r="F2587" t="str">
            <v>SG-klu tech-10/2025</v>
          </cell>
          <cell r="G2587" t="str">
            <v>Settled</v>
          </cell>
        </row>
        <row r="2588">
          <cell r="F2588" t="str">
            <v>SG-klu tech-11/2025</v>
          </cell>
          <cell r="G2588" t="str">
            <v>Settled</v>
          </cell>
        </row>
        <row r="2589">
          <cell r="F2589" t="str">
            <v>SG-klu tech-12/2025</v>
          </cell>
          <cell r="G2589" t="str">
            <v>Settled</v>
          </cell>
        </row>
        <row r="2590">
          <cell r="F2590" t="str">
            <v>SG-klu tech-01/2026</v>
          </cell>
          <cell r="G2590" t="str">
            <v>Settled</v>
          </cell>
        </row>
        <row r="2591">
          <cell r="F2591" t="str">
            <v>SG-klu tech-02/2026</v>
          </cell>
          <cell r="G2591" t="str">
            <v>Settled</v>
          </cell>
        </row>
        <row r="2592">
          <cell r="F2592" t="str">
            <v>CA-Knox-02/2023</v>
          </cell>
          <cell r="G2592" t="str">
            <v>Settled</v>
          </cell>
        </row>
        <row r="2593">
          <cell r="F2593" t="str">
            <v>CA-Knox-03/2023</v>
          </cell>
          <cell r="G2593" t="str">
            <v>Settled</v>
          </cell>
        </row>
        <row r="2594">
          <cell r="F2594" t="str">
            <v>CA-Knox-04/2023</v>
          </cell>
          <cell r="G2594" t="str">
            <v>Settled</v>
          </cell>
        </row>
        <row r="2595">
          <cell r="F2595" t="str">
            <v>CA -Knox-05/2023</v>
          </cell>
          <cell r="G2595" t="str">
            <v>Settled</v>
          </cell>
        </row>
        <row r="2596">
          <cell r="F2596" t="str">
            <v>CA-Knox-05/2023</v>
          </cell>
          <cell r="G2596" t="str">
            <v>Settled</v>
          </cell>
        </row>
        <row r="2597">
          <cell r="F2597" t="str">
            <v>CA-Knox-06/2023</v>
          </cell>
          <cell r="G2597" t="str">
            <v>Settled</v>
          </cell>
        </row>
        <row r="2598">
          <cell r="F2598" t="str">
            <v>CA-Knox-07/2023</v>
          </cell>
          <cell r="G2598" t="str">
            <v>Settled</v>
          </cell>
        </row>
        <row r="2599">
          <cell r="F2599" t="str">
            <v>CA -Knox-08/2023</v>
          </cell>
          <cell r="G2599" t="str">
            <v>Settled</v>
          </cell>
        </row>
        <row r="2600">
          <cell r="F2600" t="str">
            <v>CA-Knox-01/2024</v>
          </cell>
          <cell r="G2600" t="str">
            <v>Settled</v>
          </cell>
        </row>
        <row r="2601">
          <cell r="F2601" t="str">
            <v>CA-Knox-02/2024</v>
          </cell>
          <cell r="G2601" t="str">
            <v>Settled</v>
          </cell>
        </row>
        <row r="2602">
          <cell r="F2602" t="str">
            <v>CA-Knox-03/2024</v>
          </cell>
          <cell r="G2602" t="str">
            <v>Settled</v>
          </cell>
        </row>
        <row r="2603">
          <cell r="F2603" t="str">
            <v>CA-Knox-04/2024</v>
          </cell>
          <cell r="G2603" t="str">
            <v>Settled</v>
          </cell>
        </row>
        <row r="2604">
          <cell r="F2604" t="str">
            <v>CA-Knox-05/2024</v>
          </cell>
          <cell r="G2604" t="str">
            <v>Settled</v>
          </cell>
        </row>
        <row r="2605">
          <cell r="F2605" t="str">
            <v>CA-CN-Knox-10-2024</v>
          </cell>
          <cell r="G2605" t="str">
            <v>Settled</v>
          </cell>
        </row>
        <row r="2606">
          <cell r="F2606" t="str">
            <v>CA-Knox-09/2023</v>
          </cell>
          <cell r="G2606" t="str">
            <v>Settled</v>
          </cell>
        </row>
        <row r="2607">
          <cell r="F2607" t="str">
            <v>CA-Knox-10/2023</v>
          </cell>
          <cell r="G2607" t="str">
            <v>Settled</v>
          </cell>
        </row>
        <row r="2608">
          <cell r="F2608" t="str">
            <v>CA-Knox-11/2023</v>
          </cell>
          <cell r="G2608" t="str">
            <v>Settled</v>
          </cell>
        </row>
        <row r="2609">
          <cell r="F2609" t="str">
            <v>CA-Knox-12/2023</v>
          </cell>
          <cell r="G2609" t="str">
            <v>Settled</v>
          </cell>
        </row>
        <row r="2610">
          <cell r="F2610" t="str">
            <v>SG-krung thai bank public company limited	-11/2022</v>
          </cell>
          <cell r="G2610" t="str">
            <v>Settled</v>
          </cell>
        </row>
        <row r="2611">
          <cell r="F2611" t="str">
            <v>SG-krung thai bank public company limited-12/2022</v>
          </cell>
          <cell r="G2611" t="str">
            <v>Settled</v>
          </cell>
        </row>
        <row r="2612">
          <cell r="F2612" t="str">
            <v>SG-krung thai bank public company limited-01/2023</v>
          </cell>
          <cell r="G2612" t="str">
            <v>Settled</v>
          </cell>
        </row>
        <row r="2613">
          <cell r="F2613" t="str">
            <v>SG-krungthai-02/2023</v>
          </cell>
          <cell r="G2613" t="str">
            <v>Settled</v>
          </cell>
        </row>
        <row r="2614">
          <cell r="F2614" t="str">
            <v>SG-krungthai-03/2023</v>
          </cell>
          <cell r="G2614" t="str">
            <v>Settled</v>
          </cell>
        </row>
        <row r="2615">
          <cell r="F2615" t="str">
            <v>SG-krungthai-04/2023</v>
          </cell>
          <cell r="G2615" t="str">
            <v>Settled</v>
          </cell>
        </row>
        <row r="2616">
          <cell r="F2616" t="str">
            <v>SG-krungthai-05/2023</v>
          </cell>
          <cell r="G2616" t="str">
            <v>Settled</v>
          </cell>
        </row>
        <row r="2617">
          <cell r="F2617" t="str">
            <v>SG-krungthai-06/2023</v>
          </cell>
          <cell r="G2617" t="str">
            <v>Settled</v>
          </cell>
        </row>
        <row r="2618">
          <cell r="F2618" t="str">
            <v>SG-krungthai-07/2023</v>
          </cell>
          <cell r="G2618" t="str">
            <v>Settled</v>
          </cell>
        </row>
        <row r="2619">
          <cell r="F2619" t="str">
            <v>SG -krungthai-08/2023</v>
          </cell>
          <cell r="G2619" t="str">
            <v>Settled</v>
          </cell>
        </row>
        <row r="2620">
          <cell r="F2620" t="str">
            <v>SG-krungthai-09/2023</v>
          </cell>
          <cell r="G2620" t="str">
            <v>Settled</v>
          </cell>
        </row>
        <row r="2621">
          <cell r="F2621" t="str">
            <v>SG-krungthai-10/2023</v>
          </cell>
          <cell r="G2621" t="str">
            <v>Settled</v>
          </cell>
        </row>
        <row r="2622">
          <cell r="F2622" t="str">
            <v>SG-krungthai-11/2023</v>
          </cell>
          <cell r="G2622" t="str">
            <v>Settled</v>
          </cell>
        </row>
        <row r="2623">
          <cell r="F2623" t="str">
            <v>SG-krungthai-12/2023</v>
          </cell>
          <cell r="G2623" t="str">
            <v>Settled</v>
          </cell>
        </row>
        <row r="2624">
          <cell r="F2624" t="str">
            <v>SG-krungthai-01/2024</v>
          </cell>
          <cell r="G2624" t="str">
            <v>Settled</v>
          </cell>
        </row>
        <row r="2625">
          <cell r="F2625" t="str">
            <v>SG-krungthai-02/2024</v>
          </cell>
          <cell r="G2625" t="str">
            <v>Settled</v>
          </cell>
        </row>
        <row r="2626">
          <cell r="F2626" t="str">
            <v>SG-krungthai-03/2024</v>
          </cell>
          <cell r="G2626" t="str">
            <v>Settled</v>
          </cell>
        </row>
        <row r="2627">
          <cell r="F2627" t="str">
            <v>SG-krungthai-04/2024</v>
          </cell>
          <cell r="G2627" t="str">
            <v>Settled</v>
          </cell>
        </row>
        <row r="2628">
          <cell r="F2628" t="str">
            <v>SG-krungthai-05/2024</v>
          </cell>
          <cell r="G2628" t="str">
            <v>Settled</v>
          </cell>
        </row>
        <row r="2629">
          <cell r="F2629" t="str">
            <v>SG-krungthai-06/2024</v>
          </cell>
          <cell r="G2629" t="str">
            <v>Settled</v>
          </cell>
        </row>
        <row r="2630">
          <cell r="F2630" t="str">
            <v>SG-krungthai-07/2024</v>
          </cell>
          <cell r="G2630" t="str">
            <v>Settled</v>
          </cell>
        </row>
        <row r="2631">
          <cell r="F2631" t="str">
            <v>SG-krungthai-08/2024</v>
          </cell>
          <cell r="G2631" t="str">
            <v>Settled</v>
          </cell>
        </row>
        <row r="2632">
          <cell r="F2632" t="str">
            <v>SG-krungthai-09/2024</v>
          </cell>
          <cell r="G2632" t="str">
            <v>Settled</v>
          </cell>
        </row>
        <row r="2633">
          <cell r="F2633" t="str">
            <v>SG-krungthai-10/2024</v>
          </cell>
          <cell r="G2633" t="str">
            <v>Settled</v>
          </cell>
        </row>
        <row r="2634">
          <cell r="F2634" t="str">
            <v>SG-krungthai-11/2024</v>
          </cell>
          <cell r="G2634" t="str">
            <v>Settled</v>
          </cell>
        </row>
        <row r="2635">
          <cell r="F2635" t="str">
            <v>SG-krungthai-12/2024</v>
          </cell>
          <cell r="G2635" t="str">
            <v>Settled</v>
          </cell>
        </row>
        <row r="2636">
          <cell r="F2636" t="str">
            <v>SG-krungthai-01/2025</v>
          </cell>
          <cell r="G2636" t="str">
            <v>Settled</v>
          </cell>
        </row>
        <row r="2637">
          <cell r="F2637" t="str">
            <v>SG-krungthai-02/2025</v>
          </cell>
          <cell r="G2637" t="str">
            <v>Settled</v>
          </cell>
        </row>
        <row r="2638">
          <cell r="F2638" t="str">
            <v>SG-krungthai-03/2025</v>
          </cell>
          <cell r="G2638" t="str">
            <v>Settled</v>
          </cell>
        </row>
        <row r="2639">
          <cell r="F2639" t="str">
            <v>SG-krungthai-04/2025</v>
          </cell>
          <cell r="G2639" t="str">
            <v>Settled</v>
          </cell>
        </row>
        <row r="2640">
          <cell r="F2640" t="str">
            <v>SG-krungthai-05/2025</v>
          </cell>
          <cell r="G2640" t="str">
            <v>Settled</v>
          </cell>
        </row>
        <row r="2641">
          <cell r="F2641" t="str">
            <v>SG-krungthai-06/2025</v>
          </cell>
          <cell r="G2641" t="str">
            <v>Settled</v>
          </cell>
        </row>
        <row r="2642">
          <cell r="F2642" t="str">
            <v>SG-krungthai-07/2025</v>
          </cell>
          <cell r="G2642" t="str">
            <v>Settled</v>
          </cell>
        </row>
        <row r="2643">
          <cell r="F2643" t="str">
            <v>SG-krungthai-08/2025</v>
          </cell>
          <cell r="G2643" t="str">
            <v>Settled</v>
          </cell>
        </row>
        <row r="2644">
          <cell r="F2644" t="str">
            <v>SG-krungthai-09/2025</v>
          </cell>
          <cell r="G2644" t="str">
            <v>Settled</v>
          </cell>
        </row>
        <row r="2645">
          <cell r="F2645" t="str">
            <v>SG-krungthai-10/2025</v>
          </cell>
          <cell r="G2645" t="str">
            <v>Settled</v>
          </cell>
        </row>
        <row r="2646">
          <cell r="F2646" t="str">
            <v>SG-krungthai-11/2025</v>
          </cell>
          <cell r="G2646" t="str">
            <v>Settled</v>
          </cell>
        </row>
        <row r="2647">
          <cell r="F2647" t="str">
            <v>SG-krungthai-12/2025</v>
          </cell>
          <cell r="G2647" t="str">
            <v>Settled</v>
          </cell>
        </row>
        <row r="2648">
          <cell r="F2648" t="str">
            <v>SG-krungthai-01/2026</v>
          </cell>
          <cell r="G2648" t="str">
            <v>Settled</v>
          </cell>
        </row>
        <row r="2649">
          <cell r="F2649" t="str">
            <v>SG-krungthai-02/2026</v>
          </cell>
          <cell r="G2649" t="str">
            <v>Settled</v>
          </cell>
        </row>
        <row r="2650">
          <cell r="F2650" t="str">
            <v>AU -Laverne-10/2023</v>
          </cell>
          <cell r="G2650" t="str">
            <v>Settled</v>
          </cell>
        </row>
        <row r="2651">
          <cell r="F2651" t="str">
            <v>AU-Laverne-08/2024</v>
          </cell>
          <cell r="G2651" t="str">
            <v>Settled</v>
          </cell>
        </row>
        <row r="2652">
          <cell r="F2652" t="str">
            <v>AU-Laverne-09/2024</v>
          </cell>
          <cell r="G2652" t="str">
            <v>Settled</v>
          </cell>
        </row>
        <row r="2653">
          <cell r="F2653" t="str">
            <v>AU-Laverne-10/2024</v>
          </cell>
          <cell r="G2653" t="str">
            <v>Settled</v>
          </cell>
        </row>
        <row r="2654">
          <cell r="F2654" t="str">
            <v>AU-Laverne-11/2024</v>
          </cell>
          <cell r="G2654" t="str">
            <v>Settled</v>
          </cell>
        </row>
        <row r="2655">
          <cell r="F2655" t="str">
            <v>AU-Laverne-12/2024</v>
          </cell>
          <cell r="G2655" t="str">
            <v>Settled</v>
          </cell>
        </row>
        <row r="2656">
          <cell r="F2656" t="str">
            <v>AU-Laverne-01/2025</v>
          </cell>
          <cell r="G2656" t="str">
            <v>Settled</v>
          </cell>
        </row>
        <row r="2657">
          <cell r="F2657" t="str">
            <v>SG-Lemonway-11/2022</v>
          </cell>
          <cell r="G2657" t="str">
            <v>Settled</v>
          </cell>
        </row>
        <row r="2658">
          <cell r="F2658" t="str">
            <v>SG-Lemonway-12/2022</v>
          </cell>
          <cell r="G2658" t="str">
            <v>Settled</v>
          </cell>
        </row>
        <row r="2659">
          <cell r="F2659" t="str">
            <v>SG-Lemonway-01/2023</v>
          </cell>
          <cell r="G2659" t="str">
            <v>Settled</v>
          </cell>
        </row>
        <row r="2660">
          <cell r="F2660" t="str">
            <v>SG-Lemonway-02/2023</v>
          </cell>
          <cell r="G2660" t="str">
            <v>Settled</v>
          </cell>
        </row>
        <row r="2661">
          <cell r="F2661" t="str">
            <v>SG-Lemonway-03/2023</v>
          </cell>
          <cell r="G2661" t="str">
            <v>Settled</v>
          </cell>
        </row>
        <row r="2662">
          <cell r="F2662" t="str">
            <v>SG-Lemonway-04/2023</v>
          </cell>
          <cell r="G2662" t="str">
            <v>Settled</v>
          </cell>
        </row>
        <row r="2663">
          <cell r="F2663" t="str">
            <v>SG-Lemonway-05/2023</v>
          </cell>
          <cell r="G2663" t="str">
            <v>Settled</v>
          </cell>
        </row>
        <row r="2664">
          <cell r="F2664" t="str">
            <v>SG-Lemonway-06/2023</v>
          </cell>
          <cell r="G2664" t="str">
            <v>Settled</v>
          </cell>
        </row>
        <row r="2665">
          <cell r="F2665" t="str">
            <v>SG-Lemonway-07/2023</v>
          </cell>
          <cell r="G2665" t="str">
            <v>Settled</v>
          </cell>
        </row>
        <row r="2666">
          <cell r="F2666" t="str">
            <v>SG -Lemonway-08/2023</v>
          </cell>
          <cell r="G2666" t="str">
            <v>Settled</v>
          </cell>
        </row>
        <row r="2667">
          <cell r="F2667" t="str">
            <v>SG-Lemonway-09/2023</v>
          </cell>
          <cell r="G2667" t="str">
            <v>Settled</v>
          </cell>
        </row>
        <row r="2668">
          <cell r="F2668" t="str">
            <v>SG-Lemonway-10/2023</v>
          </cell>
          <cell r="G2668" t="str">
            <v>Settled</v>
          </cell>
        </row>
        <row r="2669">
          <cell r="F2669" t="str">
            <v>SG-Lemonway-11/2023</v>
          </cell>
          <cell r="G2669" t="str">
            <v>Settled</v>
          </cell>
        </row>
        <row r="2670">
          <cell r="F2670" t="str">
            <v>SG-Lemonway-12/2023</v>
          </cell>
          <cell r="G2670" t="str">
            <v>Settled</v>
          </cell>
        </row>
        <row r="2671">
          <cell r="F2671" t="str">
            <v>SG-Lemonway-01/2024</v>
          </cell>
          <cell r="G2671" t="str">
            <v>Settled</v>
          </cell>
        </row>
        <row r="2672">
          <cell r="F2672" t="str">
            <v>SG-Lemonway-02/2024</v>
          </cell>
          <cell r="G2672" t="str">
            <v>Settled</v>
          </cell>
        </row>
        <row r="2673">
          <cell r="F2673" t="str">
            <v>SG-Lemonway-03/2024</v>
          </cell>
          <cell r="G2673" t="str">
            <v>Settled</v>
          </cell>
        </row>
        <row r="2674">
          <cell r="F2674" t="str">
            <v>SG-Lemonway-04/2024</v>
          </cell>
          <cell r="G2674" t="str">
            <v>Settled</v>
          </cell>
        </row>
        <row r="2675">
          <cell r="F2675" t="str">
            <v>SG-Lemonway-05/2024</v>
          </cell>
          <cell r="G2675" t="str">
            <v>Settled</v>
          </cell>
        </row>
        <row r="2676">
          <cell r="F2676" t="str">
            <v>SG-Lemonway-06/2024</v>
          </cell>
          <cell r="G2676" t="str">
            <v>Settled</v>
          </cell>
        </row>
        <row r="2677">
          <cell r="F2677" t="str">
            <v>SG-Lemonway-07/2024</v>
          </cell>
          <cell r="G2677" t="str">
            <v>Settled</v>
          </cell>
        </row>
        <row r="2678">
          <cell r="F2678" t="str">
            <v>SG-Lemonway-08/2024</v>
          </cell>
          <cell r="G2678" t="str">
            <v>Settled</v>
          </cell>
        </row>
        <row r="2679">
          <cell r="F2679" t="str">
            <v>SG-Lemonway-09/2024</v>
          </cell>
          <cell r="G2679" t="str">
            <v>Settled</v>
          </cell>
        </row>
        <row r="2680">
          <cell r="F2680" t="str">
            <v>SG-Lemonway-10/2024</v>
          </cell>
          <cell r="G2680" t="str">
            <v>Settled</v>
          </cell>
        </row>
        <row r="2681">
          <cell r="F2681" t="str">
            <v>SG-Lemonway-11/2024</v>
          </cell>
          <cell r="G2681" t="str">
            <v>Settled</v>
          </cell>
        </row>
        <row r="2682">
          <cell r="F2682" t="str">
            <v>SG-Lemonway-12/2024</v>
          </cell>
          <cell r="G2682" t="str">
            <v>Settled</v>
          </cell>
        </row>
        <row r="2683">
          <cell r="F2683" t="str">
            <v>SG-Lemonway-01/2025</v>
          </cell>
          <cell r="G2683" t="str">
            <v>Settled</v>
          </cell>
        </row>
        <row r="2684">
          <cell r="F2684" t="str">
            <v>SG-Lemonway-04/2025</v>
          </cell>
          <cell r="G2684" t="str">
            <v>Settled</v>
          </cell>
        </row>
        <row r="2685">
          <cell r="F2685" t="str">
            <v>SG-Lemonway-05/2025</v>
          </cell>
          <cell r="G2685" t="str">
            <v>Settled</v>
          </cell>
        </row>
        <row r="2686">
          <cell r="F2686" t="str">
            <v>SG-Lemonway-06/2025</v>
          </cell>
          <cell r="G2686" t="str">
            <v>Settled</v>
          </cell>
        </row>
        <row r="2687">
          <cell r="F2687" t="str">
            <v>SG-Lemonway-07/2025</v>
          </cell>
          <cell r="G2687" t="str">
            <v>Settled</v>
          </cell>
        </row>
        <row r="2688">
          <cell r="F2688" t="str">
            <v>SG-Lemonway-08/2025</v>
          </cell>
          <cell r="G2688" t="str">
            <v>Settled</v>
          </cell>
        </row>
        <row r="2689">
          <cell r="F2689" t="str">
            <v>SG-Lemonway-09/2025</v>
          </cell>
          <cell r="G2689" t="str">
            <v>Settled</v>
          </cell>
        </row>
        <row r="2690">
          <cell r="F2690" t="str">
            <v>SG-Lemonway-10/2025</v>
          </cell>
          <cell r="G2690" t="str">
            <v>Settled</v>
          </cell>
        </row>
        <row r="2691">
          <cell r="F2691" t="str">
            <v>SG-Lemonway-11/2025</v>
          </cell>
          <cell r="G2691" t="str">
            <v>Settled</v>
          </cell>
        </row>
        <row r="2692">
          <cell r="F2692" t="str">
            <v>SG-Lemonway-12/2025</v>
          </cell>
          <cell r="G2692" t="str">
            <v>Settled</v>
          </cell>
        </row>
        <row r="2693">
          <cell r="F2693" t="str">
            <v>SG-Lemonway-01/2026</v>
          </cell>
          <cell r="G2693" t="str">
            <v>Overdue</v>
          </cell>
        </row>
        <row r="2694">
          <cell r="F2694" t="str">
            <v>SG-Lemonway-02/2026</v>
          </cell>
          <cell r="G2694" t="str">
            <v>Overdue</v>
          </cell>
        </row>
        <row r="2695">
          <cell r="F2695" t="str">
            <v>SG-Lemonway-02/2025</v>
          </cell>
          <cell r="G2695" t="str">
            <v>Settled</v>
          </cell>
        </row>
        <row r="2696">
          <cell r="F2696" t="str">
            <v>SG-Lemonway-03/2025</v>
          </cell>
          <cell r="G2696" t="str">
            <v>Settled</v>
          </cell>
        </row>
        <row r="2697">
          <cell r="F2697" t="str">
            <v>SG-Lifetrack Medical Systems-12/2022</v>
          </cell>
          <cell r="G2697" t="str">
            <v>Settled</v>
          </cell>
        </row>
        <row r="2698">
          <cell r="F2698" t="str">
            <v>SG-Lifetrack Medical Systems-01/2023</v>
          </cell>
          <cell r="G2698" t="str">
            <v>Settled</v>
          </cell>
        </row>
        <row r="2699">
          <cell r="F2699" t="str">
            <v>SG-LifetrackMed-02/2023</v>
          </cell>
          <cell r="G2699" t="str">
            <v>Settled</v>
          </cell>
        </row>
        <row r="2700">
          <cell r="F2700" t="str">
            <v>SG-LifetrackMed-03/2023</v>
          </cell>
          <cell r="G2700" t="str">
            <v>Settled</v>
          </cell>
        </row>
        <row r="2701">
          <cell r="F2701" t="str">
            <v>SG-LifetrackMed-04/2023</v>
          </cell>
          <cell r="G2701" t="str">
            <v>Settled</v>
          </cell>
        </row>
        <row r="2702">
          <cell r="F2702" t="str">
            <v>SG-LifetrackMed-05/2023</v>
          </cell>
          <cell r="G2702" t="str">
            <v>Settled</v>
          </cell>
        </row>
        <row r="2703">
          <cell r="F2703" t="str">
            <v>SG-LifetrackMed-06/2023</v>
          </cell>
          <cell r="G2703" t="str">
            <v>Settled</v>
          </cell>
        </row>
        <row r="2704">
          <cell r="F2704" t="str">
            <v>SG-LifetrackMed-07/2023</v>
          </cell>
          <cell r="G2704" t="str">
            <v>Settled</v>
          </cell>
        </row>
        <row r="2705">
          <cell r="F2705" t="str">
            <v>SG -LifetrackMed-08/2023</v>
          </cell>
          <cell r="G2705" t="str">
            <v>Settled</v>
          </cell>
        </row>
        <row r="2706">
          <cell r="F2706" t="str">
            <v>SG-LifetrackMed-09/2023</v>
          </cell>
          <cell r="G2706" t="str">
            <v>Settled</v>
          </cell>
        </row>
        <row r="2707">
          <cell r="F2707" t="str">
            <v>SG-LifetrackMed-10/2023</v>
          </cell>
          <cell r="G2707" t="str">
            <v>Settled</v>
          </cell>
        </row>
        <row r="2708">
          <cell r="F2708" t="str">
            <v>SG-LifetrackMed-11/2023</v>
          </cell>
          <cell r="G2708" t="str">
            <v>Settled</v>
          </cell>
        </row>
        <row r="2709">
          <cell r="F2709" t="str">
            <v>SG-Loihi Technology Pte. Ltd.-11/2022</v>
          </cell>
          <cell r="G2709" t="str">
            <v>Settled</v>
          </cell>
        </row>
        <row r="2710">
          <cell r="F2710" t="str">
            <v>SG-Loihi Technology Pte. Ltd.-12/2022</v>
          </cell>
          <cell r="G2710" t="str">
            <v>Settled</v>
          </cell>
        </row>
        <row r="2711">
          <cell r="F2711" t="str">
            <v>SG-Loihi Technology Pte. Ltd.-01/2023</v>
          </cell>
          <cell r="G2711" t="str">
            <v>Settled</v>
          </cell>
        </row>
        <row r="2712">
          <cell r="F2712" t="str">
            <v>SG-LoihiTech-02/2023</v>
          </cell>
          <cell r="G2712" t="str">
            <v>Settled</v>
          </cell>
        </row>
        <row r="2713">
          <cell r="F2713" t="str">
            <v>SG-LoihiTech-03/2023</v>
          </cell>
          <cell r="G2713" t="str">
            <v>Settled</v>
          </cell>
        </row>
        <row r="2714">
          <cell r="F2714" t="str">
            <v>SG-LoihiTech-04/2023</v>
          </cell>
          <cell r="G2714" t="str">
            <v>Settled</v>
          </cell>
        </row>
        <row r="2715">
          <cell r="F2715" t="str">
            <v>SG-LoihiTech-05/2023</v>
          </cell>
          <cell r="G2715" t="str">
            <v>Settled</v>
          </cell>
        </row>
        <row r="2716">
          <cell r="F2716" t="str">
            <v>SG-LoihiTech-06/2023</v>
          </cell>
          <cell r="G2716" t="str">
            <v>Settled</v>
          </cell>
        </row>
        <row r="2717">
          <cell r="F2717" t="str">
            <v>SG-LoihiTech-07/2023</v>
          </cell>
          <cell r="G2717" t="str">
            <v>Settled</v>
          </cell>
        </row>
        <row r="2718">
          <cell r="F2718" t="str">
            <v>SG -LoihiTech-08/2023</v>
          </cell>
          <cell r="G2718" t="str">
            <v>Settled</v>
          </cell>
        </row>
        <row r="2719">
          <cell r="F2719" t="str">
            <v>SG-LoihiTech-09/2023</v>
          </cell>
          <cell r="G2719" t="str">
            <v>Settled</v>
          </cell>
        </row>
        <row r="2720">
          <cell r="F2720" t="str">
            <v>SG-LoihiTech-10/2023</v>
          </cell>
          <cell r="G2720" t="str">
            <v>Settled</v>
          </cell>
        </row>
        <row r="2721">
          <cell r="F2721" t="str">
            <v>SG-LoihiTech-11/2023</v>
          </cell>
          <cell r="G2721" t="str">
            <v>Settled</v>
          </cell>
        </row>
        <row r="2722">
          <cell r="F2722" t="str">
            <v>SG-LoihiTech-12/2023</v>
          </cell>
          <cell r="G2722" t="str">
            <v>Settled</v>
          </cell>
        </row>
        <row r="2723">
          <cell r="F2723" t="str">
            <v>SG-LoihiTech-01/2024</v>
          </cell>
          <cell r="G2723" t="str">
            <v>Settled</v>
          </cell>
        </row>
        <row r="2724">
          <cell r="F2724" t="str">
            <v>SG-LoihiTech-02/2024</v>
          </cell>
          <cell r="G2724" t="str">
            <v>Settled</v>
          </cell>
        </row>
        <row r="2725">
          <cell r="F2725" t="str">
            <v>SG-LoihiTech-03/2024</v>
          </cell>
          <cell r="G2725" t="str">
            <v>Settled</v>
          </cell>
        </row>
        <row r="2726">
          <cell r="F2726" t="str">
            <v>SG-LoihiTech-04/2024</v>
          </cell>
          <cell r="G2726" t="str">
            <v>Settled</v>
          </cell>
        </row>
        <row r="2727">
          <cell r="F2727" t="str">
            <v>SG-LoihiTech-05/2024</v>
          </cell>
          <cell r="G2727" t="str">
            <v>Settled</v>
          </cell>
        </row>
        <row r="2728">
          <cell r="F2728" t="str">
            <v>SG-LoihiTech-06/2024</v>
          </cell>
          <cell r="G2728" t="str">
            <v>Settled</v>
          </cell>
        </row>
        <row r="2729">
          <cell r="F2729" t="str">
            <v>SG-LoihiTech-07/2024</v>
          </cell>
          <cell r="G2729" t="str">
            <v>Settled</v>
          </cell>
        </row>
        <row r="2730">
          <cell r="F2730" t="str">
            <v>SG-LoihiTech-08/2024</v>
          </cell>
          <cell r="G2730" t="str">
            <v>Settled</v>
          </cell>
        </row>
        <row r="2731">
          <cell r="F2731" t="str">
            <v>SG-LoihiTech-09/2024</v>
          </cell>
          <cell r="G2731" t="str">
            <v>Settled</v>
          </cell>
        </row>
        <row r="2732">
          <cell r="F2732" t="str">
            <v>SG-LoihiTech-10/2024</v>
          </cell>
          <cell r="G2732" t="str">
            <v>Settled</v>
          </cell>
        </row>
        <row r="2733">
          <cell r="F2733" t="str">
            <v>SG-LoihiTech-11/2024</v>
          </cell>
          <cell r="G2733" t="str">
            <v>Settled</v>
          </cell>
        </row>
        <row r="2734">
          <cell r="F2734" t="str">
            <v>SG-LoihiTech-12/2024</v>
          </cell>
          <cell r="G2734" t="str">
            <v>Settled</v>
          </cell>
        </row>
        <row r="2735">
          <cell r="F2735" t="str">
            <v>SG-LoihiTech-01/2025</v>
          </cell>
          <cell r="G2735" t="str">
            <v>Settled</v>
          </cell>
        </row>
        <row r="2736">
          <cell r="F2736" t="str">
            <v>SG-LoihiTech-02/2025</v>
          </cell>
          <cell r="G2736" t="str">
            <v>Settled</v>
          </cell>
        </row>
        <row r="2737">
          <cell r="F2737" t="str">
            <v>SG-LoihiTech-03/2025</v>
          </cell>
          <cell r="G2737" t="str">
            <v>Settled</v>
          </cell>
        </row>
        <row r="2738">
          <cell r="F2738" t="str">
            <v>SG-LoihiTech-04/2025</v>
          </cell>
          <cell r="G2738" t="str">
            <v>Settled</v>
          </cell>
        </row>
        <row r="2739">
          <cell r="F2739" t="str">
            <v>SG-LoihiTech-05/2025</v>
          </cell>
          <cell r="G2739" t="str">
            <v>Settled</v>
          </cell>
        </row>
        <row r="2740">
          <cell r="F2740" t="str">
            <v>SG-LoihiTech-06/2025</v>
          </cell>
          <cell r="G2740" t="str">
            <v>Settled</v>
          </cell>
        </row>
        <row r="2741">
          <cell r="F2741" t="str">
            <v>SG-LoihiTech-07/2025</v>
          </cell>
          <cell r="G2741" t="str">
            <v>Settled</v>
          </cell>
        </row>
        <row r="2742">
          <cell r="F2742" t="str">
            <v>SG-LoihiTech-08/2025</v>
          </cell>
          <cell r="G2742" t="str">
            <v>Settled</v>
          </cell>
        </row>
        <row r="2743">
          <cell r="F2743" t="str">
            <v>SG-LoihiTech-09/2025</v>
          </cell>
          <cell r="G2743" t="str">
            <v>Settled</v>
          </cell>
        </row>
        <row r="2744">
          <cell r="F2744" t="str">
            <v>SG-LoihiTech-10/2025</v>
          </cell>
          <cell r="G2744" t="str">
            <v>Settled</v>
          </cell>
        </row>
        <row r="2745">
          <cell r="F2745" t="str">
            <v>SG-LoihiTech-11/2025</v>
          </cell>
          <cell r="G2745" t="str">
            <v>Settled</v>
          </cell>
        </row>
        <row r="2746">
          <cell r="F2746" t="str">
            <v>SG-LoihiTech-12/2025</v>
          </cell>
          <cell r="G2746" t="str">
            <v>Settled</v>
          </cell>
        </row>
        <row r="2747">
          <cell r="F2747" t="str">
            <v>SG-LoihiTech-01/2026</v>
          </cell>
          <cell r="G2747" t="str">
            <v>Settled</v>
          </cell>
        </row>
        <row r="2748">
          <cell r="F2748" t="str">
            <v>SG-LoihiTech-02/2026</v>
          </cell>
          <cell r="G2748" t="str">
            <v>Settled</v>
          </cell>
        </row>
        <row r="2749">
          <cell r="F2749" t="str">
            <v>CA -Maple Digital-01/2024</v>
          </cell>
          <cell r="G2749" t="str">
            <v>Settled</v>
          </cell>
        </row>
        <row r="2750">
          <cell r="F2750" t="str">
            <v>CA-Maple Digital-04/2024</v>
          </cell>
          <cell r="G2750" t="str">
            <v>Settled</v>
          </cell>
        </row>
        <row r="2751">
          <cell r="F2751" t="str">
            <v>CA-Maple Digital-05/2024</v>
          </cell>
          <cell r="G2751" t="str">
            <v>Settled</v>
          </cell>
        </row>
        <row r="2752">
          <cell r="F2752" t="str">
            <v>CA-Maple Digital-06/2024</v>
          </cell>
          <cell r="G2752" t="str">
            <v>Settled</v>
          </cell>
        </row>
        <row r="2753">
          <cell r="F2753" t="str">
            <v>CA-Maple Digital-07/2024</v>
          </cell>
          <cell r="G2753" t="str">
            <v>Settled</v>
          </cell>
        </row>
        <row r="2754">
          <cell r="F2754" t="str">
            <v>CA-Maple Digital-08/2024</v>
          </cell>
          <cell r="G2754" t="str">
            <v>Settled</v>
          </cell>
        </row>
        <row r="2755">
          <cell r="F2755" t="str">
            <v>CA-Maple Digital-09/2024</v>
          </cell>
          <cell r="G2755" t="str">
            <v>Settled</v>
          </cell>
        </row>
        <row r="2756">
          <cell r="F2756" t="str">
            <v>CA-Maple Digital-10/2024</v>
          </cell>
          <cell r="G2756" t="str">
            <v>Settled</v>
          </cell>
        </row>
        <row r="2757">
          <cell r="F2757" t="str">
            <v>CA-Maple Digital-11/2024</v>
          </cell>
          <cell r="G2757" t="str">
            <v>Settled</v>
          </cell>
        </row>
        <row r="2758">
          <cell r="F2758" t="str">
            <v>CA-Maple Digital-12/2024</v>
          </cell>
          <cell r="G2758" t="str">
            <v>Settled</v>
          </cell>
        </row>
        <row r="2759">
          <cell r="F2759" t="str">
            <v>CA-Maple Digital-01/2025</v>
          </cell>
          <cell r="G2759" t="str">
            <v>Settled</v>
          </cell>
        </row>
        <row r="2760">
          <cell r="F2760" t="str">
            <v>CA-Maple Digital-02/2025</v>
          </cell>
          <cell r="G2760" t="str">
            <v>Settled</v>
          </cell>
        </row>
        <row r="2761">
          <cell r="F2761" t="str">
            <v>CA-Maple Digital-03/2025</v>
          </cell>
          <cell r="G2761" t="str">
            <v>Settled</v>
          </cell>
        </row>
        <row r="2762">
          <cell r="F2762" t="str">
            <v>CA-Maple Digital-04/2025</v>
          </cell>
          <cell r="G2762" t="str">
            <v>Settled</v>
          </cell>
        </row>
        <row r="2763">
          <cell r="F2763" t="str">
            <v>CA-Maple Digital-05/2025</v>
          </cell>
          <cell r="G2763" t="str">
            <v>Settled</v>
          </cell>
        </row>
        <row r="2764">
          <cell r="F2764" t="str">
            <v>CA-Maple Digital-06/2025</v>
          </cell>
          <cell r="G2764" t="str">
            <v>Settled</v>
          </cell>
        </row>
        <row r="2765">
          <cell r="F2765" t="str">
            <v>CA-Maple Digital-07/2025</v>
          </cell>
          <cell r="G2765" t="str">
            <v>Settled</v>
          </cell>
        </row>
        <row r="2766">
          <cell r="F2766" t="str">
            <v>CA-Maple Digital-08/2025</v>
          </cell>
          <cell r="G2766" t="str">
            <v>Settled</v>
          </cell>
        </row>
        <row r="2767">
          <cell r="F2767" t="str">
            <v>CA-Maple Digital-09/2025</v>
          </cell>
          <cell r="G2767" t="str">
            <v>Settled</v>
          </cell>
        </row>
        <row r="2768">
          <cell r="F2768" t="str">
            <v>CA-Maple Digital-10/2025</v>
          </cell>
          <cell r="G2768" t="str">
            <v>Settled</v>
          </cell>
        </row>
        <row r="2769">
          <cell r="F2769" t="str">
            <v>CA-Maple Digital-11/2025</v>
          </cell>
          <cell r="G2769" t="str">
            <v>Settled</v>
          </cell>
        </row>
        <row r="2770">
          <cell r="F2770" t="str">
            <v>CA-Maple Digital-12/2025</v>
          </cell>
          <cell r="G2770" t="str">
            <v>Settled</v>
          </cell>
        </row>
        <row r="2771">
          <cell r="F2771" t="str">
            <v>CA-Maple Digital-01/2026</v>
          </cell>
          <cell r="G2771" t="str">
            <v>Settled</v>
          </cell>
        </row>
        <row r="2772">
          <cell r="F2772" t="str">
            <v>CA-Maple Digital-02/2026</v>
          </cell>
          <cell r="G2772" t="str">
            <v>Settled</v>
          </cell>
        </row>
        <row r="2773">
          <cell r="F2773" t="str">
            <v>SG-Mashreq-11/2022</v>
          </cell>
          <cell r="G2773" t="str">
            <v>Settled</v>
          </cell>
        </row>
        <row r="2774">
          <cell r="F2774" t="str">
            <v>SG-Mashreq-12/2022</v>
          </cell>
          <cell r="G2774" t="str">
            <v>Settled</v>
          </cell>
        </row>
        <row r="2775">
          <cell r="F2775" t="str">
            <v>SG-Mashreq-01/2023</v>
          </cell>
          <cell r="G2775" t="str">
            <v>Settled</v>
          </cell>
        </row>
        <row r="2776">
          <cell r="F2776" t="str">
            <v>SG-Mashreq-02/2023</v>
          </cell>
          <cell r="G2776" t="str">
            <v>Settled</v>
          </cell>
        </row>
        <row r="2777">
          <cell r="F2777" t="str">
            <v>SG-Mashreq-03/2023</v>
          </cell>
          <cell r="G2777" t="str">
            <v>Settled</v>
          </cell>
        </row>
        <row r="2778">
          <cell r="F2778" t="str">
            <v>SG-Mashreq-04/2023</v>
          </cell>
          <cell r="G2778" t="str">
            <v>Settled</v>
          </cell>
        </row>
        <row r="2779">
          <cell r="F2779" t="str">
            <v>SG-Mashreq-05/2023</v>
          </cell>
          <cell r="G2779" t="str">
            <v>Settled</v>
          </cell>
        </row>
        <row r="2780">
          <cell r="F2780" t="str">
            <v>SG-Mashreq-06/2023</v>
          </cell>
          <cell r="G2780" t="str">
            <v>Settled</v>
          </cell>
        </row>
        <row r="2781">
          <cell r="F2781" t="str">
            <v>SG-Mashreq-07/2023</v>
          </cell>
          <cell r="G2781" t="str">
            <v>Settled</v>
          </cell>
        </row>
        <row r="2782">
          <cell r="F2782" t="str">
            <v>SG -Mashreq-08/2023</v>
          </cell>
          <cell r="G2782" t="str">
            <v>Settled</v>
          </cell>
        </row>
        <row r="2783">
          <cell r="F2783" t="str">
            <v>SG-Mashreq-09/2023</v>
          </cell>
          <cell r="G2783" t="str">
            <v>Settled</v>
          </cell>
        </row>
        <row r="2784">
          <cell r="F2784" t="str">
            <v>SG-Mashreq-10/2023</v>
          </cell>
          <cell r="G2784" t="str">
            <v>Settled</v>
          </cell>
        </row>
        <row r="2785">
          <cell r="F2785" t="str">
            <v>SG-Mashreq-11/2023</v>
          </cell>
          <cell r="G2785" t="str">
            <v>Settled</v>
          </cell>
        </row>
        <row r="2786">
          <cell r="F2786" t="str">
            <v>SG-Mashreq-12/2023</v>
          </cell>
          <cell r="G2786" t="str">
            <v>Settled</v>
          </cell>
        </row>
        <row r="2787">
          <cell r="F2787" t="str">
            <v>SG-Mashreq-01/2024</v>
          </cell>
          <cell r="G2787" t="str">
            <v>Settled</v>
          </cell>
        </row>
        <row r="2788">
          <cell r="F2788" t="str">
            <v>SG-Mashreq-02/2024</v>
          </cell>
          <cell r="G2788" t="str">
            <v>Settled</v>
          </cell>
        </row>
        <row r="2789">
          <cell r="F2789" t="str">
            <v>SG-Mashreq-03/2024</v>
          </cell>
          <cell r="G2789" t="str">
            <v>Settled</v>
          </cell>
        </row>
        <row r="2790">
          <cell r="F2790" t="str">
            <v>SG-Mashreq-04/2024</v>
          </cell>
          <cell r="G2790" t="str">
            <v>Settled</v>
          </cell>
        </row>
        <row r="2791">
          <cell r="F2791" t="str">
            <v>SG-Mashreq-05/2024</v>
          </cell>
          <cell r="G2791" t="str">
            <v>Settled</v>
          </cell>
        </row>
        <row r="2792">
          <cell r="F2792" t="str">
            <v>SG-Mashreq-06/2024</v>
          </cell>
          <cell r="G2792" t="str">
            <v>Settled</v>
          </cell>
        </row>
        <row r="2793">
          <cell r="F2793" t="str">
            <v>SG-Mashreq-07/2024</v>
          </cell>
          <cell r="G2793" t="str">
            <v>Settled</v>
          </cell>
        </row>
        <row r="2794">
          <cell r="F2794" t="str">
            <v>SG-Mashreq-08/2024</v>
          </cell>
          <cell r="G2794" t="str">
            <v>Settled</v>
          </cell>
        </row>
        <row r="2795">
          <cell r="F2795" t="str">
            <v>SG-Mashreq-09/2024</v>
          </cell>
          <cell r="G2795" t="str">
            <v>Settled</v>
          </cell>
        </row>
        <row r="2796">
          <cell r="F2796" t="str">
            <v>SG-Mashreq-10/2024</v>
          </cell>
          <cell r="G2796" t="str">
            <v>Settled</v>
          </cell>
        </row>
        <row r="2797">
          <cell r="F2797" t="str">
            <v>SG-Mashreq-11/2024</v>
          </cell>
          <cell r="G2797" t="str">
            <v>Settled</v>
          </cell>
        </row>
        <row r="2798">
          <cell r="F2798" t="str">
            <v>SG-Mashreq-12/2024</v>
          </cell>
          <cell r="G2798" t="str">
            <v>Settled</v>
          </cell>
        </row>
        <row r="2799">
          <cell r="F2799" t="str">
            <v>SG-Mashreq-01/2025</v>
          </cell>
          <cell r="G2799" t="str">
            <v>Settled</v>
          </cell>
        </row>
        <row r="2800">
          <cell r="F2800" t="str">
            <v>SG-Mashreq-02/2025</v>
          </cell>
          <cell r="G2800" t="str">
            <v>Settled</v>
          </cell>
        </row>
        <row r="2801">
          <cell r="F2801" t="str">
            <v>SG-Mashreq-03/2025</v>
          </cell>
          <cell r="G2801" t="str">
            <v>Settled</v>
          </cell>
        </row>
        <row r="2802">
          <cell r="F2802" t="str">
            <v>SG-Mashreq-04/2025</v>
          </cell>
          <cell r="G2802" t="str">
            <v>Settled</v>
          </cell>
        </row>
        <row r="2803">
          <cell r="F2803" t="str">
            <v>SG-Mashreq-05/2025</v>
          </cell>
          <cell r="G2803" t="str">
            <v>Settled</v>
          </cell>
        </row>
        <row r="2804">
          <cell r="F2804" t="str">
            <v>SG-Mashreq-06/2025</v>
          </cell>
          <cell r="G2804" t="str">
            <v>Settled</v>
          </cell>
        </row>
        <row r="2805">
          <cell r="F2805" t="str">
            <v>SG-Mashreq-07/2025</v>
          </cell>
          <cell r="G2805" t="str">
            <v>Settled</v>
          </cell>
        </row>
        <row r="2806">
          <cell r="F2806" t="str">
            <v>SG-Mashreq-08/2025</v>
          </cell>
          <cell r="G2806" t="str">
            <v>Settled</v>
          </cell>
        </row>
        <row r="2807">
          <cell r="F2807" t="str">
            <v>SG-Mashreq-09/2025</v>
          </cell>
          <cell r="G2807" t="str">
            <v>Settled</v>
          </cell>
        </row>
        <row r="2808">
          <cell r="F2808" t="str">
            <v>SG-Mashreq-10/2025</v>
          </cell>
          <cell r="G2808" t="str">
            <v>Settled</v>
          </cell>
        </row>
        <row r="2809">
          <cell r="F2809" t="str">
            <v>SG-Mashreq-11/2025</v>
          </cell>
          <cell r="G2809" t="str">
            <v>Settled</v>
          </cell>
        </row>
        <row r="2810">
          <cell r="F2810" t="str">
            <v>SG-Mashreq-12/2025</v>
          </cell>
          <cell r="G2810" t="str">
            <v>Settled</v>
          </cell>
        </row>
        <row r="2811">
          <cell r="F2811" t="str">
            <v>SG-Mashreq-01/2026</v>
          </cell>
          <cell r="G2811" t="str">
            <v>Settled</v>
          </cell>
        </row>
        <row r="2812">
          <cell r="F2812" t="str">
            <v>SG-Mashreq-02/2026</v>
          </cell>
          <cell r="G2812" t="str">
            <v>Settled</v>
          </cell>
        </row>
        <row r="2813">
          <cell r="F2813" t="str">
            <v>SG-MassPay Inc.-02/2024</v>
          </cell>
          <cell r="G2813" t="str">
            <v>Settled</v>
          </cell>
        </row>
        <row r="2814">
          <cell r="F2814" t="str">
            <v>SG-MassPay Inc.-09/2023</v>
          </cell>
          <cell r="G2814" t="str">
            <v>Settled</v>
          </cell>
        </row>
        <row r="2815">
          <cell r="F2815" t="str">
            <v>SG-MassPay Inc.-10/2023</v>
          </cell>
          <cell r="G2815" t="str">
            <v>Settled</v>
          </cell>
        </row>
        <row r="2816">
          <cell r="F2816" t="str">
            <v>SG-MassPay Inc.-11/2023</v>
          </cell>
          <cell r="G2816" t="str">
            <v>Settled</v>
          </cell>
        </row>
        <row r="2817">
          <cell r="F2817" t="str">
            <v>SG-MassPay Inc.-12/2023</v>
          </cell>
          <cell r="G2817" t="str">
            <v>Settled</v>
          </cell>
        </row>
        <row r="2818">
          <cell r="F2818" t="str">
            <v>SG-MassPay Inc.-01/2024</v>
          </cell>
          <cell r="G2818" t="str">
            <v>Settled</v>
          </cell>
        </row>
        <row r="2819">
          <cell r="F2819" t="str">
            <v>SG-CN-MassPay Inc.-12-2023</v>
          </cell>
          <cell r="G2819" t="str">
            <v>Settled</v>
          </cell>
        </row>
        <row r="2820">
          <cell r="F2820" t="str">
            <v>SG-MassPay Inc.-03/2024</v>
          </cell>
          <cell r="G2820" t="str">
            <v>Settled</v>
          </cell>
        </row>
        <row r="2821">
          <cell r="F2821" t="str">
            <v>SG-MassPay Inc.-04/2024</v>
          </cell>
          <cell r="G2821" t="str">
            <v>Settled</v>
          </cell>
        </row>
        <row r="2822">
          <cell r="F2822" t="str">
            <v>SG-MassPay Inc.-05/2024</v>
          </cell>
          <cell r="G2822" t="str">
            <v>Settled</v>
          </cell>
        </row>
        <row r="2823">
          <cell r="F2823" t="str">
            <v>SG-CN-MassPay Inc.-05-2024</v>
          </cell>
          <cell r="G2823" t="str">
            <v>Settled</v>
          </cell>
        </row>
        <row r="2824">
          <cell r="F2824" t="str">
            <v>SG-MassPay Inc.-06/2024</v>
          </cell>
          <cell r="G2824" t="str">
            <v>Settled</v>
          </cell>
        </row>
        <row r="2825">
          <cell r="F2825" t="str">
            <v>SG-MassPay Inc.-07/2024</v>
          </cell>
          <cell r="G2825" t="str">
            <v>Settled</v>
          </cell>
        </row>
        <row r="2826">
          <cell r="F2826" t="str">
            <v>SG-MassPay Inc.-08/2024</v>
          </cell>
          <cell r="G2826" t="str">
            <v>Settled</v>
          </cell>
        </row>
        <row r="2827">
          <cell r="F2827" t="str">
            <v>SG-MassPay Inc.-09/2024</v>
          </cell>
          <cell r="G2827" t="str">
            <v>Settled</v>
          </cell>
        </row>
        <row r="2828">
          <cell r="F2828" t="str">
            <v>SG-MassPay Inc.-10/2024</v>
          </cell>
          <cell r="G2828" t="str">
            <v>Settled</v>
          </cell>
        </row>
        <row r="2829">
          <cell r="F2829" t="str">
            <v>SG-MassPay Inc.-11/2024</v>
          </cell>
          <cell r="G2829" t="str">
            <v>Settled</v>
          </cell>
        </row>
        <row r="2830">
          <cell r="F2830" t="str">
            <v>SG-MassPay Inc.-12/2024</v>
          </cell>
          <cell r="G2830" t="str">
            <v>Settled</v>
          </cell>
        </row>
        <row r="2831">
          <cell r="F2831" t="str">
            <v>SG-MassPay Inc.-01/2025</v>
          </cell>
          <cell r="G2831" t="str">
            <v>Settled</v>
          </cell>
        </row>
        <row r="2832">
          <cell r="F2832" t="str">
            <v>SG-MassPay Inc.-02/2025</v>
          </cell>
          <cell r="G2832" t="str">
            <v>Settled</v>
          </cell>
        </row>
        <row r="2833">
          <cell r="F2833" t="str">
            <v>SG-MassPay Inc.-03/2025</v>
          </cell>
          <cell r="G2833" t="str">
            <v>Settled</v>
          </cell>
        </row>
        <row r="2834">
          <cell r="F2834" t="str">
            <v>SG-MassPay Inc.-04/2025</v>
          </cell>
          <cell r="G2834" t="str">
            <v>Settled</v>
          </cell>
        </row>
        <row r="2835">
          <cell r="F2835" t="str">
            <v>SG-MassPay Inc.-05/2025</v>
          </cell>
          <cell r="G2835" t="str">
            <v>Settled</v>
          </cell>
        </row>
        <row r="2836">
          <cell r="F2836" t="str">
            <v>SG-MassPay Inc.-06/2025</v>
          </cell>
          <cell r="G2836" t="str">
            <v>Settled</v>
          </cell>
        </row>
        <row r="2837">
          <cell r="F2837" t="str">
            <v>SG-MassPay Inc.-07/2025</v>
          </cell>
          <cell r="G2837" t="str">
            <v>Settled</v>
          </cell>
        </row>
        <row r="2838">
          <cell r="F2838" t="str">
            <v>SG-MassPay Inc.-08/2025</v>
          </cell>
          <cell r="G2838" t="str">
            <v>Settled</v>
          </cell>
        </row>
        <row r="2839">
          <cell r="F2839" t="str">
            <v>SG-MassPay Inc.-09/2025</v>
          </cell>
          <cell r="G2839" t="str">
            <v>Settled</v>
          </cell>
        </row>
        <row r="2840">
          <cell r="F2840" t="str">
            <v>SG-MassPay Inc.-10/2025</v>
          </cell>
          <cell r="G2840" t="str">
            <v>Settled</v>
          </cell>
        </row>
        <row r="2841">
          <cell r="F2841" t="str">
            <v>SG-MassPay Inc.-11/2025</v>
          </cell>
          <cell r="G2841" t="str">
            <v>Settled</v>
          </cell>
        </row>
        <row r="2842">
          <cell r="F2842" t="str">
            <v>SG-MassPay Inc.-12/2025</v>
          </cell>
          <cell r="G2842" t="str">
            <v>Settled</v>
          </cell>
        </row>
        <row r="2843">
          <cell r="F2843" t="str">
            <v>SG-MassPay Inc.-01/2026</v>
          </cell>
          <cell r="G2843" t="str">
            <v>Settled</v>
          </cell>
        </row>
        <row r="2844">
          <cell r="F2844" t="str">
            <v>SG-MassPay Inc.-02/2026</v>
          </cell>
          <cell r="G2844" t="str">
            <v>Settled</v>
          </cell>
        </row>
        <row r="2845">
          <cell r="F2845" t="str">
            <v>SG-Mastercard Transaction Services (Europe) SA-11/2022</v>
          </cell>
          <cell r="G2845" t="str">
            <v>Settled</v>
          </cell>
        </row>
        <row r="2846">
          <cell r="F2846" t="str">
            <v>SG-Mastercard Transaction Services (Europe) SA-12/2022</v>
          </cell>
          <cell r="G2846" t="str">
            <v>Settled</v>
          </cell>
        </row>
        <row r="2847">
          <cell r="F2847" t="str">
            <v>SG-Mastercard Transaction Services (Europe) SA-01/2023</v>
          </cell>
          <cell r="G2847" t="str">
            <v>Settled</v>
          </cell>
        </row>
        <row r="2848">
          <cell r="F2848" t="str">
            <v>SG-Mastercard-02/2023</v>
          </cell>
          <cell r="G2848" t="str">
            <v>Settled</v>
          </cell>
        </row>
        <row r="2849">
          <cell r="F2849" t="str">
            <v>SG-Mastercard-03/2023</v>
          </cell>
          <cell r="G2849" t="str">
            <v>Settled</v>
          </cell>
        </row>
        <row r="2850">
          <cell r="F2850" t="str">
            <v>SG-Mastercard-04/2023</v>
          </cell>
          <cell r="G2850" t="str">
            <v>Settled</v>
          </cell>
        </row>
        <row r="2851">
          <cell r="F2851" t="str">
            <v>SG-Mastercard-05/2023</v>
          </cell>
          <cell r="G2851" t="str">
            <v>Settled</v>
          </cell>
        </row>
        <row r="2852">
          <cell r="F2852" t="str">
            <v>SG-Mastercard-06/2023</v>
          </cell>
          <cell r="G2852" t="str">
            <v>Settled</v>
          </cell>
        </row>
        <row r="2853">
          <cell r="F2853" t="str">
            <v>SG-Mastercard-07/2023</v>
          </cell>
          <cell r="G2853" t="str">
            <v>Settled</v>
          </cell>
        </row>
        <row r="2854">
          <cell r="F2854" t="str">
            <v>SG -Mastercard-08/2023</v>
          </cell>
          <cell r="G2854" t="str">
            <v>Settled</v>
          </cell>
        </row>
        <row r="2855">
          <cell r="F2855" t="str">
            <v>SG-Mastercard-09/2023</v>
          </cell>
          <cell r="G2855" t="str">
            <v>Settled</v>
          </cell>
        </row>
        <row r="2856">
          <cell r="F2856" t="str">
            <v>SG-Mastercard-10/2023</v>
          </cell>
          <cell r="G2856" t="str">
            <v>Settled</v>
          </cell>
        </row>
        <row r="2857">
          <cell r="F2857" t="str">
            <v>SG-Mastercard-11/2023</v>
          </cell>
          <cell r="G2857" t="str">
            <v>Settled</v>
          </cell>
        </row>
        <row r="2858">
          <cell r="F2858" t="str">
            <v>SG-Mastercard-12/2023</v>
          </cell>
          <cell r="G2858" t="str">
            <v>Settled</v>
          </cell>
        </row>
        <row r="2859">
          <cell r="F2859" t="str">
            <v>SG-Mastercard-01/2024</v>
          </cell>
          <cell r="G2859" t="str">
            <v>Settled</v>
          </cell>
        </row>
        <row r="2860">
          <cell r="F2860" t="str">
            <v>SG-Mastercard-02/2024</v>
          </cell>
          <cell r="G2860" t="str">
            <v>Settled</v>
          </cell>
        </row>
        <row r="2861">
          <cell r="F2861" t="str">
            <v>SG-Mastercard-03/2024</v>
          </cell>
          <cell r="G2861" t="str">
            <v>Settled</v>
          </cell>
        </row>
        <row r="2862">
          <cell r="F2862" t="str">
            <v>SG-Mastercard-04/2024</v>
          </cell>
          <cell r="G2862" t="str">
            <v>Settled</v>
          </cell>
        </row>
        <row r="2863">
          <cell r="F2863" t="str">
            <v>SG-Mastercard-05/2024</v>
          </cell>
          <cell r="G2863" t="str">
            <v>Settled</v>
          </cell>
        </row>
        <row r="2864">
          <cell r="F2864" t="str">
            <v>SG-Mastercard-06/2024</v>
          </cell>
          <cell r="G2864" t="str">
            <v>Settled</v>
          </cell>
        </row>
        <row r="2865">
          <cell r="F2865" t="str">
            <v>SG-Mastercard-07/2024</v>
          </cell>
          <cell r="G2865" t="str">
            <v>Settled</v>
          </cell>
        </row>
        <row r="2866">
          <cell r="F2866" t="str">
            <v>SG-Mastercard-08/2024</v>
          </cell>
          <cell r="G2866" t="str">
            <v>Settled</v>
          </cell>
        </row>
        <row r="2867">
          <cell r="F2867" t="str">
            <v>SG-Mastercard-09/2024</v>
          </cell>
          <cell r="G2867" t="str">
            <v>Settled</v>
          </cell>
        </row>
        <row r="2868">
          <cell r="F2868" t="str">
            <v>SG-Mastercard-10/2024</v>
          </cell>
          <cell r="G2868" t="str">
            <v>Settled</v>
          </cell>
        </row>
        <row r="2869">
          <cell r="F2869" t="str">
            <v>SG-Mastercard-11/2024</v>
          </cell>
          <cell r="G2869" t="str">
            <v>Settled</v>
          </cell>
        </row>
        <row r="2870">
          <cell r="F2870" t="str">
            <v>SG-Mastercard-12/2024</v>
          </cell>
          <cell r="G2870" t="str">
            <v>Settled</v>
          </cell>
        </row>
        <row r="2871">
          <cell r="F2871" t="str">
            <v>SG-Mastercard-01/2025</v>
          </cell>
          <cell r="G2871" t="str">
            <v>Settled</v>
          </cell>
        </row>
        <row r="2872">
          <cell r="F2872" t="str">
            <v>SG-Mastercard-02/2025</v>
          </cell>
          <cell r="G2872" t="str">
            <v>Settled</v>
          </cell>
        </row>
        <row r="2873">
          <cell r="F2873" t="str">
            <v>SG-Mastercard-03/2025</v>
          </cell>
          <cell r="G2873" t="str">
            <v>Settled</v>
          </cell>
        </row>
        <row r="2874">
          <cell r="F2874" t="str">
            <v>SG-Mastercard-04/2025</v>
          </cell>
          <cell r="G2874" t="str">
            <v>Settled</v>
          </cell>
        </row>
        <row r="2875">
          <cell r="F2875" t="str">
            <v>SG-Mastercard-05/2025</v>
          </cell>
          <cell r="G2875" t="str">
            <v>Settled</v>
          </cell>
        </row>
        <row r="2876">
          <cell r="F2876" t="str">
            <v>SG-Mastercard-06/2025</v>
          </cell>
          <cell r="G2876" t="str">
            <v>Settled</v>
          </cell>
        </row>
        <row r="2877">
          <cell r="F2877" t="str">
            <v>SG-Mastercard-07/2025</v>
          </cell>
          <cell r="G2877" t="str">
            <v>Settled</v>
          </cell>
        </row>
        <row r="2878">
          <cell r="F2878" t="str">
            <v>SG-Mastercard-08/2025</v>
          </cell>
          <cell r="G2878" t="str">
            <v>Settled</v>
          </cell>
        </row>
        <row r="2879">
          <cell r="F2879" t="str">
            <v>SG-Mastercard-09/2025</v>
          </cell>
          <cell r="G2879" t="str">
            <v>Settled</v>
          </cell>
        </row>
        <row r="2880">
          <cell r="F2880" t="str">
            <v>SG-Mastercard-10/2025</v>
          </cell>
          <cell r="G2880" t="str">
            <v>Settled</v>
          </cell>
        </row>
        <row r="2881">
          <cell r="F2881" t="str">
            <v>SG-Mastercard-11/2025</v>
          </cell>
          <cell r="G2881" t="str">
            <v>Settled</v>
          </cell>
        </row>
        <row r="2882">
          <cell r="F2882" t="str">
            <v>SG-Mastercard-12/2025</v>
          </cell>
          <cell r="G2882" t="str">
            <v>Settled</v>
          </cell>
        </row>
        <row r="2883">
          <cell r="F2883" t="str">
            <v>SG-Mastercard-01/2026</v>
          </cell>
          <cell r="G2883" t="str">
            <v>Settled</v>
          </cell>
        </row>
        <row r="2884">
          <cell r="F2884" t="str">
            <v>SG-CN-Mastercard-12-2025</v>
          </cell>
          <cell r="G2884" t="str">
            <v>Settled</v>
          </cell>
        </row>
        <row r="2885">
          <cell r="F2885" t="str">
            <v>SG-DN-Mastercard-01-2026</v>
          </cell>
          <cell r="G2885" t="str">
            <v>Settled</v>
          </cell>
        </row>
        <row r="2886">
          <cell r="F2886" t="str">
            <v>SG-CN-Mastercard-01-2026</v>
          </cell>
          <cell r="G2886" t="str">
            <v>Settled</v>
          </cell>
        </row>
        <row r="2887">
          <cell r="F2887" t="str">
            <v>SG-Mastercard-02/2026</v>
          </cell>
          <cell r="G2887" t="str">
            <v>Settled</v>
          </cell>
        </row>
        <row r="2888">
          <cell r="F2888" t="str">
            <v>SG-DN-Mastercard-02-2026</v>
          </cell>
          <cell r="G2888" t="str">
            <v>Settled</v>
          </cell>
        </row>
        <row r="2889">
          <cell r="F2889" t="str">
            <v>SG-Maytower S.L.-11/2022</v>
          </cell>
          <cell r="G2889" t="str">
            <v>Settled</v>
          </cell>
        </row>
        <row r="2890">
          <cell r="F2890" t="str">
            <v>SG-Maytower S.L.-12/2022</v>
          </cell>
          <cell r="G2890" t="str">
            <v>Settled</v>
          </cell>
        </row>
        <row r="2891">
          <cell r="F2891" t="str">
            <v>SG-Maytower S.L.-01/2023</v>
          </cell>
          <cell r="G2891" t="str">
            <v>Settled</v>
          </cell>
        </row>
        <row r="2892">
          <cell r="F2892" t="str">
            <v>SG-Maytower-02/2023</v>
          </cell>
          <cell r="G2892" t="str">
            <v>Settled</v>
          </cell>
        </row>
        <row r="2893">
          <cell r="F2893" t="str">
            <v>SG-Maytower-03/2023</v>
          </cell>
          <cell r="G2893" t="str">
            <v>Settled</v>
          </cell>
        </row>
        <row r="2894">
          <cell r="F2894" t="str">
            <v>SG-Maytower-04/2023</v>
          </cell>
          <cell r="G2894" t="str">
            <v>Settled</v>
          </cell>
        </row>
        <row r="2895">
          <cell r="F2895" t="str">
            <v>SG-Maytower-05/2023</v>
          </cell>
          <cell r="G2895" t="str">
            <v>Settled</v>
          </cell>
        </row>
        <row r="2896">
          <cell r="F2896" t="str">
            <v>SG-Maytower-06/2023</v>
          </cell>
          <cell r="G2896" t="str">
            <v>Settled</v>
          </cell>
        </row>
        <row r="2897">
          <cell r="F2897" t="str">
            <v>SG-Maytower-07/2023</v>
          </cell>
          <cell r="G2897" t="str">
            <v>Settled</v>
          </cell>
        </row>
        <row r="2898">
          <cell r="F2898" t="str">
            <v>SG -Maytower-08/2023</v>
          </cell>
          <cell r="G2898" t="str">
            <v>Settled</v>
          </cell>
        </row>
        <row r="2899">
          <cell r="F2899" t="str">
            <v>SG-Maytower-09/2023</v>
          </cell>
          <cell r="G2899" t="str">
            <v>Settled</v>
          </cell>
        </row>
        <row r="2900">
          <cell r="F2900" t="str">
            <v>SG-Maytower-10/2023</v>
          </cell>
          <cell r="G2900" t="str">
            <v>Settled</v>
          </cell>
        </row>
        <row r="2901">
          <cell r="F2901" t="str">
            <v>SG-Maytower-11/2023</v>
          </cell>
          <cell r="G2901" t="str">
            <v>Settled</v>
          </cell>
        </row>
        <row r="2902">
          <cell r="F2902" t="str">
            <v>SG-Maytower-12/2023</v>
          </cell>
          <cell r="G2902" t="str">
            <v>Settled</v>
          </cell>
        </row>
        <row r="2903">
          <cell r="F2903" t="str">
            <v>SG-Maytower-01/2024</v>
          </cell>
          <cell r="G2903" t="str">
            <v>Settled</v>
          </cell>
        </row>
        <row r="2904">
          <cell r="F2904" t="str">
            <v>SG-Maytower-02/2024</v>
          </cell>
          <cell r="G2904" t="str">
            <v>Settled</v>
          </cell>
        </row>
        <row r="2905">
          <cell r="F2905" t="str">
            <v>SG-Maytower-03/2024</v>
          </cell>
          <cell r="G2905" t="str">
            <v>Settled</v>
          </cell>
        </row>
        <row r="2906">
          <cell r="F2906" t="str">
            <v>SG-Maytower-04/2024</v>
          </cell>
          <cell r="G2906" t="str">
            <v>Settled</v>
          </cell>
        </row>
        <row r="2907">
          <cell r="F2907" t="str">
            <v>SG-Maytower-05/2024</v>
          </cell>
          <cell r="G2907" t="str">
            <v>Settled</v>
          </cell>
        </row>
        <row r="2908">
          <cell r="F2908" t="str">
            <v>SG-Maytower-06/2024</v>
          </cell>
          <cell r="G2908" t="str">
            <v>Settled</v>
          </cell>
        </row>
        <row r="2909">
          <cell r="F2909" t="str">
            <v>SG-Maytower-07/2024</v>
          </cell>
          <cell r="G2909" t="str">
            <v>Settled</v>
          </cell>
        </row>
        <row r="2910">
          <cell r="F2910" t="str">
            <v>SG-Maytower-08/2024</v>
          </cell>
          <cell r="G2910" t="str">
            <v>Settled</v>
          </cell>
        </row>
        <row r="2911">
          <cell r="F2911" t="str">
            <v>SG-Maytower-09/2024</v>
          </cell>
          <cell r="G2911" t="str">
            <v>Settled</v>
          </cell>
        </row>
        <row r="2912">
          <cell r="F2912" t="str">
            <v>SG-Maytower-10/2024</v>
          </cell>
          <cell r="G2912" t="str">
            <v>Settled</v>
          </cell>
        </row>
        <row r="2913">
          <cell r="F2913" t="str">
            <v>SG-mediamart-11/2023</v>
          </cell>
          <cell r="G2913" t="str">
            <v>Settled</v>
          </cell>
        </row>
        <row r="2914">
          <cell r="F2914" t="str">
            <v>SG-mercantile-07/2023</v>
          </cell>
          <cell r="G2914" t="str">
            <v>Settled</v>
          </cell>
        </row>
        <row r="2915">
          <cell r="F2915" t="str">
            <v>SG-mercantile-09/2023</v>
          </cell>
          <cell r="G2915" t="str">
            <v>Settled</v>
          </cell>
        </row>
        <row r="2916">
          <cell r="F2916" t="str">
            <v>SG-mercantile-01/2024</v>
          </cell>
          <cell r="G2916" t="str">
            <v>Settled</v>
          </cell>
        </row>
        <row r="2917">
          <cell r="F2917" t="str">
            <v>SG-mideia-11/2023</v>
          </cell>
          <cell r="G2917" t="str">
            <v>Settled</v>
          </cell>
        </row>
        <row r="2918">
          <cell r="F2918" t="str">
            <v>SG-Modern exchange co llc-11/2022</v>
          </cell>
          <cell r="G2918" t="str">
            <v>Settled</v>
          </cell>
        </row>
        <row r="2919">
          <cell r="F2919" t="str">
            <v>SG-Modern exchange co llc-12/2022</v>
          </cell>
          <cell r="G2919" t="str">
            <v>Settled</v>
          </cell>
        </row>
        <row r="2920">
          <cell r="F2920" t="str">
            <v>SG-Modern exchange co llc-01/2023</v>
          </cell>
          <cell r="G2920" t="str">
            <v>Settled</v>
          </cell>
        </row>
        <row r="2921">
          <cell r="F2921" t="str">
            <v>SG-Modernex-02/2023</v>
          </cell>
          <cell r="G2921" t="str">
            <v>Settled</v>
          </cell>
        </row>
        <row r="2922">
          <cell r="F2922" t="str">
            <v>SG-Modernex-03/2023</v>
          </cell>
          <cell r="G2922" t="str">
            <v>Settled</v>
          </cell>
        </row>
        <row r="2923">
          <cell r="F2923" t="str">
            <v>SG-Modernex-04/2023</v>
          </cell>
          <cell r="G2923" t="str">
            <v>Settled</v>
          </cell>
        </row>
        <row r="2924">
          <cell r="F2924" t="str">
            <v>SG-Modernex-05/2023</v>
          </cell>
          <cell r="G2924" t="str">
            <v>Settled</v>
          </cell>
        </row>
        <row r="2925">
          <cell r="F2925" t="str">
            <v>SG -Modernex-CR-05/2023</v>
          </cell>
          <cell r="G2925" t="str">
            <v>Settled</v>
          </cell>
        </row>
        <row r="2926">
          <cell r="F2926" t="str">
            <v>SG-Modernex-06/2023</v>
          </cell>
          <cell r="G2926" t="str">
            <v>Settled</v>
          </cell>
        </row>
        <row r="2927">
          <cell r="F2927" t="str">
            <v>SG-Modernex-07/2023</v>
          </cell>
          <cell r="G2927" t="str">
            <v>Settled</v>
          </cell>
        </row>
        <row r="2928">
          <cell r="F2928" t="str">
            <v>SG -Modernex-08/2023</v>
          </cell>
          <cell r="G2928" t="str">
            <v>Settled</v>
          </cell>
        </row>
        <row r="2929">
          <cell r="F2929" t="str">
            <v>SG-Modernex-09/2023</v>
          </cell>
          <cell r="G2929" t="str">
            <v>Settled</v>
          </cell>
        </row>
        <row r="2930">
          <cell r="F2930" t="str">
            <v>SG-Modernex-10/2023</v>
          </cell>
          <cell r="G2930" t="str">
            <v>Settled</v>
          </cell>
        </row>
        <row r="2931">
          <cell r="F2931" t="str">
            <v>SG-Modernex-11/2023</v>
          </cell>
          <cell r="G2931" t="str">
            <v>Settled</v>
          </cell>
        </row>
        <row r="2932">
          <cell r="F2932" t="str">
            <v>SG-Modernex-12/2023</v>
          </cell>
          <cell r="G2932" t="str">
            <v>Settled</v>
          </cell>
        </row>
        <row r="2933">
          <cell r="F2933" t="str">
            <v>SG-Modernex-01/2024</v>
          </cell>
          <cell r="G2933" t="str">
            <v>Settled</v>
          </cell>
        </row>
        <row r="2934">
          <cell r="F2934" t="str">
            <v>SG-Modernex-02/2024</v>
          </cell>
          <cell r="G2934" t="str">
            <v>Settled</v>
          </cell>
        </row>
        <row r="2935">
          <cell r="F2935" t="str">
            <v>SG-Modernex-03/2024</v>
          </cell>
          <cell r="G2935" t="str">
            <v>Settled</v>
          </cell>
        </row>
        <row r="2936">
          <cell r="F2936" t="str">
            <v>SG-Modernex-04/2024</v>
          </cell>
          <cell r="G2936" t="str">
            <v>Settled</v>
          </cell>
        </row>
        <row r="2937">
          <cell r="F2937" t="str">
            <v>SG-Modernex-05/2024</v>
          </cell>
          <cell r="G2937" t="str">
            <v>Settled</v>
          </cell>
        </row>
        <row r="2938">
          <cell r="F2938" t="str">
            <v>SG-Modernex-06/2024</v>
          </cell>
          <cell r="G2938" t="str">
            <v>Settled</v>
          </cell>
        </row>
        <row r="2939">
          <cell r="F2939" t="str">
            <v>SG-Modernex-07/2024</v>
          </cell>
          <cell r="G2939" t="str">
            <v>Settled</v>
          </cell>
        </row>
        <row r="2940">
          <cell r="F2940" t="str">
            <v>SG-Modernex-08/2024</v>
          </cell>
          <cell r="G2940" t="str">
            <v>Settled</v>
          </cell>
        </row>
        <row r="2941">
          <cell r="F2941" t="str">
            <v>SG-Modernex-09/2024</v>
          </cell>
          <cell r="G2941" t="str">
            <v>Settled</v>
          </cell>
        </row>
        <row r="2942">
          <cell r="F2942" t="str">
            <v>SG-Modernex-10/2024</v>
          </cell>
          <cell r="G2942" t="str">
            <v>Settled</v>
          </cell>
        </row>
        <row r="2943">
          <cell r="F2943" t="str">
            <v>SG-Modernex-11/2024</v>
          </cell>
          <cell r="G2943" t="str">
            <v>Settled</v>
          </cell>
        </row>
        <row r="2944">
          <cell r="F2944" t="str">
            <v>SG-Modernex-12/2024</v>
          </cell>
          <cell r="G2944" t="str">
            <v>Settled</v>
          </cell>
        </row>
        <row r="2945">
          <cell r="F2945" t="str">
            <v>SG-Modernex-01/2025</v>
          </cell>
          <cell r="G2945" t="str">
            <v>Settled</v>
          </cell>
        </row>
        <row r="2946">
          <cell r="F2946" t="str">
            <v>SG-Modernex-02/2025</v>
          </cell>
          <cell r="G2946" t="str">
            <v>Settled</v>
          </cell>
        </row>
        <row r="2947">
          <cell r="F2947" t="str">
            <v>SG-Modernex-03/2025</v>
          </cell>
          <cell r="G2947" t="str">
            <v>Settled</v>
          </cell>
        </row>
        <row r="2948">
          <cell r="F2948" t="str">
            <v>SG-Modernex-04/2025</v>
          </cell>
          <cell r="G2948" t="str">
            <v>Settled</v>
          </cell>
        </row>
        <row r="2949">
          <cell r="F2949" t="str">
            <v>SG-Modernex-05/2025</v>
          </cell>
          <cell r="G2949" t="str">
            <v>Settled</v>
          </cell>
        </row>
        <row r="2950">
          <cell r="F2950" t="str">
            <v>SG-Modernex-06/2025</v>
          </cell>
          <cell r="G2950" t="str">
            <v>Settled</v>
          </cell>
        </row>
        <row r="2951">
          <cell r="F2951" t="str">
            <v>SG-Modernex-07/2025</v>
          </cell>
          <cell r="G2951" t="str">
            <v>Settled</v>
          </cell>
        </row>
        <row r="2952">
          <cell r="F2952" t="str">
            <v>SG-Modernex-08/2025</v>
          </cell>
          <cell r="G2952" t="str">
            <v>Settled</v>
          </cell>
        </row>
        <row r="2953">
          <cell r="F2953" t="str">
            <v>SG-Modernex-09/2025</v>
          </cell>
          <cell r="G2953" t="str">
            <v>Settled</v>
          </cell>
        </row>
        <row r="2954">
          <cell r="F2954" t="str">
            <v>SG-Modernex-10/2025</v>
          </cell>
          <cell r="G2954" t="str">
            <v>Settled</v>
          </cell>
        </row>
        <row r="2955">
          <cell r="F2955" t="str">
            <v>SG-Modernex-11/2025</v>
          </cell>
          <cell r="G2955" t="str">
            <v>Settled</v>
          </cell>
        </row>
        <row r="2956">
          <cell r="F2956" t="str">
            <v>SG-Modernex-12/2025</v>
          </cell>
          <cell r="G2956" t="str">
            <v>Settled</v>
          </cell>
        </row>
        <row r="2957">
          <cell r="F2957" t="str">
            <v>SG-Modernex-01/2026</v>
          </cell>
          <cell r="G2957" t="str">
            <v>Settled</v>
          </cell>
        </row>
        <row r="2958">
          <cell r="F2958" t="str">
            <v>SG-Modernex-02/2026</v>
          </cell>
          <cell r="G2958" t="str">
            <v>Settled</v>
          </cell>
        </row>
        <row r="2959">
          <cell r="F2959" t="str">
            <v>SG-moin 2-11/2022</v>
          </cell>
          <cell r="G2959" t="str">
            <v>Settled</v>
          </cell>
        </row>
        <row r="2960">
          <cell r="F2960" t="str">
            <v>SG-moin 2-12/2022</v>
          </cell>
          <cell r="G2960" t="str">
            <v>Settled</v>
          </cell>
        </row>
        <row r="2961">
          <cell r="F2961" t="str">
            <v>SG-moin 2-01/2023</v>
          </cell>
          <cell r="G2961" t="str">
            <v>Settled</v>
          </cell>
        </row>
        <row r="2962">
          <cell r="F2962" t="str">
            <v>SG-moin 2-02/2023</v>
          </cell>
          <cell r="G2962" t="str">
            <v>Settled</v>
          </cell>
        </row>
        <row r="2963">
          <cell r="F2963" t="str">
            <v>SG-moin 2-03/2023</v>
          </cell>
          <cell r="G2963" t="str">
            <v>Settled</v>
          </cell>
        </row>
        <row r="2964">
          <cell r="F2964" t="str">
            <v>SG-moin 2-04/2023</v>
          </cell>
          <cell r="G2964" t="str">
            <v>Settled</v>
          </cell>
        </row>
        <row r="2965">
          <cell r="F2965" t="str">
            <v>SG-moin 2-05/2023</v>
          </cell>
          <cell r="G2965" t="str">
            <v>Settled</v>
          </cell>
        </row>
        <row r="2966">
          <cell r="F2966" t="str">
            <v>SG-moin 2-06/2023</v>
          </cell>
          <cell r="G2966" t="str">
            <v>Settled</v>
          </cell>
        </row>
        <row r="2967">
          <cell r="F2967" t="str">
            <v>SG-moin 2-07/2023</v>
          </cell>
          <cell r="G2967" t="str">
            <v>Settled</v>
          </cell>
        </row>
        <row r="2968">
          <cell r="F2968" t="str">
            <v>SG -moin 2-08/2023</v>
          </cell>
          <cell r="G2968" t="str">
            <v>Settled</v>
          </cell>
        </row>
        <row r="2969">
          <cell r="F2969" t="str">
            <v>SG-moin 2-09/2023</v>
          </cell>
          <cell r="G2969" t="str">
            <v>Settled</v>
          </cell>
        </row>
        <row r="2970">
          <cell r="F2970" t="str">
            <v>SG-moin 2-10/2023</v>
          </cell>
          <cell r="G2970" t="str">
            <v>Settled</v>
          </cell>
        </row>
        <row r="2971">
          <cell r="F2971" t="str">
            <v>SG-moin 2-11/2023</v>
          </cell>
          <cell r="G2971" t="str">
            <v>Settled</v>
          </cell>
        </row>
        <row r="2972">
          <cell r="F2972" t="str">
            <v>SG-moin 2-12/2023</v>
          </cell>
          <cell r="G2972" t="str">
            <v>Settled</v>
          </cell>
        </row>
        <row r="2973">
          <cell r="F2973" t="str">
            <v>SG-moin 2-01/2024</v>
          </cell>
          <cell r="G2973" t="str">
            <v>Settled</v>
          </cell>
        </row>
        <row r="2974">
          <cell r="F2974" t="str">
            <v>SG-moin 2-02/2024</v>
          </cell>
          <cell r="G2974" t="str">
            <v>Settled</v>
          </cell>
        </row>
        <row r="2975">
          <cell r="F2975" t="str">
            <v>SG-moin 2-03/2024</v>
          </cell>
          <cell r="G2975" t="str">
            <v>Settled</v>
          </cell>
        </row>
        <row r="2976">
          <cell r="F2976" t="str">
            <v>SG-moin 2-04/2024</v>
          </cell>
          <cell r="G2976" t="str">
            <v>Settled</v>
          </cell>
        </row>
        <row r="2977">
          <cell r="F2977" t="str">
            <v>SG-CN-moin 2-03-2024</v>
          </cell>
          <cell r="G2977" t="str">
            <v>Settled</v>
          </cell>
        </row>
        <row r="2978">
          <cell r="F2978" t="str">
            <v>SG-CN-moin 2-04-2024</v>
          </cell>
          <cell r="G2978" t="str">
            <v>Settled</v>
          </cell>
        </row>
        <row r="2979">
          <cell r="F2979" t="str">
            <v>SG-moin 2-05/2024</v>
          </cell>
          <cell r="G2979" t="str">
            <v>Settled</v>
          </cell>
        </row>
        <row r="2980">
          <cell r="F2980" t="str">
            <v>SG-moin 2-06/2024</v>
          </cell>
          <cell r="G2980" t="str">
            <v>Settled</v>
          </cell>
        </row>
        <row r="2981">
          <cell r="F2981" t="str">
            <v>SG-moin 2-07/2024</v>
          </cell>
          <cell r="G2981" t="str">
            <v>Settled</v>
          </cell>
        </row>
        <row r="2982">
          <cell r="F2982" t="str">
            <v>SG-moin 2-08/2024</v>
          </cell>
          <cell r="G2982" t="str">
            <v>Settled</v>
          </cell>
        </row>
        <row r="2983">
          <cell r="F2983" t="str">
            <v>SG-moin 2-09/2024</v>
          </cell>
          <cell r="G2983" t="str">
            <v>Settled</v>
          </cell>
        </row>
        <row r="2984">
          <cell r="F2984" t="str">
            <v>SG-moin 2-10/2024</v>
          </cell>
          <cell r="G2984" t="str">
            <v>Settled</v>
          </cell>
        </row>
        <row r="2985">
          <cell r="F2985" t="str">
            <v>SG-moin 2-11/2024</v>
          </cell>
          <cell r="G2985" t="str">
            <v>Settled</v>
          </cell>
        </row>
        <row r="2986">
          <cell r="F2986" t="str">
            <v>SG-moin 2-12/2024</v>
          </cell>
          <cell r="G2986" t="str">
            <v>Settled</v>
          </cell>
        </row>
        <row r="2987">
          <cell r="F2987" t="str">
            <v>SG-moin 2-01/2025</v>
          </cell>
          <cell r="G2987" t="str">
            <v>Settled</v>
          </cell>
        </row>
        <row r="2988">
          <cell r="F2988" t="str">
            <v>SG-moin 2-02/2025</v>
          </cell>
          <cell r="G2988" t="str">
            <v>Settled</v>
          </cell>
        </row>
        <row r="2989">
          <cell r="F2989" t="str">
            <v>SG-moin 2-03/2025</v>
          </cell>
          <cell r="G2989" t="str">
            <v>Settled</v>
          </cell>
        </row>
        <row r="2990">
          <cell r="F2990" t="str">
            <v>SG-moin 2-04/2025</v>
          </cell>
          <cell r="G2990" t="str">
            <v>Settled</v>
          </cell>
        </row>
        <row r="2991">
          <cell r="F2991" t="str">
            <v>SG-moin 2-05/2025</v>
          </cell>
          <cell r="G2991" t="str">
            <v>Settled</v>
          </cell>
        </row>
        <row r="2992">
          <cell r="F2992" t="str">
            <v>SG-moin 2-06/2025</v>
          </cell>
          <cell r="G2992" t="str">
            <v>Settled</v>
          </cell>
        </row>
        <row r="2993">
          <cell r="F2993" t="str">
            <v>SG-moin 2-07/2025</v>
          </cell>
          <cell r="G2993" t="str">
            <v>Settled</v>
          </cell>
        </row>
        <row r="2994">
          <cell r="F2994" t="str">
            <v>SG-moin 2-08/2025</v>
          </cell>
          <cell r="G2994" t="str">
            <v>Settled</v>
          </cell>
        </row>
        <row r="2995">
          <cell r="F2995" t="str">
            <v>SG-moin 2-09/2025</v>
          </cell>
          <cell r="G2995" t="str">
            <v>Settled</v>
          </cell>
        </row>
        <row r="2996">
          <cell r="F2996" t="str">
            <v>SG-moin 2-10/2025</v>
          </cell>
          <cell r="G2996" t="str">
            <v>Settled</v>
          </cell>
        </row>
        <row r="2997">
          <cell r="F2997" t="str">
            <v>SG-moin 2-11/2025</v>
          </cell>
          <cell r="G2997" t="str">
            <v>Settled</v>
          </cell>
        </row>
        <row r="2998">
          <cell r="F2998" t="str">
            <v>SG-moin 2-12/2025</v>
          </cell>
          <cell r="G2998" t="str">
            <v>Settled</v>
          </cell>
        </row>
        <row r="2999">
          <cell r="F2999" t="str">
            <v>SG-moin 2-01/2026</v>
          </cell>
          <cell r="G2999" t="str">
            <v>Settled</v>
          </cell>
        </row>
        <row r="3000">
          <cell r="F3000" t="str">
            <v>SG-CN-moin 2-02-2026</v>
          </cell>
          <cell r="G3000" t="str">
            <v>Settled</v>
          </cell>
        </row>
        <row r="3001">
          <cell r="F3001" t="str">
            <v>SG-moin 2-02/2026</v>
          </cell>
          <cell r="G3001" t="str">
            <v>Settled</v>
          </cell>
        </row>
        <row r="3002">
          <cell r="F3002" t="str">
            <v>SG-CN-Moin inc-01-2026</v>
          </cell>
          <cell r="G3002" t="str">
            <v>Settled</v>
          </cell>
        </row>
        <row r="3003">
          <cell r="F3003" t="str">
            <v>SG-Moin inc-11/2022</v>
          </cell>
          <cell r="G3003" t="str">
            <v>Settled</v>
          </cell>
        </row>
        <row r="3004">
          <cell r="F3004" t="str">
            <v>SG-Moin inc-12/2022</v>
          </cell>
          <cell r="G3004" t="str">
            <v>Settled</v>
          </cell>
        </row>
        <row r="3005">
          <cell r="F3005" t="str">
            <v>SG-Moin inc-01/2023</v>
          </cell>
          <cell r="G3005" t="str">
            <v>Settled</v>
          </cell>
        </row>
        <row r="3006">
          <cell r="F3006" t="str">
            <v>SG-Moin inc-02/2023</v>
          </cell>
          <cell r="G3006" t="str">
            <v>Settled</v>
          </cell>
        </row>
        <row r="3007">
          <cell r="F3007" t="str">
            <v>SG-Moin inc-03/2023</v>
          </cell>
          <cell r="G3007" t="str">
            <v>Settled</v>
          </cell>
        </row>
        <row r="3008">
          <cell r="F3008" t="str">
            <v>SG-Moin inc-04/2023</v>
          </cell>
          <cell r="G3008" t="str">
            <v>Settled</v>
          </cell>
        </row>
        <row r="3009">
          <cell r="F3009" t="str">
            <v>SG-Moin inc-05/2023</v>
          </cell>
          <cell r="G3009" t="str">
            <v>Settled</v>
          </cell>
        </row>
        <row r="3010">
          <cell r="F3010" t="str">
            <v>SG-Moin inc-06/2023</v>
          </cell>
          <cell r="G3010" t="str">
            <v>Settled</v>
          </cell>
        </row>
        <row r="3011">
          <cell r="F3011" t="str">
            <v>SG-Moin inc-07/2023</v>
          </cell>
          <cell r="G3011" t="str">
            <v>Settled</v>
          </cell>
        </row>
        <row r="3012">
          <cell r="F3012" t="str">
            <v>SG -Moin inc-CR-06/2023</v>
          </cell>
          <cell r="G3012" t="str">
            <v>Settled</v>
          </cell>
        </row>
        <row r="3013">
          <cell r="F3013" t="str">
            <v>SG -Moin inc-08/2023</v>
          </cell>
          <cell r="G3013" t="str">
            <v>Settled</v>
          </cell>
        </row>
        <row r="3014">
          <cell r="F3014" t="str">
            <v>SG-Moin inc-09/2023</v>
          </cell>
          <cell r="G3014" t="str">
            <v>Settled</v>
          </cell>
        </row>
        <row r="3015">
          <cell r="F3015" t="str">
            <v>SG-Moin inc-10/2023</v>
          </cell>
          <cell r="G3015" t="str">
            <v>Settled</v>
          </cell>
        </row>
        <row r="3016">
          <cell r="F3016" t="str">
            <v>SG-Moin inc-11/2023</v>
          </cell>
          <cell r="G3016" t="str">
            <v>Settled</v>
          </cell>
        </row>
        <row r="3017">
          <cell r="F3017" t="str">
            <v>SG-Moin inc-12/2023</v>
          </cell>
          <cell r="G3017" t="str">
            <v>Settled</v>
          </cell>
        </row>
        <row r="3018">
          <cell r="F3018" t="str">
            <v>SG-Moin inc-01/2024</v>
          </cell>
          <cell r="G3018" t="str">
            <v>Settled</v>
          </cell>
        </row>
        <row r="3019">
          <cell r="F3019" t="str">
            <v>SG-Moin inc-02/2024</v>
          </cell>
          <cell r="G3019" t="str">
            <v>Settled</v>
          </cell>
        </row>
        <row r="3020">
          <cell r="F3020" t="str">
            <v>SG-Moin inc-03/2024</v>
          </cell>
          <cell r="G3020" t="str">
            <v>Settled</v>
          </cell>
        </row>
        <row r="3021">
          <cell r="F3021" t="str">
            <v>SG-CN-Moin inc-03-2024</v>
          </cell>
          <cell r="G3021" t="str">
            <v>Settled</v>
          </cell>
        </row>
        <row r="3022">
          <cell r="F3022" t="str">
            <v>SG-Moin inc-04/2024</v>
          </cell>
          <cell r="G3022" t="str">
            <v>Settled</v>
          </cell>
        </row>
        <row r="3023">
          <cell r="F3023" t="str">
            <v>SG-Moin inc-05/2024</v>
          </cell>
          <cell r="G3023" t="str">
            <v>Settled</v>
          </cell>
        </row>
        <row r="3024">
          <cell r="F3024" t="str">
            <v>SG-Moin inc-06/2024</v>
          </cell>
          <cell r="G3024" t="str">
            <v>Settled</v>
          </cell>
        </row>
        <row r="3025">
          <cell r="F3025" t="str">
            <v>SG-Moin inc-07/2024</v>
          </cell>
          <cell r="G3025" t="str">
            <v>Settled</v>
          </cell>
        </row>
        <row r="3026">
          <cell r="F3026" t="str">
            <v>SG-Moin inc-08/2024</v>
          </cell>
          <cell r="G3026" t="str">
            <v>Settled</v>
          </cell>
        </row>
        <row r="3027">
          <cell r="F3027" t="str">
            <v>SG-Moin inc-09/2024</v>
          </cell>
          <cell r="G3027" t="str">
            <v>Settled</v>
          </cell>
        </row>
        <row r="3028">
          <cell r="F3028" t="str">
            <v>SG-Moin inc-10/2024</v>
          </cell>
          <cell r="G3028" t="str">
            <v>Settled</v>
          </cell>
        </row>
        <row r="3029">
          <cell r="F3029" t="str">
            <v>SG-CN-Moin inc-10-2024</v>
          </cell>
          <cell r="G3029" t="str">
            <v>Settled</v>
          </cell>
        </row>
        <row r="3030">
          <cell r="F3030" t="str">
            <v>SG-Moin inc-11/2024</v>
          </cell>
          <cell r="G3030" t="str">
            <v>Settled</v>
          </cell>
        </row>
        <row r="3031">
          <cell r="F3031" t="str">
            <v>SG-Moin inc-12/2024</v>
          </cell>
          <cell r="G3031" t="str">
            <v>Settled</v>
          </cell>
        </row>
        <row r="3032">
          <cell r="F3032" t="str">
            <v>SG-Moin inc-01/2025</v>
          </cell>
          <cell r="G3032" t="str">
            <v>Settled</v>
          </cell>
        </row>
        <row r="3033">
          <cell r="F3033" t="str">
            <v>SG-CN-Moin inc-01-2025</v>
          </cell>
          <cell r="G3033" t="str">
            <v>Settled</v>
          </cell>
        </row>
        <row r="3034">
          <cell r="F3034" t="str">
            <v>SG-Moin inc-02/2025</v>
          </cell>
          <cell r="G3034" t="str">
            <v>Settled</v>
          </cell>
        </row>
        <row r="3035">
          <cell r="F3035" t="str">
            <v>SG-CN-Moin inc-02-2025</v>
          </cell>
          <cell r="G3035" t="str">
            <v>Settled</v>
          </cell>
        </row>
        <row r="3036">
          <cell r="F3036" t="str">
            <v>SG-Moin inc-03/2025</v>
          </cell>
          <cell r="G3036" t="str">
            <v>Settled</v>
          </cell>
        </row>
        <row r="3037">
          <cell r="F3037" t="str">
            <v>SG-CN-Moin inc-03-2025</v>
          </cell>
          <cell r="G3037" t="str">
            <v>Settled</v>
          </cell>
        </row>
        <row r="3038">
          <cell r="F3038" t="str">
            <v>SG-Moin inc-04/2025</v>
          </cell>
          <cell r="G3038" t="str">
            <v>Settled</v>
          </cell>
        </row>
        <row r="3039">
          <cell r="F3039" t="str">
            <v>SG-CN-Moin inc-04-2025</v>
          </cell>
          <cell r="G3039" t="str">
            <v>Settled</v>
          </cell>
        </row>
        <row r="3040">
          <cell r="F3040" t="str">
            <v>SG-CN-Moin inc-05-2025</v>
          </cell>
          <cell r="G3040" t="str">
            <v>Settled</v>
          </cell>
        </row>
        <row r="3041">
          <cell r="F3041" t="str">
            <v>SG-Moin inc-05/2025</v>
          </cell>
          <cell r="G3041" t="str">
            <v>Settled</v>
          </cell>
        </row>
        <row r="3042">
          <cell r="F3042" t="str">
            <v>SG-Moin inc-06/2025</v>
          </cell>
          <cell r="G3042" t="str">
            <v>Settled</v>
          </cell>
        </row>
        <row r="3043">
          <cell r="F3043" t="str">
            <v>SG-Moin inc-07/2025</v>
          </cell>
          <cell r="G3043" t="str">
            <v>Settled</v>
          </cell>
        </row>
        <row r="3044">
          <cell r="F3044" t="str">
            <v>SG-Moin inc-08/2025</v>
          </cell>
          <cell r="G3044" t="str">
            <v>Settled</v>
          </cell>
        </row>
        <row r="3045">
          <cell r="F3045" t="str">
            <v>SG-Moin inc-09/2025</v>
          </cell>
          <cell r="G3045" t="str">
            <v>Settled</v>
          </cell>
        </row>
        <row r="3046">
          <cell r="F3046" t="str">
            <v>SG-Moin inc-10/2025</v>
          </cell>
          <cell r="G3046" t="str">
            <v>Settled</v>
          </cell>
        </row>
        <row r="3047">
          <cell r="F3047" t="str">
            <v>SG-Moin inc-11/2025</v>
          </cell>
          <cell r="G3047" t="str">
            <v>Settled</v>
          </cell>
        </row>
        <row r="3048">
          <cell r="F3048" t="str">
            <v>SG-Moin inc-12/2025</v>
          </cell>
          <cell r="G3048" t="str">
            <v>Settled</v>
          </cell>
        </row>
        <row r="3049">
          <cell r="F3049" t="str">
            <v>SG-Moin inc-01/2026</v>
          </cell>
          <cell r="G3049" t="str">
            <v>Settled</v>
          </cell>
        </row>
        <row r="3050">
          <cell r="F3050" t="str">
            <v>SG-Monex-07/2024</v>
          </cell>
          <cell r="G3050" t="str">
            <v>Settled</v>
          </cell>
        </row>
        <row r="3051">
          <cell r="F3051" t="str">
            <v>SG-Monex-08/2024</v>
          </cell>
          <cell r="G3051" t="str">
            <v>Settled</v>
          </cell>
        </row>
        <row r="3052">
          <cell r="F3052" t="str">
            <v>SG-Monex-09/2024</v>
          </cell>
          <cell r="G3052" t="str">
            <v>Settled</v>
          </cell>
        </row>
        <row r="3053">
          <cell r="F3053" t="str">
            <v>SG-Monex-10/2024</v>
          </cell>
          <cell r="G3053" t="str">
            <v>Settled</v>
          </cell>
        </row>
        <row r="3054">
          <cell r="F3054" t="str">
            <v>SG-Monex-11/2024</v>
          </cell>
          <cell r="G3054" t="str">
            <v>Settled</v>
          </cell>
        </row>
        <row r="3055">
          <cell r="F3055" t="str">
            <v>SG-Monex-12/2024</v>
          </cell>
          <cell r="G3055" t="str">
            <v>Settled</v>
          </cell>
        </row>
        <row r="3056">
          <cell r="F3056" t="str">
            <v>SG-Monex-01/2025</v>
          </cell>
          <cell r="G3056" t="str">
            <v>Settled</v>
          </cell>
        </row>
        <row r="3057">
          <cell r="F3057" t="str">
            <v>SG-Monex-02/2025</v>
          </cell>
          <cell r="G3057" t="str">
            <v>Settled</v>
          </cell>
        </row>
        <row r="3058">
          <cell r="F3058" t="str">
            <v>SG-Monex-03/2025</v>
          </cell>
          <cell r="G3058" t="str">
            <v>Settled</v>
          </cell>
        </row>
        <row r="3059">
          <cell r="F3059" t="str">
            <v>SG-Monex-04/2025</v>
          </cell>
          <cell r="G3059" t="str">
            <v>Settled</v>
          </cell>
        </row>
        <row r="3060">
          <cell r="F3060" t="str">
            <v>SG-Monex-05/2025</v>
          </cell>
          <cell r="G3060" t="str">
            <v>Settled</v>
          </cell>
        </row>
        <row r="3061">
          <cell r="F3061" t="str">
            <v>SG-Monex-06/2025</v>
          </cell>
          <cell r="G3061" t="str">
            <v>Settled</v>
          </cell>
        </row>
        <row r="3062">
          <cell r="F3062" t="str">
            <v>SG-Monex-07/2025</v>
          </cell>
          <cell r="G3062" t="str">
            <v>Settled</v>
          </cell>
        </row>
        <row r="3063">
          <cell r="F3063" t="str">
            <v>SG-Monex-08/2025</v>
          </cell>
          <cell r="G3063" t="str">
            <v>Settled</v>
          </cell>
        </row>
        <row r="3064">
          <cell r="F3064" t="str">
            <v>SG-Monex-09/2025</v>
          </cell>
          <cell r="G3064" t="str">
            <v>Settled</v>
          </cell>
        </row>
        <row r="3065">
          <cell r="F3065" t="str">
            <v>SG-Monex-10/2025</v>
          </cell>
          <cell r="G3065" t="str">
            <v>Settled</v>
          </cell>
        </row>
        <row r="3066">
          <cell r="F3066" t="str">
            <v>SG-Monex-11/2025</v>
          </cell>
          <cell r="G3066" t="str">
            <v>Settled</v>
          </cell>
        </row>
        <row r="3067">
          <cell r="F3067" t="str">
            <v>SG-Monex-12/2025</v>
          </cell>
          <cell r="G3067" t="str">
            <v>Settled</v>
          </cell>
        </row>
        <row r="3068">
          <cell r="F3068" t="str">
            <v>SG-Monex-01/2026</v>
          </cell>
          <cell r="G3068" t="str">
            <v>Settled</v>
          </cell>
        </row>
        <row r="3069">
          <cell r="F3069" t="str">
            <v>SG-Monex-02/2026</v>
          </cell>
          <cell r="G3069" t="str">
            <v>Settled</v>
          </cell>
        </row>
        <row r="3070">
          <cell r="F3070" t="str">
            <v>AU-MoneyChain-09/2023</v>
          </cell>
          <cell r="G3070" t="str">
            <v>Settled</v>
          </cell>
        </row>
        <row r="3071">
          <cell r="F3071" t="str">
            <v>AU-MoneyChain-10/2023</v>
          </cell>
          <cell r="G3071" t="str">
            <v>Settled</v>
          </cell>
        </row>
        <row r="3072">
          <cell r="F3072" t="str">
            <v>AU-MoneyChain-10/2023</v>
          </cell>
          <cell r="G3072" t="str">
            <v>Settled</v>
          </cell>
        </row>
        <row r="3073">
          <cell r="F3073" t="str">
            <v>AU-MoneyChain-11/2023</v>
          </cell>
          <cell r="G3073" t="str">
            <v>Settled</v>
          </cell>
        </row>
        <row r="3074">
          <cell r="F3074" t="str">
            <v>AU-MoneyChain-12/2023</v>
          </cell>
          <cell r="G3074" t="str">
            <v>Settled</v>
          </cell>
        </row>
        <row r="3075">
          <cell r="F3075" t="str">
            <v>AU-MoneyChain-01/2024</v>
          </cell>
          <cell r="G3075" t="str">
            <v>Settled</v>
          </cell>
        </row>
        <row r="3076">
          <cell r="F3076" t="str">
            <v>AU-MoneyChain-02/2024</v>
          </cell>
          <cell r="G3076" t="str">
            <v>Settled</v>
          </cell>
        </row>
        <row r="3077">
          <cell r="F3077" t="str">
            <v>AU-MoneyChain-03/2024</v>
          </cell>
          <cell r="G3077" t="str">
            <v>Settled</v>
          </cell>
        </row>
        <row r="3078">
          <cell r="F3078" t="str">
            <v>AU-MoneyChain-04/2024</v>
          </cell>
          <cell r="G3078" t="str">
            <v>Settled</v>
          </cell>
        </row>
        <row r="3079">
          <cell r="F3079" t="str">
            <v>AU-MoneyChain-05/2024</v>
          </cell>
          <cell r="G3079" t="str">
            <v>Settled</v>
          </cell>
        </row>
        <row r="3080">
          <cell r="F3080" t="str">
            <v>AU-MoneyChain-02/2025</v>
          </cell>
          <cell r="G3080" t="str">
            <v>Settled</v>
          </cell>
        </row>
        <row r="3081">
          <cell r="F3081" t="str">
            <v>AU-MoneyChain-04/2025</v>
          </cell>
          <cell r="G3081" t="str">
            <v>Settled</v>
          </cell>
        </row>
        <row r="3082">
          <cell r="F3082" t="str">
            <v>AU-CN-MoneyChain-04-2025</v>
          </cell>
          <cell r="G3082" t="str">
            <v>Settled</v>
          </cell>
        </row>
        <row r="3083">
          <cell r="F3083" t="str">
            <v>AU-MoneyChain-05/2025</v>
          </cell>
          <cell r="G3083" t="str">
            <v>Settled</v>
          </cell>
        </row>
        <row r="3084">
          <cell r="F3084" t="str">
            <v>AU-MoneyChain-06/2025</v>
          </cell>
          <cell r="G3084" t="str">
            <v>Settled</v>
          </cell>
        </row>
        <row r="3085">
          <cell r="F3085" t="str">
            <v>AU-MoneyChain-07/2025</v>
          </cell>
          <cell r="G3085" t="str">
            <v>Settled</v>
          </cell>
        </row>
        <row r="3086">
          <cell r="F3086" t="str">
            <v>AU-MoneyChain-08/2025</v>
          </cell>
          <cell r="G3086" t="str">
            <v>Settled</v>
          </cell>
        </row>
        <row r="3087">
          <cell r="F3087" t="str">
            <v>AU-MoneyChain-09/2025</v>
          </cell>
          <cell r="G3087" t="str">
            <v>Settled</v>
          </cell>
        </row>
        <row r="3088">
          <cell r="F3088" t="str">
            <v>AU-MoneyChain-10/2025</v>
          </cell>
          <cell r="G3088" t="str">
            <v>Settled</v>
          </cell>
        </row>
        <row r="3089">
          <cell r="F3089" t="str">
            <v>AU-MoneyChain-11/2025</v>
          </cell>
          <cell r="G3089" t="str">
            <v>Settled</v>
          </cell>
        </row>
        <row r="3090">
          <cell r="F3090" t="str">
            <v>AU-MoneyChain-12/2025</v>
          </cell>
          <cell r="G3090" t="str">
            <v>Settled</v>
          </cell>
        </row>
        <row r="3091">
          <cell r="F3091" t="str">
            <v>AU-MoneyChain-01/2026</v>
          </cell>
          <cell r="G3091" t="str">
            <v>Settled</v>
          </cell>
        </row>
        <row r="3092">
          <cell r="F3092" t="str">
            <v>AU-MoneyChain-02/2026</v>
          </cell>
          <cell r="G3092" t="str">
            <v>Settled</v>
          </cell>
        </row>
        <row r="3093">
          <cell r="F3093" t="str">
            <v>SG-MoneyCorp Banco-08/2022</v>
          </cell>
          <cell r="G3093" t="str">
            <v>Write Off</v>
          </cell>
        </row>
        <row r="3094">
          <cell r="F3094" t="str">
            <v>SG-MoneyCorp Banco De Cambio S.A-12/2022</v>
          </cell>
          <cell r="G3094" t="str">
            <v>Settled</v>
          </cell>
        </row>
        <row r="3095">
          <cell r="F3095" t="str">
            <v>UK -moneycorp bank-08/2023</v>
          </cell>
          <cell r="G3095" t="str">
            <v>Settled</v>
          </cell>
        </row>
        <row r="3096">
          <cell r="F3096" t="str">
            <v>UK-moneycorp bank-05/2023</v>
          </cell>
          <cell r="G3096" t="str">
            <v>Settled</v>
          </cell>
        </row>
        <row r="3097">
          <cell r="F3097" t="str">
            <v>UK-moneycorp bank-09/2023</v>
          </cell>
          <cell r="G3097" t="str">
            <v>Settled</v>
          </cell>
        </row>
        <row r="3098">
          <cell r="F3098" t="str">
            <v>UK-moneycorp bank-09/2025</v>
          </cell>
          <cell r="G3098" t="str">
            <v>Net Off</v>
          </cell>
        </row>
        <row r="3099">
          <cell r="F3099" t="str">
            <v>UK-CN-moneycorp bank-09/2025</v>
          </cell>
          <cell r="G3099" t="str">
            <v>Net Off</v>
          </cell>
        </row>
        <row r="3100">
          <cell r="F3100" t="str">
            <v>US-MONEYCORP US INC-11/2022</v>
          </cell>
          <cell r="G3100" t="str">
            <v>Settled</v>
          </cell>
        </row>
        <row r="3101">
          <cell r="F3101" t="str">
            <v>US-MONEYCORP US INC-12/2022</v>
          </cell>
          <cell r="G3101" t="str">
            <v>Settled</v>
          </cell>
        </row>
        <row r="3102">
          <cell r="F3102" t="str">
            <v>US-MONEYCORP US INC-01/2023</v>
          </cell>
          <cell r="G3102" t="str">
            <v>Settled</v>
          </cell>
        </row>
        <row r="3103">
          <cell r="F3103" t="str">
            <v>US-MONEYCORPUS-02/2023</v>
          </cell>
          <cell r="G3103" t="str">
            <v>Settled</v>
          </cell>
        </row>
        <row r="3104">
          <cell r="F3104" t="str">
            <v>US-MONEYCORP US INC-03/2023</v>
          </cell>
          <cell r="G3104" t="str">
            <v>Settled</v>
          </cell>
        </row>
        <row r="3105">
          <cell r="F3105" t="str">
            <v>US-MONEYCORP US INC-04/2023</v>
          </cell>
          <cell r="G3105" t="str">
            <v>Settled</v>
          </cell>
        </row>
        <row r="3106">
          <cell r="F3106" t="str">
            <v>US-MONEYCORP US INC-05/2023</v>
          </cell>
          <cell r="G3106" t="str">
            <v>Settled</v>
          </cell>
        </row>
        <row r="3107">
          <cell r="F3107" t="str">
            <v>US-MONEYCORP US INC-06/2023</v>
          </cell>
          <cell r="G3107" t="str">
            <v>Settled</v>
          </cell>
        </row>
        <row r="3108">
          <cell r="F3108" t="str">
            <v>US-MONEYCORP US INC-07/2023</v>
          </cell>
          <cell r="G3108" t="str">
            <v>Settled</v>
          </cell>
        </row>
        <row r="3109">
          <cell r="F3109" t="str">
            <v>US -MONEYCORP US INC-08/2023</v>
          </cell>
          <cell r="G3109" t="str">
            <v>Settled</v>
          </cell>
        </row>
        <row r="3110">
          <cell r="F3110" t="str">
            <v>US-MONEYCORP US INC-09/2023</v>
          </cell>
          <cell r="G3110" t="str">
            <v>Settled</v>
          </cell>
        </row>
        <row r="3111">
          <cell r="F3111" t="str">
            <v>US-MONEYCORP US INC-10/2023</v>
          </cell>
          <cell r="G3111" t="str">
            <v>Settled</v>
          </cell>
        </row>
        <row r="3112">
          <cell r="F3112" t="str">
            <v>US-MONEYCORPUSIN-11/2023</v>
          </cell>
          <cell r="G3112" t="str">
            <v>Settled</v>
          </cell>
        </row>
        <row r="3113">
          <cell r="F3113" t="str">
            <v>US-MONEYCORP US-12/2023</v>
          </cell>
          <cell r="G3113" t="str">
            <v>Settled</v>
          </cell>
        </row>
        <row r="3114">
          <cell r="F3114" t="str">
            <v>US-MONEYCORP US INC-01/2024</v>
          </cell>
          <cell r="G3114" t="str">
            <v>Settled</v>
          </cell>
        </row>
        <row r="3115">
          <cell r="F3115" t="str">
            <v>US-MONEYCORP US INC-02/2024</v>
          </cell>
          <cell r="G3115" t="str">
            <v>Settled</v>
          </cell>
        </row>
        <row r="3116">
          <cell r="F3116" t="str">
            <v>US-MONEYCORP US INC-03/2024</v>
          </cell>
          <cell r="G3116" t="str">
            <v>Settled</v>
          </cell>
        </row>
        <row r="3117">
          <cell r="F3117" t="str">
            <v>US-MONEYCORP US INC-04/2024</v>
          </cell>
          <cell r="G3117" t="str">
            <v>Settled</v>
          </cell>
        </row>
        <row r="3118">
          <cell r="F3118" t="str">
            <v>US-MONEYCORP US INC-05/2024</v>
          </cell>
          <cell r="G3118" t="str">
            <v>Settled</v>
          </cell>
        </row>
        <row r="3119">
          <cell r="F3119" t="str">
            <v>US-MONEYCORP US INC-06/2024</v>
          </cell>
          <cell r="G3119" t="str">
            <v>Settled</v>
          </cell>
        </row>
        <row r="3120">
          <cell r="F3120" t="str">
            <v>US-MONEYCORP US INC-07/2024</v>
          </cell>
          <cell r="G3120" t="str">
            <v>Settled</v>
          </cell>
        </row>
        <row r="3121">
          <cell r="F3121" t="str">
            <v>US-MONEYCORP US INC-08/2024</v>
          </cell>
          <cell r="G3121" t="str">
            <v>Settled</v>
          </cell>
        </row>
        <row r="3122">
          <cell r="F3122" t="str">
            <v>US-MONEYCORP US INC-09/2024</v>
          </cell>
          <cell r="G3122" t="str">
            <v>Settled</v>
          </cell>
        </row>
        <row r="3123">
          <cell r="F3123" t="str">
            <v>US-MONEYCORP US INC-10/2024</v>
          </cell>
          <cell r="G3123" t="str">
            <v>Settled</v>
          </cell>
        </row>
        <row r="3124">
          <cell r="F3124" t="str">
            <v>US-MONEYCORP US INC-11/2024</v>
          </cell>
          <cell r="G3124" t="str">
            <v>Settled</v>
          </cell>
        </row>
        <row r="3125">
          <cell r="F3125" t="str">
            <v>US-MONEYCORP US INC-12/2024</v>
          </cell>
          <cell r="G3125" t="str">
            <v>Settled</v>
          </cell>
        </row>
        <row r="3126">
          <cell r="F3126" t="str">
            <v>US-MONEYCORP US INC-01/2025</v>
          </cell>
          <cell r="G3126" t="str">
            <v>Settled</v>
          </cell>
        </row>
        <row r="3127">
          <cell r="F3127" t="str">
            <v>US-MONEYCORP US INC-02/2025</v>
          </cell>
          <cell r="G3127" t="str">
            <v>Settled</v>
          </cell>
        </row>
        <row r="3128">
          <cell r="F3128" t="str">
            <v>US-MONEYCORP US INC-03/2025</v>
          </cell>
          <cell r="G3128" t="str">
            <v>Settled</v>
          </cell>
        </row>
        <row r="3129">
          <cell r="F3129" t="str">
            <v>US-MONEYCORP US INC-04/2025</v>
          </cell>
          <cell r="G3129" t="str">
            <v>Settled</v>
          </cell>
        </row>
        <row r="3130">
          <cell r="F3130" t="str">
            <v>US-MONEYCORP US INC-05/2025</v>
          </cell>
          <cell r="G3130" t="str">
            <v>Settled</v>
          </cell>
        </row>
        <row r="3131">
          <cell r="F3131" t="str">
            <v>US-MONEYCORP US INC-06/2025</v>
          </cell>
          <cell r="G3131" t="str">
            <v>Settled</v>
          </cell>
        </row>
        <row r="3132">
          <cell r="F3132" t="str">
            <v>US-MONEYCORP US INC-07/2025</v>
          </cell>
          <cell r="G3132" t="str">
            <v>Settled</v>
          </cell>
        </row>
        <row r="3133">
          <cell r="F3133" t="str">
            <v>US-MONEYCORP US INC-08/2025</v>
          </cell>
          <cell r="G3133" t="str">
            <v>Settled</v>
          </cell>
        </row>
        <row r="3134">
          <cell r="F3134" t="str">
            <v>US-MONEYCORP US INC-09/2025</v>
          </cell>
          <cell r="G3134" t="str">
            <v>Settled</v>
          </cell>
        </row>
        <row r="3135">
          <cell r="F3135" t="str">
            <v>US-MONEYCORP US INC-10/2025</v>
          </cell>
          <cell r="G3135" t="str">
            <v>Settled</v>
          </cell>
        </row>
        <row r="3136">
          <cell r="F3136" t="str">
            <v>US-MONEYCORP US INC-11/2025</v>
          </cell>
          <cell r="G3136" t="str">
            <v>Settled</v>
          </cell>
        </row>
        <row r="3137">
          <cell r="F3137" t="str">
            <v>US-MONEYCORP US INC-12/2025</v>
          </cell>
          <cell r="G3137" t="str">
            <v>Settled</v>
          </cell>
        </row>
        <row r="3138">
          <cell r="F3138" t="str">
            <v>US-MONEYCORP US INC-01/2026</v>
          </cell>
          <cell r="G3138" t="str">
            <v>Settled</v>
          </cell>
        </row>
        <row r="3139">
          <cell r="F3139" t="str">
            <v>US-MONEYCORP US INC-02/2026</v>
          </cell>
          <cell r="G3139" t="str">
            <v>Settled</v>
          </cell>
        </row>
        <row r="3140">
          <cell r="F3140" t="str">
            <v>SG -Moneytos-02/2023</v>
          </cell>
          <cell r="G3140" t="str">
            <v>Settled</v>
          </cell>
        </row>
        <row r="3141">
          <cell r="F3141" t="str">
            <v>SG-Moneytos-05/2023</v>
          </cell>
          <cell r="G3141" t="str">
            <v>Settled</v>
          </cell>
        </row>
        <row r="3142">
          <cell r="F3142" t="str">
            <v>SG-Moneytos-06/2023</v>
          </cell>
          <cell r="G3142" t="str">
            <v>Settled</v>
          </cell>
        </row>
        <row r="3143">
          <cell r="F3143" t="str">
            <v>SG-Moneytos-07/2023</v>
          </cell>
          <cell r="G3143" t="str">
            <v>Settled</v>
          </cell>
        </row>
        <row r="3144">
          <cell r="F3144" t="str">
            <v>SG -Moneytos-08/2023</v>
          </cell>
          <cell r="G3144" t="str">
            <v>Settled</v>
          </cell>
        </row>
        <row r="3145">
          <cell r="F3145" t="str">
            <v>SG-Moneytos-09/2023</v>
          </cell>
          <cell r="G3145" t="str">
            <v>Settled</v>
          </cell>
        </row>
        <row r="3146">
          <cell r="F3146" t="str">
            <v>SG-Moneytos-10/2023</v>
          </cell>
          <cell r="G3146" t="str">
            <v>Settled</v>
          </cell>
        </row>
        <row r="3147">
          <cell r="F3147" t="str">
            <v>SG-Moneytos-11/2023</v>
          </cell>
          <cell r="G3147" t="str">
            <v>Reversed</v>
          </cell>
        </row>
        <row r="3148">
          <cell r="F3148" t="str">
            <v>SG-Moneytos-11/2023</v>
          </cell>
          <cell r="G3148" t="str">
            <v>Settled</v>
          </cell>
        </row>
        <row r="3149">
          <cell r="F3149" t="str">
            <v>SG-Moneytos-12/2023</v>
          </cell>
          <cell r="G3149" t="str">
            <v>Settled</v>
          </cell>
        </row>
        <row r="3150">
          <cell r="F3150" t="str">
            <v>SG-Moneytos-01/2024</v>
          </cell>
          <cell r="G3150" t="str">
            <v>Settled</v>
          </cell>
        </row>
        <row r="3151">
          <cell r="F3151" t="str">
            <v>SG-Moneytos-02/2024</v>
          </cell>
          <cell r="G3151" t="str">
            <v>Settled</v>
          </cell>
        </row>
        <row r="3152">
          <cell r="F3152" t="str">
            <v>SG-Moneytos-03/2024</v>
          </cell>
          <cell r="G3152" t="str">
            <v>Settled</v>
          </cell>
        </row>
        <row r="3153">
          <cell r="F3153" t="str">
            <v>SG-Moneytos-04/2024</v>
          </cell>
          <cell r="G3153" t="str">
            <v>Settled</v>
          </cell>
        </row>
        <row r="3154">
          <cell r="F3154" t="str">
            <v>SG-Moneytos-05/2024</v>
          </cell>
          <cell r="G3154" t="str">
            <v>Settled</v>
          </cell>
        </row>
        <row r="3155">
          <cell r="F3155" t="str">
            <v>SG-Moneytos-06/2024</v>
          </cell>
          <cell r="G3155" t="str">
            <v>Settled</v>
          </cell>
        </row>
        <row r="3156">
          <cell r="F3156" t="str">
            <v>SG-Moneytos-07/2024</v>
          </cell>
          <cell r="G3156" t="str">
            <v>Settled</v>
          </cell>
        </row>
        <row r="3157">
          <cell r="F3157" t="str">
            <v>SG-Moneytos-08/2024</v>
          </cell>
          <cell r="G3157" t="str">
            <v>Settled</v>
          </cell>
        </row>
        <row r="3158">
          <cell r="F3158" t="str">
            <v>SG-Moneytos-09/2024</v>
          </cell>
          <cell r="G3158" t="str">
            <v>Settled</v>
          </cell>
        </row>
        <row r="3159">
          <cell r="F3159" t="str">
            <v>SG-Moneytos-10/2024</v>
          </cell>
          <cell r="G3159" t="str">
            <v>Settled</v>
          </cell>
        </row>
        <row r="3160">
          <cell r="F3160" t="str">
            <v>SG-Moneytos-11/2024</v>
          </cell>
          <cell r="G3160" t="str">
            <v>Settled</v>
          </cell>
        </row>
        <row r="3161">
          <cell r="F3161" t="str">
            <v>SG-Moneytos-12/2024</v>
          </cell>
          <cell r="G3161" t="str">
            <v>Settled</v>
          </cell>
        </row>
        <row r="3162">
          <cell r="F3162" t="str">
            <v>SG-Moneytos-01/2025</v>
          </cell>
          <cell r="G3162" t="str">
            <v>Settled</v>
          </cell>
        </row>
        <row r="3163">
          <cell r="F3163" t="str">
            <v>SG-Moneytos-02/2025</v>
          </cell>
          <cell r="G3163" t="str">
            <v>Settled</v>
          </cell>
        </row>
        <row r="3164">
          <cell r="F3164" t="str">
            <v>SG-Moneytos-03/2025</v>
          </cell>
          <cell r="G3164" t="str">
            <v>Settled</v>
          </cell>
        </row>
        <row r="3165">
          <cell r="F3165" t="str">
            <v>SG-Moneytos-04/2025</v>
          </cell>
          <cell r="G3165" t="str">
            <v>Settled</v>
          </cell>
        </row>
        <row r="3166">
          <cell r="F3166" t="str">
            <v>SG-Moneytos-05/2025</v>
          </cell>
          <cell r="G3166" t="str">
            <v>Settled</v>
          </cell>
        </row>
        <row r="3167">
          <cell r="F3167" t="str">
            <v>SG-Moneytos-06/2025</v>
          </cell>
          <cell r="G3167" t="str">
            <v>Settled</v>
          </cell>
        </row>
        <row r="3168">
          <cell r="F3168" t="str">
            <v>SG-Moneytos-07/2025</v>
          </cell>
          <cell r="G3168" t="str">
            <v>Settled</v>
          </cell>
        </row>
        <row r="3169">
          <cell r="F3169" t="str">
            <v>SG-Moneytos-08/2025</v>
          </cell>
          <cell r="G3169" t="str">
            <v>Settled</v>
          </cell>
        </row>
        <row r="3170">
          <cell r="F3170" t="str">
            <v>SG-Moneytos-09/2025</v>
          </cell>
          <cell r="G3170" t="str">
            <v>Settled</v>
          </cell>
        </row>
        <row r="3171">
          <cell r="F3171" t="str">
            <v>SG-Moneytos-10/2025</v>
          </cell>
          <cell r="G3171" t="str">
            <v>Settled</v>
          </cell>
        </row>
        <row r="3172">
          <cell r="F3172" t="str">
            <v>SG-Moneytos-11/2025</v>
          </cell>
          <cell r="G3172" t="str">
            <v>Settled</v>
          </cell>
        </row>
        <row r="3173">
          <cell r="F3173" t="str">
            <v>SG-Moneytos-12/2025</v>
          </cell>
          <cell r="G3173" t="str">
            <v>Settled</v>
          </cell>
        </row>
        <row r="3174">
          <cell r="F3174" t="str">
            <v>SG-Moneytos-01/2026</v>
          </cell>
          <cell r="G3174" t="str">
            <v>Settled</v>
          </cell>
        </row>
        <row r="3175">
          <cell r="F3175" t="str">
            <v>SG-Moneytos-02/2026</v>
          </cell>
          <cell r="G3175" t="str">
            <v>Settled</v>
          </cell>
        </row>
        <row r="3176">
          <cell r="F3176" t="str">
            <v>SG-MooGold Ent-04/2023</v>
          </cell>
          <cell r="G3176" t="str">
            <v>Waived Off</v>
          </cell>
        </row>
        <row r="3177">
          <cell r="F3177" t="str">
            <v>SG-MooGold Ent-05/2023</v>
          </cell>
          <cell r="G3177" t="str">
            <v>Settled</v>
          </cell>
        </row>
        <row r="3178">
          <cell r="F3178" t="str">
            <v>SG-MooGold Ent-06/2023</v>
          </cell>
          <cell r="G3178" t="str">
            <v>Settled</v>
          </cell>
        </row>
        <row r="3179">
          <cell r="F3179" t="str">
            <v>SG-MooGold Ent-07/2023</v>
          </cell>
          <cell r="G3179" t="str">
            <v>Settled</v>
          </cell>
        </row>
        <row r="3180">
          <cell r="F3180" t="str">
            <v>SG -Moogold Sdn Bhd-08/2023</v>
          </cell>
          <cell r="G3180" t="str">
            <v>Settled</v>
          </cell>
        </row>
        <row r="3181">
          <cell r="F3181" t="str">
            <v>SG-Moogold Sdn Bhd-09/2023</v>
          </cell>
          <cell r="G3181" t="str">
            <v>Waived Off</v>
          </cell>
        </row>
        <row r="3182">
          <cell r="F3182" t="str">
            <v>SG-Moogold Sdn Bhd-10/2023</v>
          </cell>
          <cell r="G3182" t="str">
            <v>Waived Off</v>
          </cell>
        </row>
        <row r="3183">
          <cell r="F3183" t="str">
            <v>CA-mtfx inc.-11/2022</v>
          </cell>
          <cell r="G3183" t="str">
            <v>Settled</v>
          </cell>
        </row>
        <row r="3184">
          <cell r="F3184" t="str">
            <v>CA-mtfx inc.-12/2022</v>
          </cell>
          <cell r="G3184" t="str">
            <v>Settled</v>
          </cell>
        </row>
        <row r="3185">
          <cell r="F3185" t="str">
            <v>CA-mtfx inc.-01/2023</v>
          </cell>
          <cell r="G3185" t="str">
            <v>Settled</v>
          </cell>
        </row>
        <row r="3186">
          <cell r="F3186" t="str">
            <v>CA-mtfx inc.-02/2023</v>
          </cell>
          <cell r="G3186" t="str">
            <v>Settled</v>
          </cell>
        </row>
        <row r="3187">
          <cell r="F3187" t="str">
            <v>CA-mtfx inc.-03/2023</v>
          </cell>
          <cell r="G3187" t="str">
            <v>Settled</v>
          </cell>
        </row>
        <row r="3188">
          <cell r="F3188" t="str">
            <v>CA-mtfx inc.-04/2023</v>
          </cell>
          <cell r="G3188" t="str">
            <v>Settled</v>
          </cell>
        </row>
        <row r="3189">
          <cell r="F3189" t="str">
            <v>CA-mtfx inc.-05/2023</v>
          </cell>
          <cell r="G3189" t="str">
            <v>Settled</v>
          </cell>
        </row>
        <row r="3190">
          <cell r="F3190" t="str">
            <v>CA-mtfx inc.-06/2023</v>
          </cell>
          <cell r="G3190" t="str">
            <v>Settled</v>
          </cell>
        </row>
        <row r="3191">
          <cell r="F3191" t="str">
            <v>CA-mtfx inc.-07/2023</v>
          </cell>
          <cell r="G3191" t="str">
            <v>Settled</v>
          </cell>
        </row>
        <row r="3192">
          <cell r="F3192" t="str">
            <v>CA -mtfx inc.-08/2023</v>
          </cell>
          <cell r="G3192" t="str">
            <v>Settled</v>
          </cell>
        </row>
        <row r="3193">
          <cell r="F3193" t="str">
            <v>CA-mtfx inc.-09/2023</v>
          </cell>
          <cell r="G3193" t="str">
            <v>Settled</v>
          </cell>
        </row>
        <row r="3194">
          <cell r="F3194" t="str">
            <v>CA-mtfx inc.-10/2023</v>
          </cell>
          <cell r="G3194" t="str">
            <v>Settled</v>
          </cell>
        </row>
        <row r="3195">
          <cell r="F3195" t="str">
            <v>CA-mtfx inc.-11/2023</v>
          </cell>
          <cell r="G3195" t="str">
            <v>Settled</v>
          </cell>
        </row>
        <row r="3196">
          <cell r="F3196" t="str">
            <v>CA-mtfx inc.-12/2023</v>
          </cell>
          <cell r="G3196" t="str">
            <v>Settled</v>
          </cell>
        </row>
        <row r="3197">
          <cell r="F3197" t="str">
            <v>CA-mtfx inc.-01/2024</v>
          </cell>
          <cell r="G3197" t="str">
            <v>Settled</v>
          </cell>
        </row>
        <row r="3198">
          <cell r="F3198" t="str">
            <v>CA-mtfx inc.-02/2024</v>
          </cell>
          <cell r="G3198" t="str">
            <v>Settled</v>
          </cell>
        </row>
        <row r="3199">
          <cell r="F3199" t="str">
            <v>CA-mtfx inc.-03/2024</v>
          </cell>
          <cell r="G3199" t="str">
            <v>Settled</v>
          </cell>
        </row>
        <row r="3200">
          <cell r="F3200" t="str">
            <v>CA-mtfx inc.-04/2024</v>
          </cell>
          <cell r="G3200" t="str">
            <v>Settled</v>
          </cell>
        </row>
        <row r="3201">
          <cell r="F3201" t="str">
            <v>CA-mtfx inc.-05/2024</v>
          </cell>
          <cell r="G3201" t="str">
            <v>Settled</v>
          </cell>
        </row>
        <row r="3202">
          <cell r="F3202" t="str">
            <v>CA-mtfx inc.-06/2024</v>
          </cell>
          <cell r="G3202" t="str">
            <v>Settled</v>
          </cell>
        </row>
        <row r="3203">
          <cell r="F3203" t="str">
            <v>CA-mtfx inc.-07/2024</v>
          </cell>
          <cell r="G3203" t="str">
            <v>Settled</v>
          </cell>
        </row>
        <row r="3204">
          <cell r="F3204" t="str">
            <v>CA-mtfx inc.-08/2024</v>
          </cell>
          <cell r="G3204" t="str">
            <v>Settled</v>
          </cell>
        </row>
        <row r="3205">
          <cell r="F3205" t="str">
            <v>CA-mtfx inc.-09/2024</v>
          </cell>
          <cell r="G3205" t="str">
            <v>Settled</v>
          </cell>
        </row>
        <row r="3206">
          <cell r="F3206" t="str">
            <v>CA-mtfx inc.-10/2024</v>
          </cell>
          <cell r="G3206" t="str">
            <v>Settled</v>
          </cell>
        </row>
        <row r="3207">
          <cell r="F3207" t="str">
            <v>CA-mtfx inc.-11/2024</v>
          </cell>
          <cell r="G3207" t="str">
            <v>Settled</v>
          </cell>
        </row>
        <row r="3208">
          <cell r="F3208" t="str">
            <v>CA-mtfx inc.-12/2024</v>
          </cell>
          <cell r="G3208" t="str">
            <v>Settled</v>
          </cell>
        </row>
        <row r="3209">
          <cell r="F3209" t="str">
            <v>CA-mtfx inc.-01/2025</v>
          </cell>
          <cell r="G3209" t="str">
            <v>Settled</v>
          </cell>
        </row>
        <row r="3210">
          <cell r="F3210" t="str">
            <v>CA-mtfx inc.-02/2025</v>
          </cell>
          <cell r="G3210" t="str">
            <v>Settled</v>
          </cell>
        </row>
        <row r="3211">
          <cell r="F3211" t="str">
            <v>CA-mtfx inc.-03/2025</v>
          </cell>
          <cell r="G3211" t="str">
            <v>Settled</v>
          </cell>
        </row>
        <row r="3212">
          <cell r="F3212" t="str">
            <v>CA-mtfx inc.-04/2025</v>
          </cell>
          <cell r="G3212" t="str">
            <v>Settled</v>
          </cell>
        </row>
        <row r="3213">
          <cell r="F3213" t="str">
            <v>CA-mtfx inc.-05/2025</v>
          </cell>
          <cell r="G3213" t="str">
            <v>Settled</v>
          </cell>
        </row>
        <row r="3214">
          <cell r="F3214" t="str">
            <v>CA-mtfx inc.-06/2025</v>
          </cell>
          <cell r="G3214" t="str">
            <v>Settled</v>
          </cell>
        </row>
        <row r="3215">
          <cell r="F3215" t="str">
            <v>CA-mtfx inc.-07/2025</v>
          </cell>
          <cell r="G3215" t="str">
            <v>Settled</v>
          </cell>
        </row>
        <row r="3216">
          <cell r="F3216" t="str">
            <v>CA-mtfx inc.-08/2025</v>
          </cell>
          <cell r="G3216" t="str">
            <v>Settled</v>
          </cell>
        </row>
        <row r="3217">
          <cell r="F3217" t="str">
            <v>CA-mtfx inc.-09/2025</v>
          </cell>
          <cell r="G3217" t="str">
            <v>Settled</v>
          </cell>
        </row>
        <row r="3218">
          <cell r="F3218" t="str">
            <v>CA-mtfx inc.-10/2025</v>
          </cell>
          <cell r="G3218" t="str">
            <v>Settled</v>
          </cell>
        </row>
        <row r="3219">
          <cell r="F3219" t="str">
            <v>CA-mtfx inc.-11/2025</v>
          </cell>
          <cell r="G3219" t="str">
            <v>Settled</v>
          </cell>
        </row>
        <row r="3220">
          <cell r="F3220" t="str">
            <v>CA-mtfx inc.-12/2025</v>
          </cell>
          <cell r="G3220" t="str">
            <v>Settled</v>
          </cell>
        </row>
        <row r="3221">
          <cell r="F3221" t="str">
            <v>CA-mtfx inc.-01/2026</v>
          </cell>
          <cell r="G3221" t="str">
            <v>Settled</v>
          </cell>
        </row>
        <row r="3222">
          <cell r="F3222" t="str">
            <v>CA-mtfx inc.-02/2026</v>
          </cell>
          <cell r="G3222" t="str">
            <v>Settled</v>
          </cell>
        </row>
        <row r="3223">
          <cell r="F3223" t="str">
            <v>UK-MYEUPAY-04/2025</v>
          </cell>
          <cell r="G3223" t="str">
            <v>Settled</v>
          </cell>
        </row>
        <row r="3224">
          <cell r="F3224" t="str">
            <v>UK-MYEUPAY-05/2025</v>
          </cell>
          <cell r="G3224" t="str">
            <v>Settled</v>
          </cell>
        </row>
        <row r="3225">
          <cell r="F3225" t="str">
            <v>UK-MYEUPAY-06/2025</v>
          </cell>
          <cell r="G3225" t="str">
            <v>Settled</v>
          </cell>
        </row>
        <row r="3226">
          <cell r="F3226" t="str">
            <v>UK-MYEUPAY-07/2025</v>
          </cell>
          <cell r="G3226" t="str">
            <v>Settled</v>
          </cell>
        </row>
        <row r="3227">
          <cell r="F3227" t="str">
            <v>UK-MYEUPAY-08/2025</v>
          </cell>
          <cell r="G3227" t="str">
            <v>Settled</v>
          </cell>
        </row>
        <row r="3228">
          <cell r="F3228" t="str">
            <v>UK-MYEUPAY-09/2025</v>
          </cell>
          <cell r="G3228" t="str">
            <v>Settled</v>
          </cell>
        </row>
        <row r="3229">
          <cell r="F3229" t="str">
            <v>UK-MYEUPAY-10/2025</v>
          </cell>
          <cell r="G3229" t="str">
            <v>Settled</v>
          </cell>
        </row>
        <row r="3230">
          <cell r="F3230" t="str">
            <v>UK-MYEUPAY-11/2025</v>
          </cell>
          <cell r="G3230" t="str">
            <v>Settled</v>
          </cell>
        </row>
        <row r="3231">
          <cell r="F3231" t="str">
            <v>UK-MYEUPAY-12/2025</v>
          </cell>
          <cell r="G3231" t="str">
            <v>Settled</v>
          </cell>
        </row>
        <row r="3232">
          <cell r="F3232" t="str">
            <v>UK-MYEUPAY-01/2026</v>
          </cell>
          <cell r="G3232" t="str">
            <v>Settled</v>
          </cell>
        </row>
        <row r="3233">
          <cell r="F3233" t="str">
            <v>UK-MYEUPAY-02/2026</v>
          </cell>
          <cell r="G3233" t="str">
            <v>Settled</v>
          </cell>
        </row>
        <row r="3234">
          <cell r="F3234" t="str">
            <v>UK-MY EU PAY LIMITED-11/2022</v>
          </cell>
          <cell r="G3234" t="str">
            <v>Settled</v>
          </cell>
        </row>
        <row r="3235">
          <cell r="F3235" t="str">
            <v>UK-MY EU PAY LIMITED-12/2022</v>
          </cell>
          <cell r="G3235" t="str">
            <v>Settled</v>
          </cell>
        </row>
        <row r="3236">
          <cell r="F3236" t="str">
            <v>UK-MY EU PAY LIMITED-01/2023</v>
          </cell>
          <cell r="G3236" t="str">
            <v>Settled</v>
          </cell>
        </row>
        <row r="3237">
          <cell r="F3237" t="str">
            <v>UK-MYEUPAY-02/2023</v>
          </cell>
          <cell r="G3237" t="str">
            <v>Settled</v>
          </cell>
        </row>
        <row r="3238">
          <cell r="F3238" t="str">
            <v>UK-MYEUPAY-03/2023</v>
          </cell>
          <cell r="G3238" t="str">
            <v>Settled</v>
          </cell>
        </row>
        <row r="3239">
          <cell r="F3239" t="str">
            <v>UK-MYEUPAY-04/2023</v>
          </cell>
          <cell r="G3239" t="str">
            <v>Settled</v>
          </cell>
        </row>
        <row r="3240">
          <cell r="F3240" t="str">
            <v>UK-MYEUPAY-05/2023</v>
          </cell>
          <cell r="G3240" t="str">
            <v>Settled</v>
          </cell>
        </row>
        <row r="3241">
          <cell r="F3241" t="str">
            <v>UK-MYEUPAY-06/2023</v>
          </cell>
          <cell r="G3241" t="str">
            <v>Settled</v>
          </cell>
        </row>
        <row r="3242">
          <cell r="F3242" t="str">
            <v>UK-MYEUPAY-07/2023</v>
          </cell>
          <cell r="G3242" t="str">
            <v>Settled</v>
          </cell>
        </row>
        <row r="3243">
          <cell r="F3243" t="str">
            <v>UK -MYEUPAY-08/2023</v>
          </cell>
          <cell r="G3243" t="str">
            <v>Settled</v>
          </cell>
        </row>
        <row r="3244">
          <cell r="F3244" t="str">
            <v>UK-MYEUPAY-09/2023</v>
          </cell>
          <cell r="G3244" t="str">
            <v>Settled</v>
          </cell>
        </row>
        <row r="3245">
          <cell r="F3245" t="str">
            <v>UK-MYEUPAY-10/2023</v>
          </cell>
          <cell r="G3245" t="str">
            <v>Settled</v>
          </cell>
        </row>
        <row r="3246">
          <cell r="F3246" t="str">
            <v>UK-MYEUPAY-11/2023</v>
          </cell>
          <cell r="G3246" t="str">
            <v>Settled</v>
          </cell>
        </row>
        <row r="3247">
          <cell r="F3247" t="str">
            <v>UK-MYEUPAY-12/2023</v>
          </cell>
          <cell r="G3247" t="str">
            <v>Settled</v>
          </cell>
        </row>
        <row r="3248">
          <cell r="F3248" t="str">
            <v>UK-MYEUPAY-01/2024</v>
          </cell>
          <cell r="G3248" t="str">
            <v>Settled</v>
          </cell>
        </row>
        <row r="3249">
          <cell r="F3249" t="str">
            <v>UK-MYEUPAY-02/2024</v>
          </cell>
          <cell r="G3249" t="str">
            <v>Settled</v>
          </cell>
        </row>
        <row r="3250">
          <cell r="F3250" t="str">
            <v>UK-MYEUPAY-03/2024</v>
          </cell>
          <cell r="G3250" t="str">
            <v>Settled</v>
          </cell>
        </row>
        <row r="3251">
          <cell r="F3251" t="str">
            <v>UK-MYEUPAY-04/2024</v>
          </cell>
          <cell r="G3251" t="str">
            <v>Settled</v>
          </cell>
        </row>
        <row r="3252">
          <cell r="F3252" t="str">
            <v>UK-MYEUPAY-05/2024</v>
          </cell>
          <cell r="G3252" t="str">
            <v>Settled</v>
          </cell>
        </row>
        <row r="3253">
          <cell r="F3253" t="str">
            <v>UK-MYEUPAY-06/2024</v>
          </cell>
          <cell r="G3253" t="str">
            <v>Settled</v>
          </cell>
        </row>
        <row r="3254">
          <cell r="F3254" t="str">
            <v>UK-MYEUPAY-07/2024</v>
          </cell>
          <cell r="G3254" t="str">
            <v>Settled</v>
          </cell>
        </row>
        <row r="3255">
          <cell r="F3255" t="str">
            <v>UK-MYEUPAY-08/2024</v>
          </cell>
          <cell r="G3255" t="str">
            <v>Settled</v>
          </cell>
        </row>
        <row r="3256">
          <cell r="F3256" t="str">
            <v>UK-MYEUPAY-09/2024</v>
          </cell>
          <cell r="G3256" t="str">
            <v>Settled</v>
          </cell>
        </row>
        <row r="3257">
          <cell r="F3257" t="str">
            <v>UK-MYEUPAY-10/2024</v>
          </cell>
          <cell r="G3257" t="str">
            <v>Settled</v>
          </cell>
        </row>
        <row r="3258">
          <cell r="F3258" t="str">
            <v>UK-MYEUPAY-11/2024</v>
          </cell>
          <cell r="G3258" t="str">
            <v>Settled</v>
          </cell>
        </row>
        <row r="3259">
          <cell r="F3259" t="str">
            <v>UK-MYEUPAY-12/2024</v>
          </cell>
          <cell r="G3259" t="str">
            <v>Settled</v>
          </cell>
        </row>
        <row r="3260">
          <cell r="F3260" t="str">
            <v>UK-MYEUPAY-01/2025</v>
          </cell>
          <cell r="G3260" t="str">
            <v>Settled</v>
          </cell>
        </row>
        <row r="3261">
          <cell r="F3261" t="str">
            <v>UK-MYEUPAY-02/2025</v>
          </cell>
          <cell r="G3261" t="str">
            <v>Settled</v>
          </cell>
        </row>
        <row r="3262">
          <cell r="F3262" t="str">
            <v>UK-MYEUPAY-03/2025</v>
          </cell>
          <cell r="G3262" t="str">
            <v>Settled</v>
          </cell>
        </row>
        <row r="3263">
          <cell r="F3263" t="str">
            <v>SG-nauggets technologies pte. Ltd-03/2022</v>
          </cell>
          <cell r="G3263" t="str">
            <v>Settled</v>
          </cell>
        </row>
        <row r="3264">
          <cell r="F3264" t="str">
            <v>SG-nauggets technologies pte. Ltd-04/2022</v>
          </cell>
          <cell r="G3264" t="str">
            <v>Settled</v>
          </cell>
        </row>
        <row r="3265">
          <cell r="F3265" t="str">
            <v>SG-nauggets technologies pte. Ltd-05/2022</v>
          </cell>
          <cell r="G3265" t="str">
            <v>Settled</v>
          </cell>
        </row>
        <row r="3266">
          <cell r="F3266" t="str">
            <v>SG-nauggets technologies pte. Ltd-06/2022</v>
          </cell>
          <cell r="G3266" t="str">
            <v>Settled</v>
          </cell>
        </row>
        <row r="3267">
          <cell r="F3267" t="str">
            <v>SG-nauggets technologies pte. ltd-11/2022</v>
          </cell>
          <cell r="G3267" t="str">
            <v>Settled</v>
          </cell>
        </row>
        <row r="3268">
          <cell r="F3268" t="str">
            <v>SG-nauggets technologies pte. ltd-12/2022</v>
          </cell>
          <cell r="G3268" t="str">
            <v>Settled</v>
          </cell>
        </row>
        <row r="3269">
          <cell r="F3269" t="str">
            <v>SG-nauggets technologies pte. ltd-01/2023</v>
          </cell>
          <cell r="G3269" t="str">
            <v>Settled</v>
          </cell>
        </row>
        <row r="3270">
          <cell r="F3270" t="str">
            <v>SG-nauggets-02/2023</v>
          </cell>
          <cell r="G3270" t="str">
            <v>Settled</v>
          </cell>
        </row>
        <row r="3271">
          <cell r="F3271" t="str">
            <v>SG-nauggets-03/2023</v>
          </cell>
          <cell r="G3271" t="str">
            <v>Settled</v>
          </cell>
        </row>
        <row r="3272">
          <cell r="F3272" t="str">
            <v>EU-NBINT-02/2023</v>
          </cell>
          <cell r="G3272" t="str">
            <v>Settled</v>
          </cell>
        </row>
        <row r="3273">
          <cell r="F3273" t="str">
            <v>EU-NB (International) Limited-01/2023</v>
          </cell>
          <cell r="G3273" t="str">
            <v>Settled</v>
          </cell>
        </row>
        <row r="3274">
          <cell r="F3274" t="str">
            <v>EU-NBINT-03/2023</v>
          </cell>
          <cell r="G3274" t="str">
            <v>Settled</v>
          </cell>
        </row>
        <row r="3275">
          <cell r="F3275" t="str">
            <v>EU -NBINT-08/2023</v>
          </cell>
          <cell r="G3275" t="str">
            <v>Settled</v>
          </cell>
        </row>
        <row r="3276">
          <cell r="F3276" t="str">
            <v>EU-NBINT-10/2023</v>
          </cell>
          <cell r="G3276" t="str">
            <v>Settled</v>
          </cell>
        </row>
        <row r="3277">
          <cell r="F3277" t="str">
            <v>EU-NBINT-09/2023</v>
          </cell>
          <cell r="G3277" t="str">
            <v>Settled</v>
          </cell>
        </row>
        <row r="3278">
          <cell r="F3278" t="str">
            <v>EU-NBINT-01/2024</v>
          </cell>
          <cell r="G3278" t="str">
            <v>Settled</v>
          </cell>
        </row>
        <row r="3279">
          <cell r="F3279" t="str">
            <v>EU-NBINT-02/2024</v>
          </cell>
          <cell r="G3279" t="str">
            <v>Settled</v>
          </cell>
        </row>
        <row r="3280">
          <cell r="F3280" t="str">
            <v>EU-NBINT-03/2024</v>
          </cell>
          <cell r="G3280" t="str">
            <v>Settled</v>
          </cell>
        </row>
        <row r="3281">
          <cell r="F3281" t="str">
            <v>EU-NBINT-06/2024</v>
          </cell>
          <cell r="G3281" t="str">
            <v>Settled</v>
          </cell>
        </row>
        <row r="3282">
          <cell r="F3282" t="str">
            <v>EU-NBINT-07/2024</v>
          </cell>
          <cell r="G3282" t="str">
            <v>Settled</v>
          </cell>
        </row>
        <row r="3283">
          <cell r="F3283" t="str">
            <v>HK-Neat-11/2022</v>
          </cell>
          <cell r="G3283" t="str">
            <v>Settled</v>
          </cell>
        </row>
        <row r="3284">
          <cell r="F3284" t="str">
            <v>HK-neat-CR-11/2022</v>
          </cell>
          <cell r="G3284" t="str">
            <v>Settled</v>
          </cell>
        </row>
        <row r="3285">
          <cell r="F3285" t="str">
            <v>HK-Neat-12/2022</v>
          </cell>
          <cell r="G3285" t="str">
            <v>Settled</v>
          </cell>
        </row>
        <row r="3286">
          <cell r="F3286" t="str">
            <v>HK-Neat-CR-12/2022</v>
          </cell>
          <cell r="G3286" t="str">
            <v>Settled</v>
          </cell>
        </row>
        <row r="3287">
          <cell r="F3287" t="str">
            <v>HK-neat-01/2023</v>
          </cell>
          <cell r="G3287" t="str">
            <v>Settled</v>
          </cell>
        </row>
        <row r="3288">
          <cell r="F3288" t="str">
            <v>HK-neat-CR-01/2023</v>
          </cell>
          <cell r="G3288" t="str">
            <v>Settled</v>
          </cell>
        </row>
        <row r="3289">
          <cell r="F3289" t="str">
            <v>HK-neat-02/2023</v>
          </cell>
          <cell r="G3289" t="str">
            <v>Settled</v>
          </cell>
        </row>
        <row r="3290">
          <cell r="F3290" t="str">
            <v>HK-neat-CR-02/2023</v>
          </cell>
          <cell r="G3290" t="str">
            <v>Settled</v>
          </cell>
        </row>
        <row r="3291">
          <cell r="F3291" t="str">
            <v>HK-neat-03/2023</v>
          </cell>
          <cell r="G3291" t="str">
            <v>Settled</v>
          </cell>
        </row>
        <row r="3292">
          <cell r="F3292" t="str">
            <v>HK-neat-CR-03/2023</v>
          </cell>
          <cell r="G3292" t="str">
            <v>Settled</v>
          </cell>
        </row>
        <row r="3293">
          <cell r="F3293" t="str">
            <v>HK-neat-05/2023</v>
          </cell>
          <cell r="G3293" t="str">
            <v>Settled</v>
          </cell>
        </row>
        <row r="3294">
          <cell r="F3294" t="str">
            <v>HK-neat-CR-05/2023</v>
          </cell>
          <cell r="G3294" t="str">
            <v>Settled</v>
          </cell>
        </row>
        <row r="3295">
          <cell r="F3295" t="str">
            <v>SG-netcents technology inc.-11/2022</v>
          </cell>
          <cell r="G3295" t="str">
            <v>Settled</v>
          </cell>
        </row>
        <row r="3296">
          <cell r="F3296" t="str">
            <v>SG-netcents technology inc.-12/2022</v>
          </cell>
          <cell r="G3296" t="str">
            <v>Settled</v>
          </cell>
        </row>
        <row r="3297">
          <cell r="F3297" t="str">
            <v>SG-netcents technology inc.-01/2023</v>
          </cell>
          <cell r="G3297" t="str">
            <v>Settled</v>
          </cell>
        </row>
        <row r="3298">
          <cell r="F3298" t="str">
            <v>SG-netcents-02/2023</v>
          </cell>
          <cell r="G3298" t="str">
            <v>Settled</v>
          </cell>
        </row>
        <row r="3299">
          <cell r="F3299" t="str">
            <v>SG-netcents-03/2023</v>
          </cell>
          <cell r="G3299" t="str">
            <v>Settled</v>
          </cell>
        </row>
        <row r="3300">
          <cell r="F3300" t="str">
            <v>SG-netcents-04/2023</v>
          </cell>
          <cell r="G3300" t="str">
            <v>Settled</v>
          </cell>
        </row>
        <row r="3301">
          <cell r="F3301" t="str">
            <v>SG-netcents-05/2023</v>
          </cell>
          <cell r="G3301" t="str">
            <v>Settled</v>
          </cell>
        </row>
        <row r="3302">
          <cell r="F3302" t="str">
            <v>SG-netcents-06/2023</v>
          </cell>
          <cell r="G3302" t="str">
            <v>Settled</v>
          </cell>
        </row>
        <row r="3303">
          <cell r="F3303" t="str">
            <v>SG-netcents-07/2023</v>
          </cell>
          <cell r="G3303" t="str">
            <v>Settled</v>
          </cell>
        </row>
        <row r="3304">
          <cell r="F3304" t="str">
            <v>SG -netcents-08/2023</v>
          </cell>
          <cell r="G3304" t="str">
            <v>Settled</v>
          </cell>
        </row>
        <row r="3305">
          <cell r="F3305" t="str">
            <v>SG-netcents-09/2023</v>
          </cell>
          <cell r="G3305" t="str">
            <v>Settled</v>
          </cell>
        </row>
        <row r="3306">
          <cell r="F3306" t="str">
            <v>SG-netcents-10/2023</v>
          </cell>
          <cell r="G3306" t="str">
            <v>Settled</v>
          </cell>
        </row>
        <row r="3307">
          <cell r="F3307" t="str">
            <v>SG-netcents-11/2023</v>
          </cell>
          <cell r="G3307" t="str">
            <v>Settled</v>
          </cell>
        </row>
        <row r="3308">
          <cell r="F3308" t="str">
            <v>SG-netcents-12/2023</v>
          </cell>
          <cell r="G3308" t="str">
            <v>Settled</v>
          </cell>
        </row>
        <row r="3309">
          <cell r="F3309" t="str">
            <v>SG-netcents-01/2024</v>
          </cell>
          <cell r="G3309" t="str">
            <v>Settled</v>
          </cell>
        </row>
        <row r="3310">
          <cell r="F3310" t="str">
            <v>SG-netcents-02/2024</v>
          </cell>
          <cell r="G3310" t="str">
            <v>Settled</v>
          </cell>
        </row>
        <row r="3311">
          <cell r="F3311" t="str">
            <v>SG-netcents-03/2024</v>
          </cell>
          <cell r="G3311" t="str">
            <v>Settled</v>
          </cell>
        </row>
        <row r="3312">
          <cell r="F3312" t="str">
            <v>SG-netcents-04/2024</v>
          </cell>
          <cell r="G3312" t="str">
            <v>Settled</v>
          </cell>
        </row>
        <row r="3313">
          <cell r="F3313" t="str">
            <v>SG-CN-netcents-04-2024</v>
          </cell>
          <cell r="G3313" t="str">
            <v>Settled</v>
          </cell>
        </row>
        <row r="3314">
          <cell r="F3314" t="str">
            <v>SG-new horizon global trading-12/2022</v>
          </cell>
          <cell r="G3314" t="str">
            <v>Settled</v>
          </cell>
        </row>
        <row r="3315">
          <cell r="F3315" t="str">
            <v>SG-new horizon global trading-01/2023</v>
          </cell>
          <cell r="G3315" t="str">
            <v>Settled</v>
          </cell>
        </row>
        <row r="3316">
          <cell r="F3316" t="str">
            <v>SG-newhorizon-02/2023</v>
          </cell>
          <cell r="G3316" t="str">
            <v>Settled</v>
          </cell>
        </row>
        <row r="3317">
          <cell r="F3317" t="str">
            <v>SG-newhorizon-03/2023</v>
          </cell>
          <cell r="G3317" t="str">
            <v>Settled</v>
          </cell>
        </row>
        <row r="3318">
          <cell r="F3318" t="str">
            <v>SG-newhorizon-04/2023</v>
          </cell>
          <cell r="G3318" t="str">
            <v>Settled</v>
          </cell>
        </row>
        <row r="3319">
          <cell r="F3319" t="str">
            <v>SG-newhorizon-05/2023</v>
          </cell>
          <cell r="G3319" t="str">
            <v>Settled</v>
          </cell>
        </row>
        <row r="3320">
          <cell r="F3320" t="str">
            <v>SG-newhorizon-06/2023</v>
          </cell>
          <cell r="G3320" t="str">
            <v>Settled</v>
          </cell>
        </row>
        <row r="3321">
          <cell r="F3321" t="str">
            <v>SG-newhorizon-07/2023</v>
          </cell>
          <cell r="G3321" t="str">
            <v>Settled</v>
          </cell>
        </row>
        <row r="3322">
          <cell r="F3322" t="str">
            <v>SG -newhorizon-08/2023</v>
          </cell>
          <cell r="G3322" t="str">
            <v>Settled</v>
          </cell>
        </row>
        <row r="3323">
          <cell r="F3323" t="str">
            <v>SG-newhorizon-09/2023</v>
          </cell>
          <cell r="G3323" t="str">
            <v>Settled</v>
          </cell>
        </row>
        <row r="3324">
          <cell r="F3324" t="str">
            <v>SG-new horizon global-11/2022</v>
          </cell>
          <cell r="G3324" t="str">
            <v>Settled</v>
          </cell>
        </row>
        <row r="3325">
          <cell r="F3325" t="str">
            <v>SG-New Retail International Pte. Ltd.-12/2022</v>
          </cell>
          <cell r="G3325" t="str">
            <v>Settled</v>
          </cell>
        </row>
        <row r="3326">
          <cell r="F3326" t="str">
            <v>SG-New Retail International Pte. Ltd.-01/2023</v>
          </cell>
          <cell r="G3326" t="str">
            <v>Settled</v>
          </cell>
        </row>
        <row r="3327">
          <cell r="F3327" t="str">
            <v>SG-NewRetailInt-02/2023</v>
          </cell>
          <cell r="G3327" t="str">
            <v>Waived Off</v>
          </cell>
        </row>
        <row r="3328">
          <cell r="F3328" t="str">
            <v>SG-NewRetailInt-03/2023</v>
          </cell>
          <cell r="G3328" t="str">
            <v>Waived Off</v>
          </cell>
        </row>
        <row r="3329">
          <cell r="F3329" t="str">
            <v>SG-NewRetailInt-03/2023</v>
          </cell>
          <cell r="G3329" t="str">
            <v>Settled</v>
          </cell>
        </row>
        <row r="3330">
          <cell r="F3330" t="str">
            <v>SG-NewretailInt/ptwebuy-04/2023</v>
          </cell>
          <cell r="G3330" t="str">
            <v>Waived Off</v>
          </cell>
        </row>
        <row r="3331">
          <cell r="F3331" t="str">
            <v>SG-NewRetailInt-05/2023</v>
          </cell>
          <cell r="G3331" t="str">
            <v>Waived Off</v>
          </cell>
        </row>
        <row r="3332">
          <cell r="F3332" t="str">
            <v>SG-NewRetailInt-06/2023</v>
          </cell>
          <cell r="G3332" t="str">
            <v>Waived Off</v>
          </cell>
        </row>
        <row r="3333">
          <cell r="F3333" t="str">
            <v>SG-NewRetailInt-04/2023</v>
          </cell>
          <cell r="G3333" t="str">
            <v>Settled</v>
          </cell>
        </row>
        <row r="3334">
          <cell r="F3334" t="str">
            <v>SG-NewRetailInt-05/2023</v>
          </cell>
          <cell r="G3334" t="str">
            <v>Settled</v>
          </cell>
        </row>
        <row r="3335">
          <cell r="F3335" t="str">
            <v>SG-NewRetailInt-07/2023</v>
          </cell>
          <cell r="G3335" t="str">
            <v>Settled</v>
          </cell>
        </row>
        <row r="3336">
          <cell r="F3336" t="str">
            <v>SG -NewRetailInt-08/2023</v>
          </cell>
          <cell r="G3336" t="str">
            <v>Settled</v>
          </cell>
        </row>
        <row r="3337">
          <cell r="F3337" t="str">
            <v>SG-NewRetailInt-09/2023</v>
          </cell>
          <cell r="G3337" t="str">
            <v>Settled</v>
          </cell>
        </row>
        <row r="3338">
          <cell r="F3338" t="str">
            <v>SG-NewRetailInt-10/2023</v>
          </cell>
          <cell r="G3338" t="str">
            <v>Settled</v>
          </cell>
        </row>
        <row r="3339">
          <cell r="F3339" t="str">
            <v>SG-NewRetailInt-11/2023</v>
          </cell>
          <cell r="G3339" t="str">
            <v>Settled</v>
          </cell>
        </row>
        <row r="3340">
          <cell r="F3340" t="str">
            <v>SG-NewRetailInt-02/2023</v>
          </cell>
          <cell r="G3340" t="str">
            <v>Settled</v>
          </cell>
        </row>
        <row r="3341">
          <cell r="F3341" t="str">
            <v>AU -Nexpay-12/2023</v>
          </cell>
          <cell r="G3341" t="str">
            <v>Settled</v>
          </cell>
        </row>
        <row r="3342">
          <cell r="F3342" t="str">
            <v>AU-Nexpay-12/2023</v>
          </cell>
          <cell r="G3342" t="str">
            <v>Settled</v>
          </cell>
        </row>
        <row r="3343">
          <cell r="F3343" t="str">
            <v>AU-Nexpay-01/2024</v>
          </cell>
          <cell r="G3343" t="str">
            <v>Settled</v>
          </cell>
        </row>
        <row r="3344">
          <cell r="F3344" t="str">
            <v>AU-Nexpay-02/2024</v>
          </cell>
          <cell r="G3344" t="str">
            <v>Settled</v>
          </cell>
        </row>
        <row r="3345">
          <cell r="F3345" t="str">
            <v>AU-Nexpay-03/2024</v>
          </cell>
          <cell r="G3345" t="str">
            <v>Settled</v>
          </cell>
        </row>
        <row r="3346">
          <cell r="F3346" t="str">
            <v>AU-Nexpay-04/2024</v>
          </cell>
          <cell r="G3346" t="str">
            <v>Settled</v>
          </cell>
        </row>
        <row r="3347">
          <cell r="F3347" t="str">
            <v>AU-Nexpay-05/2024</v>
          </cell>
          <cell r="G3347" t="str">
            <v>Settled</v>
          </cell>
        </row>
        <row r="3348">
          <cell r="F3348" t="str">
            <v>AU-Nexpay-06/2024</v>
          </cell>
          <cell r="G3348" t="str">
            <v>Settled</v>
          </cell>
        </row>
        <row r="3349">
          <cell r="F3349" t="str">
            <v>AU-Nexpay-07/2024</v>
          </cell>
          <cell r="G3349" t="str">
            <v>Settled</v>
          </cell>
        </row>
        <row r="3350">
          <cell r="F3350" t="str">
            <v>AU-Nexpay-08/2024</v>
          </cell>
          <cell r="G3350" t="str">
            <v>Settled</v>
          </cell>
        </row>
        <row r="3351">
          <cell r="F3351" t="str">
            <v>AU-Nexpay-09/2024</v>
          </cell>
          <cell r="G3351" t="str">
            <v>Settled</v>
          </cell>
        </row>
        <row r="3352">
          <cell r="F3352" t="str">
            <v>AU-CN-Nexpay-09-2024</v>
          </cell>
          <cell r="G3352" t="str">
            <v>Settled</v>
          </cell>
        </row>
        <row r="3353">
          <cell r="F3353" t="str">
            <v>AU-Nexpay-10/2024</v>
          </cell>
          <cell r="G3353" t="str">
            <v>Settled</v>
          </cell>
        </row>
        <row r="3354">
          <cell r="F3354" t="str">
            <v>AU-Nexpay-11/2024</v>
          </cell>
          <cell r="G3354" t="str">
            <v>Settled</v>
          </cell>
        </row>
        <row r="3355">
          <cell r="F3355" t="str">
            <v>AU-Nexpay-12/2024</v>
          </cell>
          <cell r="G3355" t="str">
            <v>Settled</v>
          </cell>
        </row>
        <row r="3356">
          <cell r="F3356" t="str">
            <v>AU-Nexpay-01/2025</v>
          </cell>
          <cell r="G3356" t="str">
            <v>Settled</v>
          </cell>
        </row>
        <row r="3357">
          <cell r="F3357" t="str">
            <v>AU-Nexpay-02/2025</v>
          </cell>
          <cell r="G3357" t="str">
            <v>Settled</v>
          </cell>
        </row>
        <row r="3358">
          <cell r="F3358" t="str">
            <v>AU-Nexpay-03/2025</v>
          </cell>
          <cell r="G3358" t="str">
            <v>Settled</v>
          </cell>
        </row>
        <row r="3359">
          <cell r="F3359" t="str">
            <v>AU-Nexpay-04/2025</v>
          </cell>
          <cell r="G3359" t="str">
            <v>Settled</v>
          </cell>
        </row>
        <row r="3360">
          <cell r="F3360" t="str">
            <v>AU-Nexpay-05/2025</v>
          </cell>
          <cell r="G3360" t="str">
            <v>Settled</v>
          </cell>
        </row>
        <row r="3361">
          <cell r="F3361" t="str">
            <v>AU-Nexpay-06/2025</v>
          </cell>
          <cell r="G3361" t="str">
            <v>Settled</v>
          </cell>
        </row>
        <row r="3362">
          <cell r="F3362" t="str">
            <v>AU-Nexpay-07/2025</v>
          </cell>
          <cell r="G3362" t="str">
            <v>Settled</v>
          </cell>
        </row>
        <row r="3363">
          <cell r="F3363" t="str">
            <v>AU-Nexpay-08/2025</v>
          </cell>
          <cell r="G3363" t="str">
            <v>Settled</v>
          </cell>
        </row>
        <row r="3364">
          <cell r="F3364" t="str">
            <v>AU-Nexpay-09/2025</v>
          </cell>
          <cell r="G3364" t="str">
            <v>Settled</v>
          </cell>
        </row>
        <row r="3365">
          <cell r="F3365" t="str">
            <v>AU-CN-Nexpay-10-2025</v>
          </cell>
          <cell r="G3365" t="str">
            <v>Settled</v>
          </cell>
        </row>
        <row r="3366">
          <cell r="F3366" t="str">
            <v>AU-Nexpay-10/2025</v>
          </cell>
          <cell r="G3366" t="str">
            <v>Settled</v>
          </cell>
        </row>
        <row r="3367">
          <cell r="F3367" t="str">
            <v>AU-Nexpay-11/2025</v>
          </cell>
          <cell r="G3367" t="str">
            <v>Settled</v>
          </cell>
        </row>
        <row r="3368">
          <cell r="F3368" t="str">
            <v>AU-Nexpay-12/2025</v>
          </cell>
          <cell r="G3368" t="str">
            <v>Settled</v>
          </cell>
        </row>
        <row r="3369">
          <cell r="F3369" t="str">
            <v>AU-Nexpay-01/2026</v>
          </cell>
          <cell r="G3369" t="str">
            <v>Settled</v>
          </cell>
        </row>
        <row r="3370">
          <cell r="F3370" t="str">
            <v>AU-Nexpay-02/2026</v>
          </cell>
          <cell r="G3370" t="str">
            <v>Settled</v>
          </cell>
        </row>
        <row r="3371">
          <cell r="F3371" t="str">
            <v>HK -Aruba Transfer (HK) Limited-11/2022</v>
          </cell>
          <cell r="G3371" t="str">
            <v>Settled</v>
          </cell>
        </row>
        <row r="3372">
          <cell r="F3372" t="str">
            <v>HK-9 Lions Gate Limited-12/2022</v>
          </cell>
          <cell r="G3372" t="str">
            <v>Settled</v>
          </cell>
        </row>
        <row r="3373">
          <cell r="F3373" t="str">
            <v>HK-9 Lions Gate Limited-01/2023</v>
          </cell>
          <cell r="G3373" t="str">
            <v>Settled</v>
          </cell>
        </row>
        <row r="3374">
          <cell r="F3374" t="str">
            <v>HK-9Lions-02/2023</v>
          </cell>
          <cell r="G3374" t="str">
            <v>Settled</v>
          </cell>
        </row>
        <row r="3375">
          <cell r="F3375" t="str">
            <v>SG-Nityo-07/2022</v>
          </cell>
          <cell r="G3375" t="str">
            <v>Settled</v>
          </cell>
        </row>
        <row r="3376">
          <cell r="F3376" t="str">
            <v>SG-Nityo-10/2022</v>
          </cell>
          <cell r="G3376" t="str">
            <v>Settled</v>
          </cell>
        </row>
        <row r="3377">
          <cell r="F3377" t="str">
            <v>SG-SG-Nityo infotech services-11/2022</v>
          </cell>
          <cell r="G3377" t="str">
            <v>Settled</v>
          </cell>
        </row>
        <row r="3378">
          <cell r="F3378" t="str">
            <v>SG-nityo infotech services-12/2022</v>
          </cell>
          <cell r="G3378" t="str">
            <v>Settled</v>
          </cell>
        </row>
        <row r="3379">
          <cell r="F3379" t="str">
            <v>SG-nityo infotech services-01/2023</v>
          </cell>
          <cell r="G3379" t="str">
            <v>Settled</v>
          </cell>
        </row>
        <row r="3380">
          <cell r="F3380" t="str">
            <v>SG-nityo-06/2023</v>
          </cell>
          <cell r="G3380" t="str">
            <v>Settled</v>
          </cell>
        </row>
        <row r="3381">
          <cell r="F3381" t="str">
            <v>SG-nityo-07/2023</v>
          </cell>
          <cell r="G3381" t="str">
            <v>Settled</v>
          </cell>
        </row>
        <row r="3382">
          <cell r="F3382" t="str">
            <v>SG -nityo-08/2023</v>
          </cell>
          <cell r="G3382" t="str">
            <v>Settled</v>
          </cell>
        </row>
        <row r="3383">
          <cell r="F3383" t="str">
            <v>SG-nityo-02/2023</v>
          </cell>
          <cell r="G3383" t="str">
            <v>Settled</v>
          </cell>
        </row>
        <row r="3384">
          <cell r="F3384" t="str">
            <v>SG-nityo-03/2023</v>
          </cell>
          <cell r="G3384" t="str">
            <v>Settled</v>
          </cell>
        </row>
        <row r="3385">
          <cell r="F3385" t="str">
            <v>SG-nityo-04/2023</v>
          </cell>
          <cell r="G3385" t="str">
            <v>Settled</v>
          </cell>
        </row>
        <row r="3386">
          <cell r="F3386" t="str">
            <v>SG-nityo-05/2023</v>
          </cell>
          <cell r="G3386" t="str">
            <v>Settled</v>
          </cell>
        </row>
        <row r="3387">
          <cell r="F3387" t="str">
            <v>SG-nityo-09/2023-Pro rata</v>
          </cell>
          <cell r="G3387" t="str">
            <v>Settled</v>
          </cell>
        </row>
        <row r="3388">
          <cell r="F3388" t="str">
            <v>SG-nityo-09/2023</v>
          </cell>
          <cell r="G3388" t="str">
            <v>Settled</v>
          </cell>
        </row>
        <row r="3389">
          <cell r="F3389" t="str">
            <v>SG-nityo-10/2023</v>
          </cell>
          <cell r="G3389" t="str">
            <v>Settled</v>
          </cell>
        </row>
        <row r="3390">
          <cell r="F3390" t="str">
            <v>SG-nityo-11/2023</v>
          </cell>
          <cell r="G3390" t="str">
            <v>Settled</v>
          </cell>
        </row>
        <row r="3391">
          <cell r="F3391" t="str">
            <v>SG-nityo-12/2023</v>
          </cell>
          <cell r="G3391" t="str">
            <v>Settled</v>
          </cell>
        </row>
        <row r="3392">
          <cell r="F3392" t="str">
            <v>SG-nityo-01/2024</v>
          </cell>
          <cell r="G3392" t="str">
            <v>Settled</v>
          </cell>
        </row>
        <row r="3393">
          <cell r="F3393" t="str">
            <v>SG-nityo-02/2024</v>
          </cell>
          <cell r="G3393" t="str">
            <v>Settled</v>
          </cell>
        </row>
        <row r="3394">
          <cell r="F3394" t="str">
            <v>SG-nityo-03/2024</v>
          </cell>
          <cell r="G3394" t="str">
            <v>Settled</v>
          </cell>
        </row>
        <row r="3395">
          <cell r="F3395" t="str">
            <v>SG-nityo-04/2024</v>
          </cell>
          <cell r="G3395" t="str">
            <v>Settled</v>
          </cell>
        </row>
        <row r="3396">
          <cell r="F3396" t="str">
            <v>SG-nityo-05/2024</v>
          </cell>
          <cell r="G3396" t="str">
            <v>Settled</v>
          </cell>
        </row>
        <row r="3397">
          <cell r="F3397" t="str">
            <v>SG-nityo-06/2024</v>
          </cell>
          <cell r="G3397" t="str">
            <v>Settled</v>
          </cell>
        </row>
        <row r="3398">
          <cell r="F3398" t="str">
            <v>SG-nityo-07/2024</v>
          </cell>
          <cell r="G3398" t="str">
            <v>Settled</v>
          </cell>
        </row>
        <row r="3399">
          <cell r="F3399" t="str">
            <v>SG-nityo-08/2024</v>
          </cell>
          <cell r="G3399" t="str">
            <v>Settled</v>
          </cell>
        </row>
        <row r="3400">
          <cell r="F3400" t="str">
            <v>SG-nityo-09/2024</v>
          </cell>
          <cell r="G3400" t="str">
            <v>Settled</v>
          </cell>
        </row>
        <row r="3401">
          <cell r="F3401" t="str">
            <v>SG-nityo-10/2024</v>
          </cell>
          <cell r="G3401" t="str">
            <v>Settled</v>
          </cell>
        </row>
        <row r="3402">
          <cell r="F3402" t="str">
            <v>SG-nityo-11/2024</v>
          </cell>
          <cell r="G3402" t="str">
            <v>Settled</v>
          </cell>
        </row>
        <row r="3403">
          <cell r="F3403" t="str">
            <v>SG-nityo-12/2024</v>
          </cell>
          <cell r="G3403" t="str">
            <v>Settled</v>
          </cell>
        </row>
        <row r="3404">
          <cell r="F3404" t="str">
            <v>SG-nityo-01/2025</v>
          </cell>
          <cell r="G3404" t="str">
            <v>Settled</v>
          </cell>
        </row>
        <row r="3405">
          <cell r="F3405" t="str">
            <v>SG-nityo-02/2025</v>
          </cell>
          <cell r="G3405" t="str">
            <v>Settled</v>
          </cell>
        </row>
        <row r="3406">
          <cell r="F3406" t="str">
            <v>SG-nityo-03/2025</v>
          </cell>
          <cell r="G3406" t="str">
            <v>Settled</v>
          </cell>
        </row>
        <row r="3407">
          <cell r="F3407" t="str">
            <v>SG-nityo-04/2025</v>
          </cell>
          <cell r="G3407" t="str">
            <v>Settled</v>
          </cell>
        </row>
        <row r="3408">
          <cell r="F3408" t="str">
            <v>SG-nityo-05/2025</v>
          </cell>
          <cell r="G3408" t="str">
            <v>Settled</v>
          </cell>
        </row>
        <row r="3409">
          <cell r="F3409" t="str">
            <v>SG-nityo-06/2025</v>
          </cell>
          <cell r="G3409" t="str">
            <v>Settled</v>
          </cell>
        </row>
        <row r="3410">
          <cell r="F3410" t="str">
            <v>SG-nityo-07/2025</v>
          </cell>
          <cell r="G3410" t="str">
            <v>Settled</v>
          </cell>
        </row>
        <row r="3411">
          <cell r="F3411" t="str">
            <v>SG-nityo-08/2025</v>
          </cell>
          <cell r="G3411" t="str">
            <v>Settled</v>
          </cell>
        </row>
        <row r="3412">
          <cell r="F3412" t="str">
            <v>SG-nityo-09/2025</v>
          </cell>
          <cell r="G3412" t="str">
            <v>Settled</v>
          </cell>
        </row>
        <row r="3413">
          <cell r="F3413" t="str">
            <v>SG-nityo-10/2025</v>
          </cell>
          <cell r="G3413" t="str">
            <v>Settled</v>
          </cell>
        </row>
        <row r="3414">
          <cell r="F3414" t="str">
            <v>SG-nityo-11/2025</v>
          </cell>
          <cell r="G3414" t="str">
            <v>Settled</v>
          </cell>
        </row>
        <row r="3415">
          <cell r="F3415" t="str">
            <v>SG-nityo-12/2025</v>
          </cell>
          <cell r="G3415" t="str">
            <v>Settled</v>
          </cell>
        </row>
        <row r="3416">
          <cell r="F3416" t="str">
            <v>SG-nityo-01/2026</v>
          </cell>
          <cell r="G3416" t="str">
            <v>Settled</v>
          </cell>
        </row>
        <row r="3417">
          <cell r="F3417" t="str">
            <v>SG-nityo-02/2026</v>
          </cell>
          <cell r="G3417" t="str">
            <v>Settled</v>
          </cell>
        </row>
        <row r="3418">
          <cell r="F3418" t="str">
            <v>SG-Novelship Pte. Ltd.-12/2022</v>
          </cell>
          <cell r="G3418" t="str">
            <v>Write Off</v>
          </cell>
        </row>
        <row r="3419">
          <cell r="F3419" t="str">
            <v>SG-Novelship-03/2023</v>
          </cell>
          <cell r="G3419" t="str">
            <v>Write Off</v>
          </cell>
        </row>
        <row r="3420">
          <cell r="F3420" t="str">
            <v>SG-Novum Financial Technologies-01/2023</v>
          </cell>
          <cell r="G3420" t="str">
            <v>Settled</v>
          </cell>
        </row>
        <row r="3421">
          <cell r="F3421" t="str">
            <v>SG-NovumFinTech-02/2023</v>
          </cell>
          <cell r="G3421" t="str">
            <v>Settled</v>
          </cell>
        </row>
        <row r="3422">
          <cell r="F3422" t="str">
            <v>SG-NovumFinTech-03/2023</v>
          </cell>
          <cell r="G3422" t="str">
            <v>Settled</v>
          </cell>
        </row>
        <row r="3423">
          <cell r="F3423" t="str">
            <v>SG-NovumFinTech-04/2023</v>
          </cell>
          <cell r="G3423" t="str">
            <v>Settled</v>
          </cell>
        </row>
        <row r="3424">
          <cell r="F3424" t="str">
            <v>SG-NovumFinTech-05/2023</v>
          </cell>
          <cell r="G3424" t="str">
            <v>Settled</v>
          </cell>
        </row>
        <row r="3425">
          <cell r="F3425" t="str">
            <v>SG-NovumFinTech-06/2023</v>
          </cell>
          <cell r="G3425" t="str">
            <v>Settled</v>
          </cell>
        </row>
        <row r="3426">
          <cell r="F3426" t="str">
            <v>SG-NovumFinTech-07/2023</v>
          </cell>
          <cell r="G3426" t="str">
            <v>Settled</v>
          </cell>
        </row>
        <row r="3427">
          <cell r="F3427" t="str">
            <v>SG -NovumFinTech-08/2023</v>
          </cell>
          <cell r="G3427" t="str">
            <v>Settled</v>
          </cell>
        </row>
        <row r="3428">
          <cell r="F3428" t="str">
            <v>SG-NovumFinTech-09/2023</v>
          </cell>
          <cell r="G3428" t="str">
            <v>Settled</v>
          </cell>
        </row>
        <row r="3429">
          <cell r="F3429" t="str">
            <v>SG-NovumFinTech-10/2023</v>
          </cell>
          <cell r="G3429" t="str">
            <v>Settled</v>
          </cell>
        </row>
        <row r="3430">
          <cell r="F3430" t="str">
            <v>SG-NovumFinTech-11/2023</v>
          </cell>
          <cell r="G3430" t="str">
            <v>Settled</v>
          </cell>
        </row>
        <row r="3431">
          <cell r="F3431" t="str">
            <v>SG-NovumFinTech-12/2023</v>
          </cell>
          <cell r="G3431" t="str">
            <v>Settled</v>
          </cell>
        </row>
        <row r="3432">
          <cell r="F3432" t="str">
            <v>SG-NovumFinTech-01/2024</v>
          </cell>
          <cell r="G3432" t="str">
            <v>Settled</v>
          </cell>
        </row>
        <row r="3433">
          <cell r="F3433" t="str">
            <v>SG-NovumFinTech-02/2024</v>
          </cell>
          <cell r="G3433" t="str">
            <v>Settled</v>
          </cell>
        </row>
        <row r="3434">
          <cell r="F3434" t="str">
            <v>SG-NovumFinTech-03/2024</v>
          </cell>
          <cell r="G3434" t="str">
            <v>Settled</v>
          </cell>
        </row>
        <row r="3435">
          <cell r="F3435" t="str">
            <v>SG-NovumFinTech-04/2024</v>
          </cell>
          <cell r="G3435" t="str">
            <v>Settled</v>
          </cell>
        </row>
        <row r="3436">
          <cell r="F3436" t="str">
            <v>SG-NovumFinTech-05/2024</v>
          </cell>
          <cell r="G3436" t="str">
            <v>Settled</v>
          </cell>
        </row>
        <row r="3437">
          <cell r="F3437" t="str">
            <v>SG-NovumFinTech-06/2024</v>
          </cell>
          <cell r="G3437" t="str">
            <v>Settled</v>
          </cell>
        </row>
        <row r="3438">
          <cell r="F3438" t="str">
            <v>SG-NovumFinTech-07/2024</v>
          </cell>
          <cell r="G3438" t="str">
            <v>Settled</v>
          </cell>
        </row>
        <row r="3439">
          <cell r="F3439" t="str">
            <v>SG-NovumFinTech-08/2024</v>
          </cell>
          <cell r="G3439" t="str">
            <v>Settled</v>
          </cell>
        </row>
        <row r="3440">
          <cell r="F3440" t="str">
            <v>SG-NovumFinTech-09/2024</v>
          </cell>
          <cell r="G3440" t="str">
            <v>Settled</v>
          </cell>
        </row>
        <row r="3441">
          <cell r="F3441" t="str">
            <v>SG-NovumFinTech-10/2024</v>
          </cell>
          <cell r="G3441" t="str">
            <v>Settled</v>
          </cell>
        </row>
        <row r="3442">
          <cell r="F3442" t="str">
            <v>SG-NovumFinTech-11/2024</v>
          </cell>
          <cell r="G3442" t="str">
            <v>Settled</v>
          </cell>
        </row>
        <row r="3443">
          <cell r="F3443" t="str">
            <v>SG-NovumFinTech-12/2024</v>
          </cell>
          <cell r="G3443" t="str">
            <v>Settled</v>
          </cell>
        </row>
        <row r="3444">
          <cell r="F3444" t="str">
            <v>SG-NovumFinTech-01/2025</v>
          </cell>
          <cell r="G3444" t="str">
            <v>Settled</v>
          </cell>
        </row>
        <row r="3445">
          <cell r="F3445" t="str">
            <v>SG-NovumFinTech-02/2025</v>
          </cell>
          <cell r="G3445" t="str">
            <v>Settled</v>
          </cell>
        </row>
        <row r="3446">
          <cell r="F3446" t="str">
            <v>SG-NovumFinTech-03/2025</v>
          </cell>
          <cell r="G3446" t="str">
            <v>Settled</v>
          </cell>
        </row>
        <row r="3447">
          <cell r="F3447" t="str">
            <v>SG-NovumFinTech-04/2025</v>
          </cell>
          <cell r="G3447" t="str">
            <v>Settled</v>
          </cell>
        </row>
        <row r="3448">
          <cell r="F3448" t="str">
            <v>SG-NovumFinTech-05/2025</v>
          </cell>
          <cell r="G3448" t="str">
            <v>Settled</v>
          </cell>
        </row>
        <row r="3449">
          <cell r="F3449" t="str">
            <v>SG-NovumFinTech-06/2025</v>
          </cell>
          <cell r="G3449" t="str">
            <v>Settled</v>
          </cell>
        </row>
        <row r="3450">
          <cell r="F3450" t="str">
            <v>SG-NovumFinTech-07/2025</v>
          </cell>
          <cell r="G3450" t="str">
            <v>Settled</v>
          </cell>
        </row>
        <row r="3451">
          <cell r="F3451" t="str">
            <v>SG-NovumFinTech-08/2025</v>
          </cell>
          <cell r="G3451" t="str">
            <v>Settled</v>
          </cell>
        </row>
        <row r="3452">
          <cell r="F3452" t="str">
            <v>SG-NovumFinTech-09/2025</v>
          </cell>
          <cell r="G3452" t="str">
            <v>Settled</v>
          </cell>
        </row>
        <row r="3453">
          <cell r="F3453" t="str">
            <v>SG-NovumFinTech-10/2025</v>
          </cell>
          <cell r="G3453" t="str">
            <v>Settled</v>
          </cell>
        </row>
        <row r="3454">
          <cell r="F3454" t="str">
            <v>SG-NovumFinTech-11/2025</v>
          </cell>
          <cell r="G3454" t="str">
            <v>Settled</v>
          </cell>
        </row>
        <row r="3455">
          <cell r="F3455" t="str">
            <v>SG-NovumFinTech-12/2025</v>
          </cell>
          <cell r="G3455" t="str">
            <v>Settled</v>
          </cell>
        </row>
        <row r="3456">
          <cell r="F3456" t="str">
            <v>SG-NovumFinTech-01/2026</v>
          </cell>
          <cell r="G3456" t="str">
            <v>Settled</v>
          </cell>
        </row>
        <row r="3457">
          <cell r="F3457" t="str">
            <v>SG-NovumFinTech-02/2026</v>
          </cell>
          <cell r="G3457" t="str">
            <v>Settled</v>
          </cell>
        </row>
        <row r="3458">
          <cell r="F3458" t="str">
            <v>SG-nsKnox-09/2023</v>
          </cell>
          <cell r="G3458" t="str">
            <v>Settled</v>
          </cell>
        </row>
        <row r="3459">
          <cell r="F3459" t="str">
            <v>SG-nsKnox-10/2023</v>
          </cell>
          <cell r="G3459" t="str">
            <v>Settled</v>
          </cell>
        </row>
        <row r="3460">
          <cell r="F3460" t="str">
            <v>SG-nsKnox-11/2023</v>
          </cell>
          <cell r="G3460" t="str">
            <v>Settled</v>
          </cell>
        </row>
        <row r="3461">
          <cell r="F3461" t="str">
            <v>SG-nsKnox-12/2023</v>
          </cell>
          <cell r="G3461" t="str">
            <v>Settled</v>
          </cell>
        </row>
        <row r="3462">
          <cell r="F3462" t="str">
            <v>SG-nsKnox-01/2024</v>
          </cell>
          <cell r="G3462" t="str">
            <v>Settled</v>
          </cell>
        </row>
        <row r="3463">
          <cell r="F3463" t="str">
            <v>SG-nsKnox-02-2024</v>
          </cell>
          <cell r="G3463" t="str">
            <v>Settled</v>
          </cell>
        </row>
        <row r="3464">
          <cell r="F3464" t="str">
            <v>SG-nsKnox-02/2024</v>
          </cell>
          <cell r="G3464" t="str">
            <v>Settled</v>
          </cell>
        </row>
        <row r="3465">
          <cell r="F3465" t="str">
            <v>SG-nsKnox-03/2024</v>
          </cell>
          <cell r="G3465" t="str">
            <v>Settled</v>
          </cell>
        </row>
        <row r="3466">
          <cell r="F3466" t="str">
            <v>SG-nsKnox-04/2024</v>
          </cell>
          <cell r="G3466" t="str">
            <v>Settled</v>
          </cell>
        </row>
        <row r="3467">
          <cell r="F3467" t="str">
            <v>SG-nsKnox-05/2024</v>
          </cell>
          <cell r="G3467" t="str">
            <v>Settled</v>
          </cell>
        </row>
        <row r="3468">
          <cell r="F3468" t="str">
            <v>SG-nsKnox-06/2024</v>
          </cell>
          <cell r="G3468" t="str">
            <v>Settled</v>
          </cell>
        </row>
        <row r="3469">
          <cell r="F3469" t="str">
            <v>SG-nsKnox-07/2024</v>
          </cell>
          <cell r="G3469" t="str">
            <v>Settled</v>
          </cell>
        </row>
        <row r="3470">
          <cell r="F3470" t="str">
            <v>SG-nsKnox-08/2024</v>
          </cell>
          <cell r="G3470" t="str">
            <v>Settled</v>
          </cell>
        </row>
        <row r="3471">
          <cell r="F3471" t="str">
            <v>SG-nsKnox-09/2024</v>
          </cell>
          <cell r="G3471" t="str">
            <v>Settled</v>
          </cell>
        </row>
        <row r="3472">
          <cell r="F3472" t="str">
            <v>SG-nsKnox-10/2024</v>
          </cell>
          <cell r="G3472" t="str">
            <v>Settled</v>
          </cell>
        </row>
        <row r="3473">
          <cell r="F3473" t="str">
            <v>SG-nsKnox-11/2024</v>
          </cell>
          <cell r="G3473" t="str">
            <v>Settled</v>
          </cell>
        </row>
        <row r="3474">
          <cell r="F3474" t="str">
            <v>SG-nsKnox-12/2024</v>
          </cell>
          <cell r="G3474" t="str">
            <v>Settled</v>
          </cell>
        </row>
        <row r="3475">
          <cell r="F3475" t="str">
            <v>SG-nsKnox-01/2025</v>
          </cell>
          <cell r="G3475" t="str">
            <v>Settled</v>
          </cell>
        </row>
        <row r="3476">
          <cell r="F3476" t="str">
            <v>SG-nsKnox-02/2025</v>
          </cell>
          <cell r="G3476" t="str">
            <v>Settled</v>
          </cell>
        </row>
        <row r="3477">
          <cell r="F3477" t="str">
            <v>SG-nsKnox-03/2025</v>
          </cell>
          <cell r="G3477" t="str">
            <v>Settled</v>
          </cell>
        </row>
        <row r="3478">
          <cell r="F3478" t="str">
            <v>SG-nsKnox-04/2025</v>
          </cell>
          <cell r="G3478" t="str">
            <v>Settled</v>
          </cell>
        </row>
        <row r="3479">
          <cell r="F3479" t="str">
            <v>SG-nsKnox-05/2025</v>
          </cell>
          <cell r="G3479" t="str">
            <v>Settled</v>
          </cell>
        </row>
        <row r="3480">
          <cell r="F3480" t="str">
            <v>SG-nsKnox-06/2025</v>
          </cell>
          <cell r="G3480" t="str">
            <v>Settled</v>
          </cell>
        </row>
        <row r="3481">
          <cell r="F3481" t="str">
            <v>SG-nsKnox-07/2025</v>
          </cell>
          <cell r="G3481" t="str">
            <v>Settled</v>
          </cell>
        </row>
        <row r="3482">
          <cell r="F3482" t="str">
            <v>SG-nsKnox-08/2025</v>
          </cell>
          <cell r="G3482" t="str">
            <v>Settled</v>
          </cell>
        </row>
        <row r="3483">
          <cell r="F3483" t="str">
            <v>SG-nsKnox-09/2025</v>
          </cell>
          <cell r="G3483" t="str">
            <v>Settled</v>
          </cell>
        </row>
        <row r="3484">
          <cell r="F3484" t="str">
            <v>SG-nsKnox-10/2025</v>
          </cell>
          <cell r="G3484" t="str">
            <v>Settled</v>
          </cell>
        </row>
        <row r="3485">
          <cell r="F3485" t="str">
            <v>SG-nsKnox-11/2025</v>
          </cell>
          <cell r="G3485" t="str">
            <v>Settled</v>
          </cell>
        </row>
        <row r="3486">
          <cell r="F3486" t="str">
            <v>SG-nsKnox-12/2025</v>
          </cell>
          <cell r="G3486" t="str">
            <v>Settled</v>
          </cell>
        </row>
        <row r="3487">
          <cell r="F3487" t="str">
            <v>SG-nsKnox-01/2026</v>
          </cell>
          <cell r="G3487" t="str">
            <v>Settled</v>
          </cell>
        </row>
        <row r="3488">
          <cell r="F3488" t="str">
            <v>SG-nsKnox-02/2026</v>
          </cell>
          <cell r="G3488" t="str">
            <v>Settled</v>
          </cell>
        </row>
        <row r="3489">
          <cell r="F3489" t="str">
            <v>SG-nutrisource pte. ltd.-11/2022</v>
          </cell>
          <cell r="G3489" t="str">
            <v>Settled</v>
          </cell>
        </row>
        <row r="3490">
          <cell r="F3490" t="str">
            <v>SG-nutrisource-12/2022</v>
          </cell>
          <cell r="G3490" t="str">
            <v>Settled</v>
          </cell>
        </row>
        <row r="3491">
          <cell r="F3491" t="str">
            <v>SG-Nuvei-05/2024</v>
          </cell>
          <cell r="G3491" t="str">
            <v>Settled</v>
          </cell>
        </row>
        <row r="3492">
          <cell r="F3492" t="str">
            <v>SG-Nuvei-06/2024</v>
          </cell>
          <cell r="G3492" t="str">
            <v>Settled</v>
          </cell>
        </row>
        <row r="3493">
          <cell r="F3493" t="str">
            <v>SG-Nuvei-07/2024</v>
          </cell>
          <cell r="G3493" t="str">
            <v>Settled</v>
          </cell>
        </row>
        <row r="3494">
          <cell r="F3494" t="str">
            <v>SG-Nuvei-08/2024</v>
          </cell>
          <cell r="G3494" t="str">
            <v>Settled</v>
          </cell>
        </row>
        <row r="3495">
          <cell r="F3495" t="str">
            <v>SG-Nuvei-09/2024</v>
          </cell>
          <cell r="G3495" t="str">
            <v>Settled</v>
          </cell>
        </row>
        <row r="3496">
          <cell r="F3496" t="str">
            <v>SG-Nuvei-10/2024</v>
          </cell>
          <cell r="G3496" t="str">
            <v>Settled</v>
          </cell>
        </row>
        <row r="3497">
          <cell r="F3497" t="str">
            <v>SG-Nuvei-11/2024</v>
          </cell>
          <cell r="G3497" t="str">
            <v>Settled</v>
          </cell>
        </row>
        <row r="3498">
          <cell r="F3498" t="str">
            <v>SG-Nuvei-12/2024</v>
          </cell>
          <cell r="G3498" t="str">
            <v>Settled</v>
          </cell>
        </row>
        <row r="3499">
          <cell r="F3499" t="str">
            <v>SG-Nuvei-01/2025</v>
          </cell>
          <cell r="G3499" t="str">
            <v>Settled</v>
          </cell>
        </row>
        <row r="3500">
          <cell r="F3500" t="str">
            <v>SG-Nuvei-03/2025</v>
          </cell>
          <cell r="G3500" t="str">
            <v>Settled</v>
          </cell>
        </row>
        <row r="3501">
          <cell r="F3501" t="str">
            <v>SG-Nuvei-04/2025</v>
          </cell>
          <cell r="G3501" t="str">
            <v>Settled</v>
          </cell>
        </row>
        <row r="3502">
          <cell r="F3502" t="str">
            <v>SG-Nuvei-05/2025</v>
          </cell>
          <cell r="G3502" t="str">
            <v>Settled</v>
          </cell>
        </row>
        <row r="3503">
          <cell r="F3503" t="str">
            <v>SG-Nuvei-06/2025</v>
          </cell>
          <cell r="G3503" t="str">
            <v>Settled</v>
          </cell>
        </row>
        <row r="3504">
          <cell r="F3504" t="str">
            <v>SG-Nuvei-07/2025</v>
          </cell>
          <cell r="G3504" t="str">
            <v>Settled</v>
          </cell>
        </row>
        <row r="3505">
          <cell r="F3505" t="str">
            <v>SG-Nuvei-08/2025</v>
          </cell>
          <cell r="G3505" t="str">
            <v>Settled</v>
          </cell>
        </row>
        <row r="3506">
          <cell r="F3506" t="str">
            <v>SG-Nuvei-09/2025</v>
          </cell>
          <cell r="G3506" t="str">
            <v>Settled</v>
          </cell>
        </row>
        <row r="3507">
          <cell r="F3507" t="str">
            <v>SG-Nuvei-10/2025</v>
          </cell>
          <cell r="G3507" t="str">
            <v>Settled</v>
          </cell>
        </row>
        <row r="3508">
          <cell r="F3508" t="str">
            <v>SG-Nuvei-11/2025</v>
          </cell>
          <cell r="G3508" t="str">
            <v>Settled</v>
          </cell>
        </row>
        <row r="3509">
          <cell r="F3509" t="str">
            <v>SG-Nuvei-12/2025</v>
          </cell>
          <cell r="G3509" t="str">
            <v>Settled</v>
          </cell>
        </row>
        <row r="3510">
          <cell r="F3510" t="str">
            <v>SG-Nuvei-01/2026</v>
          </cell>
          <cell r="G3510" t="str">
            <v>Settled</v>
          </cell>
        </row>
        <row r="3511">
          <cell r="F3511" t="str">
            <v>SG-Nuvei-02/2026</v>
          </cell>
          <cell r="G3511" t="str">
            <v>Overdue</v>
          </cell>
        </row>
        <row r="3512">
          <cell r="F3512" t="str">
            <v>SG-Nuvei-02/2025</v>
          </cell>
          <cell r="G3512" t="str">
            <v>Settled</v>
          </cell>
        </row>
        <row r="3513">
          <cell r="F3513" t="str">
            <v>SG-oceanus group limited-12/2022</v>
          </cell>
          <cell r="G3513" t="str">
            <v>Settled</v>
          </cell>
        </row>
        <row r="3514">
          <cell r="F3514" t="str">
            <v>SG-oceanusgroup-02/2023</v>
          </cell>
          <cell r="G3514" t="str">
            <v>Settled</v>
          </cell>
        </row>
        <row r="3515">
          <cell r="F3515" t="str">
            <v>SG-oceanusgroup-04/2023</v>
          </cell>
          <cell r="G3515" t="str">
            <v>Settled</v>
          </cell>
        </row>
        <row r="3516">
          <cell r="F3516" t="str">
            <v>SG-oceanusgroup-06/2023</v>
          </cell>
          <cell r="G3516" t="str">
            <v>Settled</v>
          </cell>
        </row>
        <row r="3517">
          <cell r="F3517" t="str">
            <v>SG-ocwen-11/2023</v>
          </cell>
          <cell r="G3517" t="str">
            <v>Settled</v>
          </cell>
        </row>
        <row r="3518">
          <cell r="F3518" t="str">
            <v>SG-Ofx-11/2022</v>
          </cell>
          <cell r="G3518" t="str">
            <v>Settled</v>
          </cell>
        </row>
        <row r="3519">
          <cell r="F3519" t="str">
            <v>SG-Ofx-12/2022</v>
          </cell>
          <cell r="G3519" t="str">
            <v>Settled</v>
          </cell>
        </row>
        <row r="3520">
          <cell r="F3520" t="str">
            <v>SG-Ofx-01/2023</v>
          </cell>
          <cell r="G3520" t="str">
            <v>Settled</v>
          </cell>
        </row>
        <row r="3521">
          <cell r="F3521" t="str">
            <v>SG-Ofx-02/2023</v>
          </cell>
          <cell r="G3521" t="str">
            <v>Settled</v>
          </cell>
        </row>
        <row r="3522">
          <cell r="F3522" t="str">
            <v>SG-Ofx-03/2023</v>
          </cell>
          <cell r="G3522" t="str">
            <v>Settled</v>
          </cell>
        </row>
        <row r="3523">
          <cell r="F3523" t="str">
            <v>SG-Ofx-04/2023</v>
          </cell>
          <cell r="G3523" t="str">
            <v>Settled</v>
          </cell>
        </row>
        <row r="3524">
          <cell r="F3524" t="str">
            <v>SG-Ofx-05/2023</v>
          </cell>
          <cell r="G3524" t="str">
            <v>Settled</v>
          </cell>
        </row>
        <row r="3525">
          <cell r="F3525" t="str">
            <v>SG-Ofx-06/2023</v>
          </cell>
          <cell r="G3525" t="str">
            <v>Settled</v>
          </cell>
        </row>
        <row r="3526">
          <cell r="F3526" t="str">
            <v>SG-Ofx-07/2023</v>
          </cell>
          <cell r="G3526" t="str">
            <v>Settled</v>
          </cell>
        </row>
        <row r="3527">
          <cell r="F3527" t="str">
            <v>SG -Ofx-08/2023</v>
          </cell>
          <cell r="G3527" t="str">
            <v>Settled</v>
          </cell>
        </row>
        <row r="3528">
          <cell r="F3528" t="str">
            <v>SG-Ofx-09/2023</v>
          </cell>
          <cell r="G3528" t="str">
            <v>Settled</v>
          </cell>
        </row>
        <row r="3529">
          <cell r="F3529" t="str">
            <v>SG-Ofx-10/2023</v>
          </cell>
          <cell r="G3529" t="str">
            <v>Settled</v>
          </cell>
        </row>
        <row r="3530">
          <cell r="F3530" t="str">
            <v>SG-Ofx-11/2023</v>
          </cell>
          <cell r="G3530" t="str">
            <v>Settled</v>
          </cell>
        </row>
        <row r="3531">
          <cell r="F3531" t="str">
            <v>SG-Ofx-12/2023</v>
          </cell>
          <cell r="G3531" t="str">
            <v>Settled</v>
          </cell>
        </row>
        <row r="3532">
          <cell r="F3532" t="str">
            <v>SG-Ofx-01/2024</v>
          </cell>
          <cell r="G3532" t="str">
            <v>Settled</v>
          </cell>
        </row>
        <row r="3533">
          <cell r="F3533" t="str">
            <v>SG-Ofx-02/2024</v>
          </cell>
          <cell r="G3533" t="str">
            <v>Settled</v>
          </cell>
        </row>
        <row r="3534">
          <cell r="F3534" t="str">
            <v>SG-Ofx-03/2024</v>
          </cell>
          <cell r="G3534" t="str">
            <v>Settled</v>
          </cell>
        </row>
        <row r="3535">
          <cell r="F3535" t="str">
            <v>SG-Ofx-04/2024</v>
          </cell>
          <cell r="G3535" t="str">
            <v>Settled</v>
          </cell>
        </row>
        <row r="3536">
          <cell r="F3536" t="str">
            <v>SG-Ofx-05/2024</v>
          </cell>
          <cell r="G3536" t="str">
            <v>Settled</v>
          </cell>
        </row>
        <row r="3537">
          <cell r="F3537" t="str">
            <v>SG-Ofx-06/2024</v>
          </cell>
          <cell r="G3537" t="str">
            <v>Settled</v>
          </cell>
        </row>
        <row r="3538">
          <cell r="F3538" t="str">
            <v>SG-Ofx-07/2024</v>
          </cell>
          <cell r="G3538" t="str">
            <v>Settled</v>
          </cell>
        </row>
        <row r="3539">
          <cell r="F3539" t="str">
            <v>SG-Ofx-08/2024</v>
          </cell>
          <cell r="G3539" t="str">
            <v>Settled</v>
          </cell>
        </row>
        <row r="3540">
          <cell r="F3540" t="str">
            <v>SG-Ofx-09/2024</v>
          </cell>
          <cell r="G3540" t="str">
            <v>Settled</v>
          </cell>
        </row>
        <row r="3541">
          <cell r="F3541" t="str">
            <v>SG-Ofx-10/2024</v>
          </cell>
          <cell r="G3541" t="str">
            <v>Settled</v>
          </cell>
        </row>
        <row r="3542">
          <cell r="F3542" t="str">
            <v>SG-Ofx-11/2024</v>
          </cell>
          <cell r="G3542" t="str">
            <v>Settled</v>
          </cell>
        </row>
        <row r="3543">
          <cell r="F3543" t="str">
            <v>SG-Ofx-12/2024</v>
          </cell>
          <cell r="G3543" t="str">
            <v>Settled</v>
          </cell>
        </row>
        <row r="3544">
          <cell r="F3544" t="str">
            <v>SG-Ofx-01/2025</v>
          </cell>
          <cell r="G3544" t="str">
            <v>Settled</v>
          </cell>
        </row>
        <row r="3545">
          <cell r="F3545" t="str">
            <v>SG-Ofx-02/2025</v>
          </cell>
          <cell r="G3545" t="str">
            <v>Settled</v>
          </cell>
        </row>
        <row r="3546">
          <cell r="F3546" t="str">
            <v>SG-Ofx-03/2025</v>
          </cell>
          <cell r="G3546" t="str">
            <v>Settled</v>
          </cell>
        </row>
        <row r="3547">
          <cell r="F3547" t="str">
            <v>SG-Ofx-04/2025</v>
          </cell>
          <cell r="G3547" t="str">
            <v>Settled</v>
          </cell>
        </row>
        <row r="3548">
          <cell r="F3548" t="str">
            <v>SG-Ofx-05/2025</v>
          </cell>
          <cell r="G3548" t="str">
            <v>Settled</v>
          </cell>
        </row>
        <row r="3549">
          <cell r="F3549" t="str">
            <v>SG-Ofx-06/2025</v>
          </cell>
          <cell r="G3549" t="str">
            <v>Settled</v>
          </cell>
        </row>
        <row r="3550">
          <cell r="F3550" t="str">
            <v>SG-Ofx-07/2025</v>
          </cell>
          <cell r="G3550" t="str">
            <v>Settled</v>
          </cell>
        </row>
        <row r="3551">
          <cell r="F3551" t="str">
            <v>SG-Ofx-08/2025</v>
          </cell>
          <cell r="G3551" t="str">
            <v>Settled</v>
          </cell>
        </row>
        <row r="3552">
          <cell r="F3552" t="str">
            <v>SG-Ofx-09/2025</v>
          </cell>
          <cell r="G3552" t="str">
            <v>Settled</v>
          </cell>
        </row>
        <row r="3553">
          <cell r="F3553" t="str">
            <v>SG-Ofx-10/2025</v>
          </cell>
          <cell r="G3553" t="str">
            <v>Settled</v>
          </cell>
        </row>
        <row r="3554">
          <cell r="F3554" t="str">
            <v>SG-Ofx-11/2025</v>
          </cell>
          <cell r="G3554" t="str">
            <v>Settled</v>
          </cell>
        </row>
        <row r="3555">
          <cell r="F3555" t="str">
            <v>SG-Ofx-12/2025</v>
          </cell>
          <cell r="G3555" t="str">
            <v>Settled</v>
          </cell>
        </row>
        <row r="3556">
          <cell r="F3556" t="str">
            <v>SG-Ofx-01/2026</v>
          </cell>
          <cell r="G3556" t="str">
            <v>Settled</v>
          </cell>
        </row>
        <row r="3557">
          <cell r="F3557" t="str">
            <v>SG-Ofx-02/2026</v>
          </cell>
          <cell r="G3557" t="str">
            <v>Settled</v>
          </cell>
        </row>
        <row r="3558">
          <cell r="F3558" t="str">
            <v>SG-Om Distribuidora-09/2023</v>
          </cell>
          <cell r="G3558" t="str">
            <v>Settled</v>
          </cell>
        </row>
        <row r="3559">
          <cell r="F3559" t="str">
            <v>SG -Om Distribuidora-10/2023</v>
          </cell>
          <cell r="G3559" t="str">
            <v>Settled</v>
          </cell>
        </row>
        <row r="3560">
          <cell r="F3560" t="str">
            <v>SG-Om Distribuidora-10/2023</v>
          </cell>
          <cell r="G3560" t="str">
            <v>Settled</v>
          </cell>
        </row>
        <row r="3561">
          <cell r="F3561" t="str">
            <v>SG-Om Distribuidora-11/2023</v>
          </cell>
          <cell r="G3561" t="str">
            <v>Settled</v>
          </cell>
        </row>
        <row r="3562">
          <cell r="F3562" t="str">
            <v>SG-Om Distribuidora-12/2023</v>
          </cell>
          <cell r="G3562" t="str">
            <v>Settled</v>
          </cell>
        </row>
        <row r="3563">
          <cell r="F3563" t="str">
            <v>SG-Om Distribuidora-01/2024</v>
          </cell>
          <cell r="G3563" t="str">
            <v>Settled</v>
          </cell>
        </row>
        <row r="3564">
          <cell r="F3564" t="str">
            <v>SG-Om Distribuidora-02/2024</v>
          </cell>
          <cell r="G3564" t="str">
            <v>Settled</v>
          </cell>
        </row>
        <row r="3565">
          <cell r="F3565" t="str">
            <v>SG-Om Distribuidora-03/2024</v>
          </cell>
          <cell r="G3565" t="str">
            <v>Settled</v>
          </cell>
        </row>
        <row r="3566">
          <cell r="F3566" t="str">
            <v>SG-Om Distribuidora-04/2024</v>
          </cell>
          <cell r="G3566" t="str">
            <v>Settled</v>
          </cell>
        </row>
        <row r="3567">
          <cell r="F3567" t="str">
            <v>SG-Om Distribuidora-05/2024</v>
          </cell>
          <cell r="G3567" t="str">
            <v>Settled</v>
          </cell>
        </row>
        <row r="3568">
          <cell r="F3568" t="str">
            <v>SG-Om Distribuidora-06/2024</v>
          </cell>
          <cell r="G3568" t="str">
            <v>Settled</v>
          </cell>
        </row>
        <row r="3569">
          <cell r="F3569" t="str">
            <v>SG-Om Distribuidora-07/2024</v>
          </cell>
          <cell r="G3569" t="str">
            <v>Settled</v>
          </cell>
        </row>
        <row r="3570">
          <cell r="F3570" t="str">
            <v>SG-Om Distribuidora-08/2024</v>
          </cell>
          <cell r="G3570" t="str">
            <v>Settled</v>
          </cell>
        </row>
        <row r="3571">
          <cell r="F3571" t="str">
            <v>SG-CN-Om Distribuidora-08-2024</v>
          </cell>
          <cell r="G3571" t="str">
            <v>Settled</v>
          </cell>
        </row>
        <row r="3572">
          <cell r="F3572" t="str">
            <v>SG-Omipay-11/2022</v>
          </cell>
          <cell r="G3572" t="str">
            <v>Settled</v>
          </cell>
        </row>
        <row r="3573">
          <cell r="F3573" t="str">
            <v>SG-Omipay-12/2022</v>
          </cell>
          <cell r="G3573" t="str">
            <v>Settled</v>
          </cell>
        </row>
        <row r="3574">
          <cell r="F3574" t="str">
            <v>SG-Omipay-01/2023</v>
          </cell>
          <cell r="G3574" t="str">
            <v>Settled</v>
          </cell>
        </row>
        <row r="3575">
          <cell r="F3575" t="str">
            <v>SG-Omipay-02/2023</v>
          </cell>
          <cell r="G3575" t="str">
            <v>Settled</v>
          </cell>
        </row>
        <row r="3576">
          <cell r="F3576" t="str">
            <v>SG-Omipay-03/2023</v>
          </cell>
          <cell r="G3576" t="str">
            <v>Settled</v>
          </cell>
        </row>
        <row r="3577">
          <cell r="F3577" t="str">
            <v>SG-Omipay-04/2023</v>
          </cell>
          <cell r="G3577" t="str">
            <v>Settled</v>
          </cell>
        </row>
        <row r="3578">
          <cell r="F3578" t="str">
            <v>SG-Omipay-05/2023</v>
          </cell>
          <cell r="G3578" t="str">
            <v>Settled</v>
          </cell>
        </row>
        <row r="3579">
          <cell r="F3579" t="str">
            <v>SG-Omipay-06/2023</v>
          </cell>
          <cell r="G3579" t="str">
            <v>Settled</v>
          </cell>
        </row>
        <row r="3580">
          <cell r="F3580" t="str">
            <v>SG-Omipay-07/2023</v>
          </cell>
          <cell r="G3580" t="str">
            <v>Settled</v>
          </cell>
        </row>
        <row r="3581">
          <cell r="F3581" t="str">
            <v>SG -Omipay-08/2023</v>
          </cell>
          <cell r="G3581" t="str">
            <v>Settled</v>
          </cell>
        </row>
        <row r="3582">
          <cell r="F3582" t="str">
            <v>SG-Omipay-09/2023</v>
          </cell>
          <cell r="G3582" t="str">
            <v>Settled</v>
          </cell>
        </row>
        <row r="3583">
          <cell r="F3583" t="str">
            <v>SG-Omipay-DN-08/2023</v>
          </cell>
          <cell r="G3583" t="str">
            <v>Settled</v>
          </cell>
        </row>
        <row r="3584">
          <cell r="F3584" t="str">
            <v>SG-Omipay-10/2023</v>
          </cell>
          <cell r="G3584" t="str">
            <v>Settled</v>
          </cell>
        </row>
        <row r="3585">
          <cell r="F3585" t="str">
            <v>SG-Omipay-11/2023</v>
          </cell>
          <cell r="G3585" t="str">
            <v>Settled</v>
          </cell>
        </row>
        <row r="3586">
          <cell r="F3586" t="str">
            <v>SG-Omipay-12/2023</v>
          </cell>
          <cell r="G3586" t="str">
            <v>Settled</v>
          </cell>
        </row>
        <row r="3587">
          <cell r="F3587" t="str">
            <v>SG-Omipay-01/2024</v>
          </cell>
          <cell r="G3587" t="str">
            <v>Settled</v>
          </cell>
        </row>
        <row r="3588">
          <cell r="F3588" t="str">
            <v>SG-Omipay-02/2024</v>
          </cell>
          <cell r="G3588" t="str">
            <v>Settled</v>
          </cell>
        </row>
        <row r="3589">
          <cell r="F3589" t="str">
            <v>SG-Omipay-03/2024</v>
          </cell>
          <cell r="G3589" t="str">
            <v>Settled</v>
          </cell>
        </row>
        <row r="3590">
          <cell r="F3590" t="str">
            <v>SG-Omipay-04/2024</v>
          </cell>
          <cell r="G3590" t="str">
            <v>Settled</v>
          </cell>
        </row>
        <row r="3591">
          <cell r="F3591" t="str">
            <v>SG-Omipay-05/2024</v>
          </cell>
          <cell r="G3591" t="str">
            <v>Settled</v>
          </cell>
        </row>
        <row r="3592">
          <cell r="F3592" t="str">
            <v>SG-Omipay-06/2024</v>
          </cell>
          <cell r="G3592" t="str">
            <v>Settled</v>
          </cell>
        </row>
        <row r="3593">
          <cell r="F3593" t="str">
            <v>SG-Omipay-07/2024</v>
          </cell>
          <cell r="G3593" t="str">
            <v>Settled</v>
          </cell>
        </row>
        <row r="3594">
          <cell r="F3594" t="str">
            <v>SG-Omipay-08/2024</v>
          </cell>
          <cell r="G3594" t="str">
            <v>Settled</v>
          </cell>
        </row>
        <row r="3595">
          <cell r="F3595" t="str">
            <v>SG-Omipay-09/2024</v>
          </cell>
          <cell r="G3595" t="str">
            <v>Settled</v>
          </cell>
        </row>
        <row r="3596">
          <cell r="F3596" t="str">
            <v>SG-Omipay-10/2024</v>
          </cell>
          <cell r="G3596" t="str">
            <v>Settled</v>
          </cell>
        </row>
        <row r="3597">
          <cell r="F3597" t="str">
            <v>SG-Omipay-11/2024</v>
          </cell>
          <cell r="G3597" t="str">
            <v>Settled</v>
          </cell>
        </row>
        <row r="3598">
          <cell r="F3598" t="str">
            <v>SG-Omipay-12/2024</v>
          </cell>
          <cell r="G3598" t="str">
            <v>Settled</v>
          </cell>
        </row>
        <row r="3599">
          <cell r="F3599" t="str">
            <v>SG-Omipay-01/2025</v>
          </cell>
          <cell r="G3599" t="str">
            <v>Settled</v>
          </cell>
        </row>
        <row r="3600">
          <cell r="F3600" t="str">
            <v>SG-Omipay-02/2025</v>
          </cell>
          <cell r="G3600" t="str">
            <v>Settled</v>
          </cell>
        </row>
        <row r="3601">
          <cell r="F3601" t="str">
            <v>SG-Omipay-03/2025</v>
          </cell>
          <cell r="G3601" t="str">
            <v>Settled</v>
          </cell>
        </row>
        <row r="3602">
          <cell r="F3602" t="str">
            <v>SG-Omipay-04/2025</v>
          </cell>
          <cell r="G3602" t="str">
            <v>Settled</v>
          </cell>
        </row>
        <row r="3603">
          <cell r="F3603" t="str">
            <v>SG-Omipay-05/2025</v>
          </cell>
          <cell r="G3603" t="str">
            <v>Settled</v>
          </cell>
        </row>
        <row r="3604">
          <cell r="F3604" t="str">
            <v>SG-Omipay-06/2025</v>
          </cell>
          <cell r="G3604" t="str">
            <v>Settled</v>
          </cell>
        </row>
        <row r="3605">
          <cell r="F3605" t="str">
            <v>SG-Omipay-07/2025</v>
          </cell>
          <cell r="G3605" t="str">
            <v>Settled</v>
          </cell>
        </row>
        <row r="3606">
          <cell r="F3606" t="str">
            <v>SG-Omipay-08/2025</v>
          </cell>
          <cell r="G3606" t="str">
            <v>Settled</v>
          </cell>
        </row>
        <row r="3607">
          <cell r="F3607" t="str">
            <v>SG-Omipay-09/2025</v>
          </cell>
          <cell r="G3607" t="str">
            <v>Settled</v>
          </cell>
        </row>
        <row r="3608">
          <cell r="F3608" t="str">
            <v>SG-Omipay-10/2025</v>
          </cell>
          <cell r="G3608" t="str">
            <v>Settled</v>
          </cell>
        </row>
        <row r="3609">
          <cell r="F3609" t="str">
            <v>SG-Omipay-11/2025</v>
          </cell>
          <cell r="G3609" t="str">
            <v>Settled</v>
          </cell>
        </row>
        <row r="3610">
          <cell r="F3610" t="str">
            <v>SG-Omipay-12/2025</v>
          </cell>
          <cell r="G3610" t="str">
            <v>Settled</v>
          </cell>
        </row>
        <row r="3611">
          <cell r="F3611" t="str">
            <v>SG-Omipay-01/2026</v>
          </cell>
          <cell r="G3611" t="str">
            <v>Settled</v>
          </cell>
        </row>
        <row r="3612">
          <cell r="F3612" t="str">
            <v>SG-Omipay-02/2026</v>
          </cell>
          <cell r="G3612" t="str">
            <v>Settled</v>
          </cell>
        </row>
        <row r="3613">
          <cell r="F3613" t="str">
            <v>SG-one incorp-11/2023</v>
          </cell>
          <cell r="G3613" t="str">
            <v>Settled</v>
          </cell>
        </row>
        <row r="3614">
          <cell r="F3614" t="str">
            <v>SG -OrbisBlockchain-05/2023</v>
          </cell>
          <cell r="G3614" t="str">
            <v>Settled</v>
          </cell>
        </row>
        <row r="3615">
          <cell r="F3615" t="str">
            <v>SG-OWLPAY HOLDINGS-09/2022</v>
          </cell>
          <cell r="G3615" t="str">
            <v>Settled</v>
          </cell>
        </row>
        <row r="3616">
          <cell r="F3616" t="str">
            <v>SG-OWLPAY HOLDINGS-10/2022</v>
          </cell>
          <cell r="G3616" t="str">
            <v>Settled</v>
          </cell>
        </row>
        <row r="3617">
          <cell r="F3617" t="str">
            <v>SG-OWLPAY HOLDINGS PTE. LTD-11/2022</v>
          </cell>
          <cell r="G3617" t="str">
            <v>Settled</v>
          </cell>
        </row>
        <row r="3618">
          <cell r="F3618" t="str">
            <v>SG-OWLPAY HOLDINGS PTE. LTD-12/2022</v>
          </cell>
          <cell r="G3618" t="str">
            <v>Settled</v>
          </cell>
        </row>
        <row r="3619">
          <cell r="F3619" t="str">
            <v>SG-OWLPAY HOLDINGS PTE. LTD-01/2023</v>
          </cell>
          <cell r="G3619" t="str">
            <v>Settled</v>
          </cell>
        </row>
        <row r="3620">
          <cell r="F3620" t="str">
            <v>SG-OWLPAY-02/2023</v>
          </cell>
          <cell r="G3620" t="str">
            <v>Settled</v>
          </cell>
        </row>
        <row r="3621">
          <cell r="F3621" t="str">
            <v>SG-OWLPAY-03/2023</v>
          </cell>
          <cell r="G3621" t="str">
            <v>Settled</v>
          </cell>
        </row>
        <row r="3622">
          <cell r="F3622" t="str">
            <v>SG-OWLPAY-04/2023</v>
          </cell>
          <cell r="G3622" t="str">
            <v>Settled</v>
          </cell>
        </row>
        <row r="3623">
          <cell r="F3623" t="str">
            <v>SG-OWLPAY-05/2023</v>
          </cell>
          <cell r="G3623" t="str">
            <v>Settled</v>
          </cell>
        </row>
        <row r="3624">
          <cell r="F3624" t="str">
            <v>SG-OWLPAY-06/2023</v>
          </cell>
          <cell r="G3624" t="str">
            <v>Settled</v>
          </cell>
        </row>
        <row r="3625">
          <cell r="F3625" t="str">
            <v>SG-OWLPAY-07/2023</v>
          </cell>
          <cell r="G3625" t="str">
            <v>Waived Off</v>
          </cell>
        </row>
        <row r="3626">
          <cell r="F3626" t="str">
            <v>SG-OYSTER HR, INC.-12/2022</v>
          </cell>
          <cell r="G3626" t="str">
            <v>Settled</v>
          </cell>
        </row>
        <row r="3627">
          <cell r="F3627" t="str">
            <v>SG-OYSTER HR, INC.-01/2023</v>
          </cell>
          <cell r="G3627" t="str">
            <v>Settled</v>
          </cell>
        </row>
        <row r="3628">
          <cell r="F3628" t="str">
            <v>SG-OYSTERHRINC-02/2023</v>
          </cell>
          <cell r="G3628" t="str">
            <v>Settled</v>
          </cell>
        </row>
        <row r="3629">
          <cell r="F3629" t="str">
            <v>SG-OYSTERHRINC-03/2023</v>
          </cell>
          <cell r="G3629" t="str">
            <v>Settled</v>
          </cell>
        </row>
        <row r="3630">
          <cell r="F3630" t="str">
            <v>SG-OYSTERHRINC-04/2023</v>
          </cell>
          <cell r="G3630" t="str">
            <v>Settled</v>
          </cell>
        </row>
        <row r="3631">
          <cell r="F3631" t="str">
            <v>SG-OYSTERHRINC-05/2023</v>
          </cell>
          <cell r="G3631" t="str">
            <v>Settled</v>
          </cell>
        </row>
        <row r="3632">
          <cell r="F3632" t="str">
            <v>SG-OYSTERHRINC-06/2023</v>
          </cell>
          <cell r="G3632" t="str">
            <v>Settled</v>
          </cell>
        </row>
        <row r="3633">
          <cell r="F3633" t="str">
            <v>SG-OYSTERHRINC-07/2023</v>
          </cell>
          <cell r="G3633" t="str">
            <v>Settled</v>
          </cell>
        </row>
        <row r="3634">
          <cell r="F3634" t="str">
            <v>SG -OYSTERHRINC-08/2023</v>
          </cell>
          <cell r="G3634" t="str">
            <v>Settled</v>
          </cell>
        </row>
        <row r="3635">
          <cell r="F3635" t="str">
            <v>SG-OYSTERHRINC-09/2023</v>
          </cell>
          <cell r="G3635" t="str">
            <v>Settled</v>
          </cell>
        </row>
        <row r="3636">
          <cell r="F3636" t="str">
            <v>SG-OYSTERHRINC-10/2023</v>
          </cell>
          <cell r="G3636" t="str">
            <v>Settled</v>
          </cell>
        </row>
        <row r="3637">
          <cell r="F3637" t="str">
            <v>SG-OYSTERHRINC-11/2023</v>
          </cell>
          <cell r="G3637" t="str">
            <v>Settled</v>
          </cell>
        </row>
        <row r="3638">
          <cell r="F3638" t="str">
            <v>SG-OYSTERHRINC-12/2023</v>
          </cell>
          <cell r="G3638" t="str">
            <v>Settled</v>
          </cell>
        </row>
        <row r="3639">
          <cell r="F3639" t="str">
            <v>SG-OYSTERHRINC-01/2024</v>
          </cell>
          <cell r="G3639" t="str">
            <v>Settled</v>
          </cell>
        </row>
        <row r="3640">
          <cell r="F3640" t="str">
            <v>SG-OYSTERHRINC-02/2024</v>
          </cell>
          <cell r="G3640" t="str">
            <v>Settled</v>
          </cell>
        </row>
        <row r="3641">
          <cell r="F3641" t="str">
            <v>SG-OYSTERHRINC-03/2024</v>
          </cell>
          <cell r="G3641" t="str">
            <v>Settled</v>
          </cell>
        </row>
        <row r="3642">
          <cell r="F3642" t="str">
            <v>SG-OYSTERHRINC-04/2024</v>
          </cell>
          <cell r="G3642" t="str">
            <v>Settled</v>
          </cell>
        </row>
        <row r="3643">
          <cell r="F3643" t="str">
            <v>SG-OYSTERHRINC-05/2024</v>
          </cell>
          <cell r="G3643" t="str">
            <v>Settled</v>
          </cell>
        </row>
        <row r="3644">
          <cell r="F3644" t="str">
            <v>SG-OYSTERHRINC-06/2024</v>
          </cell>
          <cell r="G3644" t="str">
            <v>Settled</v>
          </cell>
        </row>
        <row r="3645">
          <cell r="F3645" t="str">
            <v>SG-OYSTERHRINC-07/2024</v>
          </cell>
          <cell r="G3645" t="str">
            <v>Settled</v>
          </cell>
        </row>
        <row r="3646">
          <cell r="F3646" t="str">
            <v>SG-OYSTERHRINC-08/2024</v>
          </cell>
          <cell r="G3646" t="str">
            <v>Settled</v>
          </cell>
        </row>
        <row r="3647">
          <cell r="F3647" t="str">
            <v>SG-OYSTERHRINC-09/2024</v>
          </cell>
          <cell r="G3647" t="str">
            <v>Settled</v>
          </cell>
        </row>
        <row r="3648">
          <cell r="F3648" t="str">
            <v>SG-OYSTERHRINC-10/2024</v>
          </cell>
          <cell r="G3648" t="str">
            <v>Settled</v>
          </cell>
        </row>
        <row r="3649">
          <cell r="F3649" t="str">
            <v>SG-OYSTERHRINC-11/2024</v>
          </cell>
          <cell r="G3649" t="str">
            <v>Settled</v>
          </cell>
        </row>
        <row r="3650">
          <cell r="F3650" t="str">
            <v>SG-OYSTERHRINC-12/2024</v>
          </cell>
          <cell r="G3650" t="str">
            <v>Settled</v>
          </cell>
        </row>
        <row r="3651">
          <cell r="F3651" t="str">
            <v>SG-OYSTERHRINC-01/2025</v>
          </cell>
          <cell r="G3651" t="str">
            <v>Settled</v>
          </cell>
        </row>
        <row r="3652">
          <cell r="F3652" t="str">
            <v>SG-OYSTERHRINC-02/2025</v>
          </cell>
          <cell r="G3652" t="str">
            <v>Settled</v>
          </cell>
        </row>
        <row r="3653">
          <cell r="F3653" t="str">
            <v>SG-OYSTERHRINC-03/2025</v>
          </cell>
          <cell r="G3653" t="str">
            <v>Settled</v>
          </cell>
        </row>
        <row r="3654">
          <cell r="F3654" t="str">
            <v>SG-OYSTERHRINC-04/2025</v>
          </cell>
          <cell r="G3654" t="str">
            <v>Settled</v>
          </cell>
        </row>
        <row r="3655">
          <cell r="F3655" t="str">
            <v>SG-OYSTERHRINC-05/2025</v>
          </cell>
          <cell r="G3655" t="str">
            <v>Settled</v>
          </cell>
        </row>
        <row r="3656">
          <cell r="F3656" t="str">
            <v>SG-OYSTERHRINC-06/2025</v>
          </cell>
          <cell r="G3656" t="str">
            <v>Settled</v>
          </cell>
        </row>
        <row r="3657">
          <cell r="F3657" t="str">
            <v>SG-OYSTERHRINC-07/2025</v>
          </cell>
          <cell r="G3657" t="str">
            <v>Settled</v>
          </cell>
        </row>
        <row r="3658">
          <cell r="F3658" t="str">
            <v>SG-OYSTERHRINC-08/2025</v>
          </cell>
          <cell r="G3658" t="str">
            <v>Settled</v>
          </cell>
        </row>
        <row r="3659">
          <cell r="F3659" t="str">
            <v>SG-OYSTERHRINC-09/2025</v>
          </cell>
          <cell r="G3659" t="str">
            <v>Settled</v>
          </cell>
        </row>
        <row r="3660">
          <cell r="F3660" t="str">
            <v>SG-OYSTERHRINC-10/2025</v>
          </cell>
          <cell r="G3660" t="str">
            <v>Settled</v>
          </cell>
        </row>
        <row r="3661">
          <cell r="F3661" t="str">
            <v>SG-OYSTERHRINC-11/2025</v>
          </cell>
          <cell r="G3661" t="str">
            <v>Settled</v>
          </cell>
        </row>
        <row r="3662">
          <cell r="F3662" t="str">
            <v>SG-OYSTERHRINC-12/2025</v>
          </cell>
          <cell r="G3662" t="str">
            <v>Settled</v>
          </cell>
        </row>
        <row r="3663">
          <cell r="F3663" t="str">
            <v>SG-OYSTERHRINC-01/2026</v>
          </cell>
          <cell r="G3663" t="str">
            <v>Settled</v>
          </cell>
        </row>
        <row r="3664">
          <cell r="F3664" t="str">
            <v>SG-OYSTERHRINC-02/2026</v>
          </cell>
          <cell r="G3664" t="str">
            <v>Settled</v>
          </cell>
        </row>
        <row r="3665">
          <cell r="F3665" t="str">
            <v>SG -OZ CORRETORA-CR-12/2023</v>
          </cell>
          <cell r="G3665" t="str">
            <v>Settled</v>
          </cell>
        </row>
        <row r="3666">
          <cell r="F3666" t="str">
            <v>SG-OZ CORRETORA-09/2023</v>
          </cell>
          <cell r="G3666" t="str">
            <v>Settled</v>
          </cell>
        </row>
        <row r="3667">
          <cell r="F3667" t="str">
            <v>SG-OZ CORRETORA-10/2023</v>
          </cell>
          <cell r="G3667" t="str">
            <v>Settled</v>
          </cell>
        </row>
        <row r="3668">
          <cell r="F3668" t="str">
            <v>SG-OZ CORRETORA-11/2023</v>
          </cell>
          <cell r="G3668" t="str">
            <v>Settled</v>
          </cell>
        </row>
        <row r="3669">
          <cell r="F3669" t="str">
            <v>SG-OZ CORRETORA-12/2023</v>
          </cell>
          <cell r="G3669" t="str">
            <v>Settled</v>
          </cell>
        </row>
        <row r="3670">
          <cell r="F3670" t="str">
            <v>SG -OZ CORRETORA-01/2024</v>
          </cell>
          <cell r="G3670" t="str">
            <v>Settled</v>
          </cell>
        </row>
        <row r="3671">
          <cell r="F3671" t="str">
            <v>SG-OZ CORRETORA-01/2024</v>
          </cell>
          <cell r="G3671" t="str">
            <v>Settled</v>
          </cell>
        </row>
        <row r="3672">
          <cell r="F3672" t="str">
            <v>SG-OZ CORRETORA-02/2024</v>
          </cell>
          <cell r="G3672" t="str">
            <v>Settled</v>
          </cell>
        </row>
        <row r="3673">
          <cell r="F3673" t="str">
            <v>SG-OZ CORRETORA-03/2024</v>
          </cell>
          <cell r="G3673" t="str">
            <v>Settled</v>
          </cell>
        </row>
        <row r="3674">
          <cell r="F3674" t="str">
            <v>SG-OZ CORRETORA-04/2024</v>
          </cell>
          <cell r="G3674" t="str">
            <v>Settled</v>
          </cell>
        </row>
        <row r="3675">
          <cell r="F3675" t="str">
            <v>SG-OZ CORRETORA-05/2024</v>
          </cell>
          <cell r="G3675" t="str">
            <v>Settled</v>
          </cell>
        </row>
        <row r="3676">
          <cell r="F3676" t="str">
            <v>SG-OZ CORRETORA-06/2024</v>
          </cell>
          <cell r="G3676" t="str">
            <v>Settled</v>
          </cell>
        </row>
        <row r="3677">
          <cell r="F3677" t="str">
            <v>SG-OZ CORRETORA-07/2024</v>
          </cell>
          <cell r="G3677" t="str">
            <v>Settled</v>
          </cell>
        </row>
        <row r="3678">
          <cell r="F3678" t="str">
            <v>SG-OZ CORRETORA-08/2024</v>
          </cell>
          <cell r="G3678" t="str">
            <v>Settled</v>
          </cell>
        </row>
        <row r="3679">
          <cell r="F3679" t="str">
            <v>SG-OZ CORRETORA-09/2024</v>
          </cell>
          <cell r="G3679" t="str">
            <v>Settled</v>
          </cell>
        </row>
        <row r="3680">
          <cell r="F3680" t="str">
            <v>SG-OZ CORRETORA-10/2024</v>
          </cell>
          <cell r="G3680" t="str">
            <v>Settled</v>
          </cell>
        </row>
        <row r="3681">
          <cell r="F3681" t="str">
            <v>SG-OZ CORRETORA-11/2024</v>
          </cell>
          <cell r="G3681" t="str">
            <v>Settled</v>
          </cell>
        </row>
        <row r="3682">
          <cell r="F3682" t="str">
            <v>SG-OZ CORRETORA-12/2024</v>
          </cell>
          <cell r="G3682" t="str">
            <v>Settled</v>
          </cell>
        </row>
        <row r="3683">
          <cell r="F3683" t="str">
            <v>SG-OZ CORRETORA-01/2025</v>
          </cell>
          <cell r="G3683" t="str">
            <v>Settled</v>
          </cell>
        </row>
        <row r="3684">
          <cell r="F3684" t="str">
            <v>SG-OZ CORRETORA-02/2025</v>
          </cell>
          <cell r="G3684" t="str">
            <v>Settled</v>
          </cell>
        </row>
        <row r="3685">
          <cell r="F3685" t="str">
            <v>SG-OZ CORRETORA-03/2025</v>
          </cell>
          <cell r="G3685" t="str">
            <v>Settled</v>
          </cell>
        </row>
        <row r="3686">
          <cell r="F3686" t="str">
            <v>SG-OZ CORRETORA-04/2025</v>
          </cell>
          <cell r="G3686" t="str">
            <v>Settled</v>
          </cell>
        </row>
        <row r="3687">
          <cell r="F3687" t="str">
            <v>SG-OZ CORRETORA-05/2025</v>
          </cell>
          <cell r="G3687" t="str">
            <v>Settled</v>
          </cell>
        </row>
        <row r="3688">
          <cell r="F3688" t="str">
            <v>SG-OZ CORRETORA-06/2025</v>
          </cell>
          <cell r="G3688" t="str">
            <v>Settled</v>
          </cell>
        </row>
        <row r="3689">
          <cell r="F3689" t="str">
            <v>SG-OZ CORRETORA-07/2025</v>
          </cell>
          <cell r="G3689" t="str">
            <v>Settled</v>
          </cell>
        </row>
        <row r="3690">
          <cell r="F3690" t="str">
            <v>SG-OZ CORRETORA-08/2025</v>
          </cell>
          <cell r="G3690" t="str">
            <v>Settled</v>
          </cell>
        </row>
        <row r="3691">
          <cell r="F3691" t="str">
            <v>SG-OZ CORRETORA-09/2025</v>
          </cell>
          <cell r="G3691" t="str">
            <v>Settled</v>
          </cell>
        </row>
        <row r="3692">
          <cell r="F3692" t="str">
            <v>SG-OZ CORRETORA-10/2025</v>
          </cell>
          <cell r="G3692" t="str">
            <v>Settled</v>
          </cell>
        </row>
        <row r="3693">
          <cell r="F3693" t="str">
            <v>SG-OZ CORRETORA-11/2025</v>
          </cell>
          <cell r="G3693" t="str">
            <v>Settled</v>
          </cell>
        </row>
        <row r="3694">
          <cell r="F3694" t="str">
            <v>SG-PacificBasin-08/2024</v>
          </cell>
          <cell r="G3694" t="str">
            <v>Settled</v>
          </cell>
        </row>
        <row r="3695">
          <cell r="F3695" t="str">
            <v>SG-CN-PacificBasin-08-2024</v>
          </cell>
          <cell r="G3695" t="str">
            <v>Settled</v>
          </cell>
        </row>
        <row r="3696">
          <cell r="F3696" t="str">
            <v>SG-Pacific Basin-10/2022</v>
          </cell>
          <cell r="G3696" t="str">
            <v>Settled</v>
          </cell>
        </row>
        <row r="3697">
          <cell r="F3697" t="str">
            <v>SG-Pacific Basin Shipping (HK) Limited-11/2022</v>
          </cell>
          <cell r="G3697" t="str">
            <v>Settled</v>
          </cell>
        </row>
        <row r="3698">
          <cell r="F3698" t="str">
            <v>SG-Pacific Basin Shipping (HK) Limited-12/2022</v>
          </cell>
          <cell r="G3698" t="str">
            <v>Settled</v>
          </cell>
        </row>
        <row r="3699">
          <cell r="F3699" t="str">
            <v>SG-Pacific Basin Shipping (HK) Limited-01/2023</v>
          </cell>
          <cell r="G3699" t="str">
            <v>Settled</v>
          </cell>
        </row>
        <row r="3700">
          <cell r="F3700" t="str">
            <v>SG-PacificBasin-02/2023</v>
          </cell>
          <cell r="G3700" t="str">
            <v>Settled</v>
          </cell>
        </row>
        <row r="3701">
          <cell r="F3701" t="str">
            <v>SG-PacificBasin-03/2023</v>
          </cell>
          <cell r="G3701" t="str">
            <v>Settled</v>
          </cell>
        </row>
        <row r="3702">
          <cell r="F3702" t="str">
            <v>SG-PacificBasin-04/2023</v>
          </cell>
          <cell r="G3702" t="str">
            <v>Settled</v>
          </cell>
        </row>
        <row r="3703">
          <cell r="F3703" t="str">
            <v>SG-PacificBasin-05/2023</v>
          </cell>
          <cell r="G3703" t="str">
            <v>Settled</v>
          </cell>
        </row>
        <row r="3704">
          <cell r="F3704" t="str">
            <v>SG-PacificBasin-06/2023</v>
          </cell>
          <cell r="G3704" t="str">
            <v>Settled</v>
          </cell>
        </row>
        <row r="3705">
          <cell r="F3705" t="str">
            <v>SG-PacificBasin-07/2023</v>
          </cell>
          <cell r="G3705" t="str">
            <v>Settled</v>
          </cell>
        </row>
        <row r="3706">
          <cell r="F3706" t="str">
            <v>SG -PacificBasin-08/2023</v>
          </cell>
          <cell r="G3706" t="str">
            <v>Settled</v>
          </cell>
        </row>
        <row r="3707">
          <cell r="F3707" t="str">
            <v>SG-PacificBasin-09/2023</v>
          </cell>
          <cell r="G3707" t="str">
            <v>Settled</v>
          </cell>
        </row>
        <row r="3708">
          <cell r="F3708" t="str">
            <v>SG-PacificBasin-10/2023</v>
          </cell>
          <cell r="G3708" t="str">
            <v>Settled</v>
          </cell>
        </row>
        <row r="3709">
          <cell r="F3709" t="str">
            <v>SG-PacificBasin-11/2023</v>
          </cell>
          <cell r="G3709" t="str">
            <v>Settled</v>
          </cell>
        </row>
        <row r="3710">
          <cell r="F3710" t="str">
            <v>SG-PacificBasin-12/2023</v>
          </cell>
          <cell r="G3710" t="str">
            <v>Settled</v>
          </cell>
        </row>
        <row r="3711">
          <cell r="F3711" t="str">
            <v>SG-PacificBasin-01/2024</v>
          </cell>
          <cell r="G3711" t="str">
            <v>Settled</v>
          </cell>
        </row>
        <row r="3712">
          <cell r="F3712" t="str">
            <v>SG-PacificBasin-02/2024</v>
          </cell>
          <cell r="G3712" t="str">
            <v>Settled</v>
          </cell>
        </row>
        <row r="3713">
          <cell r="F3713" t="str">
            <v>SG-PacificBasin-03/2024</v>
          </cell>
          <cell r="G3713" t="str">
            <v>Settled</v>
          </cell>
        </row>
        <row r="3714">
          <cell r="F3714" t="str">
            <v>SG-PacificBasin-04/2024</v>
          </cell>
          <cell r="G3714" t="str">
            <v>Settled</v>
          </cell>
        </row>
        <row r="3715">
          <cell r="F3715" t="str">
            <v>SG-CN-PacificBasin-04-2024</v>
          </cell>
          <cell r="G3715" t="str">
            <v>Settled</v>
          </cell>
        </row>
        <row r="3716">
          <cell r="F3716" t="str">
            <v>SG-PacificBasin-05/2024</v>
          </cell>
          <cell r="G3716" t="str">
            <v>Settled</v>
          </cell>
        </row>
        <row r="3717">
          <cell r="F3717" t="str">
            <v>SG-PacificBasin-06/2024</v>
          </cell>
          <cell r="G3717" t="str">
            <v>Settled</v>
          </cell>
        </row>
        <row r="3718">
          <cell r="F3718" t="str">
            <v>SG-PacificBasin-07/2024</v>
          </cell>
          <cell r="G3718" t="str">
            <v>Settled</v>
          </cell>
        </row>
        <row r="3719">
          <cell r="F3719" t="str">
            <v>SG-PacificBasin-08/2024</v>
          </cell>
          <cell r="G3719" t="str">
            <v>Settled</v>
          </cell>
        </row>
        <row r="3720">
          <cell r="F3720" t="str">
            <v>SG-PacificBasin-09/2024</v>
          </cell>
          <cell r="G3720" t="str">
            <v>Settled</v>
          </cell>
        </row>
        <row r="3721">
          <cell r="F3721" t="str">
            <v>SG-PacificBasin-10/2024</v>
          </cell>
          <cell r="G3721" t="str">
            <v>Settled</v>
          </cell>
        </row>
        <row r="3722">
          <cell r="F3722" t="str">
            <v>SG-PacificBasin-11/2024</v>
          </cell>
          <cell r="G3722" t="str">
            <v>Settled</v>
          </cell>
        </row>
        <row r="3723">
          <cell r="F3723" t="str">
            <v>SG-PacificBasin-12/2024</v>
          </cell>
          <cell r="G3723" t="str">
            <v>Settled</v>
          </cell>
        </row>
        <row r="3724">
          <cell r="F3724" t="str">
            <v>SG-PacificBasin-01/2025</v>
          </cell>
          <cell r="G3724" t="str">
            <v>Settled</v>
          </cell>
        </row>
        <row r="3725">
          <cell r="F3725" t="str">
            <v>SG-PacificBasin-02/2025</v>
          </cell>
          <cell r="G3725" t="str">
            <v>Settled</v>
          </cell>
        </row>
        <row r="3726">
          <cell r="F3726" t="str">
            <v>SG-PacificBasin-03/2025</v>
          </cell>
          <cell r="G3726" t="str">
            <v>Settled</v>
          </cell>
        </row>
        <row r="3727">
          <cell r="F3727" t="str">
            <v>SG-PacificBasin-04/2025</v>
          </cell>
          <cell r="G3727" t="str">
            <v>Settled</v>
          </cell>
        </row>
        <row r="3728">
          <cell r="F3728" t="str">
            <v>SG-PacificBasin-05/2025</v>
          </cell>
          <cell r="G3728" t="str">
            <v>Settled</v>
          </cell>
        </row>
        <row r="3729">
          <cell r="F3729" t="str">
            <v>SG-PacificBasin-06/2025</v>
          </cell>
          <cell r="G3729" t="str">
            <v>Settled</v>
          </cell>
        </row>
        <row r="3730">
          <cell r="F3730" t="str">
            <v>SG-PacificBasin-07/2025</v>
          </cell>
          <cell r="G3730" t="str">
            <v>Settled</v>
          </cell>
        </row>
        <row r="3731">
          <cell r="F3731" t="str">
            <v>SG-PacificBasin-08/2025</v>
          </cell>
          <cell r="G3731" t="str">
            <v>Settled</v>
          </cell>
        </row>
        <row r="3732">
          <cell r="F3732" t="str">
            <v>SG-PacificBasin-09/2025</v>
          </cell>
          <cell r="G3732" t="str">
            <v>Settled</v>
          </cell>
        </row>
        <row r="3733">
          <cell r="F3733" t="str">
            <v>SG-PacificBasin-10/2025</v>
          </cell>
          <cell r="G3733" t="str">
            <v>Settled</v>
          </cell>
        </row>
        <row r="3734">
          <cell r="F3734" t="str">
            <v>SG-PacificBasin-11/2025</v>
          </cell>
          <cell r="G3734" t="str">
            <v>Settled</v>
          </cell>
        </row>
        <row r="3735">
          <cell r="F3735" t="str">
            <v>SG-PacificBasin-12/2025</v>
          </cell>
          <cell r="G3735" t="str">
            <v>Settled</v>
          </cell>
        </row>
        <row r="3736">
          <cell r="F3736" t="str">
            <v>SG-PacificBasin-01/2026</v>
          </cell>
          <cell r="G3736" t="str">
            <v>Settled</v>
          </cell>
        </row>
        <row r="3737">
          <cell r="F3737" t="str">
            <v>SG-PacificBasin-02/2026</v>
          </cell>
          <cell r="G3737" t="str">
            <v>Settled</v>
          </cell>
        </row>
        <row r="3738">
          <cell r="F3738" t="str">
            <v>SG-Panda Communications Corp-11/2022</v>
          </cell>
          <cell r="G3738" t="str">
            <v>Settled</v>
          </cell>
        </row>
        <row r="3739">
          <cell r="F3739" t="str">
            <v>SG-Panda Communications Corp-12/2022</v>
          </cell>
          <cell r="G3739" t="str">
            <v>Settled</v>
          </cell>
        </row>
        <row r="3740">
          <cell r="F3740" t="str">
            <v>SG-Panda Communications Corp-01/2023</v>
          </cell>
          <cell r="G3740" t="str">
            <v>Settled</v>
          </cell>
        </row>
        <row r="3741">
          <cell r="F3741" t="str">
            <v>SG-Panda-02/2023</v>
          </cell>
          <cell r="G3741" t="str">
            <v>Settled</v>
          </cell>
        </row>
        <row r="3742">
          <cell r="F3742" t="str">
            <v>SG-Panda-03/2023</v>
          </cell>
          <cell r="G3742" t="str">
            <v>Settled</v>
          </cell>
        </row>
        <row r="3743">
          <cell r="F3743" t="str">
            <v>SG-Panda-04/2023</v>
          </cell>
          <cell r="G3743" t="str">
            <v>Settled</v>
          </cell>
        </row>
        <row r="3744">
          <cell r="F3744" t="str">
            <v>SG-Panda-05/2023</v>
          </cell>
          <cell r="G3744" t="str">
            <v>Settled</v>
          </cell>
        </row>
        <row r="3745">
          <cell r="F3745" t="str">
            <v>SG-Panda-06/2023</v>
          </cell>
          <cell r="G3745" t="str">
            <v>Settled</v>
          </cell>
        </row>
        <row r="3746">
          <cell r="F3746" t="str">
            <v>SG-Panda-07/2023</v>
          </cell>
          <cell r="G3746" t="str">
            <v>Settled</v>
          </cell>
        </row>
        <row r="3747">
          <cell r="F3747" t="str">
            <v>SG -Panda-08/2023</v>
          </cell>
          <cell r="G3747" t="str">
            <v>Settled</v>
          </cell>
        </row>
        <row r="3748">
          <cell r="F3748" t="str">
            <v>SG-Panda-09/2023</v>
          </cell>
          <cell r="G3748" t="str">
            <v>Settled</v>
          </cell>
        </row>
        <row r="3749">
          <cell r="F3749" t="str">
            <v>SG-Panda-10/2023</v>
          </cell>
          <cell r="G3749" t="str">
            <v>Settled</v>
          </cell>
        </row>
        <row r="3750">
          <cell r="F3750" t="str">
            <v>SG-Panda-11/2023</v>
          </cell>
          <cell r="G3750" t="str">
            <v>Settled</v>
          </cell>
        </row>
        <row r="3751">
          <cell r="F3751" t="str">
            <v>SG-Panda-12/2023</v>
          </cell>
          <cell r="G3751" t="str">
            <v>Settled</v>
          </cell>
        </row>
        <row r="3752">
          <cell r="F3752" t="str">
            <v>SG-Panda-01/2024</v>
          </cell>
          <cell r="G3752" t="str">
            <v>Settled</v>
          </cell>
        </row>
        <row r="3753">
          <cell r="F3753" t="str">
            <v>SG-Panda-02/2024</v>
          </cell>
          <cell r="G3753" t="str">
            <v>Settled</v>
          </cell>
        </row>
        <row r="3754">
          <cell r="F3754" t="str">
            <v>SG-Panda-03/2024</v>
          </cell>
          <cell r="G3754" t="str">
            <v>Settled</v>
          </cell>
        </row>
        <row r="3755">
          <cell r="F3755" t="str">
            <v>SG-Panda-04/2024</v>
          </cell>
          <cell r="G3755" t="str">
            <v>Settled</v>
          </cell>
        </row>
        <row r="3756">
          <cell r="F3756" t="str">
            <v>SG-Panda-05/2024</v>
          </cell>
          <cell r="G3756" t="str">
            <v>Settled</v>
          </cell>
        </row>
        <row r="3757">
          <cell r="F3757" t="str">
            <v>SG-Panda-06/2024</v>
          </cell>
          <cell r="G3757" t="str">
            <v>Settled</v>
          </cell>
        </row>
        <row r="3758">
          <cell r="F3758" t="str">
            <v>SG-Panda-07/2024</v>
          </cell>
          <cell r="G3758" t="str">
            <v>Settled</v>
          </cell>
        </row>
        <row r="3759">
          <cell r="F3759" t="str">
            <v>SG-Panda-08/2024</v>
          </cell>
          <cell r="G3759" t="str">
            <v>Settled</v>
          </cell>
        </row>
        <row r="3760">
          <cell r="F3760" t="str">
            <v>SG-Panda-09/2024</v>
          </cell>
          <cell r="G3760" t="str">
            <v>Settled</v>
          </cell>
        </row>
        <row r="3761">
          <cell r="F3761" t="str">
            <v>SG-Panda-10/2024</v>
          </cell>
          <cell r="G3761" t="str">
            <v>Settled</v>
          </cell>
        </row>
        <row r="3762">
          <cell r="F3762" t="str">
            <v>SG-Panda-11/2024</v>
          </cell>
          <cell r="G3762" t="str">
            <v>Settled</v>
          </cell>
        </row>
        <row r="3763">
          <cell r="F3763" t="str">
            <v>SG-Panda-12/2024</v>
          </cell>
          <cell r="G3763" t="str">
            <v>Settled</v>
          </cell>
        </row>
        <row r="3764">
          <cell r="F3764" t="str">
            <v>SG-Panda-01/2025</v>
          </cell>
          <cell r="G3764" t="str">
            <v>Settled</v>
          </cell>
        </row>
        <row r="3765">
          <cell r="F3765" t="str">
            <v>SG-Panda-02/2025</v>
          </cell>
          <cell r="G3765" t="str">
            <v>Settled</v>
          </cell>
        </row>
        <row r="3766">
          <cell r="F3766" t="str">
            <v>SG-Panda-03/2025</v>
          </cell>
          <cell r="G3766" t="str">
            <v>Settled</v>
          </cell>
        </row>
        <row r="3767">
          <cell r="F3767" t="str">
            <v>SG-Panda-04/2025</v>
          </cell>
          <cell r="G3767" t="str">
            <v>Settled</v>
          </cell>
        </row>
        <row r="3768">
          <cell r="F3768" t="str">
            <v>SG-Panda-05/2025</v>
          </cell>
          <cell r="G3768" t="str">
            <v>Settled</v>
          </cell>
        </row>
        <row r="3769">
          <cell r="F3769" t="str">
            <v>SG-Panda-06/2025</v>
          </cell>
          <cell r="G3769" t="str">
            <v>Settled</v>
          </cell>
        </row>
        <row r="3770">
          <cell r="F3770" t="str">
            <v>SG-Panda-07/2025</v>
          </cell>
          <cell r="G3770" t="str">
            <v>Settled</v>
          </cell>
        </row>
        <row r="3771">
          <cell r="F3771" t="str">
            <v>SG-Panda-08/2025</v>
          </cell>
          <cell r="G3771" t="str">
            <v>Settled</v>
          </cell>
        </row>
        <row r="3772">
          <cell r="F3772" t="str">
            <v>SG-Panda-09/2025</v>
          </cell>
          <cell r="G3772" t="str">
            <v>Settled</v>
          </cell>
        </row>
        <row r="3773">
          <cell r="F3773" t="str">
            <v>SG-Panda-10/2025</v>
          </cell>
          <cell r="G3773" t="str">
            <v>Settled</v>
          </cell>
        </row>
        <row r="3774">
          <cell r="F3774" t="str">
            <v>SG-Panda-11/2025</v>
          </cell>
          <cell r="G3774" t="str">
            <v>Settled</v>
          </cell>
        </row>
        <row r="3775">
          <cell r="F3775" t="str">
            <v>SG-Panda-12/2025</v>
          </cell>
          <cell r="G3775" t="str">
            <v>Settled</v>
          </cell>
        </row>
        <row r="3776">
          <cell r="F3776" t="str">
            <v>SG-Panda-01/2026</v>
          </cell>
          <cell r="G3776" t="str">
            <v>Settled</v>
          </cell>
        </row>
        <row r="3777">
          <cell r="F3777" t="str">
            <v>SG-Panda-02/2026</v>
          </cell>
          <cell r="G3777" t="str">
            <v>Settled</v>
          </cell>
        </row>
        <row r="3778">
          <cell r="F3778" t="str">
            <v>EU-Patent-03/2024</v>
          </cell>
          <cell r="G3778" t="str">
            <v>Settled</v>
          </cell>
        </row>
        <row r="3779">
          <cell r="F3779" t="str">
            <v>EU-Patent-04/2024</v>
          </cell>
          <cell r="G3779" t="str">
            <v>Settled</v>
          </cell>
        </row>
        <row r="3780">
          <cell r="F3780" t="str">
            <v>EU-Patent-05/2024</v>
          </cell>
          <cell r="G3780" t="str">
            <v>Settled</v>
          </cell>
        </row>
        <row r="3781">
          <cell r="F3781" t="str">
            <v>EU-Patent-06/2024</v>
          </cell>
          <cell r="G3781" t="str">
            <v>Settled</v>
          </cell>
        </row>
        <row r="3782">
          <cell r="F3782" t="str">
            <v>EU-CN-Patent-05-2024</v>
          </cell>
          <cell r="G3782" t="str">
            <v>Settled</v>
          </cell>
        </row>
        <row r="3783">
          <cell r="F3783" t="str">
            <v>EU-Patent-07/2024</v>
          </cell>
          <cell r="G3783" t="str">
            <v>Settled</v>
          </cell>
        </row>
        <row r="3784">
          <cell r="F3784" t="str">
            <v>EU-Patent-08/2024</v>
          </cell>
          <cell r="G3784" t="str">
            <v>Settled</v>
          </cell>
        </row>
        <row r="3785">
          <cell r="F3785" t="str">
            <v>EU-Patent-09/2024</v>
          </cell>
          <cell r="G3785" t="str">
            <v>Settled</v>
          </cell>
        </row>
        <row r="3786">
          <cell r="F3786" t="str">
            <v>EU-Patent-10/2024</v>
          </cell>
          <cell r="G3786" t="str">
            <v>Settled</v>
          </cell>
        </row>
        <row r="3787">
          <cell r="F3787" t="str">
            <v>EU-Patent-11/2024</v>
          </cell>
          <cell r="G3787" t="str">
            <v>Settled</v>
          </cell>
        </row>
        <row r="3788">
          <cell r="F3788" t="str">
            <v>EU-CN-Patent-11-2024</v>
          </cell>
          <cell r="G3788" t="str">
            <v>Settled</v>
          </cell>
        </row>
        <row r="3789">
          <cell r="F3789" t="str">
            <v>EU-Patent-12/2024</v>
          </cell>
          <cell r="G3789" t="str">
            <v>Settled</v>
          </cell>
        </row>
        <row r="3790">
          <cell r="F3790" t="str">
            <v>EU-Patent-01/2025</v>
          </cell>
          <cell r="G3790" t="str">
            <v>Settled</v>
          </cell>
        </row>
        <row r="3791">
          <cell r="F3791" t="str">
            <v>EU-Patent-02/2025</v>
          </cell>
          <cell r="G3791" t="str">
            <v>Settled</v>
          </cell>
        </row>
        <row r="3792">
          <cell r="F3792" t="str">
            <v>EU-Patent-03/2025</v>
          </cell>
          <cell r="G3792" t="str">
            <v>Settled</v>
          </cell>
        </row>
        <row r="3793">
          <cell r="F3793" t="str">
            <v>EU-Patent-04/2025</v>
          </cell>
          <cell r="G3793" t="str">
            <v>Settled</v>
          </cell>
        </row>
        <row r="3794">
          <cell r="F3794" t="str">
            <v>EU-Patent-05/2025</v>
          </cell>
          <cell r="G3794" t="str">
            <v>Settled</v>
          </cell>
        </row>
        <row r="3795">
          <cell r="F3795" t="str">
            <v>EU-Patent-06/2025</v>
          </cell>
          <cell r="G3795" t="str">
            <v>Settled</v>
          </cell>
        </row>
        <row r="3796">
          <cell r="F3796" t="str">
            <v>EU-Patent-07/2025</v>
          </cell>
          <cell r="G3796" t="str">
            <v>Settled</v>
          </cell>
        </row>
        <row r="3797">
          <cell r="F3797" t="str">
            <v>EU-Patent-08/2025</v>
          </cell>
          <cell r="G3797" t="str">
            <v>Settled</v>
          </cell>
        </row>
        <row r="3798">
          <cell r="F3798" t="str">
            <v>EU-Patent-09/2025</v>
          </cell>
          <cell r="G3798" t="str">
            <v>Settled</v>
          </cell>
        </row>
        <row r="3799">
          <cell r="F3799" t="str">
            <v>EU-Patent-10/2025</v>
          </cell>
          <cell r="G3799" t="str">
            <v>Settled</v>
          </cell>
        </row>
        <row r="3800">
          <cell r="F3800" t="str">
            <v>EU-Patent-11/2025</v>
          </cell>
          <cell r="G3800" t="str">
            <v>Settled</v>
          </cell>
        </row>
        <row r="3801">
          <cell r="F3801" t="str">
            <v>EU-Patent-12/2025</v>
          </cell>
          <cell r="G3801" t="str">
            <v>Settled</v>
          </cell>
        </row>
        <row r="3802">
          <cell r="F3802" t="str">
            <v>EU-Patent-01/2026</v>
          </cell>
          <cell r="G3802" t="str">
            <v>Settled</v>
          </cell>
        </row>
        <row r="3803">
          <cell r="F3803" t="str">
            <v>EU-Patent-02/2026</v>
          </cell>
          <cell r="G3803" t="str">
            <v>Settled</v>
          </cell>
        </row>
        <row r="3804">
          <cell r="F3804" t="str">
            <v>EU-Patent Renewal-11/2022</v>
          </cell>
          <cell r="G3804" t="str">
            <v>Settled</v>
          </cell>
        </row>
        <row r="3805">
          <cell r="F3805" t="str">
            <v>EU-Patent Renewal-12/2022</v>
          </cell>
          <cell r="G3805" t="str">
            <v>Settled</v>
          </cell>
        </row>
        <row r="3806">
          <cell r="F3806" t="str">
            <v>EU-Patent Renewal-01/2023</v>
          </cell>
          <cell r="G3806" t="str">
            <v>Settled</v>
          </cell>
        </row>
        <row r="3807">
          <cell r="F3807" t="str">
            <v>EU-Patent-02/2023</v>
          </cell>
          <cell r="G3807" t="str">
            <v>Settled</v>
          </cell>
        </row>
        <row r="3808">
          <cell r="F3808" t="str">
            <v>EU-Patent-03/2023</v>
          </cell>
          <cell r="G3808" t="str">
            <v>Settled</v>
          </cell>
        </row>
        <row r="3809">
          <cell r="F3809" t="str">
            <v>EU-Patent-04/2023</v>
          </cell>
          <cell r="G3809" t="str">
            <v>Settled</v>
          </cell>
        </row>
        <row r="3810">
          <cell r="F3810" t="str">
            <v>EU-Patent-05/2023</v>
          </cell>
          <cell r="G3810" t="str">
            <v>Settled</v>
          </cell>
        </row>
        <row r="3811">
          <cell r="F3811" t="str">
            <v>EU-Patent-06/2023</v>
          </cell>
          <cell r="G3811" t="str">
            <v>Settled</v>
          </cell>
        </row>
        <row r="3812">
          <cell r="F3812" t="str">
            <v>EU-Patent-07/2023</v>
          </cell>
          <cell r="G3812" t="str">
            <v>Settled</v>
          </cell>
        </row>
        <row r="3813">
          <cell r="F3813" t="str">
            <v>EU -Patent-08/2023</v>
          </cell>
          <cell r="G3813" t="str">
            <v>Settled</v>
          </cell>
        </row>
        <row r="3814">
          <cell r="F3814" t="str">
            <v>EU-Patent-09/2023</v>
          </cell>
          <cell r="G3814" t="str">
            <v>Settled</v>
          </cell>
        </row>
        <row r="3815">
          <cell r="F3815" t="str">
            <v>EU-Patent-10/2023</v>
          </cell>
          <cell r="G3815" t="str">
            <v>Settled</v>
          </cell>
        </row>
        <row r="3816">
          <cell r="F3816" t="str">
            <v>EU-Patent-11/2023</v>
          </cell>
          <cell r="G3816" t="str">
            <v>Settled</v>
          </cell>
        </row>
        <row r="3817">
          <cell r="F3817" t="str">
            <v>EU-Patent-12/2023</v>
          </cell>
          <cell r="G3817" t="str">
            <v>Settled</v>
          </cell>
        </row>
        <row r="3818">
          <cell r="F3818" t="str">
            <v>EU -Patent-CR-12/2023</v>
          </cell>
          <cell r="G3818" t="str">
            <v>Settled</v>
          </cell>
        </row>
        <row r="3819">
          <cell r="F3819" t="str">
            <v>EU-Patent-01/2024</v>
          </cell>
          <cell r="G3819" t="str">
            <v>Settled</v>
          </cell>
        </row>
        <row r="3820">
          <cell r="F3820" t="str">
            <v>EU -Patent-CR-01/2024</v>
          </cell>
          <cell r="G3820" t="str">
            <v>Settled</v>
          </cell>
        </row>
        <row r="3821">
          <cell r="F3821" t="str">
            <v>EU-Patent-02/2024</v>
          </cell>
          <cell r="G3821" t="str">
            <v>Settled</v>
          </cell>
        </row>
        <row r="3822">
          <cell r="F3822" t="str">
            <v>SG -PAYALLY LTD-12/2021</v>
          </cell>
          <cell r="G3822" t="str">
            <v>Settled</v>
          </cell>
        </row>
        <row r="3823">
          <cell r="F3823" t="str">
            <v>SG -PAYALLY LTD-01/2022</v>
          </cell>
          <cell r="G3823" t="str">
            <v>Settled</v>
          </cell>
        </row>
        <row r="3824">
          <cell r="F3824" t="str">
            <v>SG -PAYALLY LTD-02/2022</v>
          </cell>
          <cell r="G3824" t="str">
            <v>Settled</v>
          </cell>
        </row>
        <row r="3825">
          <cell r="F3825" t="str">
            <v>SG -PAYALLY LTD-03/2022</v>
          </cell>
          <cell r="G3825" t="str">
            <v>Settled</v>
          </cell>
        </row>
        <row r="3826">
          <cell r="F3826" t="str">
            <v>SG -PAYALLY LTD-04/2022</v>
          </cell>
          <cell r="G3826" t="str">
            <v>Settled</v>
          </cell>
        </row>
        <row r="3827">
          <cell r="F3827" t="str">
            <v>SG -PAYALLY LTD-05/2022</v>
          </cell>
          <cell r="G3827" t="str">
            <v>Waived Off</v>
          </cell>
        </row>
        <row r="3828">
          <cell r="F3828" t="str">
            <v>SG -PAYALLY LTD-06/2022</v>
          </cell>
          <cell r="G3828" t="str">
            <v>Waived Off</v>
          </cell>
        </row>
        <row r="3829">
          <cell r="F3829" t="str">
            <v>SG-PAYALLY LTD-08/2022</v>
          </cell>
          <cell r="G3829" t="str">
            <v>Waived Off</v>
          </cell>
        </row>
        <row r="3830">
          <cell r="F3830" t="str">
            <v>SG-PAYALLY LTD-09/2022</v>
          </cell>
          <cell r="G3830" t="str">
            <v>Waived Off</v>
          </cell>
        </row>
        <row r="3831">
          <cell r="F3831" t="str">
            <v>SG-PAYALLY LTD-10/2022</v>
          </cell>
          <cell r="G3831" t="str">
            <v>Waived Off</v>
          </cell>
        </row>
        <row r="3832">
          <cell r="F3832" t="str">
            <v>CA-Payana-07/2024</v>
          </cell>
          <cell r="G3832" t="str">
            <v>Net Off</v>
          </cell>
        </row>
        <row r="3833">
          <cell r="F3833" t="str">
            <v>CA-Payana-08/2024</v>
          </cell>
          <cell r="G3833" t="str">
            <v>Net Off</v>
          </cell>
        </row>
        <row r="3834">
          <cell r="F3834" t="str">
            <v>CA-Payana-09/2024</v>
          </cell>
          <cell r="G3834" t="str">
            <v>Net Off</v>
          </cell>
        </row>
        <row r="3835">
          <cell r="F3835" t="str">
            <v>CA-Payana-10/2024</v>
          </cell>
          <cell r="G3835" t="str">
            <v>Net Off</v>
          </cell>
        </row>
        <row r="3836">
          <cell r="F3836" t="str">
            <v>CA-Payana-11/2024</v>
          </cell>
          <cell r="G3836" t="str">
            <v>Net Off</v>
          </cell>
        </row>
        <row r="3837">
          <cell r="F3837" t="str">
            <v>CA-CN-Payana-02-2025</v>
          </cell>
          <cell r="G3837" t="str">
            <v>Net Off</v>
          </cell>
        </row>
        <row r="3838">
          <cell r="F3838" t="str">
            <v>CA-Payana-09/2023</v>
          </cell>
          <cell r="G3838" t="str">
            <v>Settled</v>
          </cell>
        </row>
        <row r="3839">
          <cell r="F3839" t="str">
            <v>CA-Payana-10/2023</v>
          </cell>
          <cell r="G3839" t="str">
            <v>Settled</v>
          </cell>
        </row>
        <row r="3840">
          <cell r="F3840" t="str">
            <v>CA-Payana-11/2023</v>
          </cell>
          <cell r="G3840" t="str">
            <v>Settled</v>
          </cell>
        </row>
        <row r="3841">
          <cell r="F3841" t="str">
            <v>CA-Payana-06/2024</v>
          </cell>
          <cell r="G3841" t="str">
            <v>Settled</v>
          </cell>
        </row>
        <row r="3842">
          <cell r="F3842" t="str">
            <v>CA-payinone llc-10/2022</v>
          </cell>
          <cell r="G3842" t="str">
            <v>Waived Off</v>
          </cell>
        </row>
        <row r="3843">
          <cell r="F3843" t="str">
            <v>CA-payinone llc-11/2022</v>
          </cell>
          <cell r="G3843" t="str">
            <v>Waived Off</v>
          </cell>
        </row>
        <row r="3844">
          <cell r="F3844" t="str">
            <v>CA-payinone llc-12/2022</v>
          </cell>
          <cell r="G3844" t="str">
            <v>Write Off</v>
          </cell>
        </row>
        <row r="3845">
          <cell r="F3845" t="str">
            <v>CA-payinone llc-01/2023</v>
          </cell>
          <cell r="G3845" t="str">
            <v>Write Off</v>
          </cell>
        </row>
        <row r="3846">
          <cell r="F3846" t="str">
            <v>CA-payinone llc-02/2023</v>
          </cell>
          <cell r="G3846" t="str">
            <v>Write Off</v>
          </cell>
        </row>
        <row r="3847">
          <cell r="F3847" t="str">
            <v>CA-payinone llc-03/2023</v>
          </cell>
          <cell r="G3847" t="str">
            <v>Write Off</v>
          </cell>
        </row>
        <row r="3848">
          <cell r="F3848" t="str">
            <v>CA-payinone llc-04/2023</v>
          </cell>
          <cell r="G3848" t="str">
            <v>Write Off</v>
          </cell>
        </row>
        <row r="3849">
          <cell r="F3849" t="str">
            <v>CA-payinone llc-05/2023</v>
          </cell>
          <cell r="G3849" t="str">
            <v>Write Off</v>
          </cell>
        </row>
        <row r="3850">
          <cell r="F3850" t="str">
            <v>CA-payinone llc-06/2023</v>
          </cell>
          <cell r="G3850" t="str">
            <v>Write Off</v>
          </cell>
        </row>
        <row r="3851">
          <cell r="F3851" t="str">
            <v>CA-payinone llc-07/2023</v>
          </cell>
          <cell r="G3851" t="str">
            <v>Write Off</v>
          </cell>
        </row>
        <row r="3852">
          <cell r="F3852" t="str">
            <v>SG-Payoneer-11/2022</v>
          </cell>
          <cell r="G3852" t="str">
            <v>Settled</v>
          </cell>
        </row>
        <row r="3853">
          <cell r="F3853" t="str">
            <v>SG-Payoneer-12/2022</v>
          </cell>
          <cell r="G3853" t="str">
            <v>Settled</v>
          </cell>
        </row>
        <row r="3854">
          <cell r="F3854" t="str">
            <v>SG-Payoneer-01/2023</v>
          </cell>
          <cell r="G3854" t="str">
            <v>Settled</v>
          </cell>
        </row>
        <row r="3855">
          <cell r="F3855" t="str">
            <v>SG-Payoneer-02/2023</v>
          </cell>
          <cell r="G3855" t="str">
            <v>Settled</v>
          </cell>
        </row>
        <row r="3856">
          <cell r="F3856" t="str">
            <v>SG-Payoneer-03/2023</v>
          </cell>
          <cell r="G3856" t="str">
            <v>Settled</v>
          </cell>
        </row>
        <row r="3857">
          <cell r="F3857" t="str">
            <v>SG-Payoneer-04/2023</v>
          </cell>
          <cell r="G3857" t="str">
            <v>Settled</v>
          </cell>
        </row>
        <row r="3858">
          <cell r="F3858" t="str">
            <v>SG-Payoneer-05/2023</v>
          </cell>
          <cell r="G3858" t="str">
            <v>Settled</v>
          </cell>
        </row>
        <row r="3859">
          <cell r="F3859" t="str">
            <v>SG-Payoneer-06/2023</v>
          </cell>
          <cell r="G3859" t="str">
            <v>Settled</v>
          </cell>
        </row>
        <row r="3860">
          <cell r="F3860" t="str">
            <v>SG-Payoneer-07/2023</v>
          </cell>
          <cell r="G3860" t="str">
            <v>Settled</v>
          </cell>
        </row>
        <row r="3861">
          <cell r="F3861" t="str">
            <v>SG -Payoneer-08/2023</v>
          </cell>
          <cell r="G3861" t="str">
            <v>Settled</v>
          </cell>
        </row>
        <row r="3862">
          <cell r="F3862" t="str">
            <v>SG-Payoneer-09/2023</v>
          </cell>
          <cell r="G3862" t="str">
            <v>Settled</v>
          </cell>
        </row>
        <row r="3863">
          <cell r="F3863" t="str">
            <v>SG-Payoneer-10/2023</v>
          </cell>
          <cell r="G3863" t="str">
            <v>Settled</v>
          </cell>
        </row>
        <row r="3864">
          <cell r="F3864" t="str">
            <v>SG-Payoneer-11/2023</v>
          </cell>
          <cell r="G3864" t="str">
            <v>Settled</v>
          </cell>
        </row>
        <row r="3865">
          <cell r="F3865" t="str">
            <v>SG-Payoneer-12/2023</v>
          </cell>
          <cell r="G3865" t="str">
            <v>Settled</v>
          </cell>
        </row>
        <row r="3866">
          <cell r="F3866" t="str">
            <v>SG-Payoneer-01/2024</v>
          </cell>
          <cell r="G3866" t="str">
            <v>Settled</v>
          </cell>
        </row>
        <row r="3867">
          <cell r="F3867" t="str">
            <v>SG-Payoneer-02/2024</v>
          </cell>
          <cell r="G3867" t="str">
            <v>Settled</v>
          </cell>
        </row>
        <row r="3868">
          <cell r="F3868" t="str">
            <v>SG-Payoneer-03/2024</v>
          </cell>
          <cell r="G3868" t="str">
            <v>Settled</v>
          </cell>
        </row>
        <row r="3869">
          <cell r="F3869" t="str">
            <v>SG-Payoneer-04/2024</v>
          </cell>
          <cell r="G3869" t="str">
            <v>Settled</v>
          </cell>
        </row>
        <row r="3870">
          <cell r="F3870" t="str">
            <v>SG-Payoneer-05/2024</v>
          </cell>
          <cell r="G3870" t="str">
            <v>Settled</v>
          </cell>
        </row>
        <row r="3871">
          <cell r="F3871" t="str">
            <v>SG-Payoneer-06/2024</v>
          </cell>
          <cell r="G3871" t="str">
            <v>Settled</v>
          </cell>
        </row>
        <row r="3872">
          <cell r="F3872" t="str">
            <v>SG-Payoneer-07/2024</v>
          </cell>
          <cell r="G3872" t="str">
            <v>Settled</v>
          </cell>
        </row>
        <row r="3873">
          <cell r="F3873" t="str">
            <v>SG-Payoneer-08/2024</v>
          </cell>
          <cell r="G3873" t="str">
            <v>Settled</v>
          </cell>
        </row>
        <row r="3874">
          <cell r="F3874" t="str">
            <v>SG-Payoneer-09/2024</v>
          </cell>
          <cell r="G3874" t="str">
            <v>Settled</v>
          </cell>
        </row>
        <row r="3875">
          <cell r="F3875" t="str">
            <v>UK-paypugs limited-11/2022</v>
          </cell>
          <cell r="G3875" t="str">
            <v>Settled</v>
          </cell>
        </row>
        <row r="3876">
          <cell r="F3876" t="str">
            <v>UK-paypugs limited-12/2022</v>
          </cell>
          <cell r="G3876" t="str">
            <v>Settled</v>
          </cell>
        </row>
        <row r="3877">
          <cell r="F3877" t="str">
            <v>UK-paypugs limited-01/2023</v>
          </cell>
          <cell r="G3877" t="str">
            <v>Settled</v>
          </cell>
        </row>
        <row r="3878">
          <cell r="F3878" t="str">
            <v>UK-paypugs limited-02/2023</v>
          </cell>
          <cell r="G3878" t="str">
            <v>Settled</v>
          </cell>
        </row>
        <row r="3879">
          <cell r="F3879" t="str">
            <v>UK-paypugs limited-03/2023</v>
          </cell>
          <cell r="G3879" t="str">
            <v>Settled</v>
          </cell>
        </row>
        <row r="3880">
          <cell r="F3880" t="str">
            <v>UK-paypugs limited-04/2023</v>
          </cell>
          <cell r="G3880" t="str">
            <v>Waived Off</v>
          </cell>
        </row>
        <row r="3881">
          <cell r="F3881" t="str">
            <v>UK-paypugs limited-05/2023</v>
          </cell>
          <cell r="G3881" t="str">
            <v>Waived Off</v>
          </cell>
        </row>
        <row r="3882">
          <cell r="F3882" t="str">
            <v>UK-paypugs limited-06/2023</v>
          </cell>
          <cell r="G3882" t="str">
            <v>Waived Off</v>
          </cell>
        </row>
        <row r="3883">
          <cell r="F3883" t="str">
            <v>UK-paypugs limited-07/2023</v>
          </cell>
          <cell r="G3883" t="str">
            <v>Waived Off</v>
          </cell>
        </row>
        <row r="3884">
          <cell r="F3884" t="str">
            <v>US-PayQuicker LLC-06/2023</v>
          </cell>
          <cell r="G3884" t="str">
            <v>Settled</v>
          </cell>
        </row>
        <row r="3885">
          <cell r="F3885" t="str">
            <v>US-PayQuicker LLC-07/2023</v>
          </cell>
          <cell r="G3885" t="str">
            <v>Settled</v>
          </cell>
        </row>
        <row r="3886">
          <cell r="F3886" t="str">
            <v>US-PayQuicker LLC-09/2023</v>
          </cell>
          <cell r="G3886" t="str">
            <v>Settled</v>
          </cell>
        </row>
        <row r="3887">
          <cell r="F3887" t="str">
            <v>US-PayQuicker LLC-05/2024</v>
          </cell>
          <cell r="G3887" t="str">
            <v>Settled</v>
          </cell>
        </row>
        <row r="3888">
          <cell r="F3888" t="str">
            <v>US-CN-PayQuicker LLC-05-2024</v>
          </cell>
          <cell r="G3888" t="str">
            <v>Settled</v>
          </cell>
        </row>
        <row r="3889">
          <cell r="F3889" t="str">
            <v>US-PayQuicker LLC-03/2023</v>
          </cell>
          <cell r="G3889" t="str">
            <v>Settled</v>
          </cell>
        </row>
        <row r="3890">
          <cell r="F3890" t="str">
            <v>US-PayQuicker LLC-04/2023</v>
          </cell>
          <cell r="G3890" t="str">
            <v>Settled</v>
          </cell>
        </row>
        <row r="3891">
          <cell r="F3891" t="str">
            <v>US-PayQuicker LLC-05/2023</v>
          </cell>
          <cell r="G3891" t="str">
            <v>Settled</v>
          </cell>
        </row>
        <row r="3892">
          <cell r="F3892" t="str">
            <v>US-CN-PayQuicker LLC-03-2023</v>
          </cell>
          <cell r="G3892" t="str">
            <v>Settled</v>
          </cell>
        </row>
        <row r="3893">
          <cell r="F3893" t="str">
            <v>HK-Paysafe-11/2022</v>
          </cell>
          <cell r="G3893" t="str">
            <v>Settled</v>
          </cell>
        </row>
        <row r="3894">
          <cell r="F3894" t="str">
            <v>HK-Paysafe-12/2022</v>
          </cell>
          <cell r="G3894" t="str">
            <v>Settled</v>
          </cell>
        </row>
        <row r="3895">
          <cell r="F3895" t="str">
            <v>HK-Paysafe-01/2023</v>
          </cell>
          <cell r="G3895" t="str">
            <v>Settled</v>
          </cell>
        </row>
        <row r="3896">
          <cell r="F3896" t="str">
            <v>HK-Paysafe-02/2023</v>
          </cell>
          <cell r="G3896" t="str">
            <v>Settled</v>
          </cell>
        </row>
        <row r="3897">
          <cell r="F3897" t="str">
            <v>HK-Paysafe-03/2023</v>
          </cell>
          <cell r="G3897" t="str">
            <v>Settled</v>
          </cell>
        </row>
        <row r="3898">
          <cell r="F3898" t="str">
            <v>HK-Paysafe-04/2023</v>
          </cell>
          <cell r="G3898" t="str">
            <v>Settled</v>
          </cell>
        </row>
        <row r="3899">
          <cell r="F3899" t="str">
            <v>HK-Paysafe-05/2023</v>
          </cell>
          <cell r="G3899" t="str">
            <v>Settled</v>
          </cell>
        </row>
        <row r="3900">
          <cell r="F3900" t="str">
            <v>HK-Paysafe-06/2023</v>
          </cell>
          <cell r="G3900" t="str">
            <v>Settled</v>
          </cell>
        </row>
        <row r="3901">
          <cell r="F3901" t="str">
            <v>HK-Paysafe-07/2023</v>
          </cell>
          <cell r="G3901" t="str">
            <v>Settled</v>
          </cell>
        </row>
        <row r="3902">
          <cell r="F3902" t="str">
            <v>HK -Paysafe-08/2023</v>
          </cell>
          <cell r="G3902" t="str">
            <v>Settled</v>
          </cell>
        </row>
        <row r="3903">
          <cell r="F3903" t="str">
            <v>HK-Paysafe-10/2023</v>
          </cell>
          <cell r="G3903" t="str">
            <v>Settled</v>
          </cell>
        </row>
        <row r="3904">
          <cell r="F3904" t="str">
            <v>HK-Paysafe-11/2023</v>
          </cell>
          <cell r="G3904" t="str">
            <v>Settled</v>
          </cell>
        </row>
        <row r="3905">
          <cell r="F3905" t="str">
            <v>HK-Paysafe-12/2023</v>
          </cell>
          <cell r="G3905" t="str">
            <v>Settled</v>
          </cell>
        </row>
        <row r="3906">
          <cell r="F3906" t="str">
            <v>HK-Paysafe-01/2024</v>
          </cell>
          <cell r="G3906" t="str">
            <v>Settled</v>
          </cell>
        </row>
        <row r="3907">
          <cell r="F3907" t="str">
            <v>HK-Paysafe-02/2024</v>
          </cell>
          <cell r="G3907" t="str">
            <v>Settled</v>
          </cell>
        </row>
        <row r="3908">
          <cell r="F3908" t="str">
            <v>HK-Paysafe-03/2024</v>
          </cell>
          <cell r="G3908" t="str">
            <v>Settled</v>
          </cell>
        </row>
        <row r="3909">
          <cell r="F3909" t="str">
            <v>HK-Paysafe-04/2024</v>
          </cell>
          <cell r="G3909" t="str">
            <v>Settled</v>
          </cell>
        </row>
        <row r="3910">
          <cell r="F3910" t="str">
            <v>HK-Paysafe-05/2024</v>
          </cell>
          <cell r="G3910" t="str">
            <v>Settled</v>
          </cell>
        </row>
        <row r="3911">
          <cell r="F3911" t="str">
            <v>HK-Paysafe-06/2024</v>
          </cell>
          <cell r="G3911" t="str">
            <v>Settled</v>
          </cell>
        </row>
        <row r="3912">
          <cell r="F3912" t="str">
            <v>HK-Paysafe-07/2024</v>
          </cell>
          <cell r="G3912" t="str">
            <v>Settled</v>
          </cell>
        </row>
        <row r="3913">
          <cell r="F3913" t="str">
            <v>HK-Paysafe-08/2024</v>
          </cell>
          <cell r="G3913" t="str">
            <v>Settled</v>
          </cell>
        </row>
        <row r="3914">
          <cell r="F3914" t="str">
            <v>HK-Paysafe-09/2024</v>
          </cell>
          <cell r="G3914" t="str">
            <v>Settled</v>
          </cell>
        </row>
        <row r="3915">
          <cell r="F3915" t="str">
            <v>HK-Paysafe-10/2024</v>
          </cell>
          <cell r="G3915" t="str">
            <v>Settled</v>
          </cell>
        </row>
        <row r="3916">
          <cell r="F3916" t="str">
            <v>HK-Paysafe-11/2024</v>
          </cell>
          <cell r="G3916" t="str">
            <v>Settled</v>
          </cell>
        </row>
        <row r="3917">
          <cell r="F3917" t="str">
            <v>HK-Paysafe-12/2024</v>
          </cell>
          <cell r="G3917" t="str">
            <v>Settled</v>
          </cell>
        </row>
        <row r="3918">
          <cell r="F3918" t="str">
            <v>HK-Paysafe-01/2025</v>
          </cell>
          <cell r="G3918" t="str">
            <v>Settled</v>
          </cell>
        </row>
        <row r="3919">
          <cell r="F3919" t="str">
            <v>HK-Paysafe-02/2025</v>
          </cell>
          <cell r="G3919" t="str">
            <v>Settled</v>
          </cell>
        </row>
        <row r="3920">
          <cell r="F3920" t="str">
            <v>HK-Paysafe-03/2025</v>
          </cell>
          <cell r="G3920" t="str">
            <v>Settled</v>
          </cell>
        </row>
        <row r="3921">
          <cell r="F3921" t="str">
            <v>HK-Paysafe-04/2025</v>
          </cell>
          <cell r="G3921" t="str">
            <v>Settled</v>
          </cell>
        </row>
        <row r="3922">
          <cell r="F3922" t="str">
            <v>HK-Paysafe-05/2025</v>
          </cell>
          <cell r="G3922" t="str">
            <v>Settled</v>
          </cell>
        </row>
        <row r="3923">
          <cell r="F3923" t="str">
            <v>HK-Paysafe-06/2025</v>
          </cell>
          <cell r="G3923" t="str">
            <v>Settled</v>
          </cell>
        </row>
        <row r="3924">
          <cell r="F3924" t="str">
            <v>HK-Paysafe-07/2025</v>
          </cell>
          <cell r="G3924" t="str">
            <v>Settled</v>
          </cell>
        </row>
        <row r="3925">
          <cell r="F3925" t="str">
            <v>HK-Paysafe-08/2025</v>
          </cell>
          <cell r="G3925" t="str">
            <v>Settled</v>
          </cell>
        </row>
        <row r="3926">
          <cell r="F3926" t="str">
            <v>HK-Paysafe-09/2025</v>
          </cell>
          <cell r="G3926" t="str">
            <v>Settled</v>
          </cell>
        </row>
        <row r="3927">
          <cell r="F3927" t="str">
            <v>HK-Paysafe-10/2025</v>
          </cell>
          <cell r="G3927" t="str">
            <v>Settled</v>
          </cell>
        </row>
        <row r="3928">
          <cell r="F3928" t="str">
            <v>HK-Paysafe-11/2025</v>
          </cell>
          <cell r="G3928" t="str">
            <v>Settled</v>
          </cell>
        </row>
        <row r="3929">
          <cell r="F3929" t="str">
            <v>HK-Paysafe-12/2025</v>
          </cell>
          <cell r="G3929" t="str">
            <v>Settled</v>
          </cell>
        </row>
        <row r="3930">
          <cell r="F3930" t="str">
            <v>HK-Paysafe-01/2026</v>
          </cell>
          <cell r="G3930" t="str">
            <v>Settled</v>
          </cell>
        </row>
        <row r="3931">
          <cell r="F3931" t="str">
            <v>HK-Paysafe-02/2026</v>
          </cell>
          <cell r="G3931" t="str">
            <v>Settled</v>
          </cell>
        </row>
        <row r="3932">
          <cell r="F3932" t="str">
            <v>HK-Paysafe-09/2023</v>
          </cell>
          <cell r="G3932" t="str">
            <v>Settled</v>
          </cell>
        </row>
        <row r="3933">
          <cell r="F3933" t="str">
            <v>EU-Paysera-11/2022</v>
          </cell>
          <cell r="G3933" t="str">
            <v>Settled</v>
          </cell>
        </row>
        <row r="3934">
          <cell r="F3934" t="str">
            <v>EU-Paysera-12/2022</v>
          </cell>
          <cell r="G3934" t="str">
            <v>Settled</v>
          </cell>
        </row>
        <row r="3935">
          <cell r="F3935" t="str">
            <v>EU-Paysera-01/2023</v>
          </cell>
          <cell r="G3935" t="str">
            <v>Settled</v>
          </cell>
        </row>
        <row r="3936">
          <cell r="F3936" t="str">
            <v>EU-Paysera-02/2023</v>
          </cell>
          <cell r="G3936" t="str">
            <v>Settled</v>
          </cell>
        </row>
        <row r="3937">
          <cell r="F3937" t="str">
            <v>EU-Paysera-03/2023</v>
          </cell>
          <cell r="G3937" t="str">
            <v>Settled</v>
          </cell>
        </row>
        <row r="3938">
          <cell r="F3938" t="str">
            <v>EU-Paysera-04/2023</v>
          </cell>
          <cell r="G3938" t="str">
            <v>Settled</v>
          </cell>
        </row>
        <row r="3939">
          <cell r="F3939" t="str">
            <v>EU-Paysera-05/2023</v>
          </cell>
          <cell r="G3939" t="str">
            <v>Settled</v>
          </cell>
        </row>
        <row r="3940">
          <cell r="F3940" t="str">
            <v>EU-Paysera-06/2023</v>
          </cell>
          <cell r="G3940" t="str">
            <v>Settled</v>
          </cell>
        </row>
        <row r="3941">
          <cell r="F3941" t="str">
            <v>EU-Paysera-07/2023</v>
          </cell>
          <cell r="G3941" t="str">
            <v>Settled</v>
          </cell>
        </row>
        <row r="3942">
          <cell r="F3942" t="str">
            <v>EU -Paysera-08/2023</v>
          </cell>
          <cell r="G3942" t="str">
            <v>Settled</v>
          </cell>
        </row>
        <row r="3943">
          <cell r="F3943" t="str">
            <v>EU-Paysera-09/2023</v>
          </cell>
          <cell r="G3943" t="str">
            <v>Settled</v>
          </cell>
        </row>
        <row r="3944">
          <cell r="F3944" t="str">
            <v>EU-Paysera-10/2023</v>
          </cell>
          <cell r="G3944" t="str">
            <v>Settled</v>
          </cell>
        </row>
        <row r="3945">
          <cell r="F3945" t="str">
            <v>EU-Paysera-11/2023</v>
          </cell>
          <cell r="G3945" t="str">
            <v>Settled</v>
          </cell>
        </row>
        <row r="3946">
          <cell r="F3946" t="str">
            <v>EU-Paysera-12/2023</v>
          </cell>
          <cell r="G3946" t="str">
            <v>Settled</v>
          </cell>
        </row>
        <row r="3947">
          <cell r="F3947" t="str">
            <v>EU-Paysera-01/2024</v>
          </cell>
          <cell r="G3947" t="str">
            <v>Settled</v>
          </cell>
        </row>
        <row r="3948">
          <cell r="F3948" t="str">
            <v>EU-Paysera-02/2024</v>
          </cell>
          <cell r="G3948" t="str">
            <v>Settled</v>
          </cell>
        </row>
        <row r="3949">
          <cell r="F3949" t="str">
            <v>EU-Paysera-03/2024</v>
          </cell>
          <cell r="G3949" t="str">
            <v>Settled</v>
          </cell>
        </row>
        <row r="3950">
          <cell r="F3950" t="str">
            <v>EU-Paysera-04/2024</v>
          </cell>
          <cell r="G3950" t="str">
            <v>Settled</v>
          </cell>
        </row>
        <row r="3951">
          <cell r="F3951" t="str">
            <v>EU-Paysera-05/2024</v>
          </cell>
          <cell r="G3951" t="str">
            <v>Settled</v>
          </cell>
        </row>
        <row r="3952">
          <cell r="F3952" t="str">
            <v>EU-Paysera-06/2024</v>
          </cell>
          <cell r="G3952" t="str">
            <v>Settled</v>
          </cell>
        </row>
        <row r="3953">
          <cell r="F3953" t="str">
            <v>EU-Paysera-07/2024</v>
          </cell>
          <cell r="G3953" t="str">
            <v>Settled</v>
          </cell>
        </row>
        <row r="3954">
          <cell r="F3954" t="str">
            <v>EU-Paysera-08/2024</v>
          </cell>
          <cell r="G3954" t="str">
            <v>Settled</v>
          </cell>
        </row>
        <row r="3955">
          <cell r="F3955" t="str">
            <v>EU-Paysera-09/2024</v>
          </cell>
          <cell r="G3955" t="str">
            <v>Settled</v>
          </cell>
        </row>
        <row r="3956">
          <cell r="F3956" t="str">
            <v>EU-Paysera-10/2024</v>
          </cell>
          <cell r="G3956" t="str">
            <v>Settled</v>
          </cell>
        </row>
        <row r="3957">
          <cell r="F3957" t="str">
            <v>EU-Paysera-11/2024</v>
          </cell>
          <cell r="G3957" t="str">
            <v>Settled</v>
          </cell>
        </row>
        <row r="3958">
          <cell r="F3958" t="str">
            <v>EU-Paysera-12/2024</v>
          </cell>
          <cell r="G3958" t="str">
            <v>Settled</v>
          </cell>
        </row>
        <row r="3959">
          <cell r="F3959" t="str">
            <v>EU-Paysera-01/2025</v>
          </cell>
          <cell r="G3959" t="str">
            <v>Settled</v>
          </cell>
        </row>
        <row r="3960">
          <cell r="F3960" t="str">
            <v>EU-Paysera-02/2025</v>
          </cell>
          <cell r="G3960" t="str">
            <v>Settled</v>
          </cell>
        </row>
        <row r="3961">
          <cell r="F3961" t="str">
            <v>EU-Paysera-03/2025</v>
          </cell>
          <cell r="G3961" t="str">
            <v>Settled</v>
          </cell>
        </row>
        <row r="3962">
          <cell r="F3962" t="str">
            <v>EU-Paysera-04/2025</v>
          </cell>
          <cell r="G3962" t="str">
            <v>Settled</v>
          </cell>
        </row>
        <row r="3963">
          <cell r="F3963" t="str">
            <v>EU-Paysera-05/2025</v>
          </cell>
          <cell r="G3963" t="str">
            <v>Settled</v>
          </cell>
        </row>
        <row r="3964">
          <cell r="F3964" t="str">
            <v>EU-Paysera-06/2025</v>
          </cell>
          <cell r="G3964" t="str">
            <v>Settled</v>
          </cell>
        </row>
        <row r="3965">
          <cell r="F3965" t="str">
            <v>EU-Paysera-07/2025</v>
          </cell>
          <cell r="G3965" t="str">
            <v>Settled</v>
          </cell>
        </row>
        <row r="3966">
          <cell r="F3966" t="str">
            <v>EU-Paysera-08/2025</v>
          </cell>
          <cell r="G3966" t="str">
            <v>Settled</v>
          </cell>
        </row>
        <row r="3967">
          <cell r="F3967" t="str">
            <v>EU-Paysera-09/2025</v>
          </cell>
          <cell r="G3967" t="str">
            <v>Settled</v>
          </cell>
        </row>
        <row r="3968">
          <cell r="F3968" t="str">
            <v>SG -pbm investor services pte ltd-01/2022</v>
          </cell>
          <cell r="G3968" t="str">
            <v>Settled</v>
          </cell>
        </row>
        <row r="3969">
          <cell r="F3969" t="str">
            <v>SG -pbm investor services pte ltd-06/2022</v>
          </cell>
          <cell r="G3969" t="str">
            <v>Settled</v>
          </cell>
        </row>
        <row r="3970">
          <cell r="F3970" t="str">
            <v>SG-pbm-07/2022</v>
          </cell>
          <cell r="G3970" t="str">
            <v>Settled</v>
          </cell>
        </row>
        <row r="3971">
          <cell r="F3971" t="str">
            <v>SG-pbm investor services pte ltd-11/2022</v>
          </cell>
          <cell r="G3971" t="str">
            <v>Settled</v>
          </cell>
        </row>
        <row r="3972">
          <cell r="F3972" t="str">
            <v>SG-pbm investor services pte ltd-01/2023</v>
          </cell>
          <cell r="G3972" t="str">
            <v>Settled</v>
          </cell>
        </row>
        <row r="3973">
          <cell r="F3973" t="str">
            <v>SG-pbm-02/2023</v>
          </cell>
          <cell r="G3973" t="str">
            <v>Settled</v>
          </cell>
        </row>
        <row r="3974">
          <cell r="F3974" t="str">
            <v>SG-pbm-04/2023</v>
          </cell>
          <cell r="G3974" t="str">
            <v>Settled</v>
          </cell>
        </row>
        <row r="3975">
          <cell r="F3975" t="str">
            <v>SG-pbm-06/2023</v>
          </cell>
          <cell r="G3975" t="str">
            <v>Settled</v>
          </cell>
        </row>
        <row r="3976">
          <cell r="F3976" t="str">
            <v>SG-pbm-07/2023</v>
          </cell>
          <cell r="G3976" t="str">
            <v>Settled</v>
          </cell>
        </row>
        <row r="3977">
          <cell r="F3977" t="str">
            <v>SG -pbm-08/2023</v>
          </cell>
          <cell r="G3977" t="str">
            <v>Settled</v>
          </cell>
        </row>
        <row r="3978">
          <cell r="F3978" t="str">
            <v>SG-pbm-12/2023</v>
          </cell>
          <cell r="G3978" t="str">
            <v>Settled</v>
          </cell>
        </row>
        <row r="3979">
          <cell r="F3979" t="str">
            <v>SG-pbm-01/2024</v>
          </cell>
          <cell r="G3979" t="str">
            <v>Settled</v>
          </cell>
        </row>
        <row r="3980">
          <cell r="F3980" t="str">
            <v>SG-pbm-02/2024</v>
          </cell>
          <cell r="G3980" t="str">
            <v>Settled</v>
          </cell>
        </row>
        <row r="3981">
          <cell r="F3981" t="str">
            <v>SG-pbm-03/2024</v>
          </cell>
          <cell r="G3981" t="str">
            <v>Settled</v>
          </cell>
        </row>
        <row r="3982">
          <cell r="F3982" t="str">
            <v>SG-pbm-07/2024</v>
          </cell>
          <cell r="G3982" t="str">
            <v>Settled</v>
          </cell>
        </row>
        <row r="3983">
          <cell r="F3983" t="str">
            <v>SG-pbm-10/2024</v>
          </cell>
          <cell r="G3983" t="str">
            <v>Settled</v>
          </cell>
        </row>
        <row r="3984">
          <cell r="F3984" t="str">
            <v>SG-pbm-11/2024</v>
          </cell>
          <cell r="G3984" t="str">
            <v>Settled</v>
          </cell>
        </row>
        <row r="3985">
          <cell r="F3985" t="str">
            <v>US-PE Global Partners (DBA Payment Earth)-01/2023</v>
          </cell>
          <cell r="G3985" t="str">
            <v>Settled</v>
          </cell>
        </row>
        <row r="3986">
          <cell r="F3986" t="str">
            <v>US -PEGlobalPartners-01/2023</v>
          </cell>
          <cell r="G3986" t="str">
            <v>Settled</v>
          </cell>
        </row>
        <row r="3987">
          <cell r="F3987" t="str">
            <v>US-PEGlobalPartners-02/2023</v>
          </cell>
          <cell r="G3987" t="str">
            <v>Settled</v>
          </cell>
        </row>
        <row r="3988">
          <cell r="F3988" t="str">
            <v>US-PEGlobalPartners-03/2023</v>
          </cell>
          <cell r="G3988" t="str">
            <v>Settled</v>
          </cell>
        </row>
        <row r="3989">
          <cell r="F3989" t="str">
            <v>US-PEGlobalPartners-04/2023</v>
          </cell>
          <cell r="G3989" t="str">
            <v>Settled</v>
          </cell>
        </row>
        <row r="3990">
          <cell r="F3990" t="str">
            <v>US-PEGlobalPartners-05/2023</v>
          </cell>
          <cell r="G3990" t="str">
            <v>Settled</v>
          </cell>
        </row>
        <row r="3991">
          <cell r="F3991" t="str">
            <v>US-PEGlobalPartners-06/2023</v>
          </cell>
          <cell r="G3991" t="str">
            <v>Settled</v>
          </cell>
        </row>
        <row r="3992">
          <cell r="F3992" t="str">
            <v>US-PEGlobalPartners-07/2023</v>
          </cell>
          <cell r="G3992" t="str">
            <v>Settled</v>
          </cell>
        </row>
        <row r="3993">
          <cell r="F3993" t="str">
            <v>US -PEGlobalPartners-08/2023</v>
          </cell>
          <cell r="G3993" t="str">
            <v>Settled</v>
          </cell>
        </row>
        <row r="3994">
          <cell r="F3994" t="str">
            <v>US-PEGlobalPartners-09/2023</v>
          </cell>
          <cell r="G3994" t="str">
            <v>Settled</v>
          </cell>
        </row>
        <row r="3995">
          <cell r="F3995" t="str">
            <v>US-PEGlobalPartners-11/2023</v>
          </cell>
          <cell r="G3995" t="str">
            <v>Settled</v>
          </cell>
        </row>
        <row r="3996">
          <cell r="F3996" t="str">
            <v>US-PEGlobalPartners-10/2023</v>
          </cell>
          <cell r="G3996" t="str">
            <v>Settled</v>
          </cell>
        </row>
        <row r="3997">
          <cell r="F3997" t="str">
            <v>US-PEGlobalPartners-12/2023</v>
          </cell>
          <cell r="G3997" t="str">
            <v>Settled</v>
          </cell>
        </row>
        <row r="3998">
          <cell r="F3998" t="str">
            <v>US-PEGlobalPartners-01/2024</v>
          </cell>
          <cell r="G3998" t="str">
            <v>Settled</v>
          </cell>
        </row>
        <row r="3999">
          <cell r="F3999" t="str">
            <v>US-PEGlobalPartners-02/2024</v>
          </cell>
          <cell r="G3999" t="str">
            <v>Settled</v>
          </cell>
        </row>
        <row r="4000">
          <cell r="F4000" t="str">
            <v>US-PEGlobalPartners-04/2024</v>
          </cell>
          <cell r="G4000" t="str">
            <v>Settled</v>
          </cell>
        </row>
        <row r="4001">
          <cell r="F4001" t="str">
            <v>US-PEGlobalPartners-05/2024</v>
          </cell>
          <cell r="G4001" t="str">
            <v>Settled</v>
          </cell>
        </row>
        <row r="4002">
          <cell r="F4002" t="str">
            <v>US-PEGlobalPartners-06/2024</v>
          </cell>
          <cell r="G4002" t="str">
            <v>Settled</v>
          </cell>
        </row>
        <row r="4003">
          <cell r="F4003" t="str">
            <v>US-PEGlobalPartners-07/2024</v>
          </cell>
          <cell r="G4003" t="str">
            <v>Settled</v>
          </cell>
        </row>
        <row r="4004">
          <cell r="F4004" t="str">
            <v>US-PEGlobalPartners-08/2024</v>
          </cell>
          <cell r="G4004" t="str">
            <v>Settled</v>
          </cell>
        </row>
        <row r="4005">
          <cell r="F4005" t="str">
            <v>US-PEGlobalPartners-09/2024</v>
          </cell>
          <cell r="G4005" t="str">
            <v>Settled</v>
          </cell>
        </row>
        <row r="4006">
          <cell r="F4006" t="str">
            <v>US-PEGlobalPartners-10/2024</v>
          </cell>
          <cell r="G4006" t="str">
            <v>Settled</v>
          </cell>
        </row>
        <row r="4007">
          <cell r="F4007" t="str">
            <v>US-PEGlobalPartners-11/2024</v>
          </cell>
          <cell r="G4007" t="str">
            <v>Settled</v>
          </cell>
        </row>
        <row r="4008">
          <cell r="F4008" t="str">
            <v>US-PEGlobalPartners-12/2024</v>
          </cell>
          <cell r="G4008" t="str">
            <v>Settled</v>
          </cell>
        </row>
        <row r="4009">
          <cell r="F4009" t="str">
            <v>US-PEGlobalPartners-01/2025</v>
          </cell>
          <cell r="G4009" t="str">
            <v>Settled</v>
          </cell>
        </row>
        <row r="4010">
          <cell r="F4010" t="str">
            <v>US-PEGlobalPartners-02/2025</v>
          </cell>
          <cell r="G4010" t="str">
            <v>Settled</v>
          </cell>
        </row>
        <row r="4011">
          <cell r="F4011" t="str">
            <v>US-PEGlobalPartners-03/2025</v>
          </cell>
          <cell r="G4011" t="str">
            <v>Settled</v>
          </cell>
        </row>
        <row r="4012">
          <cell r="F4012" t="str">
            <v>US-PEGlobalPartners-04/2025</v>
          </cell>
          <cell r="G4012" t="str">
            <v>Settled</v>
          </cell>
        </row>
        <row r="4013">
          <cell r="F4013" t="str">
            <v>US-PEGlobalPartners-05/2025</v>
          </cell>
          <cell r="G4013" t="str">
            <v>Settled</v>
          </cell>
        </row>
        <row r="4014">
          <cell r="F4014" t="str">
            <v>US-PEGlobalPartners-06/2025</v>
          </cell>
          <cell r="G4014" t="str">
            <v>Settled</v>
          </cell>
        </row>
        <row r="4015">
          <cell r="F4015" t="str">
            <v>US-PEGlobalPartners-07/2025</v>
          </cell>
          <cell r="G4015" t="str">
            <v>Settled</v>
          </cell>
        </row>
        <row r="4016">
          <cell r="F4016" t="str">
            <v>US-PEGlobalPartners-08/2025</v>
          </cell>
          <cell r="G4016" t="str">
            <v>Settled</v>
          </cell>
        </row>
        <row r="4017">
          <cell r="F4017" t="str">
            <v>US-PEGlobalPartners-09/2025</v>
          </cell>
          <cell r="G4017" t="str">
            <v>Settled</v>
          </cell>
        </row>
        <row r="4018">
          <cell r="F4018" t="str">
            <v>US-PEGlobalPartners-10/2025</v>
          </cell>
          <cell r="G4018" t="str">
            <v>Settled</v>
          </cell>
        </row>
        <row r="4019">
          <cell r="F4019" t="str">
            <v>US-PEGlobalPartners-11/2025</v>
          </cell>
          <cell r="G4019" t="str">
            <v>Settled</v>
          </cell>
        </row>
        <row r="4020">
          <cell r="F4020" t="str">
            <v>US-PEGlobalPartners-12/2025</v>
          </cell>
          <cell r="G4020" t="str">
            <v>Settled</v>
          </cell>
        </row>
        <row r="4021">
          <cell r="F4021" t="str">
            <v>US-PEGlobalPartners-01/2026</v>
          </cell>
          <cell r="G4021" t="str">
            <v>Settled</v>
          </cell>
        </row>
        <row r="4022">
          <cell r="F4022" t="str">
            <v>US-PEGlobalPartners-02/2026</v>
          </cell>
          <cell r="G4022" t="str">
            <v>Settled</v>
          </cell>
        </row>
        <row r="4023">
          <cell r="F4023" t="str">
            <v>SG-peacock container pte ltd-03/2023</v>
          </cell>
          <cell r="G4023" t="str">
            <v>Settled</v>
          </cell>
        </row>
        <row r="4024">
          <cell r="F4024" t="str">
            <v>SG-peacock container pte ltd-04/2023</v>
          </cell>
          <cell r="G4024" t="str">
            <v>Settled</v>
          </cell>
        </row>
        <row r="4025">
          <cell r="F4025" t="str">
            <v>CA-pesapeer incorporated-11/2022</v>
          </cell>
          <cell r="G4025" t="str">
            <v>Settled</v>
          </cell>
        </row>
        <row r="4026">
          <cell r="F4026" t="str">
            <v>CA-pesapeer incorporated-12/2022</v>
          </cell>
          <cell r="G4026" t="str">
            <v>Settled</v>
          </cell>
        </row>
        <row r="4027">
          <cell r="F4027" t="str">
            <v>CA-pesapeer incorporated-01/2023</v>
          </cell>
          <cell r="G4027" t="str">
            <v>Settled</v>
          </cell>
        </row>
        <row r="4028">
          <cell r="F4028" t="str">
            <v>CA-pesapeer-02/2023</v>
          </cell>
          <cell r="G4028" t="str">
            <v>Settled</v>
          </cell>
        </row>
        <row r="4029">
          <cell r="F4029" t="str">
            <v>CA-pesapeer-03/2023</v>
          </cell>
          <cell r="G4029" t="str">
            <v>Settled</v>
          </cell>
        </row>
        <row r="4030">
          <cell r="F4030" t="str">
            <v>CA-pesapeer-04/2023</v>
          </cell>
          <cell r="G4030" t="str">
            <v>Settled</v>
          </cell>
        </row>
        <row r="4031">
          <cell r="F4031" t="str">
            <v>CA-pesapeer-05/2023</v>
          </cell>
          <cell r="G4031" t="str">
            <v>Settled</v>
          </cell>
        </row>
        <row r="4032">
          <cell r="F4032" t="str">
            <v>CA-pesapeer-06/2023</v>
          </cell>
          <cell r="G4032" t="str">
            <v>Settled</v>
          </cell>
        </row>
        <row r="4033">
          <cell r="F4033" t="str">
            <v>CA-pesapeer-07/2023</v>
          </cell>
          <cell r="G4033" t="str">
            <v>Settled</v>
          </cell>
        </row>
        <row r="4034">
          <cell r="F4034" t="str">
            <v>CA -pesapeer-08/2023</v>
          </cell>
          <cell r="G4034" t="str">
            <v>Settled</v>
          </cell>
        </row>
        <row r="4035">
          <cell r="F4035" t="str">
            <v>CA-pesapeer-09/2023</v>
          </cell>
          <cell r="G4035" t="str">
            <v>Settled</v>
          </cell>
        </row>
        <row r="4036">
          <cell r="F4036" t="str">
            <v>CA-pesapeer-10/2023</v>
          </cell>
          <cell r="G4036" t="str">
            <v>Settled</v>
          </cell>
        </row>
        <row r="4037">
          <cell r="F4037" t="str">
            <v>CA-pesapeer-11/2023</v>
          </cell>
          <cell r="G4037" t="str">
            <v>Settled</v>
          </cell>
        </row>
        <row r="4038">
          <cell r="F4038" t="str">
            <v>CA-pesapeer-12/2023</v>
          </cell>
          <cell r="G4038" t="str">
            <v>Settled</v>
          </cell>
        </row>
        <row r="4039">
          <cell r="F4039" t="str">
            <v>CA-pesapeer-01/2024</v>
          </cell>
          <cell r="G4039" t="str">
            <v>Settled</v>
          </cell>
        </row>
        <row r="4040">
          <cell r="F4040" t="str">
            <v>CA-pesapeer-02/2024</v>
          </cell>
          <cell r="G4040" t="str">
            <v>Settled</v>
          </cell>
        </row>
        <row r="4041">
          <cell r="F4041" t="str">
            <v>CA-pesapeer-03/2024</v>
          </cell>
          <cell r="G4041" t="str">
            <v>Settled</v>
          </cell>
        </row>
        <row r="4042">
          <cell r="F4042" t="str">
            <v>CA-pesapeer-04/2024</v>
          </cell>
          <cell r="G4042" t="str">
            <v>Settled</v>
          </cell>
        </row>
        <row r="4043">
          <cell r="F4043" t="str">
            <v>CA-pesapeer-05/2024</v>
          </cell>
          <cell r="G4043" t="str">
            <v>Settled</v>
          </cell>
        </row>
        <row r="4044">
          <cell r="F4044" t="str">
            <v>CA-pesapeer-06/2024</v>
          </cell>
          <cell r="G4044" t="str">
            <v>Settled</v>
          </cell>
        </row>
        <row r="4045">
          <cell r="F4045" t="str">
            <v>CA-pesapeer-07/2024</v>
          </cell>
          <cell r="G4045" t="str">
            <v>Settled</v>
          </cell>
        </row>
        <row r="4046">
          <cell r="F4046" t="str">
            <v>CA-pesapeer-08/2024</v>
          </cell>
          <cell r="G4046" t="str">
            <v>Settled</v>
          </cell>
        </row>
        <row r="4047">
          <cell r="F4047" t="str">
            <v>CA-pesapeer-09/2024</v>
          </cell>
          <cell r="G4047" t="str">
            <v>Settled</v>
          </cell>
        </row>
        <row r="4048">
          <cell r="F4048" t="str">
            <v>CA-pesapeer-10/2024</v>
          </cell>
          <cell r="G4048" t="str">
            <v>Settled</v>
          </cell>
        </row>
        <row r="4049">
          <cell r="F4049" t="str">
            <v>CA-pesapeer-11/2024</v>
          </cell>
          <cell r="G4049" t="str">
            <v>Settled</v>
          </cell>
        </row>
        <row r="4050">
          <cell r="F4050" t="str">
            <v>CA-CN-pesapeer-10-2024</v>
          </cell>
          <cell r="G4050" t="str">
            <v>Settled</v>
          </cell>
        </row>
        <row r="4051">
          <cell r="F4051" t="str">
            <v>CA-CN-pesapeer-11-2024</v>
          </cell>
          <cell r="G4051" t="str">
            <v>Settled</v>
          </cell>
        </row>
        <row r="4052">
          <cell r="F4052" t="str">
            <v>SG-Phillip Bank-11/2022</v>
          </cell>
          <cell r="G4052" t="str">
            <v>Settled</v>
          </cell>
        </row>
        <row r="4053">
          <cell r="F4053" t="str">
            <v>SG-Phillip Bank-CR-11/2022</v>
          </cell>
          <cell r="G4053" t="str">
            <v>Settled</v>
          </cell>
        </row>
        <row r="4054">
          <cell r="F4054" t="str">
            <v>SG-Phillip Bank-12/2022</v>
          </cell>
          <cell r="G4054" t="str">
            <v>Settled</v>
          </cell>
        </row>
        <row r="4055">
          <cell r="F4055" t="str">
            <v>SG-Phillip Bank-CR-12/2022</v>
          </cell>
          <cell r="G4055" t="str">
            <v>Settled</v>
          </cell>
        </row>
        <row r="4056">
          <cell r="F4056" t="str">
            <v>SG-Phillip Bank-01/2023</v>
          </cell>
          <cell r="G4056" t="str">
            <v>Settled</v>
          </cell>
        </row>
        <row r="4057">
          <cell r="F4057" t="str">
            <v>SG-Phillip Bank-CR-01/2023</v>
          </cell>
          <cell r="G4057" t="str">
            <v>Settled</v>
          </cell>
        </row>
        <row r="4058">
          <cell r="F4058" t="str">
            <v>SG-Phillip Bank-02/2023</v>
          </cell>
          <cell r="G4058" t="str">
            <v>Settled</v>
          </cell>
        </row>
        <row r="4059">
          <cell r="F4059" t="str">
            <v>SG-Phillip Bank-CR-02/2023</v>
          </cell>
          <cell r="G4059" t="str">
            <v>Settled</v>
          </cell>
        </row>
        <row r="4060">
          <cell r="F4060" t="str">
            <v>SG-Phillip Bank-03/2023</v>
          </cell>
          <cell r="G4060" t="str">
            <v>Settled</v>
          </cell>
        </row>
        <row r="4061">
          <cell r="F4061" t="str">
            <v>SG-Phillip Bank-CR-03/2023</v>
          </cell>
          <cell r="G4061" t="str">
            <v>Settled</v>
          </cell>
        </row>
        <row r="4062">
          <cell r="F4062" t="str">
            <v>SG-Phillip Bank-04/2023</v>
          </cell>
          <cell r="G4062" t="str">
            <v>Settled</v>
          </cell>
        </row>
        <row r="4063">
          <cell r="F4063" t="str">
            <v>SG-Phillip Bank-CR-04/2023</v>
          </cell>
          <cell r="G4063" t="str">
            <v>Settled</v>
          </cell>
        </row>
        <row r="4064">
          <cell r="F4064" t="str">
            <v>SG-Phillip Bank-05/2023</v>
          </cell>
          <cell r="G4064" t="str">
            <v>Settled</v>
          </cell>
        </row>
        <row r="4065">
          <cell r="F4065" t="str">
            <v>SG-Phillip Bank-CR-05/2023</v>
          </cell>
          <cell r="G4065" t="str">
            <v>Settled</v>
          </cell>
        </row>
        <row r="4066">
          <cell r="F4066" t="str">
            <v>SG-Phillip Bank-06/2023</v>
          </cell>
          <cell r="G4066" t="str">
            <v>Settled</v>
          </cell>
        </row>
        <row r="4067">
          <cell r="F4067" t="str">
            <v>SG-Phillip Bank-CR-06/2023</v>
          </cell>
          <cell r="G4067" t="str">
            <v>Settled</v>
          </cell>
        </row>
        <row r="4068">
          <cell r="F4068" t="str">
            <v>SG-Phillip Bank-07/2023</v>
          </cell>
          <cell r="G4068" t="str">
            <v>Settled</v>
          </cell>
        </row>
        <row r="4069">
          <cell r="F4069" t="str">
            <v>SG-Phillip Bank-CR-07/2023</v>
          </cell>
          <cell r="G4069" t="str">
            <v>Settled</v>
          </cell>
        </row>
        <row r="4070">
          <cell r="F4070" t="str">
            <v>SG -Phillip Bank-08/2023</v>
          </cell>
          <cell r="G4070" t="str">
            <v>Settled</v>
          </cell>
        </row>
        <row r="4071">
          <cell r="F4071" t="str">
            <v>SG -Phillip Bank-CR-08/2023</v>
          </cell>
          <cell r="G4071" t="str">
            <v>Settled</v>
          </cell>
        </row>
        <row r="4072">
          <cell r="F4072" t="str">
            <v>SG-Phillip Bank-09/2023</v>
          </cell>
          <cell r="G4072" t="str">
            <v>Settled</v>
          </cell>
        </row>
        <row r="4073">
          <cell r="F4073" t="str">
            <v>SG-Phillip Bank-CR-09/2023</v>
          </cell>
          <cell r="G4073" t="str">
            <v>Settled</v>
          </cell>
        </row>
        <row r="4074">
          <cell r="F4074" t="str">
            <v>SG-Phillip Bank-11/2023</v>
          </cell>
          <cell r="G4074" t="str">
            <v>Settled</v>
          </cell>
        </row>
        <row r="4075">
          <cell r="F4075" t="str">
            <v>SG-Phillip Bank-CR-11/2023</v>
          </cell>
          <cell r="G4075" t="str">
            <v>Settled</v>
          </cell>
        </row>
        <row r="4076">
          <cell r="F4076" t="str">
            <v>SG-Phillip Bank-12/2023</v>
          </cell>
          <cell r="G4076" t="str">
            <v>Settled</v>
          </cell>
        </row>
        <row r="4077">
          <cell r="F4077" t="str">
            <v>SG-Phillip Bank-01/2024</v>
          </cell>
          <cell r="G4077" t="str">
            <v>Settled</v>
          </cell>
        </row>
        <row r="4078">
          <cell r="F4078" t="str">
            <v>SG-Phillip Bank-CR-01/2024</v>
          </cell>
          <cell r="G4078" t="str">
            <v>Settled</v>
          </cell>
        </row>
        <row r="4079">
          <cell r="F4079" t="str">
            <v>SG-Phillip Bank-02/2024</v>
          </cell>
          <cell r="G4079" t="str">
            <v>Settled</v>
          </cell>
        </row>
        <row r="4080">
          <cell r="F4080" t="str">
            <v>SG-Phillip Bank-CR-02/2024</v>
          </cell>
          <cell r="G4080" t="str">
            <v>Settled</v>
          </cell>
        </row>
        <row r="4081">
          <cell r="F4081" t="str">
            <v>SG-Phillip Bank-03/2024</v>
          </cell>
          <cell r="G4081" t="str">
            <v>Settled</v>
          </cell>
        </row>
        <row r="4082">
          <cell r="F4082" t="str">
            <v>SG-Phillip Bank-04/2024</v>
          </cell>
          <cell r="G4082" t="str">
            <v>Settled</v>
          </cell>
        </row>
        <row r="4083">
          <cell r="F4083" t="str">
            <v>SG-Phillip Bank-CR-04/2024</v>
          </cell>
          <cell r="G4083" t="str">
            <v>Settled</v>
          </cell>
        </row>
        <row r="4084">
          <cell r="F4084" t="str">
            <v>SG-Phillip Bank-05/2024</v>
          </cell>
          <cell r="G4084" t="str">
            <v>Settled</v>
          </cell>
        </row>
        <row r="4085">
          <cell r="F4085" t="str">
            <v>SG-Phillip Bank-06/2024</v>
          </cell>
          <cell r="G4085" t="str">
            <v>Settled</v>
          </cell>
        </row>
        <row r="4086">
          <cell r="F4086" t="str">
            <v>SG-Phillip Bank-CR-06/2024</v>
          </cell>
          <cell r="G4086" t="str">
            <v>Settled</v>
          </cell>
        </row>
        <row r="4087">
          <cell r="F4087" t="str">
            <v>SG-Phillip Bank-07/2024</v>
          </cell>
          <cell r="G4087" t="str">
            <v>Settled</v>
          </cell>
        </row>
        <row r="4088">
          <cell r="F4088" t="str">
            <v>SG-Phillip Bank-CR-07/2024</v>
          </cell>
          <cell r="G4088" t="str">
            <v>Settled</v>
          </cell>
        </row>
        <row r="4089">
          <cell r="F4089" t="str">
            <v>SG-Phillip Bank-08/2024</v>
          </cell>
          <cell r="G4089" t="str">
            <v>Settled</v>
          </cell>
        </row>
        <row r="4090">
          <cell r="F4090" t="str">
            <v>SG-Phillip Bank-09/2024</v>
          </cell>
          <cell r="G4090" t="str">
            <v>Settled</v>
          </cell>
        </row>
        <row r="4091">
          <cell r="F4091" t="str">
            <v>SG-Phillip Bank-CR-09/2024</v>
          </cell>
          <cell r="G4091" t="str">
            <v>Settled</v>
          </cell>
        </row>
        <row r="4092">
          <cell r="F4092" t="str">
            <v>SG-Phillip Bank-10/2024</v>
          </cell>
          <cell r="G4092" t="str">
            <v>Settled</v>
          </cell>
        </row>
        <row r="4093">
          <cell r="F4093" t="str">
            <v>SG-Phillip Bank-CR-10/2024</v>
          </cell>
          <cell r="G4093" t="str">
            <v>Settled</v>
          </cell>
        </row>
        <row r="4094">
          <cell r="F4094" t="str">
            <v>SG-Phillip Bank-11/2024</v>
          </cell>
          <cell r="G4094" t="str">
            <v>Settled</v>
          </cell>
        </row>
        <row r="4095">
          <cell r="F4095" t="str">
            <v>SG-Phillip Bank-CR-12/2024</v>
          </cell>
          <cell r="G4095" t="str">
            <v>Settled</v>
          </cell>
        </row>
        <row r="4096">
          <cell r="F4096" t="str">
            <v>SG-Phillip Bank-12/2024</v>
          </cell>
          <cell r="G4096" t="str">
            <v>Settled</v>
          </cell>
        </row>
        <row r="4097">
          <cell r="F4097" t="str">
            <v>SG-Phillip Bank-01/2025</v>
          </cell>
          <cell r="G4097" t="str">
            <v>Settled</v>
          </cell>
        </row>
        <row r="4098">
          <cell r="F4098" t="str">
            <v>SG-Phillip Bank-02/2025</v>
          </cell>
          <cell r="G4098" t="str">
            <v>Settled</v>
          </cell>
        </row>
        <row r="4099">
          <cell r="F4099" t="str">
            <v>SG-Phillip Bank-CR-02/2025</v>
          </cell>
          <cell r="G4099" t="str">
            <v>Settled</v>
          </cell>
        </row>
        <row r="4100">
          <cell r="F4100" t="str">
            <v>SG-Phillip Bank-03/2025</v>
          </cell>
          <cell r="G4100" t="str">
            <v>Settled</v>
          </cell>
        </row>
        <row r="4101">
          <cell r="F4101" t="str">
            <v>SG-Phillip Bank-04/2025</v>
          </cell>
          <cell r="G4101" t="str">
            <v>Settled</v>
          </cell>
        </row>
        <row r="4102">
          <cell r="F4102" t="str">
            <v>SG-Phillip Bank-05/2025</v>
          </cell>
          <cell r="G4102" t="str">
            <v>Settled</v>
          </cell>
        </row>
        <row r="4103">
          <cell r="F4103" t="str">
            <v>SG-Phillip Bank-CR-05/2025</v>
          </cell>
          <cell r="G4103" t="str">
            <v>Settled</v>
          </cell>
        </row>
        <row r="4104">
          <cell r="F4104" t="str">
            <v>SG-Phillip Bank-06/2025</v>
          </cell>
          <cell r="G4104" t="str">
            <v>Settled</v>
          </cell>
        </row>
        <row r="4105">
          <cell r="F4105" t="str">
            <v>SG-Phillip Bank-07/2025</v>
          </cell>
          <cell r="G4105" t="str">
            <v>Settled</v>
          </cell>
        </row>
        <row r="4106">
          <cell r="F4106" t="str">
            <v>SG-Phillip Bank-08/2025</v>
          </cell>
          <cell r="G4106" t="str">
            <v>Settled</v>
          </cell>
        </row>
        <row r="4107">
          <cell r="F4107" t="str">
            <v>SG-Phillip Bank-09/2025</v>
          </cell>
          <cell r="G4107" t="str">
            <v>Settled</v>
          </cell>
        </row>
        <row r="4108">
          <cell r="F4108" t="str">
            <v>SG-Phillip Bank-CR-09/2025</v>
          </cell>
          <cell r="G4108" t="str">
            <v>Settled</v>
          </cell>
        </row>
        <row r="4109">
          <cell r="F4109" t="str">
            <v>SG-Phillip Bank-10/2025</v>
          </cell>
          <cell r="G4109" t="str">
            <v>Settled</v>
          </cell>
        </row>
        <row r="4110">
          <cell r="F4110" t="str">
            <v>SG-Phillip Bank-CR-10/2025</v>
          </cell>
          <cell r="G4110" t="str">
            <v>Settled</v>
          </cell>
        </row>
        <row r="4111">
          <cell r="F4111" t="str">
            <v>SG-Phillip Bank-11/2025</v>
          </cell>
          <cell r="G4111" t="str">
            <v>Settled</v>
          </cell>
        </row>
        <row r="4112">
          <cell r="F4112" t="str">
            <v>SG-Phillip Bank-CR-11/2025</v>
          </cell>
          <cell r="G4112" t="str">
            <v>Settled</v>
          </cell>
        </row>
        <row r="4113">
          <cell r="F4113" t="str">
            <v>SG-Phillip Bank-12/2025</v>
          </cell>
          <cell r="G4113" t="str">
            <v>Settled</v>
          </cell>
        </row>
        <row r="4114">
          <cell r="F4114" t="str">
            <v>SG-Phillip Bank-CR-12/2025</v>
          </cell>
          <cell r="G4114" t="str">
            <v>Settled</v>
          </cell>
        </row>
        <row r="4115">
          <cell r="F4115" t="str">
            <v>SG-Phillip Bank-01/2026</v>
          </cell>
          <cell r="G4115" t="str">
            <v>Settled</v>
          </cell>
        </row>
        <row r="4116">
          <cell r="F4116" t="str">
            <v>SG-Phillip Bank-02/2026</v>
          </cell>
          <cell r="G4116" t="str">
            <v>Settled</v>
          </cell>
        </row>
        <row r="4117">
          <cell r="F4117" t="str">
            <v>SG-CN-Phillip Bank-02-2026</v>
          </cell>
          <cell r="G4117" t="str">
            <v>Settled</v>
          </cell>
        </row>
        <row r="4118">
          <cell r="F4118" t="str">
            <v>SG-AD-Phnom Penh Commercial Bank Plc.-01-2026</v>
          </cell>
          <cell r="G4118" t="str">
            <v>Settled</v>
          </cell>
        </row>
        <row r="4119">
          <cell r="F4119" t="str">
            <v>HK-Playerauctions (HK) Co. Limited-04/2023</v>
          </cell>
          <cell r="G4119" t="str">
            <v>Settled</v>
          </cell>
        </row>
        <row r="4120">
          <cell r="F4120" t="str">
            <v>HK -Playerauctions (HK) Co. Limited-05/2023</v>
          </cell>
          <cell r="G4120" t="str">
            <v>Settled</v>
          </cell>
        </row>
        <row r="4121">
          <cell r="F4121" t="str">
            <v>HK-Playerauctions (HK) Co. Limited-05/2023</v>
          </cell>
          <cell r="G4121" t="str">
            <v>Settled</v>
          </cell>
        </row>
        <row r="4122">
          <cell r="F4122" t="str">
            <v>HK-Playerauctions (HK) Co. Limited-06/2023</v>
          </cell>
          <cell r="G4122" t="str">
            <v>Settled</v>
          </cell>
        </row>
        <row r="4123">
          <cell r="F4123" t="str">
            <v>HK-Playerauctions (HK) Co. Limited-07/2023</v>
          </cell>
          <cell r="G4123" t="str">
            <v>Settled</v>
          </cell>
        </row>
        <row r="4124">
          <cell r="F4124" t="str">
            <v>HK -Playerauctions (HK) Co. Limited-08/2023</v>
          </cell>
          <cell r="G4124" t="str">
            <v>Settled</v>
          </cell>
        </row>
        <row r="4125">
          <cell r="F4125" t="str">
            <v>HK-Playerauctions-09/2023</v>
          </cell>
          <cell r="G4125" t="str">
            <v>Settled</v>
          </cell>
        </row>
        <row r="4126">
          <cell r="F4126" t="str">
            <v>HK-Playerauctions-10/2023</v>
          </cell>
          <cell r="G4126" t="str">
            <v>Settled</v>
          </cell>
        </row>
        <row r="4127">
          <cell r="F4127" t="str">
            <v>HK-PlayerauctionsHK-11/2023</v>
          </cell>
          <cell r="G4127" t="str">
            <v>Settled</v>
          </cell>
        </row>
        <row r="4128">
          <cell r="F4128" t="str">
            <v>HK-Playerauctions-12/2023</v>
          </cell>
          <cell r="G4128" t="str">
            <v>Settled</v>
          </cell>
        </row>
        <row r="4129">
          <cell r="F4129" t="str">
            <v>HK-PLAYERAUCTIONS-01/2024</v>
          </cell>
          <cell r="G4129" t="str">
            <v>Settled</v>
          </cell>
        </row>
        <row r="4130">
          <cell r="F4130" t="str">
            <v>HK-PLAYERAUCTIONS-02/2024</v>
          </cell>
          <cell r="G4130" t="str">
            <v>Settled</v>
          </cell>
        </row>
        <row r="4131">
          <cell r="F4131" t="str">
            <v>HK-PLAYERAUCTIONS-03/2024</v>
          </cell>
          <cell r="G4131" t="str">
            <v>Settled</v>
          </cell>
        </row>
        <row r="4132">
          <cell r="F4132" t="str">
            <v>HK-PLAYERAUCTIONS-04/2024</v>
          </cell>
          <cell r="G4132" t="str">
            <v>Settled</v>
          </cell>
        </row>
        <row r="4133">
          <cell r="F4133" t="str">
            <v>HK-PLAYERAUCTIONS-05/2024</v>
          </cell>
          <cell r="G4133" t="str">
            <v>Settled</v>
          </cell>
        </row>
        <row r="4134">
          <cell r="F4134" t="str">
            <v>HK-PLAYERAUCTIONS-06/2024</v>
          </cell>
          <cell r="G4134" t="str">
            <v>Settled</v>
          </cell>
        </row>
        <row r="4135">
          <cell r="F4135" t="str">
            <v>HK-PLAYERAUCTIONS-07/2024</v>
          </cell>
          <cell r="G4135" t="str">
            <v>Settled</v>
          </cell>
        </row>
        <row r="4136">
          <cell r="F4136" t="str">
            <v>HK-Ppsl Paysafe-11/2022</v>
          </cell>
          <cell r="G4136" t="str">
            <v>Settled</v>
          </cell>
        </row>
        <row r="4137">
          <cell r="F4137" t="str">
            <v>HK-Ppsl Paysafe-12/2022</v>
          </cell>
          <cell r="G4137" t="str">
            <v>Settled</v>
          </cell>
        </row>
        <row r="4138">
          <cell r="F4138" t="str">
            <v>HK-Ppsl Paysafe-01/2023</v>
          </cell>
          <cell r="G4138" t="str">
            <v>Settled</v>
          </cell>
        </row>
        <row r="4139">
          <cell r="F4139" t="str">
            <v>HK-Ppsl Paysafe-02/2023</v>
          </cell>
          <cell r="G4139" t="str">
            <v>Settled</v>
          </cell>
        </row>
        <row r="4140">
          <cell r="F4140" t="str">
            <v>HK-Ppsl Paysafe-03/2023</v>
          </cell>
          <cell r="G4140" t="str">
            <v>Settled</v>
          </cell>
        </row>
        <row r="4141">
          <cell r="F4141" t="str">
            <v>HK-Ppsl Paysafe-04/2023</v>
          </cell>
          <cell r="G4141" t="str">
            <v>Settled</v>
          </cell>
        </row>
        <row r="4142">
          <cell r="F4142" t="str">
            <v>HK-Ppsl Paysafe-05/2023</v>
          </cell>
          <cell r="G4142" t="str">
            <v>Settled</v>
          </cell>
        </row>
        <row r="4143">
          <cell r="F4143" t="str">
            <v>HK-Ppsl Paysafe-06/2023</v>
          </cell>
          <cell r="G4143" t="str">
            <v>Settled</v>
          </cell>
        </row>
        <row r="4144">
          <cell r="F4144" t="str">
            <v>HK-Ppsl Paysafe-07/2023</v>
          </cell>
          <cell r="G4144" t="str">
            <v>Settled</v>
          </cell>
        </row>
        <row r="4145">
          <cell r="F4145" t="str">
            <v>HK -Ppsl Paysafe-08/2023</v>
          </cell>
          <cell r="G4145" t="str">
            <v>Settled</v>
          </cell>
        </row>
        <row r="4146">
          <cell r="F4146" t="str">
            <v>HK-Ppsl Paysafe-09/2023</v>
          </cell>
          <cell r="G4146" t="str">
            <v>Settled</v>
          </cell>
        </row>
        <row r="4147">
          <cell r="F4147" t="str">
            <v>HK-Ppsl Paysafe-10/2023</v>
          </cell>
          <cell r="G4147" t="str">
            <v>Settled</v>
          </cell>
        </row>
        <row r="4148">
          <cell r="F4148" t="str">
            <v>HK-Ppsl Paysafe-11/2023</v>
          </cell>
          <cell r="G4148" t="str">
            <v>Settled</v>
          </cell>
        </row>
        <row r="4149">
          <cell r="F4149" t="str">
            <v>HK-Ppsl Paysafe-12/2023</v>
          </cell>
          <cell r="G4149" t="str">
            <v>Settled</v>
          </cell>
        </row>
        <row r="4150">
          <cell r="F4150" t="str">
            <v>HK-Ppsl Paysafe-01/2024</v>
          </cell>
          <cell r="G4150" t="str">
            <v>Settled</v>
          </cell>
        </row>
        <row r="4151">
          <cell r="F4151" t="str">
            <v>HK-Ppsl Paysafe-02/2024</v>
          </cell>
          <cell r="G4151" t="str">
            <v>Settled</v>
          </cell>
        </row>
        <row r="4152">
          <cell r="F4152" t="str">
            <v>HK-Ppsl Paysafe-03/2024</v>
          </cell>
          <cell r="G4152" t="str">
            <v>Settled</v>
          </cell>
        </row>
        <row r="4153">
          <cell r="F4153" t="str">
            <v>HK-Ppsl Paysafe-04/2024</v>
          </cell>
          <cell r="G4153" t="str">
            <v>Settled</v>
          </cell>
        </row>
        <row r="4154">
          <cell r="F4154" t="str">
            <v>HK-Ppsl Paysafe-05/2024</v>
          </cell>
          <cell r="G4154" t="str">
            <v>Settled</v>
          </cell>
        </row>
        <row r="4155">
          <cell r="F4155" t="str">
            <v>HK-Ppsl Paysafe-06/2024</v>
          </cell>
          <cell r="G4155" t="str">
            <v>Settled</v>
          </cell>
        </row>
        <row r="4156">
          <cell r="F4156" t="str">
            <v>HK-Ppsl Paysafe-07/2024</v>
          </cell>
          <cell r="G4156" t="str">
            <v>Settled</v>
          </cell>
        </row>
        <row r="4157">
          <cell r="F4157" t="str">
            <v>HK-Ppsl Paysafe-08/2024</v>
          </cell>
          <cell r="G4157" t="str">
            <v>Settled</v>
          </cell>
        </row>
        <row r="4158">
          <cell r="F4158" t="str">
            <v>HK-Ppsl Paysafe-09/2024</v>
          </cell>
          <cell r="G4158" t="str">
            <v>Settled</v>
          </cell>
        </row>
        <row r="4159">
          <cell r="F4159" t="str">
            <v>HK-Ppsl Paysafe-10/2024</v>
          </cell>
          <cell r="G4159" t="str">
            <v>Settled</v>
          </cell>
        </row>
        <row r="4160">
          <cell r="F4160" t="str">
            <v>HK-Ppsl Paysafe-11/2024</v>
          </cell>
          <cell r="G4160" t="str">
            <v>Settled</v>
          </cell>
        </row>
        <row r="4161">
          <cell r="F4161" t="str">
            <v>HK-Ppsl Paysafe-12/2024</v>
          </cell>
          <cell r="G4161" t="str">
            <v>Settled</v>
          </cell>
        </row>
        <row r="4162">
          <cell r="F4162" t="str">
            <v>HK-Ppsl Paysafe-01/2025</v>
          </cell>
          <cell r="G4162" t="str">
            <v>Settled</v>
          </cell>
        </row>
        <row r="4163">
          <cell r="F4163" t="str">
            <v>HK-Ppsl Paysafe-02/2025</v>
          </cell>
          <cell r="G4163" t="str">
            <v>Settled</v>
          </cell>
        </row>
        <row r="4164">
          <cell r="F4164" t="str">
            <v>HK-Ppsl Paysafe-03/2025</v>
          </cell>
          <cell r="G4164" t="str">
            <v>Settled</v>
          </cell>
        </row>
        <row r="4165">
          <cell r="F4165" t="str">
            <v>HK-Ppsl Paysafe-04/2025</v>
          </cell>
          <cell r="G4165" t="str">
            <v>Settled</v>
          </cell>
        </row>
        <row r="4166">
          <cell r="F4166" t="str">
            <v>HK-Ppsl Paysafe-05/2025</v>
          </cell>
          <cell r="G4166" t="str">
            <v>Settled</v>
          </cell>
        </row>
        <row r="4167">
          <cell r="F4167" t="str">
            <v>HK-Ppsl Paysafe-06/2025</v>
          </cell>
          <cell r="G4167" t="str">
            <v>Settled</v>
          </cell>
        </row>
        <row r="4168">
          <cell r="F4168" t="str">
            <v>HK-Ppsl Paysafe-07/2025</v>
          </cell>
          <cell r="G4168" t="str">
            <v>Settled</v>
          </cell>
        </row>
        <row r="4169">
          <cell r="F4169" t="str">
            <v>HK-Ppsl Paysafe-08/2025</v>
          </cell>
          <cell r="G4169" t="str">
            <v>Settled</v>
          </cell>
        </row>
        <row r="4170">
          <cell r="F4170" t="str">
            <v>HK-Ppsl Paysafe-09/2025</v>
          </cell>
          <cell r="G4170" t="str">
            <v>Settled</v>
          </cell>
        </row>
        <row r="4171">
          <cell r="F4171" t="str">
            <v>HK-Ppsl Paysafe-10/2025</v>
          </cell>
          <cell r="G4171" t="str">
            <v>Settled</v>
          </cell>
        </row>
        <row r="4172">
          <cell r="F4172" t="str">
            <v>HK-Ppsl Paysafe-11/2025</v>
          </cell>
          <cell r="G4172" t="str">
            <v>Settled</v>
          </cell>
        </row>
        <row r="4173">
          <cell r="F4173" t="str">
            <v>HK-Ppsl Paysafe-12/2025</v>
          </cell>
          <cell r="G4173" t="str">
            <v>Settled</v>
          </cell>
        </row>
        <row r="4174">
          <cell r="F4174" t="str">
            <v>HK-Ppsl Paysafe-01/2026</v>
          </cell>
          <cell r="G4174" t="str">
            <v>Settled</v>
          </cell>
        </row>
        <row r="4175">
          <cell r="F4175" t="str">
            <v>HK-Ppsl Paysafe-02/2026</v>
          </cell>
          <cell r="G4175" t="str">
            <v>Settled</v>
          </cell>
        </row>
        <row r="4176">
          <cell r="F4176" t="str">
            <v>HK-Ppsl Skrill-11/2022</v>
          </cell>
          <cell r="G4176" t="str">
            <v>Settled</v>
          </cell>
        </row>
        <row r="4177">
          <cell r="F4177" t="str">
            <v>HK-Ppsl Skrill-12/2022</v>
          </cell>
          <cell r="G4177" t="str">
            <v>Settled</v>
          </cell>
        </row>
        <row r="4178">
          <cell r="F4178" t="str">
            <v>HK-Ppsl Skrill-01/2023</v>
          </cell>
          <cell r="G4178" t="str">
            <v>Settled</v>
          </cell>
        </row>
        <row r="4179">
          <cell r="F4179" t="str">
            <v>HK-Ppsl Skrill-02/2023</v>
          </cell>
          <cell r="G4179" t="str">
            <v>Settled</v>
          </cell>
        </row>
        <row r="4180">
          <cell r="F4180" t="str">
            <v>HK-Ppsl Skrill-03/2023</v>
          </cell>
          <cell r="G4180" t="str">
            <v>Settled</v>
          </cell>
        </row>
        <row r="4181">
          <cell r="F4181" t="str">
            <v>HK-Ppsl Skrill-04/2023</v>
          </cell>
          <cell r="G4181" t="str">
            <v>Settled</v>
          </cell>
        </row>
        <row r="4182">
          <cell r="F4182" t="str">
            <v>HK-Ppsl Skrill-05/2023</v>
          </cell>
          <cell r="G4182" t="str">
            <v>Settled</v>
          </cell>
        </row>
        <row r="4183">
          <cell r="F4183" t="str">
            <v>HK-Ppsl Skrill-06/2023</v>
          </cell>
          <cell r="G4183" t="str">
            <v>Settled</v>
          </cell>
        </row>
        <row r="4184">
          <cell r="F4184" t="str">
            <v>HK-Ppsl Skrill-07/2023</v>
          </cell>
          <cell r="G4184" t="str">
            <v>Settled</v>
          </cell>
        </row>
        <row r="4185">
          <cell r="F4185" t="str">
            <v>HK -Ppsl Skrill-08/2023</v>
          </cell>
          <cell r="G4185" t="str">
            <v>Settled</v>
          </cell>
        </row>
        <row r="4186">
          <cell r="F4186" t="str">
            <v>HK-Ppsl Skrill-09/2023</v>
          </cell>
          <cell r="G4186" t="str">
            <v>Settled</v>
          </cell>
        </row>
        <row r="4187">
          <cell r="F4187" t="str">
            <v>HK-Ppsl Skrill-10/2023</v>
          </cell>
          <cell r="G4187" t="str">
            <v>Settled</v>
          </cell>
        </row>
        <row r="4188">
          <cell r="F4188" t="str">
            <v>HK-Ppsl Skrill-11/2023</v>
          </cell>
          <cell r="G4188" t="str">
            <v>Settled</v>
          </cell>
        </row>
        <row r="4189">
          <cell r="F4189" t="str">
            <v>HK-Ppsl Skrill-12/2023</v>
          </cell>
          <cell r="G4189" t="str">
            <v>Settled</v>
          </cell>
        </row>
        <row r="4190">
          <cell r="F4190" t="str">
            <v>HK-Ppsl Skrill-01/2024</v>
          </cell>
          <cell r="G4190" t="str">
            <v>Settled</v>
          </cell>
        </row>
        <row r="4191">
          <cell r="F4191" t="str">
            <v>HK-Ppsl Skrill-02/2024</v>
          </cell>
          <cell r="G4191" t="str">
            <v>Settled</v>
          </cell>
        </row>
        <row r="4192">
          <cell r="F4192" t="str">
            <v>HK-Ppsl Skrill-03/2024</v>
          </cell>
          <cell r="G4192" t="str">
            <v>Settled</v>
          </cell>
        </row>
        <row r="4193">
          <cell r="F4193" t="str">
            <v>HK-Ppsl Skrill-04/2024</v>
          </cell>
          <cell r="G4193" t="str">
            <v>Settled</v>
          </cell>
        </row>
        <row r="4194">
          <cell r="F4194" t="str">
            <v>HK-Ppsl Skrill-05/2024</v>
          </cell>
          <cell r="G4194" t="str">
            <v>Settled</v>
          </cell>
        </row>
        <row r="4195">
          <cell r="F4195" t="str">
            <v>HK-Ppsl Skrill-06/2024</v>
          </cell>
          <cell r="G4195" t="str">
            <v>Settled</v>
          </cell>
        </row>
        <row r="4196">
          <cell r="F4196" t="str">
            <v>HK-Ppsl Skrill-07/2024</v>
          </cell>
          <cell r="G4196" t="str">
            <v>Settled</v>
          </cell>
        </row>
        <row r="4197">
          <cell r="F4197" t="str">
            <v>HK-Ppsl Skrill-08/2024</v>
          </cell>
          <cell r="G4197" t="str">
            <v>Settled</v>
          </cell>
        </row>
        <row r="4198">
          <cell r="F4198" t="str">
            <v>HK-Ppsl Skrill-09/2024</v>
          </cell>
          <cell r="G4198" t="str">
            <v>Settled</v>
          </cell>
        </row>
        <row r="4199">
          <cell r="F4199" t="str">
            <v>HK-Ppsl Skrill-10/2024</v>
          </cell>
          <cell r="G4199" t="str">
            <v>Settled</v>
          </cell>
        </row>
        <row r="4200">
          <cell r="F4200" t="str">
            <v>HK-Ppsl Skrill-11/2024</v>
          </cell>
          <cell r="G4200" t="str">
            <v>Settled</v>
          </cell>
        </row>
        <row r="4201">
          <cell r="F4201" t="str">
            <v>HK-Ppsl Skrill-12/2024</v>
          </cell>
          <cell r="G4201" t="str">
            <v>Settled</v>
          </cell>
        </row>
        <row r="4202">
          <cell r="F4202" t="str">
            <v>HK-Ppsl Skrill-01/2025</v>
          </cell>
          <cell r="G4202" t="str">
            <v>Settled</v>
          </cell>
        </row>
        <row r="4203">
          <cell r="F4203" t="str">
            <v>HK-Ppsl Skrill-02/2025</v>
          </cell>
          <cell r="G4203" t="str">
            <v>Settled</v>
          </cell>
        </row>
        <row r="4204">
          <cell r="F4204" t="str">
            <v>HK-Ppsl Skrill-03/2025</v>
          </cell>
          <cell r="G4204" t="str">
            <v>Settled</v>
          </cell>
        </row>
        <row r="4205">
          <cell r="F4205" t="str">
            <v>HK-Ppsl Skrill-04/2025</v>
          </cell>
          <cell r="G4205" t="str">
            <v>Settled</v>
          </cell>
        </row>
        <row r="4206">
          <cell r="F4206" t="str">
            <v>HK-Ppsl Skrill-05/2025</v>
          </cell>
          <cell r="G4206" t="str">
            <v>Settled</v>
          </cell>
        </row>
        <row r="4207">
          <cell r="F4207" t="str">
            <v>HK-Ppsl Skrill-06/2025</v>
          </cell>
          <cell r="G4207" t="str">
            <v>Settled</v>
          </cell>
        </row>
        <row r="4208">
          <cell r="F4208" t="str">
            <v>HK-Ppsl Skrill-07/2025</v>
          </cell>
          <cell r="G4208" t="str">
            <v>Settled</v>
          </cell>
        </row>
        <row r="4209">
          <cell r="F4209" t="str">
            <v>HK-Ppsl Skrill-08/2025</v>
          </cell>
          <cell r="G4209" t="str">
            <v>Settled</v>
          </cell>
        </row>
        <row r="4210">
          <cell r="F4210" t="str">
            <v>HK-Ppsl Skrill-09/2025</v>
          </cell>
          <cell r="G4210" t="str">
            <v>Settled</v>
          </cell>
        </row>
        <row r="4211">
          <cell r="F4211" t="str">
            <v>HK-Ppsl Skrill-10/2025</v>
          </cell>
          <cell r="G4211" t="str">
            <v>Settled</v>
          </cell>
        </row>
        <row r="4212">
          <cell r="F4212" t="str">
            <v>HK-Ppsl Skrill-11/2025</v>
          </cell>
          <cell r="G4212" t="str">
            <v>Settled</v>
          </cell>
        </row>
        <row r="4213">
          <cell r="F4213" t="str">
            <v>HK-Ppsl Skrill-12/2025</v>
          </cell>
          <cell r="G4213" t="str">
            <v>Settled</v>
          </cell>
        </row>
        <row r="4214">
          <cell r="F4214" t="str">
            <v>HK-Ppsl Skrill-01/2026</v>
          </cell>
          <cell r="G4214" t="str">
            <v>Settled</v>
          </cell>
        </row>
        <row r="4215">
          <cell r="F4215" t="str">
            <v>HK-Ppsl Skrill-02/2026</v>
          </cell>
          <cell r="G4215" t="str">
            <v>Settled</v>
          </cell>
        </row>
        <row r="4216">
          <cell r="F4216" t="str">
            <v>AU-ProAli-10/2024</v>
          </cell>
          <cell r="G4216" t="str">
            <v>Settled</v>
          </cell>
        </row>
        <row r="4217">
          <cell r="F4217" t="str">
            <v>AU-ProAli-11/2024</v>
          </cell>
          <cell r="G4217" t="str">
            <v>Settled</v>
          </cell>
        </row>
        <row r="4218">
          <cell r="F4218" t="str">
            <v>AU-ProAli-12/2024</v>
          </cell>
          <cell r="G4218" t="str">
            <v>Settled</v>
          </cell>
        </row>
        <row r="4219">
          <cell r="F4219" t="str">
            <v>AU-ProAli-02/2025</v>
          </cell>
          <cell r="G4219" t="str">
            <v>Settled</v>
          </cell>
        </row>
        <row r="4220">
          <cell r="F4220" t="str">
            <v>AU-ProAli-05/2025</v>
          </cell>
          <cell r="G4220" t="str">
            <v>Settled</v>
          </cell>
        </row>
        <row r="4221">
          <cell r="F4221" t="str">
            <v xml:space="preserve">ID-PT Dhanapatra-11/2023_x000D_
</v>
          </cell>
          <cell r="G4221" t="str">
            <v>Settled</v>
          </cell>
        </row>
        <row r="4222">
          <cell r="F4222" t="str">
            <v>ID-PT Dhanapatra-02/2024</v>
          </cell>
          <cell r="G4222" t="str">
            <v>Settled</v>
          </cell>
        </row>
        <row r="4223">
          <cell r="F4223" t="str">
            <v>ID-PT Dhanapatra-CR-05/2024</v>
          </cell>
          <cell r="G4223" t="str">
            <v>Settled</v>
          </cell>
        </row>
        <row r="4224">
          <cell r="F4224" t="str">
            <v>ID-PT Dhanapatra-CR-07/2024</v>
          </cell>
          <cell r="G4224" t="str">
            <v>Settled</v>
          </cell>
        </row>
        <row r="4225">
          <cell r="F4225" t="str">
            <v>ID-PT Dhanapatra-08/2024</v>
          </cell>
          <cell r="G4225" t="str">
            <v>Settled</v>
          </cell>
        </row>
        <row r="4226">
          <cell r="F4226" t="str">
            <v>ID-PT Dhanapatra-10/2024</v>
          </cell>
          <cell r="G4226" t="str">
            <v>Settled</v>
          </cell>
        </row>
        <row r="4227">
          <cell r="F4227" t="str">
            <v>ID-PT Dhanapatra-01/2025</v>
          </cell>
          <cell r="G4227" t="str">
            <v>Settled</v>
          </cell>
        </row>
        <row r="4228">
          <cell r="F4228" t="str">
            <v>ID-PT FLIPTECH LENTERA-08/2022</v>
          </cell>
          <cell r="G4228" t="str">
            <v>Settled</v>
          </cell>
        </row>
        <row r="4229">
          <cell r="F4229" t="str">
            <v>ID-PT FLIPTECH LENTERA-09/2022</v>
          </cell>
          <cell r="G4229" t="str">
            <v>Settled</v>
          </cell>
        </row>
        <row r="4230">
          <cell r="F4230" t="str">
            <v>ID-PT FLIPTECH LENTERA-10/2022</v>
          </cell>
          <cell r="G4230" t="str">
            <v>Settled</v>
          </cell>
        </row>
        <row r="4231">
          <cell r="F4231" t="str">
            <v>ID-PT FLIPTECH LENTERA INSPIRASI PERTIWI-11/2022</v>
          </cell>
          <cell r="G4231" t="str">
            <v>Settled</v>
          </cell>
        </row>
        <row r="4232">
          <cell r="F4232" t="str">
            <v>ID-PT FLIPTECH LENTERA INSPIRASI PERTIWI-12/2022</v>
          </cell>
          <cell r="G4232" t="str">
            <v>Settled</v>
          </cell>
        </row>
        <row r="4233">
          <cell r="F4233" t="str">
            <v>ID-PT FLIPTECH-01/2023</v>
          </cell>
          <cell r="G4233" t="str">
            <v>Settled</v>
          </cell>
        </row>
        <row r="4234">
          <cell r="F4234" t="str">
            <v>ID-PT FLIPTECH-02/2023</v>
          </cell>
          <cell r="G4234" t="str">
            <v>Settled</v>
          </cell>
        </row>
        <row r="4235">
          <cell r="F4235" t="str">
            <v>ID-PT FLIPTECH-03/2023</v>
          </cell>
          <cell r="G4235" t="str">
            <v>Settled</v>
          </cell>
        </row>
        <row r="4236">
          <cell r="F4236" t="str">
            <v>ID-PT FLIPTECH-04/2023</v>
          </cell>
          <cell r="G4236" t="str">
            <v>Settled</v>
          </cell>
        </row>
        <row r="4237">
          <cell r="F4237" t="str">
            <v>ID-PT FLIPTECH-05/2023</v>
          </cell>
          <cell r="G4237" t="str">
            <v>Settled</v>
          </cell>
        </row>
        <row r="4238">
          <cell r="F4238" t="str">
            <v>ID-PT FLIPTECH-06/2023</v>
          </cell>
          <cell r="G4238" t="str">
            <v>Settled</v>
          </cell>
        </row>
        <row r="4239">
          <cell r="F4239" t="str">
            <v>ID-PT FLIPTECH-07/2023</v>
          </cell>
          <cell r="G4239" t="str">
            <v>Settled</v>
          </cell>
        </row>
        <row r="4240">
          <cell r="F4240" t="str">
            <v>ID -PT FLIPTECH-08/2023</v>
          </cell>
          <cell r="G4240" t="str">
            <v>Settled</v>
          </cell>
        </row>
        <row r="4241">
          <cell r="F4241" t="str">
            <v>ID-PT FLIPTECH-09/2023</v>
          </cell>
          <cell r="G4241" t="str">
            <v>Settled</v>
          </cell>
        </row>
        <row r="4242">
          <cell r="F4242" t="str">
            <v>ID-PT FLIPTECH-10/2023</v>
          </cell>
          <cell r="G4242" t="str">
            <v>Settled</v>
          </cell>
        </row>
        <row r="4243">
          <cell r="F4243" t="str">
            <v>ID-PT FLIPTECH-11/2023</v>
          </cell>
          <cell r="G4243" t="str">
            <v>Settled</v>
          </cell>
        </row>
        <row r="4244">
          <cell r="F4244" t="str">
            <v>ID-PT FLIPTECH-12/2023</v>
          </cell>
          <cell r="G4244" t="str">
            <v>Settled</v>
          </cell>
        </row>
        <row r="4245">
          <cell r="F4245" t="str">
            <v>ID-PT FLIPTECH-01/2024</v>
          </cell>
          <cell r="G4245" t="str">
            <v>Settled</v>
          </cell>
        </row>
        <row r="4246">
          <cell r="F4246" t="str">
            <v>ID-PT FLIPTECH-02/2024</v>
          </cell>
          <cell r="G4246" t="str">
            <v>Settled</v>
          </cell>
        </row>
        <row r="4247">
          <cell r="F4247" t="str">
            <v>ID-PT FLIPTECH-03/2024</v>
          </cell>
          <cell r="G4247" t="str">
            <v>Settled</v>
          </cell>
        </row>
        <row r="4248">
          <cell r="F4248" t="str">
            <v>ID-PT FLIPTECH-04/2024</v>
          </cell>
          <cell r="G4248" t="str">
            <v>Settled</v>
          </cell>
        </row>
        <row r="4249">
          <cell r="F4249" t="str">
            <v>ID-PT FLIPTECH-05/2024</v>
          </cell>
          <cell r="G4249" t="str">
            <v>Settled</v>
          </cell>
        </row>
        <row r="4250">
          <cell r="F4250" t="str">
            <v>ID-PT FLIPTECH-06/2024</v>
          </cell>
          <cell r="G4250" t="str">
            <v>Settled</v>
          </cell>
        </row>
        <row r="4251">
          <cell r="F4251" t="str">
            <v>ID-PT FLIPTECH-07/2024</v>
          </cell>
          <cell r="G4251" t="str">
            <v>Settled</v>
          </cell>
        </row>
        <row r="4252">
          <cell r="F4252" t="str">
            <v>ID-PT FLIPTECH-08/2024</v>
          </cell>
          <cell r="G4252" t="str">
            <v>Settled</v>
          </cell>
        </row>
        <row r="4253">
          <cell r="F4253" t="str">
            <v>ID-PT FLIPTECH-09/2024</v>
          </cell>
          <cell r="G4253" t="str">
            <v>Settled</v>
          </cell>
        </row>
        <row r="4254">
          <cell r="F4254" t="str">
            <v>ID-PT FLIPTECH-10/2024</v>
          </cell>
          <cell r="G4254" t="str">
            <v>Settled</v>
          </cell>
        </row>
        <row r="4255">
          <cell r="F4255" t="str">
            <v>ID-PT FLIPTECH-11/2024</v>
          </cell>
          <cell r="G4255" t="str">
            <v>Settled</v>
          </cell>
        </row>
        <row r="4256">
          <cell r="F4256" t="str">
            <v>ID-PT FLIPTECH-12/2024</v>
          </cell>
          <cell r="G4256" t="str">
            <v>Settled</v>
          </cell>
        </row>
        <row r="4257">
          <cell r="F4257" t="str">
            <v>ID-PT FLIPTECH-01/2025</v>
          </cell>
          <cell r="G4257" t="str">
            <v>Settled</v>
          </cell>
        </row>
        <row r="4258">
          <cell r="F4258" t="str">
            <v>ID-PT FLIPTECH-02/2025</v>
          </cell>
          <cell r="G4258" t="str">
            <v>Settled</v>
          </cell>
        </row>
        <row r="4259">
          <cell r="F4259" t="str">
            <v>ID-PT FLIPTECH-03/2025</v>
          </cell>
          <cell r="G4259" t="str">
            <v>Settled</v>
          </cell>
        </row>
        <row r="4260">
          <cell r="F4260" t="str">
            <v>ID-PT FLIPTECH-04/2025</v>
          </cell>
          <cell r="G4260" t="str">
            <v>Settled</v>
          </cell>
        </row>
        <row r="4261">
          <cell r="F4261" t="str">
            <v>ID-PT FLIPTECH-05/2025</v>
          </cell>
          <cell r="G4261" t="str">
            <v>Settled</v>
          </cell>
        </row>
        <row r="4262">
          <cell r="F4262" t="str">
            <v>ID-PT FLIPTECH-06/2025</v>
          </cell>
          <cell r="G4262" t="str">
            <v>Settled</v>
          </cell>
        </row>
        <row r="4263">
          <cell r="F4263" t="str">
            <v>ID-PT FLIPTECH-07/2025</v>
          </cell>
          <cell r="G4263" t="str">
            <v>Settled</v>
          </cell>
        </row>
        <row r="4264">
          <cell r="F4264" t="str">
            <v>ID-PT FLIPTECH-08/2025</v>
          </cell>
          <cell r="G4264" t="str">
            <v>Settled</v>
          </cell>
        </row>
        <row r="4265">
          <cell r="F4265" t="str">
            <v>ID-PT FLIPTECH-09/2025</v>
          </cell>
          <cell r="G4265" t="str">
            <v>Settled</v>
          </cell>
        </row>
        <row r="4266">
          <cell r="F4266" t="str">
            <v>ID-PT FLIPTECH-10/2025</v>
          </cell>
          <cell r="G4266" t="str">
            <v>Settled</v>
          </cell>
        </row>
        <row r="4267">
          <cell r="F4267" t="str">
            <v>ID-PT FLIPTECH-11/2025</v>
          </cell>
          <cell r="G4267" t="str">
            <v>Settled</v>
          </cell>
        </row>
        <row r="4268">
          <cell r="F4268" t="str">
            <v>ID-PT FLIPTECH-12/2025</v>
          </cell>
          <cell r="G4268" t="str">
            <v>Settled</v>
          </cell>
        </row>
        <row r="4269">
          <cell r="F4269" t="str">
            <v>ID-PT FLIPTECH-01/2026</v>
          </cell>
          <cell r="G4269" t="str">
            <v>Settled</v>
          </cell>
        </row>
        <row r="4270">
          <cell r="F4270" t="str">
            <v>ID-PT FLIPTECH-02/2026</v>
          </cell>
          <cell r="G4270" t="str">
            <v>Settled</v>
          </cell>
        </row>
        <row r="4271">
          <cell r="F4271" t="str">
            <v>ID-Harsya Remitindo-11/2024</v>
          </cell>
          <cell r="G4271" t="str">
            <v>Settled</v>
          </cell>
        </row>
        <row r="4272">
          <cell r="F4272" t="str">
            <v>ID-Harsya Remitindo-12/2024</v>
          </cell>
          <cell r="G4272" t="str">
            <v>Settled</v>
          </cell>
        </row>
        <row r="4273">
          <cell r="F4273" t="str">
            <v>ID-Harsya Remitindo-01/2025</v>
          </cell>
          <cell r="G4273" t="str">
            <v>Settled</v>
          </cell>
        </row>
        <row r="4274">
          <cell r="F4274" t="str">
            <v>ID-Harsya Remitindo-02/2025</v>
          </cell>
          <cell r="G4274" t="str">
            <v>Settled</v>
          </cell>
        </row>
        <row r="4275">
          <cell r="F4275" t="str">
            <v>ID-Harsya Remitindo-03/2025</v>
          </cell>
          <cell r="G4275" t="str">
            <v>Settled</v>
          </cell>
        </row>
        <row r="4276">
          <cell r="F4276" t="str">
            <v>ID-Harsya Remitindo-04/2025</v>
          </cell>
          <cell r="G4276" t="str">
            <v>Settled</v>
          </cell>
        </row>
        <row r="4277">
          <cell r="F4277" t="str">
            <v>ID-Harsya Remitindo-05/2025</v>
          </cell>
          <cell r="G4277" t="str">
            <v>Settled</v>
          </cell>
        </row>
        <row r="4278">
          <cell r="F4278" t="str">
            <v>ID-Harsya Remitindo-06/2025</v>
          </cell>
          <cell r="G4278" t="str">
            <v>Settled</v>
          </cell>
        </row>
        <row r="4279">
          <cell r="F4279" t="str">
            <v>ID-Harsya Remitindo-07/2025</v>
          </cell>
          <cell r="G4279" t="str">
            <v>Settled</v>
          </cell>
        </row>
        <row r="4280">
          <cell r="F4280" t="str">
            <v>ID-Harsya Remitindo-08/2025</v>
          </cell>
          <cell r="G4280" t="str">
            <v>Settled</v>
          </cell>
        </row>
        <row r="4281">
          <cell r="F4281" t="str">
            <v>ID-Harsya Remitindo-09/2025</v>
          </cell>
          <cell r="G4281" t="str">
            <v>Settled</v>
          </cell>
        </row>
        <row r="4282">
          <cell r="F4282" t="str">
            <v>ID-Harsya Remitindo-10/2025</v>
          </cell>
          <cell r="G4282" t="str">
            <v>Settled</v>
          </cell>
        </row>
        <row r="4283">
          <cell r="F4283" t="str">
            <v>ID-Harsya Remitindo-11/2025</v>
          </cell>
          <cell r="G4283" t="str">
            <v>Settled</v>
          </cell>
        </row>
        <row r="4284">
          <cell r="F4284" t="str">
            <v>ID-Harsya Remitindo-12/2025</v>
          </cell>
          <cell r="G4284" t="str">
            <v>Settled</v>
          </cell>
        </row>
        <row r="4285">
          <cell r="F4285" t="str">
            <v>ID-Harsya Remitindo-01/2026</v>
          </cell>
          <cell r="G4285" t="str">
            <v>Settled</v>
          </cell>
        </row>
        <row r="4286">
          <cell r="F4286" t="str">
            <v>ID-Harsya Remitindo-02/2026</v>
          </cell>
          <cell r="G4286" t="str">
            <v>Overdue</v>
          </cell>
        </row>
        <row r="4287">
          <cell r="F4287" t="str">
            <v>ID-Koala Remittance-11/2023</v>
          </cell>
          <cell r="G4287" t="str">
            <v>Settled</v>
          </cell>
        </row>
        <row r="4288">
          <cell r="F4288" t="str">
            <v>ID-Koala Remittance-12/2023</v>
          </cell>
          <cell r="G4288" t="str">
            <v>Settled</v>
          </cell>
        </row>
        <row r="4289">
          <cell r="F4289" t="str">
            <v>ID-Koala Remittance-01/2024</v>
          </cell>
          <cell r="G4289" t="str">
            <v>Settled</v>
          </cell>
        </row>
        <row r="4290">
          <cell r="F4290" t="str">
            <v>ID-Koala Remittance-02/2024</v>
          </cell>
          <cell r="G4290" t="str">
            <v>Settled</v>
          </cell>
        </row>
        <row r="4291">
          <cell r="F4291" t="str">
            <v>ID-Koala Remittance-03/2024</v>
          </cell>
          <cell r="G4291" t="str">
            <v>Settled</v>
          </cell>
        </row>
        <row r="4292">
          <cell r="F4292" t="str">
            <v>ID-Koala Remittance-04/2024</v>
          </cell>
          <cell r="G4292" t="str">
            <v>Settled</v>
          </cell>
        </row>
        <row r="4293">
          <cell r="F4293" t="str">
            <v>ID-Koala Remittance-05/2024</v>
          </cell>
          <cell r="G4293" t="str">
            <v>Settled</v>
          </cell>
        </row>
        <row r="4294">
          <cell r="F4294" t="str">
            <v>ID-Koala Remittance-06/2024</v>
          </cell>
          <cell r="G4294" t="str">
            <v>Settled</v>
          </cell>
        </row>
        <row r="4295">
          <cell r="F4295" t="str">
            <v>ID-Koala Remittance-07/2024</v>
          </cell>
          <cell r="G4295" t="str">
            <v>Settled</v>
          </cell>
        </row>
        <row r="4296">
          <cell r="F4296" t="str">
            <v>ID-DN-Koala Remittance-06-2024</v>
          </cell>
          <cell r="G4296" t="str">
            <v>Settled</v>
          </cell>
        </row>
        <row r="4297">
          <cell r="F4297" t="str">
            <v>ID-Koala Remittance-08/2024</v>
          </cell>
          <cell r="G4297" t="str">
            <v>Settled</v>
          </cell>
        </row>
        <row r="4298">
          <cell r="F4298" t="str">
            <v>ID-Koala Remittance-09/2024</v>
          </cell>
          <cell r="G4298" t="str">
            <v>Settled</v>
          </cell>
        </row>
        <row r="4299">
          <cell r="F4299" t="str">
            <v>ID-Koala Remittance-10/2024</v>
          </cell>
          <cell r="G4299" t="str">
            <v>Settled</v>
          </cell>
        </row>
        <row r="4300">
          <cell r="F4300" t="str">
            <v>ID-Koala Remittance-11/2024</v>
          </cell>
          <cell r="G4300" t="str">
            <v>Settled</v>
          </cell>
        </row>
        <row r="4301">
          <cell r="F4301" t="str">
            <v>ID-Koala Remittance-12/2024</v>
          </cell>
          <cell r="G4301" t="str">
            <v>Settled</v>
          </cell>
        </row>
        <row r="4302">
          <cell r="F4302" t="str">
            <v>ID-Koala Remittance-01/2025</v>
          </cell>
          <cell r="G4302" t="str">
            <v>Settled</v>
          </cell>
        </row>
        <row r="4303">
          <cell r="F4303" t="str">
            <v>ID-Koala Remittance-02/2025</v>
          </cell>
          <cell r="G4303" t="str">
            <v>Settled</v>
          </cell>
        </row>
        <row r="4304">
          <cell r="F4304" t="str">
            <v>ID-Koala Remittance-03/2025</v>
          </cell>
          <cell r="G4304" t="str">
            <v>Settled</v>
          </cell>
        </row>
        <row r="4305">
          <cell r="F4305" t="str">
            <v>ID-Koala Remittance-04/2025</v>
          </cell>
          <cell r="G4305" t="str">
            <v>Settled</v>
          </cell>
        </row>
        <row r="4306">
          <cell r="F4306" t="str">
            <v>ID-Koala Remittance-05/2025</v>
          </cell>
          <cell r="G4306" t="str">
            <v>Settled</v>
          </cell>
        </row>
        <row r="4307">
          <cell r="F4307" t="str">
            <v>ID-Koala Remittance-06/2025</v>
          </cell>
          <cell r="G4307" t="str">
            <v>Settled</v>
          </cell>
        </row>
        <row r="4308">
          <cell r="F4308" t="str">
            <v>ID-Koala Remittance-07/2025</v>
          </cell>
          <cell r="G4308" t="str">
            <v>Settled</v>
          </cell>
        </row>
        <row r="4309">
          <cell r="F4309" t="str">
            <v>ID-Koala Remittance-08/2025</v>
          </cell>
          <cell r="G4309" t="str">
            <v>Settled</v>
          </cell>
        </row>
        <row r="4310">
          <cell r="F4310" t="str">
            <v>ID-Koala Remittance-09/2025</v>
          </cell>
          <cell r="G4310" t="str">
            <v>Settled</v>
          </cell>
        </row>
        <row r="4311">
          <cell r="F4311" t="str">
            <v>ID-Koala Remittance-10/2025</v>
          </cell>
          <cell r="G4311" t="str">
            <v>Settled</v>
          </cell>
        </row>
        <row r="4312">
          <cell r="F4312" t="str">
            <v>ID-Koala Remittance-11/2025</v>
          </cell>
          <cell r="G4312" t="str">
            <v>Settled</v>
          </cell>
        </row>
        <row r="4313">
          <cell r="F4313" t="str">
            <v>ID-Koala Remittance-12/2025</v>
          </cell>
          <cell r="G4313" t="str">
            <v>Settled</v>
          </cell>
        </row>
        <row r="4314">
          <cell r="F4314" t="str">
            <v>ID-Koala Remittance-01/2026</v>
          </cell>
          <cell r="G4314" t="str">
            <v>Settled</v>
          </cell>
        </row>
        <row r="4315">
          <cell r="F4315" t="str">
            <v>ID-Koala Remittance-02/2026</v>
          </cell>
          <cell r="G4315" t="str">
            <v>Settled</v>
          </cell>
        </row>
        <row r="4316">
          <cell r="F4316" t="str">
            <v>US-Koal-Verify-04/2025</v>
          </cell>
          <cell r="G4316" t="str">
            <v>Settled</v>
          </cell>
        </row>
        <row r="4317">
          <cell r="F4317" t="str">
            <v>US-Koal-Verify-05/2025</v>
          </cell>
          <cell r="G4317" t="str">
            <v>Settled</v>
          </cell>
        </row>
        <row r="4318">
          <cell r="F4318" t="str">
            <v>US-Koala-Verify-06/2025</v>
          </cell>
          <cell r="G4318" t="str">
            <v>Settled</v>
          </cell>
        </row>
        <row r="4319">
          <cell r="F4319" t="str">
            <v>US-Koala-Verify-07/2025</v>
          </cell>
          <cell r="G4319" t="str">
            <v>Settled</v>
          </cell>
        </row>
        <row r="4320">
          <cell r="F4320" t="str">
            <v>US-Koala-Verify-08/2025</v>
          </cell>
          <cell r="G4320" t="str">
            <v>Settled</v>
          </cell>
        </row>
        <row r="4321">
          <cell r="F4321" t="str">
            <v>US-Koala-Verify-09/2025</v>
          </cell>
          <cell r="G4321" t="str">
            <v>Settled</v>
          </cell>
        </row>
        <row r="4322">
          <cell r="F4322" t="str">
            <v>US-Koala-Verify-10/2025</v>
          </cell>
          <cell r="G4322" t="str">
            <v>Settled</v>
          </cell>
        </row>
        <row r="4323">
          <cell r="F4323" t="str">
            <v>US-Koala-Verify-11/2025</v>
          </cell>
          <cell r="G4323" t="str">
            <v>Settled</v>
          </cell>
        </row>
        <row r="4324">
          <cell r="F4324" t="str">
            <v>US-Koala-Verify-12/2025</v>
          </cell>
          <cell r="G4324" t="str">
            <v>Settled</v>
          </cell>
        </row>
        <row r="4325">
          <cell r="F4325" t="str">
            <v>US-Koala-Verify-01/2026</v>
          </cell>
          <cell r="G4325" t="str">
            <v>Settled</v>
          </cell>
        </row>
        <row r="4326">
          <cell r="F4326" t="str">
            <v>US-Koala-Verify-02/2026</v>
          </cell>
          <cell r="G4326" t="str">
            <v>Settled</v>
          </cell>
        </row>
        <row r="4327">
          <cell r="F4327" t="str">
            <v>ID-PT Kredigram-08/2025</v>
          </cell>
          <cell r="G4327" t="str">
            <v>Settled</v>
          </cell>
        </row>
        <row r="4328">
          <cell r="F4328" t="str">
            <v>ID-PT Kredigram-11/2025</v>
          </cell>
          <cell r="G4328" t="str">
            <v>Settled</v>
          </cell>
        </row>
        <row r="4329">
          <cell r="F4329" t="str">
            <v>ID-Pt mega-07/2022</v>
          </cell>
          <cell r="G4329" t="str">
            <v>Settled</v>
          </cell>
        </row>
        <row r="4330">
          <cell r="F4330" t="str">
            <v>ID-Pt mega-09/2022</v>
          </cell>
          <cell r="G4330" t="str">
            <v>Settled</v>
          </cell>
        </row>
        <row r="4331">
          <cell r="F4331" t="str">
            <v>ID-Pt mega-10/2022</v>
          </cell>
          <cell r="G4331" t="str">
            <v>Settled</v>
          </cell>
        </row>
        <row r="4332">
          <cell r="F4332" t="str">
            <v>ID-Pt mega shopintar indonesia-11/2022</v>
          </cell>
          <cell r="G4332" t="str">
            <v>Settled</v>
          </cell>
        </row>
        <row r="4333">
          <cell r="F4333" t="str">
            <v>ID-Pt mega shopintar indonesia-12/2022</v>
          </cell>
          <cell r="G4333" t="str">
            <v>Settled</v>
          </cell>
        </row>
        <row r="4334">
          <cell r="F4334" t="str">
            <v>ID-Pt mega shopintar indonesia-01/2023</v>
          </cell>
          <cell r="G4334" t="str">
            <v>Settled</v>
          </cell>
        </row>
        <row r="4335">
          <cell r="F4335" t="str">
            <v>ID-Ptmegashop-02/2023</v>
          </cell>
          <cell r="G4335" t="str">
            <v>Settled</v>
          </cell>
        </row>
        <row r="4336">
          <cell r="F4336" t="str">
            <v>ID-Ptmegashop-03/2023</v>
          </cell>
          <cell r="G4336" t="str">
            <v>Settled</v>
          </cell>
        </row>
        <row r="4337">
          <cell r="F4337" t="str">
            <v>ID-Ptmegashop-04/2023</v>
          </cell>
          <cell r="G4337" t="str">
            <v>Settled</v>
          </cell>
        </row>
        <row r="4338">
          <cell r="F4338" t="str">
            <v>ID-Ptmegashop-05/2023</v>
          </cell>
          <cell r="G4338" t="str">
            <v>Settled</v>
          </cell>
        </row>
        <row r="4339">
          <cell r="F4339" t="str">
            <v>ID-Ptmegashop-06/2023</v>
          </cell>
          <cell r="G4339" t="str">
            <v>Settled</v>
          </cell>
        </row>
        <row r="4340">
          <cell r="F4340" t="str">
            <v>ID-Ptmegashop-07/2023</v>
          </cell>
          <cell r="G4340" t="str">
            <v>Settled</v>
          </cell>
        </row>
        <row r="4341">
          <cell r="F4341" t="str">
            <v>ID -Ptmegashop-08/2023</v>
          </cell>
          <cell r="G4341" t="str">
            <v>Settled</v>
          </cell>
        </row>
        <row r="4342">
          <cell r="F4342" t="str">
            <v>ID-Ptmegashop-09/2023</v>
          </cell>
          <cell r="G4342" t="str">
            <v>Settled</v>
          </cell>
        </row>
        <row r="4343">
          <cell r="F4343" t="str">
            <v>ID-CN-Ptmegashop-03-2023</v>
          </cell>
          <cell r="G4343" t="str">
            <v>Settled</v>
          </cell>
        </row>
        <row r="4344">
          <cell r="F4344" t="str">
            <v>ID-CN-Ptmegashop-09-2023</v>
          </cell>
          <cell r="G4344" t="str">
            <v>Settled</v>
          </cell>
        </row>
        <row r="4345">
          <cell r="F4345" t="str">
            <v>ID-PT Midtrans-06/2025</v>
          </cell>
          <cell r="G4345" t="str">
            <v>Settled</v>
          </cell>
        </row>
        <row r="4346">
          <cell r="F4346" t="str">
            <v>ID-PT Midtrans-07/2025</v>
          </cell>
          <cell r="G4346" t="str">
            <v>Settled</v>
          </cell>
        </row>
        <row r="4347">
          <cell r="F4347" t="str">
            <v>ID-PT Midtrans-08/2025</v>
          </cell>
          <cell r="G4347" t="str">
            <v>Settled</v>
          </cell>
        </row>
        <row r="4348">
          <cell r="F4348" t="str">
            <v>ID-PT Midtrans-09/2025</v>
          </cell>
          <cell r="G4348" t="str">
            <v>Settled</v>
          </cell>
        </row>
        <row r="4349">
          <cell r="F4349" t="str">
            <v>ID-PT Midtrans-10/2025</v>
          </cell>
          <cell r="G4349" t="str">
            <v>Settled</v>
          </cell>
        </row>
        <row r="4350">
          <cell r="F4350" t="str">
            <v>ID-PT Midtrans-11/2025</v>
          </cell>
          <cell r="G4350" t="str">
            <v>Settled</v>
          </cell>
        </row>
        <row r="4351">
          <cell r="F4351" t="str">
            <v>ID-PT Midtrans-12/2025</v>
          </cell>
          <cell r="G4351" t="str">
            <v>Settled</v>
          </cell>
        </row>
        <row r="4352">
          <cell r="F4352" t="str">
            <v>ID-PT Midtrans-01/2026</v>
          </cell>
          <cell r="G4352" t="str">
            <v>Overdue</v>
          </cell>
        </row>
        <row r="4353">
          <cell r="F4353" t="str">
            <v>ID-PT Midtrans-02/2026</v>
          </cell>
          <cell r="G4353" t="str">
            <v>Invoice Sent</v>
          </cell>
        </row>
        <row r="4354">
          <cell r="F4354" t="str">
            <v>ID-PT Midtrans-11/2024</v>
          </cell>
          <cell r="G4354" t="str">
            <v>Settled</v>
          </cell>
        </row>
        <row r="4355">
          <cell r="F4355" t="str">
            <v>ID-PT Midtrans-12/2024</v>
          </cell>
          <cell r="G4355" t="str">
            <v>Settled</v>
          </cell>
        </row>
        <row r="4356">
          <cell r="F4356" t="str">
            <v>ID-PT Midtrans-01/2025</v>
          </cell>
          <cell r="G4356" t="str">
            <v>Settled</v>
          </cell>
        </row>
        <row r="4357">
          <cell r="F4357" t="str">
            <v>ID-PT Midtrans-02/2025</v>
          </cell>
          <cell r="G4357" t="str">
            <v>Settled</v>
          </cell>
        </row>
        <row r="4358">
          <cell r="F4358" t="str">
            <v>ID-PT Midtrans-03/2025</v>
          </cell>
          <cell r="G4358" t="str">
            <v>Settled</v>
          </cell>
        </row>
        <row r="4359">
          <cell r="F4359" t="str">
            <v>ID-PT Midtrans-04/2025</v>
          </cell>
          <cell r="G4359" t="str">
            <v>Settled</v>
          </cell>
        </row>
        <row r="4360">
          <cell r="F4360" t="str">
            <v>ID-PT Midtrans-05/2025</v>
          </cell>
          <cell r="G4360" t="str">
            <v>Settled</v>
          </cell>
        </row>
        <row r="4361">
          <cell r="F4361" t="str">
            <v>ID-ptpelita-04/2023</v>
          </cell>
          <cell r="G4361" t="str">
            <v>Settled</v>
          </cell>
        </row>
        <row r="4362">
          <cell r="F4362" t="str">
            <v>ID-ptpelita-03/2023</v>
          </cell>
          <cell r="G4362" t="str">
            <v>Settled</v>
          </cell>
        </row>
        <row r="4363">
          <cell r="F4363" t="str">
            <v>ID-ptpelita-05/2023</v>
          </cell>
          <cell r="G4363" t="str">
            <v>Settled</v>
          </cell>
        </row>
        <row r="4364">
          <cell r="F4364" t="str">
            <v>ID-ptpelita-06/2023</v>
          </cell>
          <cell r="G4364" t="str">
            <v>Settled</v>
          </cell>
        </row>
        <row r="4365">
          <cell r="F4365" t="str">
            <v>ID-ptpelita-07/2023</v>
          </cell>
          <cell r="G4365" t="str">
            <v>Settled</v>
          </cell>
        </row>
        <row r="4366">
          <cell r="F4366" t="str">
            <v>ID -ptpelita-08/2023</v>
          </cell>
          <cell r="G4366" t="str">
            <v>Settled</v>
          </cell>
        </row>
        <row r="4367">
          <cell r="F4367" t="str">
            <v>ID-ptpelita-09/2023</v>
          </cell>
          <cell r="G4367" t="str">
            <v>Settled</v>
          </cell>
        </row>
        <row r="4368">
          <cell r="F4368" t="str">
            <v>ID-ptpelita-10/2023</v>
          </cell>
          <cell r="G4368" t="str">
            <v>Settled</v>
          </cell>
        </row>
        <row r="4369">
          <cell r="F4369" t="str">
            <v>ID-ptpelita-11/2023</v>
          </cell>
          <cell r="G4369" t="str">
            <v>Settled</v>
          </cell>
        </row>
        <row r="4370">
          <cell r="F4370" t="str">
            <v>ID-ptpelita-12/2023</v>
          </cell>
          <cell r="G4370" t="str">
            <v>Settled</v>
          </cell>
        </row>
        <row r="4371">
          <cell r="F4371" t="str">
            <v>ID-ptpelita-01/2024</v>
          </cell>
          <cell r="G4371" t="str">
            <v>Settled</v>
          </cell>
        </row>
        <row r="4372">
          <cell r="F4372" t="str">
            <v>ID-ptpelita-02/2024</v>
          </cell>
          <cell r="G4372" t="str">
            <v>Settled</v>
          </cell>
        </row>
        <row r="4373">
          <cell r="F4373" t="str">
            <v>ID-ptpelita-03/2024</v>
          </cell>
          <cell r="G4373" t="str">
            <v>Settled</v>
          </cell>
        </row>
        <row r="4374">
          <cell r="F4374" t="str">
            <v>ID-ptpelita-04/2024</v>
          </cell>
          <cell r="G4374" t="str">
            <v>Settled</v>
          </cell>
        </row>
        <row r="4375">
          <cell r="F4375" t="str">
            <v>ID-ptpelita-05/2024</v>
          </cell>
          <cell r="G4375" t="str">
            <v>Settled</v>
          </cell>
        </row>
        <row r="4376">
          <cell r="F4376" t="str">
            <v>ID-ptpelita-06/2024</v>
          </cell>
          <cell r="G4376" t="str">
            <v>Settled</v>
          </cell>
        </row>
        <row r="4377">
          <cell r="F4377" t="str">
            <v>ID-ptpelita-07/2024</v>
          </cell>
          <cell r="G4377" t="str">
            <v>Settled</v>
          </cell>
        </row>
        <row r="4378">
          <cell r="F4378" t="str">
            <v>ID-ptpelita-08/2024</v>
          </cell>
          <cell r="G4378" t="str">
            <v>Settled</v>
          </cell>
        </row>
        <row r="4379">
          <cell r="F4379" t="str">
            <v>ID-ptpelita-09/2024</v>
          </cell>
          <cell r="G4379" t="str">
            <v>Settled</v>
          </cell>
        </row>
        <row r="4380">
          <cell r="F4380" t="str">
            <v>ID-ptpelita-10/2024</v>
          </cell>
          <cell r="G4380" t="str">
            <v>Settled</v>
          </cell>
        </row>
        <row r="4381">
          <cell r="F4381" t="str">
            <v>ID-ptpelita-11/2024</v>
          </cell>
          <cell r="G4381" t="str">
            <v>Settled</v>
          </cell>
        </row>
        <row r="4382">
          <cell r="F4382" t="str">
            <v>ID-ptpelita-12/2024</v>
          </cell>
          <cell r="G4382" t="str">
            <v>Settled</v>
          </cell>
        </row>
        <row r="4383">
          <cell r="F4383" t="str">
            <v>ID-ptpelita-01/2025</v>
          </cell>
          <cell r="G4383" t="str">
            <v>Settled</v>
          </cell>
        </row>
        <row r="4384">
          <cell r="F4384" t="str">
            <v>ID-ptpelita-02/2025</v>
          </cell>
          <cell r="G4384" t="str">
            <v>Settled</v>
          </cell>
        </row>
        <row r="4385">
          <cell r="F4385" t="str">
            <v>ID-ptpelita-03/2025</v>
          </cell>
          <cell r="G4385" t="str">
            <v>Settled</v>
          </cell>
        </row>
        <row r="4386">
          <cell r="F4386" t="str">
            <v>ID-ptpelita-05/2025</v>
          </cell>
          <cell r="G4386" t="str">
            <v>Settled</v>
          </cell>
        </row>
        <row r="4387">
          <cell r="F4387" t="str">
            <v>ID-ptpelita-06/2025</v>
          </cell>
          <cell r="G4387" t="str">
            <v>Settled</v>
          </cell>
        </row>
        <row r="4388">
          <cell r="F4388" t="str">
            <v>ID-ptpelita-07/2025</v>
          </cell>
          <cell r="G4388" t="str">
            <v>Settled</v>
          </cell>
        </row>
        <row r="4389">
          <cell r="F4389" t="str">
            <v>ID-ptpelita-08/2025</v>
          </cell>
          <cell r="G4389" t="str">
            <v>Settled</v>
          </cell>
        </row>
        <row r="4390">
          <cell r="F4390" t="str">
            <v>ID-ptpelita-09/2025</v>
          </cell>
          <cell r="G4390" t="str">
            <v>Settled</v>
          </cell>
        </row>
        <row r="4391">
          <cell r="F4391" t="str">
            <v>ID-ptpelita-10/2025</v>
          </cell>
          <cell r="G4391" t="str">
            <v>Overdue</v>
          </cell>
        </row>
        <row r="4392">
          <cell r="F4392" t="str">
            <v>ID-ptpelita-11/2025</v>
          </cell>
          <cell r="G4392" t="str">
            <v>Settled</v>
          </cell>
        </row>
        <row r="4393">
          <cell r="F4393" t="str">
            <v>ID-ptpelita-12/2025</v>
          </cell>
          <cell r="G4393" t="str">
            <v>Overdue</v>
          </cell>
        </row>
        <row r="4394">
          <cell r="F4394" t="str">
            <v>ID-PT Reyhan-05/2024</v>
          </cell>
          <cell r="G4394" t="str">
            <v>Settled</v>
          </cell>
        </row>
        <row r="4395">
          <cell r="F4395" t="str">
            <v>ID-PT Reyhan-11/2024</v>
          </cell>
          <cell r="G4395" t="str">
            <v>Settled</v>
          </cell>
        </row>
        <row r="4396">
          <cell r="F4396" t="str">
            <v>ID-PT Reyhan-12/2024</v>
          </cell>
          <cell r="G4396" t="str">
            <v>Settled</v>
          </cell>
        </row>
        <row r="4397">
          <cell r="F4397" t="str">
            <v>ID-PT Reyhan-01/2025</v>
          </cell>
          <cell r="G4397" t="str">
            <v>Settled</v>
          </cell>
        </row>
        <row r="4398">
          <cell r="F4398" t="str">
            <v>ID-PT Reyhan-02/2025</v>
          </cell>
          <cell r="G4398" t="str">
            <v>Settled</v>
          </cell>
        </row>
        <row r="4399">
          <cell r="F4399" t="str">
            <v>ID-PT Transwap Dunamis -10/2024</v>
          </cell>
          <cell r="G4399" t="str">
            <v>Settled</v>
          </cell>
        </row>
        <row r="4400">
          <cell r="F4400" t="str">
            <v>ID-PT Transwap-11/2024</v>
          </cell>
          <cell r="G4400" t="str">
            <v>Settled</v>
          </cell>
        </row>
        <row r="4401">
          <cell r="F4401" t="str">
            <v>ID-PT Transwap-12/2024</v>
          </cell>
          <cell r="G4401" t="str">
            <v>Settled</v>
          </cell>
        </row>
        <row r="4402">
          <cell r="F4402" t="str">
            <v>ID-PT Transwap-01/2025</v>
          </cell>
          <cell r="G4402" t="str">
            <v>Settled</v>
          </cell>
        </row>
        <row r="4403">
          <cell r="F4403" t="str">
            <v>ID-PT Transwap-02/2025</v>
          </cell>
          <cell r="G4403" t="str">
            <v>Settled</v>
          </cell>
        </row>
        <row r="4404">
          <cell r="F4404" t="str">
            <v>ID-PT Transwap-03/2025</v>
          </cell>
          <cell r="G4404" t="str">
            <v>Settled</v>
          </cell>
        </row>
        <row r="4405">
          <cell r="F4405" t="str">
            <v>ID-PT Transwap-04/2025</v>
          </cell>
          <cell r="G4405" t="str">
            <v>Settled</v>
          </cell>
        </row>
        <row r="4406">
          <cell r="F4406" t="str">
            <v>ID-PT Transwap-05/2025</v>
          </cell>
          <cell r="G4406" t="str">
            <v>Settled</v>
          </cell>
        </row>
        <row r="4407">
          <cell r="F4407" t="str">
            <v>ID-PT Transwap-06/2025</v>
          </cell>
          <cell r="G4407" t="str">
            <v>Settled</v>
          </cell>
        </row>
        <row r="4408">
          <cell r="F4408" t="str">
            <v>ID-PT Transwap-07/2025</v>
          </cell>
          <cell r="G4408" t="str">
            <v>Settled</v>
          </cell>
        </row>
        <row r="4409">
          <cell r="F4409" t="str">
            <v>ID-PT Transwap-08/2025</v>
          </cell>
          <cell r="G4409" t="str">
            <v>Settled</v>
          </cell>
        </row>
        <row r="4410">
          <cell r="F4410" t="str">
            <v>ID-PT Transwap-09/2025</v>
          </cell>
          <cell r="G4410" t="str">
            <v>Settled</v>
          </cell>
        </row>
        <row r="4411">
          <cell r="F4411" t="str">
            <v>ID-PT Transwap-10/2025</v>
          </cell>
          <cell r="G4411" t="str">
            <v>Settled</v>
          </cell>
        </row>
        <row r="4412">
          <cell r="F4412" t="str">
            <v>ID-PT Transwap-11/2025</v>
          </cell>
          <cell r="G4412" t="str">
            <v>Settled</v>
          </cell>
        </row>
        <row r="4413">
          <cell r="F4413" t="str">
            <v>ID-PT Transwap-12/2025</v>
          </cell>
          <cell r="G4413" t="str">
            <v>Settled</v>
          </cell>
        </row>
        <row r="4414">
          <cell r="F4414" t="str">
            <v>ID-PT Transwap-01/2026</v>
          </cell>
          <cell r="G4414" t="str">
            <v>Settled</v>
          </cell>
        </row>
        <row r="4415">
          <cell r="F4415" t="str">
            <v>ID-PT Transwap-02/2026</v>
          </cell>
          <cell r="G4415" t="str">
            <v>Force Settlement</v>
          </cell>
        </row>
        <row r="4416">
          <cell r="F4416" t="str">
            <v>ID-PTWEBUY-05/2023</v>
          </cell>
          <cell r="G4416" t="str">
            <v>Settled</v>
          </cell>
        </row>
        <row r="4417">
          <cell r="F4417" t="str">
            <v>ID-PTWEBUY-06/2023</v>
          </cell>
          <cell r="G4417" t="str">
            <v>Settled</v>
          </cell>
        </row>
        <row r="4418">
          <cell r="F4418" t="str">
            <v>ID-PTWEBUY-04/2023</v>
          </cell>
          <cell r="G4418" t="str">
            <v>Settled</v>
          </cell>
        </row>
        <row r="4419">
          <cell r="F4419" t="str">
            <v>ID-PTWEBUY-07/2023</v>
          </cell>
          <cell r="G4419" t="str">
            <v>Settled</v>
          </cell>
        </row>
        <row r="4420">
          <cell r="F4420" t="str">
            <v>ID -PTWEBUY-08/2023</v>
          </cell>
          <cell r="G4420" t="str">
            <v>Settled</v>
          </cell>
        </row>
        <row r="4421">
          <cell r="F4421" t="str">
            <v>ID-PTWEBUY-09/2023</v>
          </cell>
          <cell r="G4421" t="str">
            <v>Settled</v>
          </cell>
        </row>
        <row r="4422">
          <cell r="F4422" t="str">
            <v>ID-PTWEBUY-10/2023</v>
          </cell>
          <cell r="G4422" t="str">
            <v>Settled</v>
          </cell>
        </row>
        <row r="4423">
          <cell r="F4423" t="str">
            <v>ID-PTWEBUY-11/2023</v>
          </cell>
          <cell r="G4423" t="str">
            <v>Settled</v>
          </cell>
        </row>
        <row r="4424">
          <cell r="F4424" t="str">
            <v>ID-PTWEBUY-12/2023</v>
          </cell>
          <cell r="G4424" t="str">
            <v>Settled</v>
          </cell>
        </row>
        <row r="4425">
          <cell r="F4425" t="str">
            <v>ID-PT Worldwide-08/2024</v>
          </cell>
          <cell r="G4425" t="str">
            <v>Settled</v>
          </cell>
        </row>
        <row r="4426">
          <cell r="F4426" t="str">
            <v>ID-PT Worldwide-10/2024</v>
          </cell>
          <cell r="G4426" t="str">
            <v>Settled</v>
          </cell>
        </row>
        <row r="4427">
          <cell r="F4427" t="str">
            <v>ID-PT Worldwide-11/2024</v>
          </cell>
          <cell r="G4427" t="str">
            <v>Settled</v>
          </cell>
        </row>
        <row r="4428">
          <cell r="F4428" t="str">
            <v>ID-PT Worldwide-12/2024</v>
          </cell>
          <cell r="G4428" t="str">
            <v>Settled</v>
          </cell>
        </row>
        <row r="4429">
          <cell r="F4429" t="str">
            <v>ID-PT Worldwide-02/2025</v>
          </cell>
          <cell r="G4429" t="str">
            <v>Settled</v>
          </cell>
        </row>
        <row r="4430">
          <cell r="F4430" t="str">
            <v>ID-PT Worldwide-03/2025</v>
          </cell>
          <cell r="G4430" t="str">
            <v>Settled</v>
          </cell>
        </row>
        <row r="4431">
          <cell r="F4431" t="str">
            <v>ID-PT Worldwide-04/2025</v>
          </cell>
          <cell r="G4431" t="str">
            <v>Settled</v>
          </cell>
        </row>
        <row r="4432">
          <cell r="F4432" t="str">
            <v>ID-PT Worldwide-05/2025</v>
          </cell>
          <cell r="G4432" t="str">
            <v>Settled</v>
          </cell>
        </row>
        <row r="4433">
          <cell r="F4433" t="str">
            <v>ID-PT Worldwide-06/2025</v>
          </cell>
          <cell r="G4433" t="str">
            <v>Settled</v>
          </cell>
        </row>
        <row r="4434">
          <cell r="F4434" t="str">
            <v>ID-PT Worldwide-07/2025</v>
          </cell>
          <cell r="G4434" t="str">
            <v>Settled</v>
          </cell>
        </row>
        <row r="4435">
          <cell r="F4435" t="str">
            <v>ID-PT Worldwide-08/2025</v>
          </cell>
          <cell r="G4435" t="str">
            <v>Settled</v>
          </cell>
        </row>
        <row r="4436">
          <cell r="F4436" t="str">
            <v>ID-PT Worldwide-09/2025</v>
          </cell>
          <cell r="G4436" t="str">
            <v>Settled</v>
          </cell>
        </row>
        <row r="4437">
          <cell r="F4437" t="str">
            <v>ID-PT Worldwide-10/2025</v>
          </cell>
          <cell r="G4437" t="str">
            <v>Settled</v>
          </cell>
        </row>
        <row r="4438">
          <cell r="F4438" t="str">
            <v>ID-PT Worldwide-11/2025</v>
          </cell>
          <cell r="G4438" t="str">
            <v>Settled</v>
          </cell>
        </row>
        <row r="4439">
          <cell r="F4439" t="str">
            <v>ID-PT Worldwide-12/2025</v>
          </cell>
          <cell r="G4439" t="str">
            <v>Settled</v>
          </cell>
        </row>
        <row r="4440">
          <cell r="F4440" t="str">
            <v>ID-PT Worldwide-01/2026</v>
          </cell>
          <cell r="G4440" t="str">
            <v>Settled</v>
          </cell>
        </row>
        <row r="4441">
          <cell r="F4441" t="str">
            <v>ID-PT Worldwide-02/2026</v>
          </cell>
          <cell r="G4441" t="str">
            <v>Settled</v>
          </cell>
        </row>
        <row r="4442">
          <cell r="F4442" t="str">
            <v>ID -pt. coda indonesia-01/2022</v>
          </cell>
          <cell r="G4442" t="str">
            <v>Settled</v>
          </cell>
        </row>
        <row r="4443">
          <cell r="F4443" t="str">
            <v>ID -pt. coda indonesia-02/2022</v>
          </cell>
          <cell r="G4443" t="str">
            <v>Settled</v>
          </cell>
        </row>
        <row r="4444">
          <cell r="F4444" t="str">
            <v>ID -pt. coda indonesia-03/2022</v>
          </cell>
          <cell r="G4444" t="str">
            <v>Settled</v>
          </cell>
        </row>
        <row r="4445">
          <cell r="F4445" t="str">
            <v>ID -pt. coda indonesia-04/2022</v>
          </cell>
          <cell r="G4445" t="str">
            <v>Settled</v>
          </cell>
        </row>
        <row r="4446">
          <cell r="F4446" t="str">
            <v>ID -pt. coda indonesia-05/2022</v>
          </cell>
          <cell r="G4446" t="str">
            <v>Settled</v>
          </cell>
        </row>
        <row r="4447">
          <cell r="F4447" t="str">
            <v>ID -pt. coda indonesia-06/2022</v>
          </cell>
          <cell r="G4447" t="str">
            <v>Settled</v>
          </cell>
        </row>
        <row r="4448">
          <cell r="F4448" t="str">
            <v>ID-pt. coda-07/2022</v>
          </cell>
          <cell r="G4448" t="str">
            <v>Settled</v>
          </cell>
        </row>
        <row r="4449">
          <cell r="F4449" t="str">
            <v>ID-pt. coda-08/2022</v>
          </cell>
          <cell r="G4449" t="str">
            <v>Settled</v>
          </cell>
        </row>
        <row r="4450">
          <cell r="F4450" t="str">
            <v>ID-pt. coda-09/2022</v>
          </cell>
          <cell r="G4450" t="str">
            <v>Settled</v>
          </cell>
        </row>
        <row r="4451">
          <cell r="F4451" t="str">
            <v>ID-pt. coda-10/2022</v>
          </cell>
          <cell r="G4451" t="str">
            <v>Settled</v>
          </cell>
        </row>
        <row r="4452">
          <cell r="F4452" t="str">
            <v>ID -pt. coda indonesia-CR-11/2022</v>
          </cell>
          <cell r="G4452" t="str">
            <v>Settled</v>
          </cell>
        </row>
        <row r="4453">
          <cell r="F4453" t="str">
            <v>ID -pt. coda indonesia-11/2022</v>
          </cell>
          <cell r="G4453" t="str">
            <v>Settled</v>
          </cell>
        </row>
        <row r="4454">
          <cell r="F4454" t="str">
            <v>ID-pt. coda indonesia-CR-01/2023</v>
          </cell>
          <cell r="G4454" t="str">
            <v>Settled</v>
          </cell>
        </row>
        <row r="4455">
          <cell r="F4455" t="str">
            <v>ID-pt. coda indonesia-01/2023</v>
          </cell>
          <cell r="G4455" t="str">
            <v>Settled</v>
          </cell>
        </row>
        <row r="4456">
          <cell r="F4456" t="str">
            <v>SG-pt. top remit-01/2023</v>
          </cell>
          <cell r="G4456" t="str">
            <v>Settled</v>
          </cell>
        </row>
        <row r="4457">
          <cell r="F4457" t="str">
            <v>SG-pt. top remit-02/2023</v>
          </cell>
          <cell r="G4457" t="str">
            <v>Settled</v>
          </cell>
        </row>
        <row r="4458">
          <cell r="F4458" t="str">
            <v>SG-pt. top remit-03/2023</v>
          </cell>
          <cell r="G4458" t="str">
            <v>Settled</v>
          </cell>
        </row>
        <row r="4459">
          <cell r="F4459" t="str">
            <v>SG-pt. top remit-04/2023</v>
          </cell>
          <cell r="G4459" t="str">
            <v>Settled</v>
          </cell>
        </row>
        <row r="4460">
          <cell r="F4460" t="str">
            <v>SG-pt. top remit-05/2023</v>
          </cell>
          <cell r="G4460" t="str">
            <v>Settled</v>
          </cell>
        </row>
        <row r="4461">
          <cell r="F4461" t="str">
            <v>SG-pt. top remit-06/2023</v>
          </cell>
          <cell r="G4461" t="str">
            <v>Settled</v>
          </cell>
        </row>
        <row r="4462">
          <cell r="F4462" t="str">
            <v>SG-pt. top remit-11/2022</v>
          </cell>
          <cell r="G4462" t="str">
            <v>Settled</v>
          </cell>
        </row>
        <row r="4463">
          <cell r="F4463" t="str">
            <v>SG-pt. top remit-12/2022</v>
          </cell>
          <cell r="G4463" t="str">
            <v>Settled</v>
          </cell>
        </row>
        <row r="4464">
          <cell r="F4464" t="str">
            <v>SG-Qatar National Bank (Q.P.S.C.)-07/2025</v>
          </cell>
          <cell r="G4464" t="str">
            <v>Settled</v>
          </cell>
        </row>
        <row r="4465">
          <cell r="F4465" t="str">
            <v>SG-Qatar National Bank (Q.P.S.C.)-08/2025</v>
          </cell>
          <cell r="G4465" t="str">
            <v>Settled</v>
          </cell>
        </row>
        <row r="4466">
          <cell r="F4466" t="str">
            <v>SG-Qatar National Bank (Q.P.S.C.)-09/2025</v>
          </cell>
          <cell r="G4466" t="str">
            <v>Settled</v>
          </cell>
        </row>
        <row r="4467">
          <cell r="F4467" t="str">
            <v>SG-Qatar National Bank (Q.P.S.C.)-10/2025</v>
          </cell>
          <cell r="G4467" t="str">
            <v>Settled</v>
          </cell>
        </row>
        <row r="4468">
          <cell r="F4468" t="str">
            <v>SG-Qatar National Bank (Q.P.S.C.)-11/2025</v>
          </cell>
          <cell r="G4468" t="str">
            <v>Settled</v>
          </cell>
        </row>
        <row r="4469">
          <cell r="F4469" t="str">
            <v>SG-Qatar National Bank (Q.P.S.C.)-12/2025</v>
          </cell>
          <cell r="G4469" t="str">
            <v>Settled</v>
          </cell>
        </row>
        <row r="4470">
          <cell r="F4470" t="str">
            <v>SG-Qatar National Bank (Q.P.S.C.)-01/2026</v>
          </cell>
          <cell r="G4470" t="str">
            <v>Settled</v>
          </cell>
        </row>
        <row r="4471">
          <cell r="F4471" t="str">
            <v>SG-Qatar National Bank (Q.P.S.C.)-02/2026</v>
          </cell>
          <cell r="G4471" t="str">
            <v>Settled</v>
          </cell>
        </row>
        <row r="4472">
          <cell r="F4472" t="str">
            <v>US-AD-Qolo-05-2024</v>
          </cell>
          <cell r="G4472" t="str">
            <v>Settled</v>
          </cell>
        </row>
        <row r="4473">
          <cell r="F4473" t="str">
            <v>US-Qolo-05/2024</v>
          </cell>
          <cell r="G4473" t="str">
            <v>Settled</v>
          </cell>
        </row>
        <row r="4474">
          <cell r="F4474" t="str">
            <v>US-Qolo-06/2024</v>
          </cell>
          <cell r="G4474" t="str">
            <v>Settled</v>
          </cell>
        </row>
        <row r="4475">
          <cell r="F4475" t="str">
            <v>US-Qolo-07/2024</v>
          </cell>
          <cell r="G4475" t="str">
            <v>Settled</v>
          </cell>
        </row>
        <row r="4476">
          <cell r="F4476" t="str">
            <v>US-Qolo-08/2024</v>
          </cell>
          <cell r="G4476" t="str">
            <v>Settled</v>
          </cell>
        </row>
        <row r="4477">
          <cell r="F4477" t="str">
            <v>US-Qolo-09/2024</v>
          </cell>
          <cell r="G4477" t="str">
            <v>Settled</v>
          </cell>
        </row>
        <row r="4478">
          <cell r="F4478" t="str">
            <v>US-Qolo-10/2024</v>
          </cell>
          <cell r="G4478" t="str">
            <v>Settled</v>
          </cell>
        </row>
        <row r="4479">
          <cell r="F4479" t="str">
            <v>US-Qolo-11/2024</v>
          </cell>
          <cell r="G4479" t="str">
            <v>Settled</v>
          </cell>
        </row>
        <row r="4480">
          <cell r="F4480" t="str">
            <v>US-Qolo-12/2024</v>
          </cell>
          <cell r="G4480" t="str">
            <v>Settled</v>
          </cell>
        </row>
        <row r="4481">
          <cell r="F4481" t="str">
            <v>US-Qolo-01/2025</v>
          </cell>
          <cell r="G4481" t="str">
            <v>Settled</v>
          </cell>
        </row>
        <row r="4482">
          <cell r="F4482" t="str">
            <v>US-Qolo-02/2025</v>
          </cell>
          <cell r="G4482" t="str">
            <v>Settled</v>
          </cell>
        </row>
        <row r="4483">
          <cell r="F4483" t="str">
            <v>US-Qolo-03/2025</v>
          </cell>
          <cell r="G4483" t="str">
            <v>Settled</v>
          </cell>
        </row>
        <row r="4484">
          <cell r="F4484" t="str">
            <v>US-Qolo-04/2025</v>
          </cell>
          <cell r="G4484" t="str">
            <v>Settled</v>
          </cell>
        </row>
        <row r="4485">
          <cell r="F4485" t="str">
            <v>US-Qolo-05/2025</v>
          </cell>
          <cell r="G4485" t="str">
            <v>Settled</v>
          </cell>
        </row>
        <row r="4486">
          <cell r="F4486" t="str">
            <v>US-Qolo-06/2025</v>
          </cell>
          <cell r="G4486" t="str">
            <v>Settled</v>
          </cell>
        </row>
        <row r="4487">
          <cell r="F4487" t="str">
            <v>US-Qolo-07/2025</v>
          </cell>
          <cell r="G4487" t="str">
            <v>Settled</v>
          </cell>
        </row>
        <row r="4488">
          <cell r="F4488" t="str">
            <v>US-Qolo-08/2025</v>
          </cell>
          <cell r="G4488" t="str">
            <v>Settled</v>
          </cell>
        </row>
        <row r="4489">
          <cell r="F4489" t="str">
            <v>US-Qolo-09/2025</v>
          </cell>
          <cell r="G4489" t="str">
            <v>Settled</v>
          </cell>
        </row>
        <row r="4490">
          <cell r="F4490" t="str">
            <v>US-Qolo-10/2025</v>
          </cell>
          <cell r="G4490" t="str">
            <v>Settled</v>
          </cell>
        </row>
        <row r="4491">
          <cell r="F4491" t="str">
            <v>US-Qolo-11/2025</v>
          </cell>
          <cell r="G4491" t="str">
            <v>Settled</v>
          </cell>
        </row>
        <row r="4492">
          <cell r="F4492" t="str">
            <v>US-Qolo-12/2025</v>
          </cell>
          <cell r="G4492" t="str">
            <v>Settled</v>
          </cell>
        </row>
        <row r="4493">
          <cell r="F4493" t="str">
            <v>US-Qolo-01/2026</v>
          </cell>
          <cell r="G4493" t="str">
            <v>Settled</v>
          </cell>
        </row>
        <row r="4494">
          <cell r="F4494" t="str">
            <v>US-Qolo-02/2026</v>
          </cell>
          <cell r="G4494" t="str">
            <v>Settled</v>
          </cell>
        </row>
        <row r="4495">
          <cell r="F4495" t="str">
            <v>US-Qolo-04/2024</v>
          </cell>
          <cell r="G4495" t="str">
            <v>Settled</v>
          </cell>
        </row>
        <row r="4496">
          <cell r="F4496" t="str">
            <v>EU-QUANTFIN-04/2023</v>
          </cell>
          <cell r="G4496" t="str">
            <v>Waived Off</v>
          </cell>
        </row>
        <row r="4497">
          <cell r="F4497" t="str">
            <v>EU-QUANTFIN-05/2023</v>
          </cell>
          <cell r="G4497" t="str">
            <v>Waived Off</v>
          </cell>
        </row>
        <row r="4498">
          <cell r="F4498" t="str">
            <v>EU-QUANTFIN-06/2023</v>
          </cell>
          <cell r="G4498" t="str">
            <v>Waived Off</v>
          </cell>
        </row>
        <row r="4499">
          <cell r="F4499" t="str">
            <v>EU-QUANTFIN-07/2023</v>
          </cell>
          <cell r="G4499" t="str">
            <v>Waived Off</v>
          </cell>
        </row>
        <row r="4500">
          <cell r="F4500" t="str">
            <v>EU-QUANT FINANCIAL LTD-11/2022</v>
          </cell>
          <cell r="G4500" t="str">
            <v>Settled</v>
          </cell>
        </row>
        <row r="4501">
          <cell r="F4501" t="str">
            <v>EU-QUANT FINANCIAL LTD-12/2022</v>
          </cell>
          <cell r="G4501" t="str">
            <v>Settled</v>
          </cell>
        </row>
        <row r="4502">
          <cell r="F4502" t="str">
            <v>EU-QUANT FINANCIAL LTD-01/2023</v>
          </cell>
          <cell r="G4502" t="str">
            <v>Settled</v>
          </cell>
        </row>
        <row r="4503">
          <cell r="F4503" t="str">
            <v>EU-QUANTFIN-02/2023</v>
          </cell>
          <cell r="G4503" t="str">
            <v>Settled</v>
          </cell>
        </row>
        <row r="4504">
          <cell r="F4504" t="str">
            <v>EU-QUANTFIN-03/2023</v>
          </cell>
          <cell r="G4504" t="str">
            <v>Settled</v>
          </cell>
        </row>
        <row r="4505">
          <cell r="F4505" t="str">
            <v>SG-queen bee co., ltd.-11/2022</v>
          </cell>
          <cell r="G4505" t="str">
            <v>Settled</v>
          </cell>
        </row>
        <row r="4506">
          <cell r="F4506" t="str">
            <v>SG-queen bee co., ltd.-12/2022</v>
          </cell>
          <cell r="G4506" t="str">
            <v>Settled</v>
          </cell>
        </row>
        <row r="4507">
          <cell r="F4507" t="str">
            <v>SG-queen bee co., ltd.-01/2023</v>
          </cell>
          <cell r="G4507" t="str">
            <v>Settled</v>
          </cell>
        </row>
        <row r="4508">
          <cell r="F4508" t="str">
            <v>SG-queenbee-02/2023</v>
          </cell>
          <cell r="G4508" t="str">
            <v>Settled</v>
          </cell>
        </row>
        <row r="4509">
          <cell r="F4509" t="str">
            <v>SG-queenbee-03/2023</v>
          </cell>
          <cell r="G4509" t="str">
            <v>Settled</v>
          </cell>
        </row>
        <row r="4510">
          <cell r="F4510" t="str">
            <v>SG-queenbee-04/2023</v>
          </cell>
          <cell r="G4510" t="str">
            <v>Settled</v>
          </cell>
        </row>
        <row r="4511">
          <cell r="F4511" t="str">
            <v>SG-queenbee-05/2023</v>
          </cell>
          <cell r="G4511" t="str">
            <v>Settled</v>
          </cell>
        </row>
        <row r="4512">
          <cell r="F4512" t="str">
            <v>SG-queenbee-06/2023</v>
          </cell>
          <cell r="G4512" t="str">
            <v>Settled</v>
          </cell>
        </row>
        <row r="4513">
          <cell r="F4513" t="str">
            <v>SG-queenbee-07/2023</v>
          </cell>
          <cell r="G4513" t="str">
            <v>Settled</v>
          </cell>
        </row>
        <row r="4514">
          <cell r="F4514" t="str">
            <v>SG -queenbee-08/2023</v>
          </cell>
          <cell r="G4514" t="str">
            <v>Settled</v>
          </cell>
        </row>
        <row r="4515">
          <cell r="F4515" t="str">
            <v>SG-queenbee-09/2023</v>
          </cell>
          <cell r="G4515" t="str">
            <v>Settled</v>
          </cell>
        </row>
        <row r="4516">
          <cell r="F4516" t="str">
            <v>SG-queenbee-10/2023</v>
          </cell>
          <cell r="G4516" t="str">
            <v>Settled</v>
          </cell>
        </row>
        <row r="4517">
          <cell r="F4517" t="str">
            <v>SG-queenbee-11/2023</v>
          </cell>
          <cell r="G4517" t="str">
            <v>Settled</v>
          </cell>
        </row>
        <row r="4518">
          <cell r="F4518" t="str">
            <v>SG-queenbee-12/2023</v>
          </cell>
          <cell r="G4518" t="str">
            <v>Settled</v>
          </cell>
        </row>
        <row r="4519">
          <cell r="F4519" t="str">
            <v>SG -queenbee-CR-12/2023</v>
          </cell>
          <cell r="G4519" t="str">
            <v>Settled</v>
          </cell>
        </row>
        <row r="4520">
          <cell r="F4520" t="str">
            <v>SG-queenbee-01/2024</v>
          </cell>
          <cell r="G4520" t="str">
            <v>Settled</v>
          </cell>
        </row>
        <row r="4521">
          <cell r="F4521" t="str">
            <v>SG-queenbee-02/2024</v>
          </cell>
          <cell r="G4521" t="str">
            <v>Settled</v>
          </cell>
        </row>
        <row r="4522">
          <cell r="F4522" t="str">
            <v>SG-queenbee-03/2024</v>
          </cell>
          <cell r="G4522" t="str">
            <v>Settled</v>
          </cell>
        </row>
        <row r="4523">
          <cell r="F4523" t="str">
            <v>SG-queenbee-04/2024</v>
          </cell>
          <cell r="G4523" t="str">
            <v>Settled</v>
          </cell>
        </row>
        <row r="4524">
          <cell r="F4524" t="str">
            <v>SG-queenbee-05/2024</v>
          </cell>
          <cell r="G4524" t="str">
            <v>Settled</v>
          </cell>
        </row>
        <row r="4525">
          <cell r="F4525" t="str">
            <v>SG-queenbee-06/2024</v>
          </cell>
          <cell r="G4525" t="str">
            <v>Settled</v>
          </cell>
        </row>
        <row r="4526">
          <cell r="F4526" t="str">
            <v>SG-queenbee-07/2024</v>
          </cell>
          <cell r="G4526" t="str">
            <v>Settled</v>
          </cell>
        </row>
        <row r="4527">
          <cell r="F4527" t="str">
            <v>SG-queenbee-08/2024</v>
          </cell>
          <cell r="G4527" t="str">
            <v>Settled</v>
          </cell>
        </row>
        <row r="4528">
          <cell r="F4528" t="str">
            <v>SG-queenbee-09/2024</v>
          </cell>
          <cell r="G4528" t="str">
            <v>Settled</v>
          </cell>
        </row>
        <row r="4529">
          <cell r="F4529" t="str">
            <v>SG-queenbee-10/2024</v>
          </cell>
          <cell r="G4529" t="str">
            <v>Settled</v>
          </cell>
        </row>
        <row r="4530">
          <cell r="F4530" t="str">
            <v>SG-queenbee-11/2024</v>
          </cell>
          <cell r="G4530" t="str">
            <v>Settled</v>
          </cell>
        </row>
        <row r="4531">
          <cell r="F4531" t="str">
            <v>SG-queenbee-12/2024</v>
          </cell>
          <cell r="G4531" t="str">
            <v>Settled</v>
          </cell>
        </row>
        <row r="4532">
          <cell r="F4532" t="str">
            <v>SG-queenbee-01/2025</v>
          </cell>
          <cell r="G4532" t="str">
            <v>Settled</v>
          </cell>
        </row>
        <row r="4533">
          <cell r="F4533" t="str">
            <v>SG-queenbee-02/2025</v>
          </cell>
          <cell r="G4533" t="str">
            <v>Settled</v>
          </cell>
        </row>
        <row r="4534">
          <cell r="F4534" t="str">
            <v>SG-queenbee-03/2025</v>
          </cell>
          <cell r="G4534" t="str">
            <v>Settled</v>
          </cell>
        </row>
        <row r="4535">
          <cell r="F4535" t="str">
            <v>SG-queenbee-04/2025</v>
          </cell>
          <cell r="G4535" t="str">
            <v>Settled</v>
          </cell>
        </row>
        <row r="4536">
          <cell r="F4536" t="str">
            <v>SG-queenbee-05/2025</v>
          </cell>
          <cell r="G4536" t="str">
            <v>Settled</v>
          </cell>
        </row>
        <row r="4537">
          <cell r="F4537" t="str">
            <v>SG-queenbee-06/2025</v>
          </cell>
          <cell r="G4537" t="str">
            <v>Settled</v>
          </cell>
        </row>
        <row r="4538">
          <cell r="F4538" t="str">
            <v>SG-queenbee-07/2025</v>
          </cell>
          <cell r="G4538" t="str">
            <v>Settled</v>
          </cell>
        </row>
        <row r="4539">
          <cell r="F4539" t="str">
            <v>SG-queenbee-08/2025</v>
          </cell>
          <cell r="G4539" t="str">
            <v>Settled</v>
          </cell>
        </row>
        <row r="4540">
          <cell r="F4540" t="str">
            <v>SG-queenbee-09/2025</v>
          </cell>
          <cell r="G4540" t="str">
            <v>Settled</v>
          </cell>
        </row>
        <row r="4541">
          <cell r="F4541" t="str">
            <v>SG-queenbee-10/2025</v>
          </cell>
          <cell r="G4541" t="str">
            <v>Settled</v>
          </cell>
        </row>
        <row r="4542">
          <cell r="F4542" t="str">
            <v>SG-queenbee-11/2025</v>
          </cell>
          <cell r="G4542" t="str">
            <v>Settled</v>
          </cell>
        </row>
        <row r="4543">
          <cell r="F4543" t="str">
            <v>SG-queenbee-12/2025</v>
          </cell>
          <cell r="G4543" t="str">
            <v>Settled</v>
          </cell>
        </row>
        <row r="4544">
          <cell r="F4544" t="str">
            <v>SG-queenbee-01/2026</v>
          </cell>
          <cell r="G4544" t="str">
            <v>Settled</v>
          </cell>
        </row>
        <row r="4545">
          <cell r="F4545" t="str">
            <v>SG-queenbee-02/2026</v>
          </cell>
          <cell r="G4545" t="str">
            <v>Settled</v>
          </cell>
        </row>
        <row r="4546">
          <cell r="F4546" t="str">
            <v>SG-QUINCEDILLA-09/2023</v>
          </cell>
          <cell r="G4546" t="str">
            <v>Settled</v>
          </cell>
        </row>
        <row r="4547">
          <cell r="F4547" t="str">
            <v>SG-QUINCEDILLA-10/2023</v>
          </cell>
          <cell r="G4547" t="str">
            <v>Settled</v>
          </cell>
        </row>
        <row r="4548">
          <cell r="F4548" t="str">
            <v>SG-QUINCEDILLA-11/2023</v>
          </cell>
          <cell r="G4548" t="str">
            <v>Settled</v>
          </cell>
        </row>
        <row r="4549">
          <cell r="F4549" t="str">
            <v>US-quolum, inc-09/2022</v>
          </cell>
          <cell r="G4549" t="str">
            <v>Settled</v>
          </cell>
        </row>
        <row r="4550">
          <cell r="F4550" t="str">
            <v>US-quolum, inc-11/2022</v>
          </cell>
          <cell r="G4550" t="str">
            <v>Settled</v>
          </cell>
        </row>
        <row r="4551">
          <cell r="F4551" t="str">
            <v>US-quolum, inc-12/2022</v>
          </cell>
          <cell r="G4551" t="str">
            <v>Settled</v>
          </cell>
        </row>
        <row r="4552">
          <cell r="F4552" t="str">
            <v>US-quolum, inc-01/2023</v>
          </cell>
          <cell r="G4552" t="str">
            <v>Settled</v>
          </cell>
        </row>
        <row r="4553">
          <cell r="F4553" t="str">
            <v>US-quolum, inc-02/2023</v>
          </cell>
          <cell r="G4553" t="str">
            <v>Settled</v>
          </cell>
        </row>
        <row r="4554">
          <cell r="F4554" t="str">
            <v>US-quolum, inc-03/2023</v>
          </cell>
          <cell r="G4554" t="str">
            <v>Settled</v>
          </cell>
        </row>
        <row r="4555">
          <cell r="F4555" t="str">
            <v>US-quolum, inc-04/2023</v>
          </cell>
          <cell r="G4555" t="str">
            <v>Settled</v>
          </cell>
        </row>
        <row r="4556">
          <cell r="F4556" t="str">
            <v>US-quolum, inc-05/2023</v>
          </cell>
          <cell r="G4556" t="str">
            <v>Settled</v>
          </cell>
        </row>
        <row r="4557">
          <cell r="F4557" t="str">
            <v>US-quolum, inc-06/2023</v>
          </cell>
          <cell r="G4557" t="str">
            <v>Settled</v>
          </cell>
        </row>
        <row r="4558">
          <cell r="F4558" t="str">
            <v>US-quolum, inc-07/2023</v>
          </cell>
          <cell r="G4558" t="str">
            <v>Settled</v>
          </cell>
        </row>
        <row r="4559">
          <cell r="F4559" t="str">
            <v>US -quolum, inc-08/2023</v>
          </cell>
          <cell r="G4559" t="str">
            <v>Settled</v>
          </cell>
        </row>
        <row r="4560">
          <cell r="F4560" t="str">
            <v>US-quolum, inc-09/2023</v>
          </cell>
          <cell r="G4560" t="str">
            <v>Settled</v>
          </cell>
        </row>
        <row r="4561">
          <cell r="F4561" t="str">
            <v>US-quolum, inc-10/2023</v>
          </cell>
          <cell r="G4561" t="str">
            <v>Settled</v>
          </cell>
        </row>
        <row r="4562">
          <cell r="F4562" t="str">
            <v>US-quolum, inc-11/2023</v>
          </cell>
          <cell r="G4562" t="str">
            <v>Settled</v>
          </cell>
        </row>
        <row r="4563">
          <cell r="F4563" t="str">
            <v>US-quolum, inc-12/2023</v>
          </cell>
          <cell r="G4563" t="str">
            <v>Settled</v>
          </cell>
        </row>
        <row r="4564">
          <cell r="F4564" t="str">
            <v>US-quolum, inc-01/2024</v>
          </cell>
          <cell r="G4564" t="str">
            <v>Settled</v>
          </cell>
        </row>
        <row r="4565">
          <cell r="F4565" t="str">
            <v>US-quolum, inc-02/2024</v>
          </cell>
          <cell r="G4565" t="str">
            <v>Settled</v>
          </cell>
        </row>
        <row r="4566">
          <cell r="F4566" t="str">
            <v>SG-raklay security-05/2023</v>
          </cell>
          <cell r="G4566" t="str">
            <v>Settled</v>
          </cell>
        </row>
        <row r="4567">
          <cell r="F4567" t="str">
            <v>SG-raklay security-06/2023</v>
          </cell>
          <cell r="G4567" t="str">
            <v>Settled</v>
          </cell>
        </row>
        <row r="4568">
          <cell r="F4568" t="str">
            <v>SG-raklay security-07/2023</v>
          </cell>
          <cell r="G4568" t="str">
            <v>Settled</v>
          </cell>
        </row>
        <row r="4569">
          <cell r="F4569" t="str">
            <v>SG -raklay security-08/2023</v>
          </cell>
          <cell r="G4569" t="str">
            <v>Settled</v>
          </cell>
        </row>
        <row r="4570">
          <cell r="F4570" t="str">
            <v>SG-raklay security-09/2023</v>
          </cell>
          <cell r="G4570" t="str">
            <v>Settled</v>
          </cell>
        </row>
        <row r="4571">
          <cell r="F4571" t="str">
            <v>SG-raklay security-10/2023</v>
          </cell>
          <cell r="G4571" t="str">
            <v>Settled</v>
          </cell>
        </row>
        <row r="4572">
          <cell r="F4572" t="str">
            <v>SG-raklay security-11/2023</v>
          </cell>
          <cell r="G4572" t="str">
            <v>Reversed</v>
          </cell>
        </row>
        <row r="4573">
          <cell r="F4573" t="str">
            <v>SG -Ramblin Brands-02/2022</v>
          </cell>
          <cell r="G4573" t="str">
            <v>Settled</v>
          </cell>
        </row>
        <row r="4574">
          <cell r="F4574" t="str">
            <v>SG -Ramblin Brands-04/2022</v>
          </cell>
          <cell r="G4574" t="str">
            <v>Settled</v>
          </cell>
        </row>
        <row r="4575">
          <cell r="F4575" t="str">
            <v>SG -Ramblin Brands-06/2022</v>
          </cell>
          <cell r="G4575" t="str">
            <v>Settled</v>
          </cell>
        </row>
        <row r="4576">
          <cell r="F4576" t="str">
            <v>SG-Ramblin-08/2022</v>
          </cell>
          <cell r="G4576" t="str">
            <v>Settled</v>
          </cell>
        </row>
        <row r="4577">
          <cell r="F4577" t="str">
            <v>SG-Ramblin-10/2022</v>
          </cell>
          <cell r="G4577" t="str">
            <v>Settled</v>
          </cell>
        </row>
        <row r="4578">
          <cell r="F4578" t="str">
            <v>SG-Ramblin Brands-12/2022</v>
          </cell>
          <cell r="G4578" t="str">
            <v>Settled</v>
          </cell>
        </row>
        <row r="4579">
          <cell r="F4579" t="str">
            <v>SG-Ramblin-02/2023</v>
          </cell>
          <cell r="G4579" t="str">
            <v>Settled</v>
          </cell>
        </row>
        <row r="4580">
          <cell r="F4580" t="str">
            <v>SG-Ramblin-04/2023</v>
          </cell>
          <cell r="G4580" t="str">
            <v>Settled</v>
          </cell>
        </row>
        <row r="4581">
          <cell r="F4581" t="str">
            <v>SG-Ramblin-06/2023</v>
          </cell>
          <cell r="G4581" t="str">
            <v>Settled</v>
          </cell>
        </row>
        <row r="4582">
          <cell r="F4582" t="str">
            <v>SG -Ramblin-08/2023</v>
          </cell>
          <cell r="G4582" t="str">
            <v>Settled</v>
          </cell>
        </row>
        <row r="4583">
          <cell r="F4583" t="str">
            <v>SG-Rational Fx-11/2022</v>
          </cell>
          <cell r="G4583" t="str">
            <v>Settled</v>
          </cell>
        </row>
        <row r="4584">
          <cell r="F4584" t="str">
            <v>SG-Rational Fx-12/2022</v>
          </cell>
          <cell r="G4584" t="str">
            <v>Settled</v>
          </cell>
        </row>
        <row r="4585">
          <cell r="F4585" t="str">
            <v>SG-Rational Fx-01/2023</v>
          </cell>
          <cell r="G4585" t="str">
            <v>Settled</v>
          </cell>
        </row>
        <row r="4586">
          <cell r="F4586" t="str">
            <v>SG-Rational Fx-02/2023</v>
          </cell>
          <cell r="G4586" t="str">
            <v>Settled</v>
          </cell>
        </row>
        <row r="4587">
          <cell r="F4587" t="str">
            <v>SG-Rational Fx-03/2023</v>
          </cell>
          <cell r="G4587" t="str">
            <v>Settled</v>
          </cell>
        </row>
        <row r="4588">
          <cell r="F4588" t="str">
            <v>SG-Rational Fx-04/2023</v>
          </cell>
          <cell r="G4588" t="str">
            <v>Settled</v>
          </cell>
        </row>
        <row r="4589">
          <cell r="F4589" t="str">
            <v>SG-Rational Fx-05/2023</v>
          </cell>
          <cell r="G4589" t="str">
            <v>Settled</v>
          </cell>
        </row>
        <row r="4590">
          <cell r="F4590" t="str">
            <v>SG-Rational Fx-06/2023</v>
          </cell>
          <cell r="G4590" t="str">
            <v>Settled</v>
          </cell>
        </row>
        <row r="4591">
          <cell r="F4591" t="str">
            <v>SG-Rational Fx-07/2023</v>
          </cell>
          <cell r="G4591" t="str">
            <v>Settled</v>
          </cell>
        </row>
        <row r="4592">
          <cell r="F4592" t="str">
            <v>SG -Rational Fx-08/2023</v>
          </cell>
          <cell r="G4592" t="str">
            <v>Settled</v>
          </cell>
        </row>
        <row r="4593">
          <cell r="F4593" t="str">
            <v>SG-Rational Fx-09/2023</v>
          </cell>
          <cell r="G4593" t="str">
            <v>Waived Off</v>
          </cell>
        </row>
        <row r="4594">
          <cell r="F4594" t="str">
            <v>SG-Rational Fx-10/2023</v>
          </cell>
          <cell r="G4594" t="str">
            <v>Waived Off</v>
          </cell>
        </row>
        <row r="4595">
          <cell r="F4595" t="str">
            <v>SG-Rational Fx-11/2023</v>
          </cell>
          <cell r="G4595" t="str">
            <v>Waived Off</v>
          </cell>
        </row>
        <row r="4596">
          <cell r="F4596" t="str">
            <v>SG -RBP FINTECH PTE LTD-09/2021</v>
          </cell>
          <cell r="G4596" t="str">
            <v>Write Off</v>
          </cell>
        </row>
        <row r="4597">
          <cell r="F4597" t="str">
            <v>SG -RBP FINTECH PTE LTD-01/2022</v>
          </cell>
          <cell r="G4597" t="str">
            <v>Write Off</v>
          </cell>
        </row>
        <row r="4598">
          <cell r="F4598" t="str">
            <v>SG -RBP FINTECH PTE LTD-02/2022</v>
          </cell>
          <cell r="G4598" t="str">
            <v>Write Off</v>
          </cell>
        </row>
        <row r="4599">
          <cell r="F4599" t="str">
            <v>SG -RBP FINTECH PTE LTD-03/2022</v>
          </cell>
          <cell r="G4599" t="str">
            <v>Write Off</v>
          </cell>
        </row>
        <row r="4600">
          <cell r="F4600" t="str">
            <v>SG -RBP FINTECH PTE LTD-04/2022</v>
          </cell>
          <cell r="G4600" t="str">
            <v>Write Off</v>
          </cell>
        </row>
        <row r="4601">
          <cell r="F4601" t="str">
            <v>SG -RBP FINTECH PTE LTD-05/2022</v>
          </cell>
          <cell r="G4601" t="str">
            <v>Write Off</v>
          </cell>
        </row>
        <row r="4602">
          <cell r="F4602" t="str">
            <v>SG -RBP FINTECH PTE LTD-06/2022</v>
          </cell>
          <cell r="G4602" t="str">
            <v>Write Off</v>
          </cell>
        </row>
        <row r="4603">
          <cell r="F4603" t="str">
            <v>SG-RBP-07/2022</v>
          </cell>
          <cell r="G4603" t="str">
            <v>Write Off</v>
          </cell>
        </row>
        <row r="4604">
          <cell r="F4604" t="str">
            <v>SG-RBP-08/2022</v>
          </cell>
          <cell r="G4604" t="str">
            <v>Write Off</v>
          </cell>
        </row>
        <row r="4605">
          <cell r="F4605" t="str">
            <v>SG-RBP-09/2022</v>
          </cell>
          <cell r="G4605" t="str">
            <v>Write Off</v>
          </cell>
        </row>
        <row r="4606">
          <cell r="F4606" t="str">
            <v>SG-RBP-10/2022</v>
          </cell>
          <cell r="G4606" t="str">
            <v>Write Off</v>
          </cell>
        </row>
        <row r="4607">
          <cell r="F4607" t="str">
            <v>SG-RBP FINTECH PTE LTD-11/2022</v>
          </cell>
          <cell r="G4607" t="str">
            <v>Write Off</v>
          </cell>
        </row>
        <row r="4608">
          <cell r="F4608" t="str">
            <v>SG-RBP FINTECH PTE LTD-12/2022</v>
          </cell>
          <cell r="G4608" t="str">
            <v>Write Off</v>
          </cell>
        </row>
        <row r="4609">
          <cell r="F4609" t="str">
            <v>CA-REMIT5-07/2024</v>
          </cell>
          <cell r="G4609" t="str">
            <v>Settled</v>
          </cell>
        </row>
        <row r="4610">
          <cell r="F4610" t="str">
            <v>CA-REMIT5-08/2024</v>
          </cell>
          <cell r="G4610" t="str">
            <v>Settled</v>
          </cell>
        </row>
        <row r="4611">
          <cell r="F4611" t="str">
            <v>CA-AD-REMIT5-09-2024</v>
          </cell>
          <cell r="G4611" t="str">
            <v>Settled</v>
          </cell>
        </row>
        <row r="4612">
          <cell r="F4612" t="str">
            <v>CA-REMIT5-10/2024</v>
          </cell>
          <cell r="G4612" t="str">
            <v>Settled</v>
          </cell>
        </row>
        <row r="4613">
          <cell r="F4613" t="str">
            <v>CA-REMIT5-11/2024</v>
          </cell>
          <cell r="G4613" t="str">
            <v>Settled</v>
          </cell>
        </row>
        <row r="4614">
          <cell r="F4614" t="str">
            <v>CA-REMIT5-12/2024</v>
          </cell>
          <cell r="G4614" t="str">
            <v>Settled</v>
          </cell>
        </row>
        <row r="4615">
          <cell r="F4615" t="str">
            <v>CA-REMIT5-01/2025</v>
          </cell>
          <cell r="G4615" t="str">
            <v>Settled</v>
          </cell>
        </row>
        <row r="4616">
          <cell r="F4616" t="str">
            <v>CA-REMIT5-02/2025</v>
          </cell>
          <cell r="G4616" t="str">
            <v>Settled</v>
          </cell>
        </row>
        <row r="4617">
          <cell r="F4617" t="str">
            <v>CA-REMIT5-03/2025</v>
          </cell>
          <cell r="G4617" t="str">
            <v>Settled</v>
          </cell>
        </row>
        <row r="4618">
          <cell r="F4618" t="str">
            <v>CA-REMIT5-04/2025</v>
          </cell>
          <cell r="G4618" t="str">
            <v>Settled</v>
          </cell>
        </row>
        <row r="4619">
          <cell r="F4619" t="str">
            <v>CA-REMIT5-05/2025</v>
          </cell>
          <cell r="G4619" t="str">
            <v>Settled</v>
          </cell>
        </row>
        <row r="4620">
          <cell r="F4620" t="str">
            <v>CA-REMIT5-06/2025</v>
          </cell>
          <cell r="G4620" t="str">
            <v>Settled</v>
          </cell>
        </row>
        <row r="4621">
          <cell r="F4621" t="str">
            <v>CA-REMIT5-07/2025</v>
          </cell>
          <cell r="G4621" t="str">
            <v>Settled</v>
          </cell>
        </row>
        <row r="4622">
          <cell r="F4622" t="str">
            <v>CA-REMIT5-08/2025</v>
          </cell>
          <cell r="G4622" t="str">
            <v>Settled</v>
          </cell>
        </row>
        <row r="4623">
          <cell r="F4623" t="str">
            <v>CA-REMIT5-09/2025</v>
          </cell>
          <cell r="G4623" t="str">
            <v>Settled</v>
          </cell>
        </row>
        <row r="4624">
          <cell r="F4624" t="str">
            <v>CA-CN-REMIT5-09/2025</v>
          </cell>
          <cell r="G4624" t="str">
            <v>Settled</v>
          </cell>
        </row>
        <row r="4625">
          <cell r="F4625" t="str">
            <v>CA-REMIT5-10/2025</v>
          </cell>
          <cell r="G4625" t="str">
            <v>Settled</v>
          </cell>
        </row>
        <row r="4626">
          <cell r="F4626" t="str">
            <v>CA-REMIT5-11/2025</v>
          </cell>
          <cell r="G4626" t="str">
            <v>Settled</v>
          </cell>
        </row>
        <row r="4627">
          <cell r="F4627" t="str">
            <v>CA-REMIT5-12/2025</v>
          </cell>
          <cell r="G4627" t="str">
            <v>Settled</v>
          </cell>
        </row>
        <row r="4628">
          <cell r="F4628" t="str">
            <v>CA-REMIT5-01/2026</v>
          </cell>
          <cell r="G4628" t="str">
            <v>Settled</v>
          </cell>
        </row>
        <row r="4629">
          <cell r="F4629" t="str">
            <v>CA-REMIT5-02/2026</v>
          </cell>
          <cell r="G4629" t="str">
            <v>Settled</v>
          </cell>
        </row>
        <row r="4630">
          <cell r="F4630" t="str">
            <v>CA -remitware payments canada inc-03/2022</v>
          </cell>
          <cell r="G4630" t="str">
            <v>Waived Off</v>
          </cell>
        </row>
        <row r="4631">
          <cell r="F4631" t="str">
            <v>CA -remitware payments canada inc-04/2022</v>
          </cell>
          <cell r="G4631" t="str">
            <v>Waived Off</v>
          </cell>
        </row>
        <row r="4632">
          <cell r="F4632" t="str">
            <v>CA -remitware payments canada inc-05/2022</v>
          </cell>
          <cell r="G4632" t="str">
            <v>Waived Off</v>
          </cell>
        </row>
        <row r="4633">
          <cell r="F4633" t="str">
            <v>CA -remitware payments canada inc-06/2022</v>
          </cell>
          <cell r="G4633" t="str">
            <v>Waived Off</v>
          </cell>
        </row>
        <row r="4634">
          <cell r="F4634" t="str">
            <v>CA-remitware payments-08/2022</v>
          </cell>
          <cell r="G4634" t="str">
            <v>Waived Off</v>
          </cell>
        </row>
        <row r="4635">
          <cell r="F4635" t="str">
            <v>CA-remitware payments-09/2022</v>
          </cell>
          <cell r="G4635" t="str">
            <v>Waived Off</v>
          </cell>
        </row>
        <row r="4636">
          <cell r="F4636" t="str">
            <v>CA-remitware payments-10/2022</v>
          </cell>
          <cell r="G4636" t="str">
            <v>Waived Off</v>
          </cell>
        </row>
        <row r="4637">
          <cell r="F4637" t="str">
            <v>CA-remitware payments canada inc-11/2022</v>
          </cell>
          <cell r="G4637" t="str">
            <v>Waived Off</v>
          </cell>
        </row>
        <row r="4638">
          <cell r="F4638" t="str">
            <v>CA-remitware payments canada inc-12/2022</v>
          </cell>
          <cell r="G4638" t="str">
            <v>Write Off</v>
          </cell>
        </row>
        <row r="4639">
          <cell r="F4639" t="str">
            <v>CA-remitware payments canada inc-01/2023</v>
          </cell>
          <cell r="G4639" t="str">
            <v>Write Off</v>
          </cell>
        </row>
        <row r="4640">
          <cell r="F4640" t="str">
            <v>CA-remitware-02/2023</v>
          </cell>
          <cell r="G4640" t="str">
            <v>Write Off</v>
          </cell>
        </row>
        <row r="4641">
          <cell r="F4641" t="str">
            <v>CA-remitware-03/2023</v>
          </cell>
          <cell r="G4641" t="str">
            <v>Write Off</v>
          </cell>
        </row>
        <row r="4642">
          <cell r="F4642" t="str">
            <v>CA-remitware-04/2023</v>
          </cell>
          <cell r="G4642" t="str">
            <v>Write Off</v>
          </cell>
        </row>
        <row r="4643">
          <cell r="F4643" t="str">
            <v>US -Remofirst, Inc.-04/2023</v>
          </cell>
          <cell r="G4643" t="str">
            <v>Settled</v>
          </cell>
        </row>
        <row r="4644">
          <cell r="F4644" t="str">
            <v>US-Remofirst, Inc.-06/2023</v>
          </cell>
          <cell r="G4644" t="str">
            <v>Settled</v>
          </cell>
        </row>
        <row r="4645">
          <cell r="F4645" t="str">
            <v>US-Remofirst, Inc.-07/2023</v>
          </cell>
          <cell r="G4645" t="str">
            <v>Settled</v>
          </cell>
        </row>
        <row r="4646">
          <cell r="F4646" t="str">
            <v>US-Remofirst, Inc.-10/2023</v>
          </cell>
          <cell r="G4646" t="str">
            <v>Settled</v>
          </cell>
        </row>
        <row r="4647">
          <cell r="F4647" t="str">
            <v>US-Remofirst, Inc.-11/2023</v>
          </cell>
          <cell r="G4647" t="str">
            <v>Settled</v>
          </cell>
        </row>
        <row r="4648">
          <cell r="F4648" t="str">
            <v>US-Remofirst, Inc.-12/2023</v>
          </cell>
          <cell r="G4648" t="str">
            <v>Settled</v>
          </cell>
        </row>
        <row r="4649">
          <cell r="F4649" t="str">
            <v>US-Remofirst, Inc.-09/2023</v>
          </cell>
          <cell r="G4649" t="str">
            <v>Waived Off</v>
          </cell>
        </row>
        <row r="4650">
          <cell r="F4650" t="str">
            <v>US-Remofirst, Inc.-08/2023</v>
          </cell>
          <cell r="G4650" t="str">
            <v>Waived Off</v>
          </cell>
        </row>
        <row r="4651">
          <cell r="F4651" t="str">
            <v>US -Remofirst, Inc.-CR-01/2024</v>
          </cell>
          <cell r="G4651" t="str">
            <v>Waived Off</v>
          </cell>
        </row>
        <row r="4652">
          <cell r="F4652" t="str">
            <v>US-Remofirst, Inc.-01/2024</v>
          </cell>
          <cell r="G4652" t="str">
            <v>Settled</v>
          </cell>
        </row>
        <row r="4653">
          <cell r="F4653" t="str">
            <v>US-Remofirst, Inc.-02/2024</v>
          </cell>
          <cell r="G4653" t="str">
            <v>Settled</v>
          </cell>
        </row>
        <row r="4654">
          <cell r="F4654" t="str">
            <v>US-Remofirst, Inc.-03/2024</v>
          </cell>
          <cell r="G4654" t="str">
            <v>Settled</v>
          </cell>
        </row>
        <row r="4655">
          <cell r="F4655" t="str">
            <v>US-Remofirst, Inc.-07/2024</v>
          </cell>
          <cell r="G4655" t="str">
            <v>Settled</v>
          </cell>
        </row>
        <row r="4656">
          <cell r="F4656" t="str">
            <v>US-Remofirst, Inc.-08/2024</v>
          </cell>
          <cell r="G4656" t="str">
            <v>Settled</v>
          </cell>
        </row>
        <row r="4657">
          <cell r="F4657" t="str">
            <v>US-Remofirst, Inc.-09/2024</v>
          </cell>
          <cell r="G4657" t="str">
            <v>Settled</v>
          </cell>
        </row>
        <row r="4658">
          <cell r="F4658" t="str">
            <v>US-Remofirst, Inc.-10/2024</v>
          </cell>
          <cell r="G4658" t="str">
            <v>Settled</v>
          </cell>
        </row>
        <row r="4659">
          <cell r="F4659" t="str">
            <v>US-Remofirst, Inc.-11/2024</v>
          </cell>
          <cell r="G4659" t="str">
            <v>Settled</v>
          </cell>
        </row>
        <row r="4660">
          <cell r="F4660" t="str">
            <v>US-Remofirst, Inc.-12/2024</v>
          </cell>
          <cell r="G4660" t="str">
            <v>Settled</v>
          </cell>
        </row>
        <row r="4661">
          <cell r="F4661" t="str">
            <v>US-Remofirst, Inc.-01/2025</v>
          </cell>
          <cell r="G4661" t="str">
            <v>Settled</v>
          </cell>
        </row>
        <row r="4662">
          <cell r="F4662" t="str">
            <v>US-Remofirst, Inc.-02/2025</v>
          </cell>
          <cell r="G4662" t="str">
            <v>Settled</v>
          </cell>
        </row>
        <row r="4663">
          <cell r="F4663" t="str">
            <v>US-Remofirst, Inc.-03/2025</v>
          </cell>
          <cell r="G4663" t="str">
            <v>Settled</v>
          </cell>
        </row>
        <row r="4664">
          <cell r="F4664" t="str">
            <v>US-Remofirst, Inc.-04/2025</v>
          </cell>
          <cell r="G4664" t="str">
            <v>Settled</v>
          </cell>
        </row>
        <row r="4665">
          <cell r="F4665" t="str">
            <v>US-Remofirst, Inc.-05/2025</v>
          </cell>
          <cell r="G4665" t="str">
            <v>Settled</v>
          </cell>
        </row>
        <row r="4666">
          <cell r="F4666" t="str">
            <v>US-Remofirst, Inc.-06/2025</v>
          </cell>
          <cell r="G4666" t="str">
            <v>Settled</v>
          </cell>
        </row>
        <row r="4667">
          <cell r="F4667" t="str">
            <v>US-Remofirst, Inc.-07/2025</v>
          </cell>
          <cell r="G4667" t="str">
            <v>Settled</v>
          </cell>
        </row>
        <row r="4668">
          <cell r="F4668" t="str">
            <v>US-Remofirst, Inc.-08/2025</v>
          </cell>
          <cell r="G4668" t="str">
            <v>Settled</v>
          </cell>
        </row>
        <row r="4669">
          <cell r="F4669" t="str">
            <v>US-Remofirst, Inc.-09/2025</v>
          </cell>
          <cell r="G4669" t="str">
            <v>Settled</v>
          </cell>
        </row>
        <row r="4670">
          <cell r="F4670" t="str">
            <v>US-Remofirst, Inc.-10/2025</v>
          </cell>
          <cell r="G4670" t="str">
            <v>Settled</v>
          </cell>
        </row>
        <row r="4671">
          <cell r="F4671" t="str">
            <v>US-Remofirst, Inc.-11/2025</v>
          </cell>
          <cell r="G4671" t="str">
            <v>Settled</v>
          </cell>
        </row>
        <row r="4672">
          <cell r="F4672" t="str">
            <v>US-Remofirst, Inc.-12/2025</v>
          </cell>
          <cell r="G4672" t="str">
            <v>Settled</v>
          </cell>
        </row>
        <row r="4673">
          <cell r="F4673" t="str">
            <v>US-Remofirst, Inc.-01/2026</v>
          </cell>
          <cell r="G4673" t="str">
            <v>Settled</v>
          </cell>
        </row>
        <row r="4674">
          <cell r="F4674" t="str">
            <v>US-Remofirst, Inc.-02/2026</v>
          </cell>
          <cell r="G4674" t="str">
            <v>Settled</v>
          </cell>
        </row>
        <row r="4675">
          <cell r="F4675" t="str">
            <v>SG-Rewire-11/2022</v>
          </cell>
          <cell r="G4675" t="str">
            <v>Settled</v>
          </cell>
        </row>
        <row r="4676">
          <cell r="F4676" t="str">
            <v>SG-Rewire-12/2022</v>
          </cell>
          <cell r="G4676" t="str">
            <v>Settled</v>
          </cell>
        </row>
        <row r="4677">
          <cell r="F4677" t="str">
            <v>SG-Rewire-01/2023</v>
          </cell>
          <cell r="G4677" t="str">
            <v>Settled</v>
          </cell>
        </row>
        <row r="4678">
          <cell r="F4678" t="str">
            <v>SG-Rewire-02/2023</v>
          </cell>
          <cell r="G4678" t="str">
            <v>Settled</v>
          </cell>
        </row>
        <row r="4679">
          <cell r="F4679" t="str">
            <v>SG-Rewire-03/2023</v>
          </cell>
          <cell r="G4679" t="str">
            <v>Settled</v>
          </cell>
        </row>
        <row r="4680">
          <cell r="F4680" t="str">
            <v>SG-Rewire-04/2023</v>
          </cell>
          <cell r="G4680" t="str">
            <v>Settled</v>
          </cell>
        </row>
        <row r="4681">
          <cell r="F4681" t="str">
            <v>SG-Rewire-05/2023</v>
          </cell>
          <cell r="G4681" t="str">
            <v>Settled</v>
          </cell>
        </row>
        <row r="4682">
          <cell r="F4682" t="str">
            <v>SG-Rewire-06/2023</v>
          </cell>
          <cell r="G4682" t="str">
            <v>Settled</v>
          </cell>
        </row>
        <row r="4683">
          <cell r="F4683" t="str">
            <v>SG-Rewire-07/2023</v>
          </cell>
          <cell r="G4683" t="str">
            <v>Settled</v>
          </cell>
        </row>
        <row r="4684">
          <cell r="F4684" t="str">
            <v>SG -Rewire-08/2023</v>
          </cell>
          <cell r="G4684" t="str">
            <v>Settled</v>
          </cell>
        </row>
        <row r="4685">
          <cell r="F4685" t="str">
            <v>SG-Rewire-09/2023</v>
          </cell>
          <cell r="G4685" t="str">
            <v>Settled</v>
          </cell>
        </row>
        <row r="4686">
          <cell r="F4686" t="str">
            <v>SG-Rewire-10/2023</v>
          </cell>
          <cell r="G4686" t="str">
            <v>Settled</v>
          </cell>
        </row>
        <row r="4687">
          <cell r="F4687" t="str">
            <v>SG-Rewire-11/2023</v>
          </cell>
          <cell r="G4687" t="str">
            <v>Settled</v>
          </cell>
        </row>
        <row r="4688">
          <cell r="F4688" t="str">
            <v>SG-Rewire-12/2023</v>
          </cell>
          <cell r="G4688" t="str">
            <v>Settled</v>
          </cell>
        </row>
        <row r="4689">
          <cell r="F4689" t="str">
            <v>SG-Rewire-01/2024</v>
          </cell>
          <cell r="G4689" t="str">
            <v>Settled</v>
          </cell>
        </row>
        <row r="4690">
          <cell r="F4690" t="str">
            <v>SG-Rewire-02/2024</v>
          </cell>
          <cell r="G4690" t="str">
            <v>Settled</v>
          </cell>
        </row>
        <row r="4691">
          <cell r="F4691" t="str">
            <v>SG-Rewire-03/2024</v>
          </cell>
          <cell r="G4691" t="str">
            <v>Settled</v>
          </cell>
        </row>
        <row r="4692">
          <cell r="F4692" t="str">
            <v>SG-Rewire-04/2024</v>
          </cell>
          <cell r="G4692" t="str">
            <v>Settled</v>
          </cell>
        </row>
        <row r="4693">
          <cell r="F4693" t="str">
            <v>SG-Rewire-05/2024</v>
          </cell>
          <cell r="G4693" t="str">
            <v>Settled</v>
          </cell>
        </row>
        <row r="4694">
          <cell r="F4694" t="str">
            <v>SG-Rewire-06/2024</v>
          </cell>
          <cell r="G4694" t="str">
            <v>Settled</v>
          </cell>
        </row>
        <row r="4695">
          <cell r="F4695" t="str">
            <v>SG-Rewire-07/2024</v>
          </cell>
          <cell r="G4695" t="str">
            <v>Settled</v>
          </cell>
        </row>
        <row r="4696">
          <cell r="F4696" t="str">
            <v>SG-Rewire-08/2024</v>
          </cell>
          <cell r="G4696" t="str">
            <v>Settled</v>
          </cell>
        </row>
        <row r="4697">
          <cell r="F4697" t="str">
            <v>SG-Rewire-09/2024</v>
          </cell>
          <cell r="G4697" t="str">
            <v>Settled</v>
          </cell>
        </row>
        <row r="4698">
          <cell r="F4698" t="str">
            <v>SG-Rewire-10/2024</v>
          </cell>
          <cell r="G4698" t="str">
            <v>Settled</v>
          </cell>
        </row>
        <row r="4699">
          <cell r="F4699" t="str">
            <v>SG-Rewire-11/2024</v>
          </cell>
          <cell r="G4699" t="str">
            <v>Settled</v>
          </cell>
        </row>
        <row r="4700">
          <cell r="F4700" t="str">
            <v>SG-Rewire-12/2024</v>
          </cell>
          <cell r="G4700" t="str">
            <v>Settled</v>
          </cell>
        </row>
        <row r="4701">
          <cell r="F4701" t="str">
            <v>SG-Rewire-01/2025</v>
          </cell>
          <cell r="G4701" t="str">
            <v>Settled</v>
          </cell>
        </row>
        <row r="4702">
          <cell r="F4702" t="str">
            <v>SG-Rewire-02/2025</v>
          </cell>
          <cell r="G4702" t="str">
            <v>Settled</v>
          </cell>
        </row>
        <row r="4703">
          <cell r="F4703" t="str">
            <v>SG-Rewire-03/2025</v>
          </cell>
          <cell r="G4703" t="str">
            <v>Settled</v>
          </cell>
        </row>
        <row r="4704">
          <cell r="F4704" t="str">
            <v>SG-Ripple-09/2023</v>
          </cell>
          <cell r="G4704" t="str">
            <v>Settled</v>
          </cell>
        </row>
        <row r="4705">
          <cell r="F4705" t="str">
            <v>SG-RippleFXLoss-09/2023</v>
          </cell>
          <cell r="G4705" t="str">
            <v>Settled</v>
          </cell>
        </row>
        <row r="4706">
          <cell r="F4706" t="str">
            <v>SG-Ripple-10/2023</v>
          </cell>
          <cell r="G4706" t="str">
            <v>Settled</v>
          </cell>
        </row>
        <row r="4707">
          <cell r="F4707" t="str">
            <v>SG-Ripple-11/2023</v>
          </cell>
          <cell r="G4707" t="str">
            <v>Settled</v>
          </cell>
        </row>
        <row r="4708">
          <cell r="F4708" t="str">
            <v>SG-Ripple-02/2024</v>
          </cell>
          <cell r="G4708" t="str">
            <v>Settled</v>
          </cell>
        </row>
        <row r="4709">
          <cell r="F4709" t="str">
            <v>SG-Ripple-02-2024</v>
          </cell>
          <cell r="G4709" t="str">
            <v>Settled</v>
          </cell>
        </row>
        <row r="4710">
          <cell r="F4710" t="str">
            <v>SG-AD-Ripple-06-2024</v>
          </cell>
          <cell r="G4710" t="str">
            <v>Settled</v>
          </cell>
        </row>
        <row r="4711">
          <cell r="F4711" t="str">
            <v>SG-AD-Ripple-07-2024</v>
          </cell>
          <cell r="G4711" t="str">
            <v>Settled</v>
          </cell>
        </row>
        <row r="4712">
          <cell r="F4712" t="str">
            <v>SG-AD-Ripple-09-2024</v>
          </cell>
          <cell r="G4712" t="str">
            <v>Settled</v>
          </cell>
        </row>
        <row r="4713">
          <cell r="F4713" t="str">
            <v>SG-AD-Ripple-08-2024</v>
          </cell>
          <cell r="G4713" t="str">
            <v>Settled</v>
          </cell>
        </row>
        <row r="4714">
          <cell r="F4714" t="str">
            <v>SG-AD-Ripple-10-2024</v>
          </cell>
          <cell r="G4714" t="str">
            <v>Settled</v>
          </cell>
        </row>
        <row r="4715">
          <cell r="F4715" t="str">
            <v>SG-DN-Ripple-12-2024</v>
          </cell>
          <cell r="G4715" t="str">
            <v>Settled</v>
          </cell>
        </row>
        <row r="4716">
          <cell r="F4716" t="str">
            <v>SG-AD-Ripple-01-2025</v>
          </cell>
          <cell r="G4716" t="str">
            <v>Settled</v>
          </cell>
        </row>
        <row r="4717">
          <cell r="F4717" t="str">
            <v>SG-AD-Ripple-03-2025</v>
          </cell>
          <cell r="G4717" t="str">
            <v>Net Off</v>
          </cell>
        </row>
        <row r="4718">
          <cell r="F4718" t="str">
            <v>SG-AD-Ripple-05-2025</v>
          </cell>
          <cell r="G4718" t="str">
            <v>Net Off</v>
          </cell>
        </row>
        <row r="4719">
          <cell r="F4719" t="str">
            <v>SG-CN-Ripple-03-2025</v>
          </cell>
          <cell r="G4719" t="str">
            <v>Net Off</v>
          </cell>
        </row>
        <row r="4720">
          <cell r="F4720" t="str">
            <v>SG-AD-Ripple-06-2025</v>
          </cell>
          <cell r="G4720" t="str">
            <v>Settled</v>
          </cell>
        </row>
        <row r="4721">
          <cell r="F4721" t="str">
            <v>SG-CN-Ripple-05-2025</v>
          </cell>
          <cell r="G4721" t="str">
            <v>Net Off</v>
          </cell>
        </row>
        <row r="4722">
          <cell r="F4722" t="str">
            <v>SG-AD-Ripple-08-2025</v>
          </cell>
          <cell r="G4722" t="str">
            <v>Settled</v>
          </cell>
        </row>
        <row r="4723">
          <cell r="F4723" t="str">
            <v>SG-AD-Ripple-08-2025</v>
          </cell>
          <cell r="G4723" t="str">
            <v>Settled</v>
          </cell>
        </row>
        <row r="4724">
          <cell r="F4724" t="str">
            <v xml:space="preserve">SG-AD-Ripple-08-2025-1
</v>
          </cell>
          <cell r="G4724" t="str">
            <v>Settled</v>
          </cell>
        </row>
        <row r="4725">
          <cell r="F4725" t="str">
            <v>US-Rippling Payments Inc-11/2022</v>
          </cell>
          <cell r="G4725" t="str">
            <v>Settled</v>
          </cell>
        </row>
        <row r="4726">
          <cell r="F4726" t="str">
            <v>US-Rippling Payments Inc-01/2023</v>
          </cell>
          <cell r="G4726" t="str">
            <v>Settled</v>
          </cell>
        </row>
        <row r="4727">
          <cell r="F4727" t="str">
            <v>US-Rippling Payments Inc-12/2022</v>
          </cell>
          <cell r="G4727" t="str">
            <v>Settled</v>
          </cell>
        </row>
        <row r="4728">
          <cell r="F4728" t="str">
            <v>US-Rippling-02/2023</v>
          </cell>
          <cell r="G4728" t="str">
            <v>Settled</v>
          </cell>
        </row>
        <row r="4729">
          <cell r="F4729" t="str">
            <v>US-Rippling-03/2023</v>
          </cell>
          <cell r="G4729" t="str">
            <v>Settled</v>
          </cell>
        </row>
        <row r="4730">
          <cell r="F4730" t="str">
            <v>US-Rippling-03/2023</v>
          </cell>
          <cell r="G4730" t="str">
            <v>Settled</v>
          </cell>
        </row>
        <row r="4731">
          <cell r="F4731" t="str">
            <v>US-Rippling-04/2023</v>
          </cell>
          <cell r="G4731" t="str">
            <v>Settled</v>
          </cell>
        </row>
        <row r="4732">
          <cell r="F4732" t="str">
            <v>US-Rippling-05/2023</v>
          </cell>
          <cell r="G4732" t="str">
            <v>Settled</v>
          </cell>
        </row>
        <row r="4733">
          <cell r="F4733" t="str">
            <v>US-Rippling-06/2023</v>
          </cell>
          <cell r="G4733" t="str">
            <v>Settled</v>
          </cell>
        </row>
        <row r="4734">
          <cell r="F4734" t="str">
            <v>US-Rippling-07/2023</v>
          </cell>
          <cell r="G4734" t="str">
            <v>Settled</v>
          </cell>
        </row>
        <row r="4735">
          <cell r="F4735" t="str">
            <v>US -Rippling-08/2023</v>
          </cell>
          <cell r="G4735" t="str">
            <v>Settled</v>
          </cell>
        </row>
        <row r="4736">
          <cell r="F4736" t="str">
            <v>US-Rippling-09/2023</v>
          </cell>
          <cell r="G4736" t="str">
            <v>Settled</v>
          </cell>
        </row>
        <row r="4737">
          <cell r="F4737" t="str">
            <v>US-Rippling-10/2023</v>
          </cell>
          <cell r="G4737" t="str">
            <v>Settled</v>
          </cell>
        </row>
        <row r="4738">
          <cell r="F4738" t="str">
            <v>US-Rippling-11/2023</v>
          </cell>
          <cell r="G4738" t="str">
            <v>Settled</v>
          </cell>
        </row>
        <row r="4739">
          <cell r="F4739" t="str">
            <v>US-Rippling-12/2023</v>
          </cell>
          <cell r="G4739" t="str">
            <v>Settled</v>
          </cell>
        </row>
        <row r="4740">
          <cell r="F4740" t="str">
            <v>US-Rippling-01/2024</v>
          </cell>
          <cell r="G4740" t="str">
            <v>Settled</v>
          </cell>
        </row>
        <row r="4741">
          <cell r="F4741" t="str">
            <v>US-Rippling-02/2024</v>
          </cell>
          <cell r="G4741" t="str">
            <v>Settled</v>
          </cell>
        </row>
        <row r="4742">
          <cell r="F4742" t="str">
            <v>US-Rippling-03/2024</v>
          </cell>
          <cell r="G4742" t="str">
            <v>Settled</v>
          </cell>
        </row>
        <row r="4743">
          <cell r="F4743" t="str">
            <v>US-Rippling-04/2024</v>
          </cell>
          <cell r="G4743" t="str">
            <v>Settled</v>
          </cell>
        </row>
        <row r="4744">
          <cell r="F4744" t="str">
            <v>US-Rippling-05/2024</v>
          </cell>
          <cell r="G4744" t="str">
            <v>Settled</v>
          </cell>
        </row>
        <row r="4745">
          <cell r="F4745" t="str">
            <v>US-Rippling-06/2024</v>
          </cell>
          <cell r="G4745" t="str">
            <v>Settled</v>
          </cell>
        </row>
        <row r="4746">
          <cell r="F4746" t="str">
            <v>US-CN-Rippling-06-2024</v>
          </cell>
          <cell r="G4746" t="str">
            <v>Settled</v>
          </cell>
        </row>
        <row r="4747">
          <cell r="F4747" t="str">
            <v>US-Rippling-07/2024</v>
          </cell>
          <cell r="G4747" t="str">
            <v>Settled</v>
          </cell>
        </row>
        <row r="4748">
          <cell r="F4748" t="str">
            <v>US-Rippling-08/2024</v>
          </cell>
          <cell r="G4748" t="str">
            <v>Settled</v>
          </cell>
        </row>
        <row r="4749">
          <cell r="F4749" t="str">
            <v>US-Rippling-09/2024</v>
          </cell>
          <cell r="G4749" t="str">
            <v>Settled</v>
          </cell>
        </row>
        <row r="4750">
          <cell r="F4750" t="str">
            <v>US-Rippling-10/2024</v>
          </cell>
          <cell r="G4750" t="str">
            <v>Settled</v>
          </cell>
        </row>
        <row r="4751">
          <cell r="F4751" t="str">
            <v>US-Rippling-11/2024</v>
          </cell>
          <cell r="G4751" t="str">
            <v>Settled</v>
          </cell>
        </row>
        <row r="4752">
          <cell r="F4752" t="str">
            <v>US-Rippling-12/2024</v>
          </cell>
          <cell r="G4752" t="str">
            <v>Settled</v>
          </cell>
        </row>
        <row r="4753">
          <cell r="F4753" t="str">
            <v>US-Rippling-01/2025</v>
          </cell>
          <cell r="G4753" t="str">
            <v>Settled</v>
          </cell>
        </row>
        <row r="4754">
          <cell r="F4754" t="str">
            <v>US-Rippling-02/2025</v>
          </cell>
          <cell r="G4754" t="str">
            <v>Settled</v>
          </cell>
        </row>
        <row r="4755">
          <cell r="F4755" t="str">
            <v>US-Rippling-03/2025</v>
          </cell>
          <cell r="G4755" t="str">
            <v>Settled</v>
          </cell>
        </row>
        <row r="4756">
          <cell r="F4756" t="str">
            <v>US-Rippling-04/2025</v>
          </cell>
          <cell r="G4756" t="str">
            <v>Settled</v>
          </cell>
        </row>
        <row r="4757">
          <cell r="F4757" t="str">
            <v>US-Rippling-05/2025</v>
          </cell>
          <cell r="G4757" t="str">
            <v>Settled</v>
          </cell>
        </row>
        <row r="4758">
          <cell r="F4758" t="str">
            <v>US-Rippling-06/2025</v>
          </cell>
          <cell r="G4758" t="str">
            <v>Settled</v>
          </cell>
        </row>
        <row r="4759">
          <cell r="F4759" t="str">
            <v>US-Rippling-07/2025</v>
          </cell>
          <cell r="G4759" t="str">
            <v>Settled</v>
          </cell>
        </row>
        <row r="4760">
          <cell r="F4760" t="str">
            <v>US-Rippling-08/2025</v>
          </cell>
          <cell r="G4760" t="str">
            <v>Settled</v>
          </cell>
        </row>
        <row r="4761">
          <cell r="F4761" t="str">
            <v>US-Rippling-09/2025</v>
          </cell>
          <cell r="G4761" t="str">
            <v>Settled</v>
          </cell>
        </row>
        <row r="4762">
          <cell r="F4762" t="str">
            <v>US-Rippling-10/2025</v>
          </cell>
          <cell r="G4762" t="str">
            <v>Settled</v>
          </cell>
        </row>
        <row r="4763">
          <cell r="F4763" t="str">
            <v>US-Rippling-11/2025</v>
          </cell>
          <cell r="G4763" t="str">
            <v>Settled</v>
          </cell>
        </row>
        <row r="4764">
          <cell r="F4764" t="str">
            <v>US-Rippling-12/2025</v>
          </cell>
          <cell r="G4764" t="str">
            <v>Settled</v>
          </cell>
        </row>
        <row r="4765">
          <cell r="F4765" t="str">
            <v>US-Rippling-01/2026</v>
          </cell>
          <cell r="G4765" t="str">
            <v>Settled</v>
          </cell>
        </row>
        <row r="4766">
          <cell r="F4766" t="str">
            <v>US-Rippling-02/2026</v>
          </cell>
          <cell r="G4766" t="str">
            <v>Settled</v>
          </cell>
        </row>
        <row r="4767">
          <cell r="F4767" t="str">
            <v>SG-Rippling-FI-SG-05/2024</v>
          </cell>
          <cell r="G4767" t="str">
            <v>Settled</v>
          </cell>
        </row>
        <row r="4768">
          <cell r="F4768" t="str">
            <v>SG-Rippling-FI-SG-06/2024</v>
          </cell>
          <cell r="G4768" t="str">
            <v>Settled</v>
          </cell>
        </row>
        <row r="4769">
          <cell r="F4769" t="str">
            <v>SG-Rippling-FI-SG-07/2024</v>
          </cell>
          <cell r="G4769" t="str">
            <v>Settled</v>
          </cell>
        </row>
        <row r="4770">
          <cell r="F4770" t="str">
            <v>SG-Rippling-FI-SG-08/2024</v>
          </cell>
          <cell r="G4770" t="str">
            <v>Settled</v>
          </cell>
        </row>
        <row r="4771">
          <cell r="F4771" t="str">
            <v>SG-Rippling-FI-SG-09/2024</v>
          </cell>
          <cell r="G4771" t="str">
            <v>Settled</v>
          </cell>
        </row>
        <row r="4772">
          <cell r="F4772" t="str">
            <v>SG-Rippling-FI-SG-10/2024</v>
          </cell>
          <cell r="G4772" t="str">
            <v>Settled</v>
          </cell>
        </row>
        <row r="4773">
          <cell r="F4773" t="str">
            <v>SG-Rippling-FI-SG-11/2024</v>
          </cell>
          <cell r="G4773" t="str">
            <v>Settled</v>
          </cell>
        </row>
        <row r="4774">
          <cell r="F4774" t="str">
            <v>SG-Rippling-FI-SG-12/2024</v>
          </cell>
          <cell r="G4774" t="str">
            <v>Settled</v>
          </cell>
        </row>
        <row r="4775">
          <cell r="F4775" t="str">
            <v>SG-Rippling-FI-SG-01/2025</v>
          </cell>
          <cell r="G4775" t="str">
            <v>Settled</v>
          </cell>
        </row>
        <row r="4776">
          <cell r="F4776" t="str">
            <v>SG-Rippling-FI-SG-02/2025</v>
          </cell>
          <cell r="G4776" t="str">
            <v>Settled</v>
          </cell>
        </row>
        <row r="4777">
          <cell r="F4777" t="str">
            <v>SG-Rippling-FI-SG-03/2025</v>
          </cell>
          <cell r="G4777" t="str">
            <v>Settled</v>
          </cell>
        </row>
        <row r="4778">
          <cell r="F4778" t="str">
            <v>SG-Rippling-FI-SG-04/2025</v>
          </cell>
          <cell r="G4778" t="str">
            <v>Settled</v>
          </cell>
        </row>
        <row r="4779">
          <cell r="F4779" t="str">
            <v>SG-Rippling-FI-SG-05/2025</v>
          </cell>
          <cell r="G4779" t="str">
            <v>Settled</v>
          </cell>
        </row>
        <row r="4780">
          <cell r="F4780" t="str">
            <v>SG-Rippling-FI-SG-06/2025</v>
          </cell>
          <cell r="G4780" t="str">
            <v>Settled</v>
          </cell>
        </row>
        <row r="4781">
          <cell r="F4781" t="str">
            <v>SG-Rippling-FI-SG-07/2025</v>
          </cell>
          <cell r="G4781" t="str">
            <v>Settled</v>
          </cell>
        </row>
        <row r="4782">
          <cell r="F4782" t="str">
            <v>SG-Rippling-FI-SG-08/2025</v>
          </cell>
          <cell r="G4782" t="str">
            <v>Settled</v>
          </cell>
        </row>
        <row r="4783">
          <cell r="F4783" t="str">
            <v>SG-Rippling-FI-SG-09/2025</v>
          </cell>
          <cell r="G4783" t="str">
            <v>Settled</v>
          </cell>
        </row>
        <row r="4784">
          <cell r="F4784" t="str">
            <v>SG-Rippling-FI-SG-10/2025</v>
          </cell>
          <cell r="G4784" t="str">
            <v>Settled</v>
          </cell>
        </row>
        <row r="4785">
          <cell r="F4785" t="str">
            <v>SG-Rippling-FI-SG-11/2025</v>
          </cell>
          <cell r="G4785" t="str">
            <v>Settled</v>
          </cell>
        </row>
        <row r="4786">
          <cell r="F4786" t="str">
            <v>SG-Rippling-FI-SG-12/2025</v>
          </cell>
          <cell r="G4786" t="str">
            <v>Settled</v>
          </cell>
        </row>
        <row r="4787">
          <cell r="F4787" t="str">
            <v>SG-Rippling-FI-SG-01/2026</v>
          </cell>
          <cell r="G4787" t="str">
            <v>Settled</v>
          </cell>
        </row>
        <row r="4788">
          <cell r="F4788" t="str">
            <v>SG-Rippling-FI-SG-02/2026</v>
          </cell>
          <cell r="G4788" t="str">
            <v>Settled</v>
          </cell>
        </row>
        <row r="4789">
          <cell r="F4789" t="str">
            <v>SG-Rippling-FI-SG-03/2024</v>
          </cell>
          <cell r="G4789" t="str">
            <v>Settled</v>
          </cell>
        </row>
        <row r="4790">
          <cell r="F4790" t="str">
            <v>US-Rippling-FI-12/2023</v>
          </cell>
          <cell r="G4790" t="str">
            <v>Settled</v>
          </cell>
        </row>
        <row r="4791">
          <cell r="F4791" t="str">
            <v>US-Rippling-FI-02/2024</v>
          </cell>
          <cell r="G4791" t="str">
            <v>Settled</v>
          </cell>
        </row>
        <row r="4792">
          <cell r="F4792" t="str">
            <v>US-Rippling-FI-03/2024</v>
          </cell>
          <cell r="G4792" t="str">
            <v>Settled</v>
          </cell>
        </row>
        <row r="4793">
          <cell r="F4793" t="str">
            <v>US-Rippling-FI-04/2024</v>
          </cell>
          <cell r="G4793" t="str">
            <v>Settled</v>
          </cell>
        </row>
        <row r="4794">
          <cell r="F4794" t="str">
            <v>US-Rippling-FI-05/2024</v>
          </cell>
          <cell r="G4794" t="str">
            <v>Settled</v>
          </cell>
        </row>
        <row r="4795">
          <cell r="F4795" t="str">
            <v>US-Rippling-FI US-06/2024</v>
          </cell>
          <cell r="G4795" t="str">
            <v>Settled</v>
          </cell>
        </row>
        <row r="4796">
          <cell r="F4796" t="str">
            <v>US-Rippling-FI US-07/2024</v>
          </cell>
          <cell r="G4796" t="str">
            <v>Settled</v>
          </cell>
        </row>
        <row r="4797">
          <cell r="F4797" t="str">
            <v>US-Rippling-FI US-08/2024</v>
          </cell>
          <cell r="G4797" t="str">
            <v>Settled</v>
          </cell>
        </row>
        <row r="4798">
          <cell r="F4798" t="str">
            <v>US-Rippling-FI US-09/2024</v>
          </cell>
          <cell r="G4798" t="str">
            <v>Settled</v>
          </cell>
        </row>
        <row r="4799">
          <cell r="F4799" t="str">
            <v>US-Rippling-FI US-10/2024</v>
          </cell>
          <cell r="G4799" t="str">
            <v>Settled</v>
          </cell>
        </row>
        <row r="4800">
          <cell r="F4800" t="str">
            <v>US-Rippling-FI US-11/2024</v>
          </cell>
          <cell r="G4800" t="str">
            <v>Settled</v>
          </cell>
        </row>
        <row r="4801">
          <cell r="F4801" t="str">
            <v>US-Rippling-FI US-12/2024</v>
          </cell>
          <cell r="G4801" t="str">
            <v>Settled</v>
          </cell>
        </row>
        <row r="4802">
          <cell r="F4802" t="str">
            <v>US-Rippling-FI US-01/2025</v>
          </cell>
          <cell r="G4802" t="str">
            <v>Settled</v>
          </cell>
        </row>
        <row r="4803">
          <cell r="F4803" t="str">
            <v>US-Rippling-FI US-02/2025</v>
          </cell>
          <cell r="G4803" t="str">
            <v>Settled</v>
          </cell>
        </row>
        <row r="4804">
          <cell r="F4804" t="str">
            <v>US-Rippling-FI US-03/2025</v>
          </cell>
          <cell r="G4804" t="str">
            <v>Settled</v>
          </cell>
        </row>
        <row r="4805">
          <cell r="F4805" t="str">
            <v>US-Rippling-FI US-04/2025</v>
          </cell>
          <cell r="G4805" t="str">
            <v>Settled</v>
          </cell>
        </row>
        <row r="4806">
          <cell r="F4806" t="str">
            <v>US-Rippling-FI US-05/2025</v>
          </cell>
          <cell r="G4806" t="str">
            <v>Settled</v>
          </cell>
        </row>
        <row r="4807">
          <cell r="F4807" t="str">
            <v>US-Rippling-FI US-06/2025</v>
          </cell>
          <cell r="G4807" t="str">
            <v>Settled</v>
          </cell>
        </row>
        <row r="4808">
          <cell r="F4808" t="str">
            <v>US-Rippling-FI US-07/2025</v>
          </cell>
          <cell r="G4808" t="str">
            <v>Settled</v>
          </cell>
        </row>
        <row r="4809">
          <cell r="F4809" t="str">
            <v>US-Rippling-FI US-08/2025</v>
          </cell>
          <cell r="G4809" t="str">
            <v>Settled</v>
          </cell>
        </row>
        <row r="4810">
          <cell r="F4810" t="str">
            <v>US-Rippling-FI US-09/2025</v>
          </cell>
          <cell r="G4810" t="str">
            <v>Settled</v>
          </cell>
        </row>
        <row r="4811">
          <cell r="F4811" t="str">
            <v>US-Rippling-FI US-10/2025</v>
          </cell>
          <cell r="G4811" t="str">
            <v>Settled</v>
          </cell>
        </row>
        <row r="4812">
          <cell r="F4812" t="str">
            <v>US-Rippling-FI US-11/2025</v>
          </cell>
          <cell r="G4812" t="str">
            <v>Settled</v>
          </cell>
        </row>
        <row r="4813">
          <cell r="F4813" t="str">
            <v>US-Rippling-FI US-12/2025</v>
          </cell>
          <cell r="G4813" t="str">
            <v>Settled</v>
          </cell>
        </row>
        <row r="4814">
          <cell r="F4814" t="str">
            <v>US-Rippling-FI US-01/2026</v>
          </cell>
          <cell r="G4814" t="str">
            <v>Settled</v>
          </cell>
        </row>
        <row r="4815">
          <cell r="F4815" t="str">
            <v>US-Rippling-FI US-02/2026</v>
          </cell>
          <cell r="G4815" t="str">
            <v>Settled</v>
          </cell>
        </row>
        <row r="4816">
          <cell r="F4816" t="str">
            <v>SG -ROXE INC-11/2022</v>
          </cell>
          <cell r="G4816" t="str">
            <v>Settled</v>
          </cell>
        </row>
        <row r="4817">
          <cell r="F4817" t="str">
            <v>SG-ROXE INC-12/2022</v>
          </cell>
          <cell r="G4817" t="str">
            <v>Settled</v>
          </cell>
        </row>
        <row r="4818">
          <cell r="F4818" t="str">
            <v>SG-ROXE INC-01/2023</v>
          </cell>
          <cell r="G4818" t="str">
            <v>Settled</v>
          </cell>
        </row>
        <row r="4819">
          <cell r="F4819" t="str">
            <v>SG-ROXE INC-02/2023</v>
          </cell>
          <cell r="G4819" t="str">
            <v>Settled</v>
          </cell>
        </row>
        <row r="4820">
          <cell r="F4820" t="str">
            <v>SG-ROXE INC-03/2023</v>
          </cell>
          <cell r="G4820" t="str">
            <v>Settled</v>
          </cell>
        </row>
        <row r="4821">
          <cell r="F4821" t="str">
            <v>SG-ROXE INC-04/2023</v>
          </cell>
          <cell r="G4821" t="str">
            <v>Settled</v>
          </cell>
        </row>
        <row r="4822">
          <cell r="F4822" t="str">
            <v>SG-ROXE INC-05/2023</v>
          </cell>
          <cell r="G4822" t="str">
            <v>Settled</v>
          </cell>
        </row>
        <row r="4823">
          <cell r="F4823" t="str">
            <v>SG-ROXE INC-06/2023</v>
          </cell>
          <cell r="G4823" t="str">
            <v>Settled</v>
          </cell>
        </row>
        <row r="4824">
          <cell r="F4824" t="str">
            <v>SG-ROXE INC-07/2023</v>
          </cell>
          <cell r="G4824" t="str">
            <v>Settled</v>
          </cell>
        </row>
        <row r="4825">
          <cell r="F4825" t="str">
            <v>SG -ROXE INC-08/2023</v>
          </cell>
          <cell r="G4825" t="str">
            <v>Settled</v>
          </cell>
        </row>
        <row r="4826">
          <cell r="F4826" t="str">
            <v>SG-ROXE INC-09/2023</v>
          </cell>
          <cell r="G4826" t="str">
            <v>Waived Off</v>
          </cell>
        </row>
        <row r="4827">
          <cell r="F4827" t="str">
            <v>SG-Ruul Ou-11/22</v>
          </cell>
          <cell r="G4827" t="str">
            <v>Settled</v>
          </cell>
        </row>
        <row r="4828">
          <cell r="F4828" t="str">
            <v>SG-Ruul Ou-12/22</v>
          </cell>
          <cell r="G4828" t="str">
            <v>Settled</v>
          </cell>
        </row>
        <row r="4829">
          <cell r="F4829" t="str">
            <v>SG-Ruul Ou-01/2023</v>
          </cell>
          <cell r="G4829" t="str">
            <v>Settled</v>
          </cell>
        </row>
        <row r="4830">
          <cell r="F4830" t="str">
            <v>SG-Ruul Ou-02/2023</v>
          </cell>
          <cell r="G4830" t="str">
            <v>Settled</v>
          </cell>
        </row>
        <row r="4831">
          <cell r="F4831" t="str">
            <v>SG-Ruul Ou-03/2023</v>
          </cell>
          <cell r="G4831" t="str">
            <v>Settled</v>
          </cell>
        </row>
        <row r="4832">
          <cell r="F4832" t="str">
            <v>SG-Ruul Ou-04/2023</v>
          </cell>
          <cell r="G4832" t="str">
            <v>Settled</v>
          </cell>
        </row>
        <row r="4833">
          <cell r="F4833" t="str">
            <v>SG-Ruul Ou-05/2023</v>
          </cell>
          <cell r="G4833" t="str">
            <v>Settled</v>
          </cell>
        </row>
        <row r="4834">
          <cell r="F4834" t="str">
            <v>SG-Ruul Ou-06/2023</v>
          </cell>
          <cell r="G4834" t="str">
            <v>Settled</v>
          </cell>
        </row>
        <row r="4835">
          <cell r="F4835" t="str">
            <v>SG-Ruul Ou-07/2023</v>
          </cell>
          <cell r="G4835" t="str">
            <v>Settled</v>
          </cell>
        </row>
        <row r="4836">
          <cell r="F4836" t="str">
            <v>SG -Ruul Ou-08/2023</v>
          </cell>
          <cell r="G4836" t="str">
            <v>Settled</v>
          </cell>
        </row>
        <row r="4837">
          <cell r="F4837" t="str">
            <v>SG-Ruul Ou-09/2023</v>
          </cell>
          <cell r="G4837" t="str">
            <v>Settled</v>
          </cell>
        </row>
        <row r="4838">
          <cell r="F4838" t="str">
            <v>SG-Ruul Ou-10/2023</v>
          </cell>
          <cell r="G4838" t="str">
            <v>Settled</v>
          </cell>
        </row>
        <row r="4839">
          <cell r="F4839" t="str">
            <v>SG-Ruul Ou-11/2023</v>
          </cell>
          <cell r="G4839" t="str">
            <v>Settled</v>
          </cell>
        </row>
        <row r="4840">
          <cell r="F4840" t="str">
            <v>SG -Ruul Ou-CR-09/2023</v>
          </cell>
          <cell r="G4840" t="str">
            <v>Settled</v>
          </cell>
        </row>
        <row r="4841">
          <cell r="F4841" t="str">
            <v>SG -Ruul Ou-CR-11/2023</v>
          </cell>
          <cell r="G4841" t="str">
            <v>Settled</v>
          </cell>
        </row>
        <row r="4842">
          <cell r="F4842" t="str">
            <v>SG-Ruul Ou-12/2023</v>
          </cell>
          <cell r="G4842" t="str">
            <v>Settled</v>
          </cell>
        </row>
        <row r="4843">
          <cell r="F4843" t="str">
            <v>SG-Ruul Ou-01/2024</v>
          </cell>
          <cell r="G4843" t="str">
            <v>Settled</v>
          </cell>
        </row>
        <row r="4844">
          <cell r="F4844" t="str">
            <v>SG-Ruul Ou-02/2024</v>
          </cell>
          <cell r="G4844" t="str">
            <v>Settled</v>
          </cell>
        </row>
        <row r="4845">
          <cell r="F4845" t="str">
            <v>SG-Ruul Ou-03/2024</v>
          </cell>
          <cell r="G4845" t="str">
            <v>Settled</v>
          </cell>
        </row>
        <row r="4846">
          <cell r="F4846" t="str">
            <v>SG-Ruul Ou-04/2024</v>
          </cell>
          <cell r="G4846" t="str">
            <v>Settled</v>
          </cell>
        </row>
        <row r="4847">
          <cell r="F4847" t="str">
            <v>SG-Ruul Ou-05/2024</v>
          </cell>
          <cell r="G4847" t="str">
            <v>Settled</v>
          </cell>
        </row>
        <row r="4848">
          <cell r="F4848" t="str">
            <v>SG-Ruul Ou-06/2024</v>
          </cell>
          <cell r="G4848" t="str">
            <v>Settled</v>
          </cell>
        </row>
        <row r="4849">
          <cell r="F4849" t="str">
            <v>SG-Ruul Ou-07/2024</v>
          </cell>
          <cell r="G4849" t="str">
            <v>Settled</v>
          </cell>
        </row>
        <row r="4850">
          <cell r="F4850" t="str">
            <v>SG-Ruul Ou-08/2024</v>
          </cell>
          <cell r="G4850" t="str">
            <v>Settled</v>
          </cell>
        </row>
        <row r="4851">
          <cell r="F4851" t="str">
            <v>SG-Ruul Ou-09/2024</v>
          </cell>
          <cell r="G4851" t="str">
            <v>Settled</v>
          </cell>
        </row>
        <row r="4852">
          <cell r="F4852" t="str">
            <v>SG-Ruul Ou-10/2024</v>
          </cell>
          <cell r="G4852" t="str">
            <v>Settled</v>
          </cell>
        </row>
        <row r="4853">
          <cell r="F4853" t="str">
            <v>SG-Ruul Ou-11/2024</v>
          </cell>
          <cell r="G4853" t="str">
            <v>Settled</v>
          </cell>
        </row>
        <row r="4854">
          <cell r="F4854" t="str">
            <v>SG-Ruul Ou-12/2024</v>
          </cell>
          <cell r="G4854" t="str">
            <v>Settled</v>
          </cell>
        </row>
        <row r="4855">
          <cell r="F4855" t="str">
            <v>SG-Ruul Ou-01/2025</v>
          </cell>
          <cell r="G4855" t="str">
            <v>Settled</v>
          </cell>
        </row>
        <row r="4856">
          <cell r="F4856" t="str">
            <v>SG-Ruul Ou-02/2025</v>
          </cell>
          <cell r="G4856" t="str">
            <v>Settled</v>
          </cell>
        </row>
        <row r="4857">
          <cell r="F4857" t="str">
            <v>SG-Ruul Ou-03/2025</v>
          </cell>
          <cell r="G4857" t="str">
            <v>Settled</v>
          </cell>
        </row>
        <row r="4858">
          <cell r="F4858" t="str">
            <v>SG-Ruul Ou-04/2025</v>
          </cell>
          <cell r="G4858" t="str">
            <v>Settled</v>
          </cell>
        </row>
        <row r="4859">
          <cell r="F4859" t="str">
            <v>SG-Ruul Ou-05/2025</v>
          </cell>
          <cell r="G4859" t="str">
            <v>Settled</v>
          </cell>
        </row>
        <row r="4860">
          <cell r="F4860" t="str">
            <v>SG-Ruul Ou-06/2025</v>
          </cell>
          <cell r="G4860" t="str">
            <v>Settled</v>
          </cell>
        </row>
        <row r="4861">
          <cell r="F4861" t="str">
            <v>SG-Ruul Ou-07/2025</v>
          </cell>
          <cell r="G4861" t="str">
            <v>Settled</v>
          </cell>
        </row>
        <row r="4862">
          <cell r="F4862" t="str">
            <v>SG-Ruul Ou-08/2025</v>
          </cell>
          <cell r="G4862" t="str">
            <v>Settled</v>
          </cell>
        </row>
        <row r="4863">
          <cell r="F4863" t="str">
            <v>SG-Ruul Ou-09/2025</v>
          </cell>
          <cell r="G4863" t="str">
            <v>Settled</v>
          </cell>
        </row>
        <row r="4864">
          <cell r="F4864" t="str">
            <v>SG-Ruul Ou-10/2025</v>
          </cell>
          <cell r="G4864" t="str">
            <v>Settled</v>
          </cell>
        </row>
        <row r="4865">
          <cell r="F4865" t="str">
            <v>SG-Ruul Ou-11/2025</v>
          </cell>
          <cell r="G4865" t="str">
            <v>Settled</v>
          </cell>
        </row>
        <row r="4866">
          <cell r="F4866" t="str">
            <v>SG-Ruul Ou-12/2025</v>
          </cell>
          <cell r="G4866" t="str">
            <v>Settled</v>
          </cell>
        </row>
        <row r="4867">
          <cell r="F4867" t="str">
            <v>SG-Ruul Ou-01/2026</v>
          </cell>
          <cell r="G4867" t="str">
            <v>Settled</v>
          </cell>
        </row>
        <row r="4868">
          <cell r="F4868" t="str">
            <v>SG-Ruul Ou-02/2026</v>
          </cell>
          <cell r="G4868" t="str">
            <v>Settled</v>
          </cell>
        </row>
        <row r="4869">
          <cell r="F4869" t="str">
            <v>SG -SAAD EXCHANGE-08/2023</v>
          </cell>
          <cell r="G4869" t="str">
            <v>Settled</v>
          </cell>
        </row>
        <row r="4870">
          <cell r="F4870" t="str">
            <v>SG -SAAD EXCHANGE-08/2023</v>
          </cell>
          <cell r="G4870" t="str">
            <v>Settled</v>
          </cell>
        </row>
        <row r="4871">
          <cell r="F4871" t="str">
            <v>SG-SAAD EXCHANGE-09/2023</v>
          </cell>
          <cell r="G4871" t="str">
            <v>Settled</v>
          </cell>
        </row>
        <row r="4872">
          <cell r="F4872" t="str">
            <v>SG-SAAD EXCHANGE-10/2023</v>
          </cell>
          <cell r="G4872" t="str">
            <v>Waived Off</v>
          </cell>
        </row>
        <row r="4873">
          <cell r="F4873" t="str">
            <v>SG-SAAD EXCHANGE-11/2023</v>
          </cell>
          <cell r="G4873" t="str">
            <v>Waived Off</v>
          </cell>
        </row>
        <row r="4874">
          <cell r="F4874" t="str">
            <v>SG-SAAD EXCHANGE-12/2023</v>
          </cell>
          <cell r="G4874" t="str">
            <v>Waived Off</v>
          </cell>
        </row>
        <row r="4875">
          <cell r="F4875" t="str">
            <v>SG-SAAD EXCHANGE-01/2024</v>
          </cell>
          <cell r="G4875" t="str">
            <v>Settled</v>
          </cell>
        </row>
        <row r="4876">
          <cell r="F4876" t="str">
            <v>SG-SAAD EXCHANGE-02/2024</v>
          </cell>
          <cell r="G4876" t="str">
            <v>Settled</v>
          </cell>
        </row>
        <row r="4877">
          <cell r="F4877" t="str">
            <v>SG-SAAD EXCHANGE-03/2024</v>
          </cell>
          <cell r="G4877" t="str">
            <v>Settled</v>
          </cell>
        </row>
        <row r="4878">
          <cell r="F4878" t="str">
            <v>SG-SAAD EXCHANGE-04/2024</v>
          </cell>
          <cell r="G4878" t="str">
            <v>Settled</v>
          </cell>
        </row>
        <row r="4879">
          <cell r="F4879" t="str">
            <v>SG-SAAD EXCHANGE-06/2024</v>
          </cell>
          <cell r="G4879" t="str">
            <v>Settled</v>
          </cell>
        </row>
        <row r="4880">
          <cell r="F4880" t="str">
            <v>SG-SAAD EXCHANGE-07/2024</v>
          </cell>
          <cell r="G4880" t="str">
            <v>Settled</v>
          </cell>
        </row>
        <row r="4881">
          <cell r="F4881" t="str">
            <v>SG-SAAD EXCHANGE-05/2024</v>
          </cell>
          <cell r="G4881" t="str">
            <v>Settled</v>
          </cell>
        </row>
        <row r="4882">
          <cell r="F4882" t="str">
            <v>SG-SAAD EXCHANGE-08/2024</v>
          </cell>
          <cell r="G4882" t="str">
            <v>Settled</v>
          </cell>
        </row>
        <row r="4883">
          <cell r="F4883" t="str">
            <v>SG-SAAD EXCHANGE-09/2024</v>
          </cell>
          <cell r="G4883" t="str">
            <v>Settled</v>
          </cell>
        </row>
        <row r="4884">
          <cell r="F4884" t="str">
            <v>SG-SaaSPay Inc.-11/2023</v>
          </cell>
          <cell r="G4884" t="str">
            <v>Settled</v>
          </cell>
        </row>
        <row r="4885">
          <cell r="F4885" t="str">
            <v>SG-CN-SaaSPay Inc.-11-2023</v>
          </cell>
          <cell r="G4885" t="str">
            <v>Settled</v>
          </cell>
        </row>
        <row r="4886">
          <cell r="F4886" t="str">
            <v>HK-dee-swasdeeshop-05/2023</v>
          </cell>
          <cell r="G4886" t="str">
            <v>Settled</v>
          </cell>
        </row>
        <row r="4887">
          <cell r="F4887" t="str">
            <v>HK-dee-swasdeeshop-06/2023</v>
          </cell>
          <cell r="G4887" t="str">
            <v>Settled</v>
          </cell>
        </row>
        <row r="4888">
          <cell r="F4888" t="str">
            <v>HK-dee-swasdeeshop-07/2023</v>
          </cell>
          <cell r="G4888" t="str">
            <v>Settled</v>
          </cell>
        </row>
        <row r="4889">
          <cell r="F4889" t="str">
            <v>HK -dee-swasdeeshop-08/2023</v>
          </cell>
          <cell r="G4889" t="str">
            <v>Settled</v>
          </cell>
        </row>
        <row r="4890">
          <cell r="F4890" t="str">
            <v>HK -dee-swasdeeshop-CR-08/2023</v>
          </cell>
          <cell r="G4890" t="str">
            <v>Settled</v>
          </cell>
        </row>
        <row r="4891">
          <cell r="F4891" t="str">
            <v>HK-dee-swasdeeshop-09/2023</v>
          </cell>
          <cell r="G4891" t="str">
            <v>Settled</v>
          </cell>
        </row>
        <row r="4892">
          <cell r="F4892" t="str">
            <v>HK-dee-swasdeeshop-10/2023</v>
          </cell>
          <cell r="G4892" t="str">
            <v>Settled</v>
          </cell>
        </row>
        <row r="4893">
          <cell r="F4893" t="str">
            <v>HK-dee-swasdeeshop-11/2023</v>
          </cell>
          <cell r="G4893" t="str">
            <v>Settled</v>
          </cell>
        </row>
        <row r="4894">
          <cell r="F4894" t="str">
            <v>HK-dee-swasdeeshop-12/2023</v>
          </cell>
          <cell r="G4894" t="str">
            <v>Settled</v>
          </cell>
        </row>
        <row r="4895">
          <cell r="F4895" t="str">
            <v>HK-dee-swasdeeshop-01/2024</v>
          </cell>
          <cell r="G4895" t="str">
            <v>Settled</v>
          </cell>
        </row>
        <row r="4896">
          <cell r="F4896" t="str">
            <v>HK-dee-swasdeeshop-02/2024</v>
          </cell>
          <cell r="G4896" t="str">
            <v>Settled</v>
          </cell>
        </row>
        <row r="4897">
          <cell r="F4897" t="str">
            <v>HK-dee-swasdeeshop-03/2024</v>
          </cell>
          <cell r="G4897" t="str">
            <v>Settled</v>
          </cell>
        </row>
        <row r="4898">
          <cell r="F4898" t="str">
            <v>HK-dee-swasdeeshop-04/2024</v>
          </cell>
          <cell r="G4898" t="str">
            <v>Settled</v>
          </cell>
        </row>
        <row r="4899">
          <cell r="F4899" t="str">
            <v>HK-dee-swasdeeshop-05/2024</v>
          </cell>
          <cell r="G4899" t="str">
            <v>Settled</v>
          </cell>
        </row>
        <row r="4900">
          <cell r="F4900" t="str">
            <v>HK-dee-swasdeeshop-06/2024</v>
          </cell>
          <cell r="G4900" t="str">
            <v>Settled</v>
          </cell>
        </row>
        <row r="4901">
          <cell r="F4901" t="str">
            <v>HK-CN-dee-swasdeeshop-06-2024</v>
          </cell>
          <cell r="G4901" t="str">
            <v>Settled</v>
          </cell>
        </row>
        <row r="4902">
          <cell r="F4902" t="str">
            <v>HK-dee-swasdeeshop-07/2024</v>
          </cell>
          <cell r="G4902" t="str">
            <v>Settled</v>
          </cell>
        </row>
        <row r="4903">
          <cell r="F4903" t="str">
            <v>HK-dee-swasdeeshop-08/2024</v>
          </cell>
          <cell r="G4903" t="str">
            <v>Settled</v>
          </cell>
        </row>
        <row r="4904">
          <cell r="F4904" t="str">
            <v>HK-dee-swasdeeshop-09/2024</v>
          </cell>
          <cell r="G4904" t="str">
            <v>Settled</v>
          </cell>
        </row>
        <row r="4905">
          <cell r="F4905" t="str">
            <v>HK-dee-swasdeeshop-10/2024</v>
          </cell>
          <cell r="G4905" t="str">
            <v>Settled</v>
          </cell>
        </row>
        <row r="4906">
          <cell r="F4906" t="str">
            <v>HK-dee-swasdeeshop-11/2024</v>
          </cell>
          <cell r="G4906" t="str">
            <v>Settled</v>
          </cell>
        </row>
        <row r="4907">
          <cell r="F4907" t="str">
            <v>HK-dee-swasdeeshop-12/2024</v>
          </cell>
          <cell r="G4907" t="str">
            <v>Settled</v>
          </cell>
        </row>
        <row r="4908">
          <cell r="F4908" t="str">
            <v>HK-dee-swasdeeshop-01/2025</v>
          </cell>
          <cell r="G4908" t="str">
            <v>Settled</v>
          </cell>
        </row>
        <row r="4909">
          <cell r="F4909" t="str">
            <v>HK-dee-swasdeeshop-02/2025</v>
          </cell>
          <cell r="G4909" t="str">
            <v>Settled</v>
          </cell>
        </row>
        <row r="4910">
          <cell r="F4910" t="str">
            <v>HK-dee-swasdeeshop-03/2025</v>
          </cell>
          <cell r="G4910" t="str">
            <v>Settled</v>
          </cell>
        </row>
        <row r="4911">
          <cell r="F4911" t="str">
            <v>HK-dee-swasdeeshop-04/2025</v>
          </cell>
          <cell r="G4911" t="str">
            <v>Settled</v>
          </cell>
        </row>
        <row r="4912">
          <cell r="F4912" t="str">
            <v>HK-dee-swasdeeshop-05/2025</v>
          </cell>
          <cell r="G4912" t="str">
            <v>Settled</v>
          </cell>
        </row>
        <row r="4913">
          <cell r="F4913" t="str">
            <v>HK-dee-swasdeeshop-06/2025</v>
          </cell>
          <cell r="G4913" t="str">
            <v>Settled</v>
          </cell>
        </row>
        <row r="4914">
          <cell r="F4914" t="str">
            <v>HK-dee-swasdeeshop-07/2025</v>
          </cell>
          <cell r="G4914" t="str">
            <v>Settled</v>
          </cell>
        </row>
        <row r="4915">
          <cell r="F4915" t="str">
            <v>HK-dee-swasdeeshop-08/2025</v>
          </cell>
          <cell r="G4915" t="str">
            <v>Settled</v>
          </cell>
        </row>
        <row r="4916">
          <cell r="F4916" t="str">
            <v>HK-dee-swasdeeshop-09/2025</v>
          </cell>
          <cell r="G4916" t="str">
            <v>Settled</v>
          </cell>
        </row>
        <row r="4917">
          <cell r="F4917" t="str">
            <v>HK-dee-swasdeeshop-10/2025</v>
          </cell>
          <cell r="G4917" t="str">
            <v>Settled</v>
          </cell>
        </row>
        <row r="4918">
          <cell r="F4918" t="str">
            <v>HK-dee-swasdeeshop-11/2025</v>
          </cell>
          <cell r="G4918" t="str">
            <v>Settled</v>
          </cell>
        </row>
        <row r="4919">
          <cell r="F4919" t="str">
            <v>HK-dee-swasdeeshop-12/2025</v>
          </cell>
          <cell r="G4919" t="str">
            <v>Settled</v>
          </cell>
        </row>
        <row r="4920">
          <cell r="F4920" t="str">
            <v>HK-dee-swasdeeshop-01/2026</v>
          </cell>
          <cell r="G4920" t="str">
            <v>Settled</v>
          </cell>
        </row>
        <row r="4921">
          <cell r="F4921" t="str">
            <v>HK-dee-swasdeeshop-02/2026</v>
          </cell>
          <cell r="G4921" t="str">
            <v>Settled</v>
          </cell>
        </row>
        <row r="4922">
          <cell r="F4922" t="str">
            <v>SG-Sbi Cosmoney-11/2022</v>
          </cell>
          <cell r="G4922" t="str">
            <v>Settled</v>
          </cell>
        </row>
        <row r="4923">
          <cell r="F4923" t="str">
            <v>SG-Sbi Cosmoney-12/2022</v>
          </cell>
          <cell r="G4923" t="str">
            <v>Settled</v>
          </cell>
        </row>
        <row r="4924">
          <cell r="F4924" t="str">
            <v>SG-Sbi Cosmoney-01/2023</v>
          </cell>
          <cell r="G4924" t="str">
            <v>Settled</v>
          </cell>
        </row>
        <row r="4925">
          <cell r="F4925" t="str">
            <v>SG-Sbi Cosmoney-02/2023</v>
          </cell>
          <cell r="G4925" t="str">
            <v>Settled</v>
          </cell>
        </row>
        <row r="4926">
          <cell r="F4926" t="str">
            <v>SG-Sbi Cosmoney-03/2023</v>
          </cell>
          <cell r="G4926" t="str">
            <v>Settled</v>
          </cell>
        </row>
        <row r="4927">
          <cell r="F4927" t="str">
            <v>SG-Sbi Cosmoney-04/2023</v>
          </cell>
          <cell r="G4927" t="str">
            <v>Settled</v>
          </cell>
        </row>
        <row r="4928">
          <cell r="F4928" t="str">
            <v>SG-Sbi Cosmoney-05/2023</v>
          </cell>
          <cell r="G4928" t="str">
            <v>Settled</v>
          </cell>
        </row>
        <row r="4929">
          <cell r="F4929" t="str">
            <v>SG-Sbi Cosmoney-06/2023</v>
          </cell>
          <cell r="G4929" t="str">
            <v>Settled</v>
          </cell>
        </row>
        <row r="4930">
          <cell r="F4930" t="str">
            <v>SG-Sbi Cosmoney-07/2023</v>
          </cell>
          <cell r="G4930" t="str">
            <v>Settled</v>
          </cell>
        </row>
        <row r="4931">
          <cell r="F4931" t="str">
            <v>SG -Sbi Cosmoney-08/2023</v>
          </cell>
          <cell r="G4931" t="str">
            <v>Settled</v>
          </cell>
        </row>
        <row r="4932">
          <cell r="F4932" t="str">
            <v>SG -Sbi Cosmoney-09/2023</v>
          </cell>
          <cell r="G4932" t="str">
            <v>Settled</v>
          </cell>
        </row>
        <row r="4933">
          <cell r="F4933" t="str">
            <v>SG -Sbi Cosmoney-10/2023</v>
          </cell>
          <cell r="G4933" t="str">
            <v>Settled</v>
          </cell>
        </row>
        <row r="4934">
          <cell r="F4934" t="str">
            <v>SG -sbm bank outward-01/2022</v>
          </cell>
          <cell r="G4934" t="str">
            <v>Settled</v>
          </cell>
        </row>
        <row r="4935">
          <cell r="F4935" t="str">
            <v>SG-sbm bank outward-CR-09/2022</v>
          </cell>
          <cell r="G4935" t="str">
            <v>Settled</v>
          </cell>
        </row>
        <row r="4936">
          <cell r="F4936" t="str">
            <v>SG-Sbm-09/2022</v>
          </cell>
          <cell r="G4936" t="str">
            <v>Settled</v>
          </cell>
        </row>
        <row r="4937">
          <cell r="F4937" t="str">
            <v>SG-sbm bank outward-CR-10/2022</v>
          </cell>
          <cell r="G4937" t="str">
            <v>Settled</v>
          </cell>
        </row>
        <row r="4938">
          <cell r="F4938" t="str">
            <v>SG-Sbm-10/2022</v>
          </cell>
          <cell r="G4938" t="str">
            <v>Settled</v>
          </cell>
        </row>
        <row r="4939">
          <cell r="F4939" t="str">
            <v>SG-sbm bank outward-11/2022</v>
          </cell>
          <cell r="G4939" t="str">
            <v>Settled</v>
          </cell>
        </row>
        <row r="4940">
          <cell r="F4940" t="str">
            <v>SG-sbm bank outward-CR-11/2022</v>
          </cell>
          <cell r="G4940" t="str">
            <v>Settled</v>
          </cell>
        </row>
        <row r="4941">
          <cell r="F4941" t="str">
            <v>SG-sbm bank outward-12/2022</v>
          </cell>
          <cell r="G4941" t="str">
            <v>Settled</v>
          </cell>
        </row>
        <row r="4942">
          <cell r="F4942" t="str">
            <v>SG-sbm bank outward-CR-12/2022</v>
          </cell>
          <cell r="G4942" t="str">
            <v>Settled</v>
          </cell>
        </row>
        <row r="4943">
          <cell r="F4943" t="str">
            <v>SG-sbm bank outward-01/2023</v>
          </cell>
          <cell r="G4943" t="str">
            <v>Settled</v>
          </cell>
        </row>
        <row r="4944">
          <cell r="F4944" t="str">
            <v>SG-sbm bank outward-CR-01/2023</v>
          </cell>
          <cell r="G4944" t="str">
            <v>Settled</v>
          </cell>
        </row>
        <row r="4945">
          <cell r="F4945" t="str">
            <v>SG-Sentbe-11/2022</v>
          </cell>
          <cell r="G4945" t="str">
            <v>Settled</v>
          </cell>
        </row>
        <row r="4946">
          <cell r="F4946" t="str">
            <v>SG-Sentbe-12/2022</v>
          </cell>
          <cell r="G4946" t="str">
            <v>Settled</v>
          </cell>
        </row>
        <row r="4947">
          <cell r="F4947" t="str">
            <v>SG-Sentbe-01/2023</v>
          </cell>
          <cell r="G4947" t="str">
            <v>Settled</v>
          </cell>
        </row>
        <row r="4948">
          <cell r="F4948" t="str">
            <v>SG-Sentbe-02/2023</v>
          </cell>
          <cell r="G4948" t="str">
            <v>Settled</v>
          </cell>
        </row>
        <row r="4949">
          <cell r="F4949" t="str">
            <v>SG-Sentbe-03/2023</v>
          </cell>
          <cell r="G4949" t="str">
            <v>Settled</v>
          </cell>
        </row>
        <row r="4950">
          <cell r="F4950" t="str">
            <v>SG-Sentbe-04/2023</v>
          </cell>
          <cell r="G4950" t="str">
            <v>Settled</v>
          </cell>
        </row>
        <row r="4951">
          <cell r="F4951" t="str">
            <v>SG-Sentbe-05/2023</v>
          </cell>
          <cell r="G4951" t="str">
            <v>Settled</v>
          </cell>
        </row>
        <row r="4952">
          <cell r="F4952" t="str">
            <v>SG-Sentbe-06/2023</v>
          </cell>
          <cell r="G4952" t="str">
            <v>Settled</v>
          </cell>
        </row>
        <row r="4953">
          <cell r="F4953" t="str">
            <v>SG-Sentbe-07/2023</v>
          </cell>
          <cell r="G4953" t="str">
            <v>Settled</v>
          </cell>
        </row>
        <row r="4954">
          <cell r="F4954" t="str">
            <v>SG -Sentbe-08/2023</v>
          </cell>
          <cell r="G4954" t="str">
            <v>Settled</v>
          </cell>
        </row>
        <row r="4955">
          <cell r="F4955" t="str">
            <v>SG-Sentbe-09/2023</v>
          </cell>
          <cell r="G4955" t="str">
            <v>Settled</v>
          </cell>
        </row>
        <row r="4956">
          <cell r="F4956" t="str">
            <v>SG-Sentbe-10/2023</v>
          </cell>
          <cell r="G4956" t="str">
            <v>Settled</v>
          </cell>
        </row>
        <row r="4957">
          <cell r="F4957" t="str">
            <v>SG-Sentbe-11/2023</v>
          </cell>
          <cell r="G4957" t="str">
            <v>Settled</v>
          </cell>
        </row>
        <row r="4958">
          <cell r="F4958" t="str">
            <v>SG-Sentbe-12/2023</v>
          </cell>
          <cell r="G4958" t="str">
            <v>Settled</v>
          </cell>
        </row>
        <row r="4959">
          <cell r="F4959" t="str">
            <v>SG-Sentbe-01/2024</v>
          </cell>
          <cell r="G4959" t="str">
            <v>Settled</v>
          </cell>
        </row>
        <row r="4960">
          <cell r="F4960" t="str">
            <v>SG-Sentbe-02/2024</v>
          </cell>
          <cell r="G4960" t="str">
            <v>Settled</v>
          </cell>
        </row>
        <row r="4961">
          <cell r="F4961" t="str">
            <v>SG-Sentbe-03/2024</v>
          </cell>
          <cell r="G4961" t="str">
            <v>Settled</v>
          </cell>
        </row>
        <row r="4962">
          <cell r="F4962" t="str">
            <v>SG-Sentbe-04/2024</v>
          </cell>
          <cell r="G4962" t="str">
            <v>Settled</v>
          </cell>
        </row>
        <row r="4963">
          <cell r="F4963" t="str">
            <v>SG-Sentbe-05/2024</v>
          </cell>
          <cell r="G4963" t="str">
            <v>Settled</v>
          </cell>
        </row>
        <row r="4964">
          <cell r="F4964" t="str">
            <v>SG-Sentbe-06/2024</v>
          </cell>
          <cell r="G4964" t="str">
            <v>Settled</v>
          </cell>
        </row>
        <row r="4965">
          <cell r="F4965" t="str">
            <v>SG-Sentbe-07/2024</v>
          </cell>
          <cell r="G4965" t="str">
            <v>Settled</v>
          </cell>
        </row>
        <row r="4966">
          <cell r="F4966" t="str">
            <v>SG-Sentbe-08/2024</v>
          </cell>
          <cell r="G4966" t="str">
            <v>Settled</v>
          </cell>
        </row>
        <row r="4967">
          <cell r="F4967" t="str">
            <v>SG-Sentbe-09/2024</v>
          </cell>
          <cell r="G4967" t="str">
            <v>Settled</v>
          </cell>
        </row>
        <row r="4968">
          <cell r="F4968" t="str">
            <v>SG-Sentbe-10/2024</v>
          </cell>
          <cell r="G4968" t="str">
            <v>Settled</v>
          </cell>
        </row>
        <row r="4969">
          <cell r="F4969" t="str">
            <v>SG-Sentbe-11/2024</v>
          </cell>
          <cell r="G4969" t="str">
            <v>Settled</v>
          </cell>
        </row>
        <row r="4970">
          <cell r="F4970" t="str">
            <v>SG-Sentbe-12/2024</v>
          </cell>
          <cell r="G4970" t="str">
            <v>Settled</v>
          </cell>
        </row>
        <row r="4971">
          <cell r="F4971" t="str">
            <v>SG-Sentbe-01/2025</v>
          </cell>
          <cell r="G4971" t="str">
            <v>Settled</v>
          </cell>
        </row>
        <row r="4972">
          <cell r="F4972" t="str">
            <v>SG-Sentbe-02/2025</v>
          </cell>
          <cell r="G4972" t="str">
            <v>Settled</v>
          </cell>
        </row>
        <row r="4973">
          <cell r="F4973" t="str">
            <v>SG-Sentbe-03/2025</v>
          </cell>
          <cell r="G4973" t="str">
            <v>Settled</v>
          </cell>
        </row>
        <row r="4974">
          <cell r="F4974" t="str">
            <v>SG-Sentbe-04/2025</v>
          </cell>
          <cell r="G4974" t="str">
            <v>Settled</v>
          </cell>
        </row>
        <row r="4975">
          <cell r="F4975" t="str">
            <v>SG-Sentbe-05/2025</v>
          </cell>
          <cell r="G4975" t="str">
            <v>Settled</v>
          </cell>
        </row>
        <row r="4976">
          <cell r="F4976" t="str">
            <v>SG-Sentbe-06/2025</v>
          </cell>
          <cell r="G4976" t="str">
            <v>Settled</v>
          </cell>
        </row>
        <row r="4977">
          <cell r="F4977" t="str">
            <v>SG-Sentbe-07/2025</v>
          </cell>
          <cell r="G4977" t="str">
            <v>Settled</v>
          </cell>
        </row>
        <row r="4978">
          <cell r="F4978" t="str">
            <v>SG-Sentbe-08/2025</v>
          </cell>
          <cell r="G4978" t="str">
            <v>Settled</v>
          </cell>
        </row>
        <row r="4979">
          <cell r="F4979" t="str">
            <v>SG-Sentbe-09/2025</v>
          </cell>
          <cell r="G4979" t="str">
            <v>Settled</v>
          </cell>
        </row>
        <row r="4980">
          <cell r="F4980" t="str">
            <v>SG-DN-Sentbe-09/2025</v>
          </cell>
          <cell r="G4980" t="str">
            <v>Settled</v>
          </cell>
        </row>
        <row r="4981">
          <cell r="F4981" t="str">
            <v>SG-Sentbe-10/2025</v>
          </cell>
          <cell r="G4981" t="str">
            <v>Settled</v>
          </cell>
        </row>
        <row r="4982">
          <cell r="F4982" t="str">
            <v>SG-Sentbe-11/2025</v>
          </cell>
          <cell r="G4982" t="str">
            <v>Settled</v>
          </cell>
        </row>
        <row r="4983">
          <cell r="F4983" t="str">
            <v>SG-Sentbe-12/2025</v>
          </cell>
          <cell r="G4983" t="str">
            <v>Settled</v>
          </cell>
        </row>
        <row r="4984">
          <cell r="F4984" t="str">
            <v>SG-Sentbe-01/2026</v>
          </cell>
          <cell r="G4984" t="str">
            <v>Settled</v>
          </cell>
        </row>
        <row r="4985">
          <cell r="F4985" t="str">
            <v>SG-Sentbe-02/2026</v>
          </cell>
          <cell r="G4985" t="str">
            <v>Settled</v>
          </cell>
        </row>
        <row r="4986">
          <cell r="F4986" t="str">
            <v>SG -Set co., ltd-03/2022</v>
          </cell>
          <cell r="G4986" t="str">
            <v>Waived Off</v>
          </cell>
        </row>
        <row r="4987">
          <cell r="F4987" t="str">
            <v>SG -Set co., ltd-04/2022</v>
          </cell>
          <cell r="G4987" t="str">
            <v>Waived Off</v>
          </cell>
        </row>
        <row r="4988">
          <cell r="F4988" t="str">
            <v>SG -Set co., ltd-05/2022</v>
          </cell>
          <cell r="G4988" t="str">
            <v>Waived Off</v>
          </cell>
        </row>
        <row r="4989">
          <cell r="F4989" t="str">
            <v>SG -Set co., ltd-06/2022</v>
          </cell>
          <cell r="G4989" t="str">
            <v>Waived Off</v>
          </cell>
        </row>
        <row r="4990">
          <cell r="F4990" t="str">
            <v>SG-Set co-07/2022</v>
          </cell>
          <cell r="G4990" t="str">
            <v>Waived Off</v>
          </cell>
        </row>
        <row r="4991">
          <cell r="F4991" t="str">
            <v>SG-Set co-08/2022</v>
          </cell>
          <cell r="G4991" t="str">
            <v>Waived Off</v>
          </cell>
        </row>
        <row r="4992">
          <cell r="F4992" t="str">
            <v>SG-Set co-09/2022</v>
          </cell>
          <cell r="G4992" t="str">
            <v>Waived Off</v>
          </cell>
        </row>
        <row r="4993">
          <cell r="F4993" t="str">
            <v>SG-Set co-10/2022</v>
          </cell>
          <cell r="G4993" t="str">
            <v>Waived Off</v>
          </cell>
        </row>
        <row r="4994">
          <cell r="F4994" t="str">
            <v>SG-Set co., ltd-11/2022</v>
          </cell>
          <cell r="G4994" t="str">
            <v>Waived Off</v>
          </cell>
        </row>
        <row r="4995">
          <cell r="F4995" t="str">
            <v>SG-Set co., ltd-12/2022</v>
          </cell>
          <cell r="G4995" t="str">
            <v>Write Off</v>
          </cell>
        </row>
        <row r="4996">
          <cell r="F4996" t="str">
            <v>SG-Set co., ltd-01/2023</v>
          </cell>
          <cell r="G4996" t="str">
            <v>Write Off</v>
          </cell>
        </row>
        <row r="4997">
          <cell r="F4997" t="str">
            <v>SG-Set co., ltd-02/2023</v>
          </cell>
          <cell r="G4997" t="str">
            <v>Write Off</v>
          </cell>
        </row>
        <row r="4998">
          <cell r="F4998" t="str">
            <v>SG-Set co., ltd-03/2023</v>
          </cell>
          <cell r="G4998" t="str">
            <v>Write Off</v>
          </cell>
        </row>
        <row r="4999">
          <cell r="F4999" t="str">
            <v>SG-set co., ltd-04/2023</v>
          </cell>
          <cell r="G4999" t="str">
            <v>Write Off</v>
          </cell>
        </row>
        <row r="5000">
          <cell r="F5000" t="str">
            <v>SG-set co., ltd-05/2023</v>
          </cell>
          <cell r="G5000" t="str">
            <v>Write Off</v>
          </cell>
        </row>
        <row r="5001">
          <cell r="F5001" t="str">
            <v>SG-set co., ltd-06/2023</v>
          </cell>
          <cell r="G5001" t="str">
            <v>Write Off</v>
          </cell>
        </row>
        <row r="5002">
          <cell r="F5002" t="str">
            <v>SG-set co., ltd-07/2023</v>
          </cell>
          <cell r="G5002" t="str">
            <v>Write Off</v>
          </cell>
        </row>
        <row r="5003">
          <cell r="F5003" t="str">
            <v>SG-Siam-11/2022</v>
          </cell>
          <cell r="G5003" t="str">
            <v>Settled</v>
          </cell>
        </row>
        <row r="5004">
          <cell r="F5004" t="str">
            <v>SG-Siam-12/2022</v>
          </cell>
          <cell r="G5004" t="str">
            <v>Settled</v>
          </cell>
        </row>
        <row r="5005">
          <cell r="F5005" t="str">
            <v>SG-Siam-01/2023</v>
          </cell>
          <cell r="G5005" t="str">
            <v>Settled</v>
          </cell>
        </row>
        <row r="5006">
          <cell r="F5006" t="str">
            <v>SG-Siam-02/2023</v>
          </cell>
          <cell r="G5006" t="str">
            <v>Settled</v>
          </cell>
        </row>
        <row r="5007">
          <cell r="F5007" t="str">
            <v>SG-Siam-03/2023</v>
          </cell>
          <cell r="G5007" t="str">
            <v>Settled</v>
          </cell>
        </row>
        <row r="5008">
          <cell r="F5008" t="str">
            <v>SG-Siam-04/2023</v>
          </cell>
          <cell r="G5008" t="str">
            <v>Settled</v>
          </cell>
        </row>
        <row r="5009">
          <cell r="F5009" t="str">
            <v>SG-Siam-05/2023</v>
          </cell>
          <cell r="G5009" t="str">
            <v>Settled</v>
          </cell>
        </row>
        <row r="5010">
          <cell r="F5010" t="str">
            <v>SG-Siam-06/2023</v>
          </cell>
          <cell r="G5010" t="str">
            <v>Settled</v>
          </cell>
        </row>
        <row r="5011">
          <cell r="F5011" t="str">
            <v>SG-Siam-07/2023</v>
          </cell>
          <cell r="G5011" t="str">
            <v>Settled</v>
          </cell>
        </row>
        <row r="5012">
          <cell r="F5012" t="str">
            <v>SG -Siam-08/2023</v>
          </cell>
          <cell r="G5012" t="str">
            <v>Settled</v>
          </cell>
        </row>
        <row r="5013">
          <cell r="F5013" t="str">
            <v>SG-Siam-09/2023</v>
          </cell>
          <cell r="G5013" t="str">
            <v>Settled</v>
          </cell>
        </row>
        <row r="5014">
          <cell r="F5014" t="str">
            <v>SG-Siam-10/2023</v>
          </cell>
          <cell r="G5014" t="str">
            <v>Settled</v>
          </cell>
        </row>
        <row r="5015">
          <cell r="F5015" t="str">
            <v>SG-Siam-11/2023</v>
          </cell>
          <cell r="G5015" t="str">
            <v>Settled</v>
          </cell>
        </row>
        <row r="5016">
          <cell r="F5016" t="str">
            <v>SG-Siam-12/2023</v>
          </cell>
          <cell r="G5016" t="str">
            <v>Settled</v>
          </cell>
        </row>
        <row r="5017">
          <cell r="F5017" t="str">
            <v>SG-Siam-01/2024</v>
          </cell>
          <cell r="G5017" t="str">
            <v>Settled</v>
          </cell>
        </row>
        <row r="5018">
          <cell r="F5018" t="str">
            <v>SG-Siam-02/2024</v>
          </cell>
          <cell r="G5018" t="str">
            <v>Settled</v>
          </cell>
        </row>
        <row r="5019">
          <cell r="F5019" t="str">
            <v>SG-Siam-03/2024</v>
          </cell>
          <cell r="G5019" t="str">
            <v>Settled</v>
          </cell>
        </row>
        <row r="5020">
          <cell r="F5020" t="str">
            <v>SG-Siam-04/2024</v>
          </cell>
          <cell r="G5020" t="str">
            <v>Settled</v>
          </cell>
        </row>
        <row r="5021">
          <cell r="F5021" t="str">
            <v>SG-CN-Siam-04-2024</v>
          </cell>
          <cell r="G5021" t="str">
            <v>Settled</v>
          </cell>
        </row>
        <row r="5022">
          <cell r="F5022" t="str">
            <v>SG-Siam-05/2024</v>
          </cell>
          <cell r="G5022" t="str">
            <v>Settled</v>
          </cell>
        </row>
        <row r="5023">
          <cell r="F5023" t="str">
            <v>SG-Siam-06/2024</v>
          </cell>
          <cell r="G5023" t="str">
            <v>Settled</v>
          </cell>
        </row>
        <row r="5024">
          <cell r="F5024" t="str">
            <v>SG-Siam-07/2024</v>
          </cell>
          <cell r="G5024" t="str">
            <v>Settled</v>
          </cell>
        </row>
        <row r="5025">
          <cell r="F5025" t="str">
            <v>SG-Siam-08/2024</v>
          </cell>
          <cell r="G5025" t="str">
            <v>Settled</v>
          </cell>
        </row>
        <row r="5026">
          <cell r="F5026" t="str">
            <v>SG-Siam-09/2024</v>
          </cell>
          <cell r="G5026" t="str">
            <v>Settled</v>
          </cell>
        </row>
        <row r="5027">
          <cell r="F5027" t="str">
            <v>SG-Siam-10/2024</v>
          </cell>
          <cell r="G5027" t="str">
            <v>Settled</v>
          </cell>
        </row>
        <row r="5028">
          <cell r="F5028" t="str">
            <v>SG-Siam-11/2024</v>
          </cell>
          <cell r="G5028" t="str">
            <v>Settled</v>
          </cell>
        </row>
        <row r="5029">
          <cell r="F5029" t="str">
            <v>SG-Siam-12/2024</v>
          </cell>
          <cell r="G5029" t="str">
            <v>Settled</v>
          </cell>
        </row>
        <row r="5030">
          <cell r="F5030" t="str">
            <v>SG-Siam-01/2025</v>
          </cell>
          <cell r="G5030" t="str">
            <v>Settled</v>
          </cell>
        </row>
        <row r="5031">
          <cell r="F5031" t="str">
            <v>SG-Siam-02/2025</v>
          </cell>
          <cell r="G5031" t="str">
            <v>Settled</v>
          </cell>
        </row>
        <row r="5032">
          <cell r="F5032" t="str">
            <v>SG-Siam-03/2025</v>
          </cell>
          <cell r="G5032" t="str">
            <v>Settled</v>
          </cell>
        </row>
        <row r="5033">
          <cell r="F5033" t="str">
            <v>SG-Siam-04/2025</v>
          </cell>
          <cell r="G5033" t="str">
            <v>Settled</v>
          </cell>
        </row>
        <row r="5034">
          <cell r="F5034" t="str">
            <v>SG-Siam-05/2025</v>
          </cell>
          <cell r="G5034" t="str">
            <v>Settled</v>
          </cell>
        </row>
        <row r="5035">
          <cell r="F5035" t="str">
            <v>SG-Siam-06/2025</v>
          </cell>
          <cell r="G5035" t="str">
            <v>Settled</v>
          </cell>
        </row>
        <row r="5036">
          <cell r="F5036" t="str">
            <v>SG-Siam-07/2025</v>
          </cell>
          <cell r="G5036" t="str">
            <v>Settled</v>
          </cell>
        </row>
        <row r="5037">
          <cell r="F5037" t="str">
            <v>SG-Siam-08/2025</v>
          </cell>
          <cell r="G5037" t="str">
            <v>Settled</v>
          </cell>
        </row>
        <row r="5038">
          <cell r="F5038" t="str">
            <v>SG-Siam-09/2025</v>
          </cell>
          <cell r="G5038" t="str">
            <v>Settled</v>
          </cell>
        </row>
        <row r="5039">
          <cell r="F5039" t="str">
            <v>SG-Siam-10/2025</v>
          </cell>
          <cell r="G5039" t="str">
            <v>Settled</v>
          </cell>
        </row>
        <row r="5040">
          <cell r="F5040" t="str">
            <v>SG-Siam-11/2025</v>
          </cell>
          <cell r="G5040" t="str">
            <v>Settled</v>
          </cell>
        </row>
        <row r="5041">
          <cell r="F5041" t="str">
            <v>SG-Siam-12/2025</v>
          </cell>
          <cell r="G5041" t="str">
            <v>Settled</v>
          </cell>
        </row>
        <row r="5042">
          <cell r="F5042" t="str">
            <v>SG-Siam-01/2026</v>
          </cell>
          <cell r="G5042" t="str">
            <v>Settled</v>
          </cell>
        </row>
        <row r="5043">
          <cell r="F5043" t="str">
            <v>SG-Siam-02/2026</v>
          </cell>
          <cell r="G5043" t="str">
            <v>Settled</v>
          </cell>
        </row>
        <row r="5044">
          <cell r="F5044" t="str">
            <v>SG-singapore e-business-08/2022</v>
          </cell>
          <cell r="G5044" t="str">
            <v>Waived Off</v>
          </cell>
        </row>
        <row r="5045">
          <cell r="F5045" t="str">
            <v>SG-singapore e-business-09/2022</v>
          </cell>
          <cell r="G5045" t="str">
            <v>Waived Off</v>
          </cell>
        </row>
        <row r="5046">
          <cell r="F5046" t="str">
            <v>SG-singapore e-business-10/2022</v>
          </cell>
          <cell r="G5046" t="str">
            <v>Waived Off</v>
          </cell>
        </row>
        <row r="5047">
          <cell r="F5047" t="str">
            <v>SG-singapore e-business pte ltd-12/2022</v>
          </cell>
          <cell r="G5047" t="str">
            <v>Write Off</v>
          </cell>
        </row>
        <row r="5048">
          <cell r="F5048" t="str">
            <v>SG-singapore e-business pte ltd-01/2023</v>
          </cell>
          <cell r="G5048" t="str">
            <v>Write Off</v>
          </cell>
        </row>
        <row r="5049">
          <cell r="F5049" t="str">
            <v>SG-singapore-e-02/2023</v>
          </cell>
          <cell r="G5049" t="str">
            <v>Write Off</v>
          </cell>
        </row>
        <row r="5050">
          <cell r="F5050" t="str">
            <v>HK-Transfereasy-04/2024</v>
          </cell>
          <cell r="G5050" t="str">
            <v>Settled</v>
          </cell>
        </row>
        <row r="5051">
          <cell r="F5051" t="str">
            <v>HK-Transfereasy-05/2024</v>
          </cell>
          <cell r="G5051" t="str">
            <v>Settled</v>
          </cell>
        </row>
        <row r="5052">
          <cell r="F5052" t="str">
            <v>HK-Transfereasy-06/2024</v>
          </cell>
          <cell r="G5052" t="str">
            <v>Settled</v>
          </cell>
        </row>
        <row r="5053">
          <cell r="F5053" t="str">
            <v>HK-Transfereasy-07/2024</v>
          </cell>
          <cell r="G5053" t="str">
            <v>Settled</v>
          </cell>
        </row>
        <row r="5054">
          <cell r="F5054" t="str">
            <v>HK-Transfereasy-08/2024</v>
          </cell>
          <cell r="G5054" t="str">
            <v>Settled</v>
          </cell>
        </row>
        <row r="5055">
          <cell r="F5055" t="str">
            <v>HK-Transfereasy-09/2024</v>
          </cell>
          <cell r="G5055" t="str">
            <v>Settled</v>
          </cell>
        </row>
        <row r="5056">
          <cell r="F5056" t="str">
            <v>HK-Transfereasy-10/2024</v>
          </cell>
          <cell r="G5056" t="str">
            <v>Settled</v>
          </cell>
        </row>
        <row r="5057">
          <cell r="F5057" t="str">
            <v>HK-Transfereasy-11/2024</v>
          </cell>
          <cell r="G5057" t="str">
            <v>Settled</v>
          </cell>
        </row>
        <row r="5058">
          <cell r="F5058" t="str">
            <v>HK-Transfereasy-12/2024</v>
          </cell>
          <cell r="G5058" t="str">
            <v>Settled</v>
          </cell>
        </row>
        <row r="5059">
          <cell r="F5059" t="str">
            <v>HK-Transfereasy-01/2025</v>
          </cell>
          <cell r="G5059" t="str">
            <v>Settled</v>
          </cell>
        </row>
        <row r="5060">
          <cell r="F5060" t="str">
            <v>HK-Transfereasy-02/2025</v>
          </cell>
          <cell r="G5060" t="str">
            <v>Settled</v>
          </cell>
        </row>
        <row r="5061">
          <cell r="F5061" t="str">
            <v>HK-Transfereasy-03/2025</v>
          </cell>
          <cell r="G5061" t="str">
            <v>Settled</v>
          </cell>
        </row>
        <row r="5062">
          <cell r="F5062" t="str">
            <v>HK-Transfereasy-04/2025</v>
          </cell>
          <cell r="G5062" t="str">
            <v>Settled</v>
          </cell>
        </row>
        <row r="5063">
          <cell r="F5063" t="str">
            <v>HK-Transfereasy-05/2025</v>
          </cell>
          <cell r="G5063" t="str">
            <v>Settled</v>
          </cell>
        </row>
        <row r="5064">
          <cell r="F5064" t="str">
            <v>HK-Transfereasy-06/2025</v>
          </cell>
          <cell r="G5064" t="str">
            <v>Settled</v>
          </cell>
        </row>
        <row r="5065">
          <cell r="F5065" t="str">
            <v>HK-Transfereasy-07/2025</v>
          </cell>
          <cell r="G5065" t="str">
            <v>Settled</v>
          </cell>
        </row>
        <row r="5066">
          <cell r="F5066" t="str">
            <v>HK-Transfereasy-08/2025</v>
          </cell>
          <cell r="G5066" t="str">
            <v>Settled</v>
          </cell>
        </row>
        <row r="5067">
          <cell r="F5067" t="str">
            <v>HK-Transfereasy-09/2025</v>
          </cell>
          <cell r="G5067" t="str">
            <v>Settled</v>
          </cell>
        </row>
        <row r="5068">
          <cell r="F5068" t="str">
            <v>HK-Transfereasy-10/2025</v>
          </cell>
          <cell r="G5068" t="str">
            <v>Settled</v>
          </cell>
        </row>
        <row r="5069">
          <cell r="F5069" t="str">
            <v>HK-Transfereasy-11/2025</v>
          </cell>
          <cell r="G5069" t="str">
            <v>Settled</v>
          </cell>
        </row>
        <row r="5070">
          <cell r="F5070" t="str">
            <v>HK-Transfereasy-12/2025</v>
          </cell>
          <cell r="G5070" t="str">
            <v>Settled</v>
          </cell>
        </row>
        <row r="5071">
          <cell r="F5071" t="str">
            <v>HK-Transfereasy-01/2026</v>
          </cell>
          <cell r="G5071" t="str">
            <v>Settled</v>
          </cell>
        </row>
        <row r="5072">
          <cell r="F5072" t="str">
            <v>HK-Transfereasy-02/2026</v>
          </cell>
          <cell r="G5072" t="str">
            <v>Settled</v>
          </cell>
        </row>
        <row r="5073">
          <cell r="F5073" t="str">
            <v>HK-Skrill Ltd-11/2022</v>
          </cell>
          <cell r="G5073" t="str">
            <v>Settled</v>
          </cell>
        </row>
        <row r="5074">
          <cell r="F5074" t="str">
            <v>HK-Skrill Ltd-12/2022</v>
          </cell>
          <cell r="G5074" t="str">
            <v>Settled</v>
          </cell>
        </row>
        <row r="5075">
          <cell r="F5075" t="str">
            <v>HK-Skrill Ltd-01/2023</v>
          </cell>
          <cell r="G5075" t="str">
            <v>Settled</v>
          </cell>
        </row>
        <row r="5076">
          <cell r="F5076" t="str">
            <v>HK-Skrill Ltd-02/2023</v>
          </cell>
          <cell r="G5076" t="str">
            <v>Settled</v>
          </cell>
        </row>
        <row r="5077">
          <cell r="F5077" t="str">
            <v>HK-Skrill Ltd-03/2023</v>
          </cell>
          <cell r="G5077" t="str">
            <v>Settled</v>
          </cell>
        </row>
        <row r="5078">
          <cell r="F5078" t="str">
            <v>HK-Skrill Ltd-04/2023</v>
          </cell>
          <cell r="G5078" t="str">
            <v>Settled</v>
          </cell>
        </row>
        <row r="5079">
          <cell r="F5079" t="str">
            <v>HK-Skrill Ltd-05/2023</v>
          </cell>
          <cell r="G5079" t="str">
            <v>Settled</v>
          </cell>
        </row>
        <row r="5080">
          <cell r="F5080" t="str">
            <v>HK-Skrill Ltd-06/2023</v>
          </cell>
          <cell r="G5080" t="str">
            <v>Settled</v>
          </cell>
        </row>
        <row r="5081">
          <cell r="F5081" t="str">
            <v>HK-Skrill Ltd-07/2023</v>
          </cell>
          <cell r="G5081" t="str">
            <v>Settled</v>
          </cell>
        </row>
        <row r="5082">
          <cell r="F5082" t="str">
            <v>HK -Skrill Ltd-08/2023</v>
          </cell>
          <cell r="G5082" t="str">
            <v>Settled</v>
          </cell>
        </row>
        <row r="5083">
          <cell r="F5083" t="str">
            <v>HK-Skrill Ltd-09/2023</v>
          </cell>
          <cell r="G5083" t="str">
            <v>Settled</v>
          </cell>
        </row>
        <row r="5084">
          <cell r="F5084" t="str">
            <v>HK-Skrill Ltd-10/2023</v>
          </cell>
          <cell r="G5084" t="str">
            <v>Settled</v>
          </cell>
        </row>
        <row r="5085">
          <cell r="F5085" t="str">
            <v>HK-Skrill Ltd-11/2023</v>
          </cell>
          <cell r="G5085" t="str">
            <v>Settled</v>
          </cell>
        </row>
        <row r="5086">
          <cell r="F5086" t="str">
            <v>HK-Skrill Ltd-12/2023</v>
          </cell>
          <cell r="G5086" t="str">
            <v>Settled</v>
          </cell>
        </row>
        <row r="5087">
          <cell r="F5087" t="str">
            <v>HK-Skrill Ltd-01/2024</v>
          </cell>
          <cell r="G5087" t="str">
            <v>Settled</v>
          </cell>
        </row>
        <row r="5088">
          <cell r="F5088" t="str">
            <v>HK-Skrill Ltd-02/2024</v>
          </cell>
          <cell r="G5088" t="str">
            <v>Settled</v>
          </cell>
        </row>
        <row r="5089">
          <cell r="F5089" t="str">
            <v>HK-Skrill Ltd-03/2024</v>
          </cell>
          <cell r="G5089" t="str">
            <v>Settled</v>
          </cell>
        </row>
        <row r="5090">
          <cell r="F5090" t="str">
            <v>HK-Skrill Ltd-04/2024</v>
          </cell>
          <cell r="G5090" t="str">
            <v>Settled</v>
          </cell>
        </row>
        <row r="5091">
          <cell r="F5091" t="str">
            <v>HK-Skrill Ltd-05/2024</v>
          </cell>
          <cell r="G5091" t="str">
            <v>Settled</v>
          </cell>
        </row>
        <row r="5092">
          <cell r="F5092" t="str">
            <v>HK-Skrill Ltd-06/2024</v>
          </cell>
          <cell r="G5092" t="str">
            <v>Settled</v>
          </cell>
        </row>
        <row r="5093">
          <cell r="F5093" t="str">
            <v>HK-Skrill Ltd-07/2024</v>
          </cell>
          <cell r="G5093" t="str">
            <v>Settled</v>
          </cell>
        </row>
        <row r="5094">
          <cell r="F5094" t="str">
            <v>HK-Skrill Ltd-08/2024</v>
          </cell>
          <cell r="G5094" t="str">
            <v>Settled</v>
          </cell>
        </row>
        <row r="5095">
          <cell r="F5095" t="str">
            <v>HK-Skrill Ltd-09/2024</v>
          </cell>
          <cell r="G5095" t="str">
            <v>Settled</v>
          </cell>
        </row>
        <row r="5096">
          <cell r="F5096" t="str">
            <v>HK-Skrill Ltd-10/2024</v>
          </cell>
          <cell r="G5096" t="str">
            <v>Settled</v>
          </cell>
        </row>
        <row r="5097">
          <cell r="F5097" t="str">
            <v>HK-Skrill Ltd-11/2024</v>
          </cell>
          <cell r="G5097" t="str">
            <v>Settled</v>
          </cell>
        </row>
        <row r="5098">
          <cell r="F5098" t="str">
            <v>HK-Skrill Ltd-12/2024</v>
          </cell>
          <cell r="G5098" t="str">
            <v>Settled</v>
          </cell>
        </row>
        <row r="5099">
          <cell r="F5099" t="str">
            <v>HK-Skrill Ltd-01/2025</v>
          </cell>
          <cell r="G5099" t="str">
            <v>Settled</v>
          </cell>
        </row>
        <row r="5100">
          <cell r="F5100" t="str">
            <v>HK-Skrill Ltd-02/2025</v>
          </cell>
          <cell r="G5100" t="str">
            <v>Settled</v>
          </cell>
        </row>
        <row r="5101">
          <cell r="F5101" t="str">
            <v>HK-Skrill Ltd-03/2025</v>
          </cell>
          <cell r="G5101" t="str">
            <v>Settled</v>
          </cell>
        </row>
        <row r="5102">
          <cell r="F5102" t="str">
            <v>HK-Skrill Ltd-04/2025</v>
          </cell>
          <cell r="G5102" t="str">
            <v>Settled</v>
          </cell>
        </row>
        <row r="5103">
          <cell r="F5103" t="str">
            <v>HK-Skrill Ltd-05/2025</v>
          </cell>
          <cell r="G5103" t="str">
            <v>Settled</v>
          </cell>
        </row>
        <row r="5104">
          <cell r="F5104" t="str">
            <v>HK-Skrill Ltd-06/2025</v>
          </cell>
          <cell r="G5104" t="str">
            <v>Settled</v>
          </cell>
        </row>
        <row r="5105">
          <cell r="F5105" t="str">
            <v>HK-Skrill Ltd-07/2025</v>
          </cell>
          <cell r="G5105" t="str">
            <v>Settled</v>
          </cell>
        </row>
        <row r="5106">
          <cell r="F5106" t="str">
            <v>HK-Skrill Ltd-08/2025</v>
          </cell>
          <cell r="G5106" t="str">
            <v>Settled</v>
          </cell>
        </row>
        <row r="5107">
          <cell r="F5107" t="str">
            <v>HK-Skrill Ltd-09/2025</v>
          </cell>
          <cell r="G5107" t="str">
            <v>Settled</v>
          </cell>
        </row>
        <row r="5108">
          <cell r="F5108" t="str">
            <v>HK-Skrill Ltd-10/2025</v>
          </cell>
          <cell r="G5108" t="str">
            <v>Settled</v>
          </cell>
        </row>
        <row r="5109">
          <cell r="F5109" t="str">
            <v>HK-Skrill Ltd-11/2025</v>
          </cell>
          <cell r="G5109" t="str">
            <v>Settled</v>
          </cell>
        </row>
        <row r="5110">
          <cell r="F5110" t="str">
            <v>HK-Skrill Ltd-12/2025</v>
          </cell>
          <cell r="G5110" t="str">
            <v>Settled</v>
          </cell>
        </row>
        <row r="5111">
          <cell r="F5111" t="str">
            <v>HK-Skrill Ltd-01/2026</v>
          </cell>
          <cell r="G5111" t="str">
            <v>Settled</v>
          </cell>
        </row>
        <row r="5112">
          <cell r="F5112" t="str">
            <v>HK-Skrill Ltd-02/2026</v>
          </cell>
          <cell r="G5112" t="str">
            <v>Settled</v>
          </cell>
        </row>
        <row r="5113">
          <cell r="F5113" t="str">
            <v>SG-Skyee-11/2022</v>
          </cell>
          <cell r="G5113" t="str">
            <v>Settled</v>
          </cell>
        </row>
        <row r="5114">
          <cell r="F5114" t="str">
            <v>SG-Skyee-12/2022</v>
          </cell>
          <cell r="G5114" t="str">
            <v>Settled</v>
          </cell>
        </row>
        <row r="5115">
          <cell r="F5115" t="str">
            <v>SG-Skyee-01/2023</v>
          </cell>
          <cell r="G5115" t="str">
            <v>Settled</v>
          </cell>
        </row>
        <row r="5116">
          <cell r="F5116" t="str">
            <v>SG-Skyee-02/2023</v>
          </cell>
          <cell r="G5116" t="str">
            <v>Settled</v>
          </cell>
        </row>
        <row r="5117">
          <cell r="F5117" t="str">
            <v>SG-Skyee-03/2023</v>
          </cell>
          <cell r="G5117" t="str">
            <v>Settled</v>
          </cell>
        </row>
        <row r="5118">
          <cell r="F5118" t="str">
            <v>SG-Skyee-04/2023</v>
          </cell>
          <cell r="G5118" t="str">
            <v>Settled</v>
          </cell>
        </row>
        <row r="5119">
          <cell r="F5119" t="str">
            <v>SG-Skyee-05/2023</v>
          </cell>
          <cell r="G5119" t="str">
            <v>Settled</v>
          </cell>
        </row>
        <row r="5120">
          <cell r="F5120" t="str">
            <v>SG-Skyee-06/2023</v>
          </cell>
          <cell r="G5120" t="str">
            <v>Settled</v>
          </cell>
        </row>
        <row r="5121">
          <cell r="F5121" t="str">
            <v>SG-Skyee-07/2023</v>
          </cell>
          <cell r="G5121" t="str">
            <v>Settled</v>
          </cell>
        </row>
        <row r="5122">
          <cell r="F5122" t="str">
            <v>SG -Skyee-08/2023</v>
          </cell>
          <cell r="G5122" t="str">
            <v>Settled</v>
          </cell>
        </row>
        <row r="5123">
          <cell r="F5123" t="str">
            <v>SG-Skyee-09/2023</v>
          </cell>
          <cell r="G5123" t="str">
            <v>Settled</v>
          </cell>
        </row>
        <row r="5124">
          <cell r="F5124" t="str">
            <v>SG-Skyee-10/2023</v>
          </cell>
          <cell r="G5124" t="str">
            <v>Settled</v>
          </cell>
        </row>
        <row r="5125">
          <cell r="F5125" t="str">
            <v>SG-Skyee-11/2023</v>
          </cell>
          <cell r="G5125" t="str">
            <v>Settled</v>
          </cell>
        </row>
        <row r="5126">
          <cell r="F5126" t="str">
            <v>SG-Skyee-12/2023</v>
          </cell>
          <cell r="G5126" t="str">
            <v>Settled</v>
          </cell>
        </row>
        <row r="5127">
          <cell r="F5127" t="str">
            <v>SG-Skyee-01/2024</v>
          </cell>
          <cell r="G5127" t="str">
            <v>Settled</v>
          </cell>
        </row>
        <row r="5128">
          <cell r="F5128" t="str">
            <v>SG-Skyee-02/2024</v>
          </cell>
          <cell r="G5128" t="str">
            <v>Settled</v>
          </cell>
        </row>
        <row r="5129">
          <cell r="F5129" t="str">
            <v>SG-Skyee-03/2024</v>
          </cell>
          <cell r="G5129" t="str">
            <v>Settled</v>
          </cell>
        </row>
        <row r="5130">
          <cell r="F5130" t="str">
            <v>SG-Skyee-04/2024</v>
          </cell>
          <cell r="G5130" t="str">
            <v>Settled</v>
          </cell>
        </row>
        <row r="5131">
          <cell r="F5131" t="str">
            <v>SG-Skyee-05/2024</v>
          </cell>
          <cell r="G5131" t="str">
            <v>Settled</v>
          </cell>
        </row>
        <row r="5132">
          <cell r="F5132" t="str">
            <v>SG-Skyee-06/2024</v>
          </cell>
          <cell r="G5132" t="str">
            <v>Settled</v>
          </cell>
        </row>
        <row r="5133">
          <cell r="F5133" t="str">
            <v>SG-Skyee-07/2024</v>
          </cell>
          <cell r="G5133" t="str">
            <v>Settled</v>
          </cell>
        </row>
        <row r="5134">
          <cell r="F5134" t="str">
            <v>SG-Skyee-08/2024</v>
          </cell>
          <cell r="G5134" t="str">
            <v>Settled</v>
          </cell>
        </row>
        <row r="5135">
          <cell r="F5135" t="str">
            <v>SG-Skyee-09/2024</v>
          </cell>
          <cell r="G5135" t="str">
            <v>Settled</v>
          </cell>
        </row>
        <row r="5136">
          <cell r="F5136" t="str">
            <v>SG-Skyee-10/2024</v>
          </cell>
          <cell r="G5136" t="str">
            <v>Settled</v>
          </cell>
        </row>
        <row r="5137">
          <cell r="F5137" t="str">
            <v>SG-Skyee-11/2024</v>
          </cell>
          <cell r="G5137" t="str">
            <v>Settled</v>
          </cell>
        </row>
        <row r="5138">
          <cell r="F5138" t="str">
            <v>SG-Skyee-11/2024</v>
          </cell>
          <cell r="G5138" t="str">
            <v>Settled</v>
          </cell>
        </row>
        <row r="5139">
          <cell r="F5139" t="str">
            <v>SG-Skyee-12/2024</v>
          </cell>
          <cell r="G5139" t="str">
            <v>Settled</v>
          </cell>
        </row>
        <row r="5140">
          <cell r="F5140" t="str">
            <v>SG-Skyee-01/2025</v>
          </cell>
          <cell r="G5140" t="str">
            <v>Settled</v>
          </cell>
        </row>
        <row r="5141">
          <cell r="F5141" t="str">
            <v>SG-Skyee-02/2025</v>
          </cell>
          <cell r="G5141" t="str">
            <v>Settled</v>
          </cell>
        </row>
        <row r="5142">
          <cell r="F5142" t="str">
            <v>SG-Skyee-03/2025</v>
          </cell>
          <cell r="G5142" t="str">
            <v>Settled</v>
          </cell>
        </row>
        <row r="5143">
          <cell r="F5143" t="str">
            <v>SG-Skyee-04/2025</v>
          </cell>
          <cell r="G5143" t="str">
            <v>Settled</v>
          </cell>
        </row>
        <row r="5144">
          <cell r="F5144" t="str">
            <v>SG-Skyee-05/2025</v>
          </cell>
          <cell r="G5144" t="str">
            <v>Settled</v>
          </cell>
        </row>
        <row r="5145">
          <cell r="F5145" t="str">
            <v>SG-Skyee-06/2025</v>
          </cell>
          <cell r="G5145" t="str">
            <v>Settled</v>
          </cell>
        </row>
        <row r="5146">
          <cell r="F5146" t="str">
            <v>SG-Skyee-07/2025</v>
          </cell>
          <cell r="G5146" t="str">
            <v>Settled</v>
          </cell>
        </row>
        <row r="5147">
          <cell r="F5147" t="str">
            <v>SG-Skyee-08/2025</v>
          </cell>
          <cell r="G5147" t="str">
            <v>Settled</v>
          </cell>
        </row>
        <row r="5148">
          <cell r="F5148" t="str">
            <v>SG-Skyee-09/2025</v>
          </cell>
          <cell r="G5148" t="str">
            <v>Settled</v>
          </cell>
        </row>
        <row r="5149">
          <cell r="F5149" t="str">
            <v>SG-Skyee-10/2025</v>
          </cell>
          <cell r="G5149" t="str">
            <v>Settled</v>
          </cell>
        </row>
        <row r="5150">
          <cell r="F5150" t="str">
            <v>SG-Skyee-11/2025</v>
          </cell>
          <cell r="G5150" t="str">
            <v>Settled</v>
          </cell>
        </row>
        <row r="5151">
          <cell r="F5151" t="str">
            <v>SG-Skyee-12/2025</v>
          </cell>
          <cell r="G5151" t="str">
            <v>Settled</v>
          </cell>
        </row>
        <row r="5152">
          <cell r="F5152" t="str">
            <v>SG-Skyee-01/2026</v>
          </cell>
          <cell r="G5152" t="str">
            <v>Settled</v>
          </cell>
        </row>
        <row r="5153">
          <cell r="F5153" t="str">
            <v>SG-Skyee-02/2026</v>
          </cell>
          <cell r="G5153" t="str">
            <v>Settled</v>
          </cell>
        </row>
        <row r="5154">
          <cell r="F5154" t="str">
            <v>SG -Sleek-06/2023</v>
          </cell>
          <cell r="G5154" t="str">
            <v>Settled</v>
          </cell>
        </row>
        <row r="5155">
          <cell r="F5155" t="str">
            <v>CA-Sma international-05/2022</v>
          </cell>
          <cell r="G5155" t="str">
            <v>Write Off</v>
          </cell>
        </row>
        <row r="5156">
          <cell r="F5156" t="str">
            <v>CA-Sma international-06/2022</v>
          </cell>
          <cell r="G5156" t="str">
            <v>Write Off</v>
          </cell>
        </row>
        <row r="5157">
          <cell r="F5157" t="str">
            <v>CA-Sma international-07/2022</v>
          </cell>
          <cell r="G5157" t="str">
            <v>Write Off</v>
          </cell>
        </row>
        <row r="5158">
          <cell r="F5158" t="str">
            <v>CA-Sma international-08/2022</v>
          </cell>
          <cell r="G5158" t="str">
            <v>Write Off</v>
          </cell>
        </row>
        <row r="5159">
          <cell r="F5159" t="str">
            <v>EU-Sme bank-11/2022</v>
          </cell>
          <cell r="G5159" t="str">
            <v>Settled</v>
          </cell>
        </row>
        <row r="5160">
          <cell r="F5160" t="str">
            <v>EU-Sme bank-12/2022</v>
          </cell>
          <cell r="G5160" t="str">
            <v>Settled</v>
          </cell>
        </row>
        <row r="5161">
          <cell r="F5161" t="str">
            <v>EU-Sme bank-01/2023</v>
          </cell>
          <cell r="G5161" t="str">
            <v>Settled</v>
          </cell>
        </row>
        <row r="5162">
          <cell r="F5162" t="str">
            <v>EU-Sme bank-02/2023</v>
          </cell>
          <cell r="G5162" t="str">
            <v>Settled</v>
          </cell>
        </row>
        <row r="5163">
          <cell r="F5163" t="str">
            <v>EU-Sme bank-03/2023</v>
          </cell>
          <cell r="G5163" t="str">
            <v>Settled</v>
          </cell>
        </row>
        <row r="5164">
          <cell r="F5164" t="str">
            <v>EU-sme bank-04/2023</v>
          </cell>
          <cell r="G5164" t="str">
            <v>Settled</v>
          </cell>
        </row>
        <row r="5165">
          <cell r="F5165" t="str">
            <v>EU-sme bank-05/2023</v>
          </cell>
          <cell r="G5165" t="str">
            <v>Settled</v>
          </cell>
        </row>
        <row r="5166">
          <cell r="F5166" t="str">
            <v>EU-sme bank-06/2023</v>
          </cell>
          <cell r="G5166" t="str">
            <v>Settled</v>
          </cell>
        </row>
        <row r="5167">
          <cell r="F5167" t="str">
            <v>EU-sme bank-07/2023</v>
          </cell>
          <cell r="G5167" t="str">
            <v>Settled</v>
          </cell>
        </row>
        <row r="5168">
          <cell r="F5168" t="str">
            <v>EU -sme bank-08/2023</v>
          </cell>
          <cell r="G5168" t="str">
            <v>Settled</v>
          </cell>
        </row>
        <row r="5169">
          <cell r="F5169" t="str">
            <v>EU-sme bank-09/2023</v>
          </cell>
          <cell r="G5169" t="str">
            <v>Settled</v>
          </cell>
        </row>
        <row r="5170">
          <cell r="F5170" t="str">
            <v>EU-sme bank-10/2023</v>
          </cell>
          <cell r="G5170" t="str">
            <v>Settled</v>
          </cell>
        </row>
        <row r="5171">
          <cell r="F5171" t="str">
            <v>EU-sme bank-11/2023</v>
          </cell>
          <cell r="G5171" t="str">
            <v>Settled</v>
          </cell>
        </row>
        <row r="5172">
          <cell r="F5172" t="str">
            <v>EU-sme bank-12/2023</v>
          </cell>
          <cell r="G5172" t="str">
            <v>Settled</v>
          </cell>
        </row>
        <row r="5173">
          <cell r="F5173" t="str">
            <v>EU-sme bank-01/2024</v>
          </cell>
          <cell r="G5173" t="str">
            <v>Settled</v>
          </cell>
        </row>
        <row r="5174">
          <cell r="F5174" t="str">
            <v>EU-sme bank-02/2024</v>
          </cell>
          <cell r="G5174" t="str">
            <v>Settled</v>
          </cell>
        </row>
        <row r="5175">
          <cell r="F5175" t="str">
            <v>EU-sme bank-03/2024</v>
          </cell>
          <cell r="G5175" t="str">
            <v>Settled</v>
          </cell>
        </row>
        <row r="5176">
          <cell r="F5176" t="str">
            <v>EU-sme bank-04/2024</v>
          </cell>
          <cell r="G5176" t="str">
            <v>Settled</v>
          </cell>
        </row>
        <row r="5177">
          <cell r="F5177" t="str">
            <v>EU-sme bank-05/2024</v>
          </cell>
          <cell r="G5177" t="str">
            <v>Settled</v>
          </cell>
        </row>
        <row r="5178">
          <cell r="F5178" t="str">
            <v>SG-Solid Financial Technologies Inc.-11/2022</v>
          </cell>
          <cell r="G5178" t="str">
            <v>Settled</v>
          </cell>
        </row>
        <row r="5179">
          <cell r="F5179" t="str">
            <v>SG-Solid Financial Technologies Inc.-12/2022</v>
          </cell>
          <cell r="G5179" t="str">
            <v>Settled</v>
          </cell>
        </row>
        <row r="5180">
          <cell r="F5180" t="str">
            <v>SG-Solid Financial Technologies Inc.-01/2023</v>
          </cell>
          <cell r="G5180" t="str">
            <v>Settled</v>
          </cell>
        </row>
        <row r="5181">
          <cell r="F5181" t="str">
            <v>SG-SolidFinTech-02/2023</v>
          </cell>
          <cell r="G5181" t="str">
            <v>Settled</v>
          </cell>
        </row>
        <row r="5182">
          <cell r="F5182" t="str">
            <v>SG-SolidFinTech-03/2023</v>
          </cell>
          <cell r="G5182" t="str">
            <v>Settled</v>
          </cell>
        </row>
        <row r="5183">
          <cell r="F5183" t="str">
            <v>SG-SolidFinTech-04/2023</v>
          </cell>
          <cell r="G5183" t="str">
            <v>Settled</v>
          </cell>
        </row>
        <row r="5184">
          <cell r="F5184" t="str">
            <v>SG-SOUTHERN-11/2023</v>
          </cell>
          <cell r="G5184" t="str">
            <v>Settled</v>
          </cell>
        </row>
        <row r="5185">
          <cell r="F5185" t="str">
            <v>SG-Sparkstation Pte Ltd-11/2022</v>
          </cell>
          <cell r="G5185" t="str">
            <v>Settled</v>
          </cell>
        </row>
        <row r="5186">
          <cell r="F5186" t="str">
            <v>SG-Sparkstation Pte Ltd-01/2023</v>
          </cell>
          <cell r="G5186" t="str">
            <v>Settled</v>
          </cell>
        </row>
        <row r="5187">
          <cell r="F5187" t="str">
            <v>SG-Sparkstation-02/2023</v>
          </cell>
          <cell r="G5187" t="str">
            <v>Settled</v>
          </cell>
        </row>
        <row r="5188">
          <cell r="F5188" t="str">
            <v>SG-Sparkstation-03/2023</v>
          </cell>
          <cell r="G5188" t="str">
            <v>Settled</v>
          </cell>
        </row>
        <row r="5189">
          <cell r="F5189" t="str">
            <v>SG-Sparkstation-05/2023</v>
          </cell>
          <cell r="G5189" t="str">
            <v>Settled</v>
          </cell>
        </row>
        <row r="5190">
          <cell r="F5190" t="str">
            <v>SG-Sparkstation-06/2023</v>
          </cell>
          <cell r="G5190" t="str">
            <v>Settled</v>
          </cell>
        </row>
        <row r="5191">
          <cell r="F5191" t="str">
            <v>SG-Sparkstation-07/2023</v>
          </cell>
          <cell r="G5191" t="str">
            <v>Settled</v>
          </cell>
        </row>
        <row r="5192">
          <cell r="F5192" t="str">
            <v>SG -Sparkstation-08/2023</v>
          </cell>
          <cell r="G5192" t="str">
            <v>Settled</v>
          </cell>
        </row>
        <row r="5193">
          <cell r="F5193" t="str">
            <v>EU -Spenfi UAB-07/2023</v>
          </cell>
          <cell r="G5193" t="str">
            <v>Settled</v>
          </cell>
        </row>
        <row r="5194">
          <cell r="F5194" t="str">
            <v>SG -Spreadfun Pte. Ltd-07/2023</v>
          </cell>
          <cell r="G5194" t="str">
            <v>Settled</v>
          </cell>
        </row>
        <row r="5195">
          <cell r="F5195" t="str">
            <v>SG-star dreams general-10/2022</v>
          </cell>
          <cell r="G5195" t="str">
            <v>Settled</v>
          </cell>
        </row>
        <row r="5196">
          <cell r="F5196" t="str">
            <v>SG-star dreams general-11/2022</v>
          </cell>
          <cell r="G5196" t="str">
            <v>Settled</v>
          </cell>
        </row>
        <row r="5197">
          <cell r="F5197" t="str">
            <v>SG-star dreams-12/2022</v>
          </cell>
          <cell r="G5197" t="str">
            <v>Settled</v>
          </cell>
        </row>
        <row r="5198">
          <cell r="F5198" t="str">
            <v>SG-star dreams-01/2023</v>
          </cell>
          <cell r="G5198" t="str">
            <v>Settled</v>
          </cell>
        </row>
        <row r="5199">
          <cell r="F5199" t="str">
            <v>SG-stardreams-02/2023</v>
          </cell>
          <cell r="G5199" t="str">
            <v>Settled</v>
          </cell>
        </row>
        <row r="5200">
          <cell r="F5200" t="str">
            <v>SG-stardreams-03/2023</v>
          </cell>
          <cell r="G5200" t="str">
            <v>Settled</v>
          </cell>
        </row>
        <row r="5201">
          <cell r="F5201" t="str">
            <v>SG-stardreams-04/2023</v>
          </cell>
          <cell r="G5201" t="str">
            <v>Settled</v>
          </cell>
        </row>
        <row r="5202">
          <cell r="F5202" t="str">
            <v>SG-sterling frontier-04/2023</v>
          </cell>
          <cell r="G5202" t="str">
            <v>Settled</v>
          </cell>
        </row>
        <row r="5203">
          <cell r="F5203" t="str">
            <v>SG-sterling frontier-05/2023</v>
          </cell>
          <cell r="G5203" t="str">
            <v>Settled</v>
          </cell>
        </row>
        <row r="5204">
          <cell r="F5204" t="str">
            <v>SG-sterling frontier-06/2023</v>
          </cell>
          <cell r="G5204" t="str">
            <v>Settled</v>
          </cell>
        </row>
        <row r="5205">
          <cell r="F5205" t="str">
            <v>US-US-just wallet-09/2022</v>
          </cell>
          <cell r="G5205" t="str">
            <v>Settled</v>
          </cell>
        </row>
        <row r="5206">
          <cell r="F5206" t="str">
            <v>US-US-just wallet-10/2022</v>
          </cell>
          <cell r="G5206" t="str">
            <v>Settled</v>
          </cell>
        </row>
        <row r="5207">
          <cell r="F5207" t="str">
            <v>US-US-just wallet-11/2022</v>
          </cell>
          <cell r="G5207" t="str">
            <v>Settled</v>
          </cell>
        </row>
        <row r="5208">
          <cell r="F5208" t="str">
            <v>US-Just wallet-12/2022</v>
          </cell>
          <cell r="G5208" t="str">
            <v>Settled</v>
          </cell>
        </row>
        <row r="5209">
          <cell r="F5209" t="str">
            <v>US-Just wallet-01/2023</v>
          </cell>
          <cell r="G5209" t="str">
            <v>Settled</v>
          </cell>
        </row>
        <row r="5210">
          <cell r="F5210" t="str">
            <v>US-Just wallet-02/2023</v>
          </cell>
          <cell r="G5210" t="str">
            <v>Settled</v>
          </cell>
        </row>
        <row r="5211">
          <cell r="F5211" t="str">
            <v>US-Just wallet-03/2023</v>
          </cell>
          <cell r="G5211" t="str">
            <v>Settled</v>
          </cell>
        </row>
        <row r="5212">
          <cell r="F5212" t="str">
            <v>US-Just wallet-04/2023</v>
          </cell>
          <cell r="G5212" t="str">
            <v>Settled</v>
          </cell>
        </row>
        <row r="5213">
          <cell r="F5213" t="str">
            <v>US-Just wallet-05/2023</v>
          </cell>
          <cell r="G5213" t="str">
            <v>Settled</v>
          </cell>
        </row>
        <row r="5214">
          <cell r="F5214" t="str">
            <v>US-Just wallet-06/2023</v>
          </cell>
          <cell r="G5214" t="str">
            <v>Settled</v>
          </cell>
        </row>
        <row r="5215">
          <cell r="F5215" t="str">
            <v>US-Just wallet-07/2023</v>
          </cell>
          <cell r="G5215" t="str">
            <v>Settled</v>
          </cell>
        </row>
        <row r="5216">
          <cell r="F5216" t="str">
            <v>US -Just wallet-08/2023</v>
          </cell>
          <cell r="G5216" t="str">
            <v>Waived Off</v>
          </cell>
        </row>
        <row r="5217">
          <cell r="F5217" t="str">
            <v>US-Just wallet-10/2023</v>
          </cell>
          <cell r="G5217" t="str">
            <v>Settled</v>
          </cell>
        </row>
        <row r="5218">
          <cell r="F5218" t="str">
            <v>US-Just wallet-11/2023</v>
          </cell>
          <cell r="G5218" t="str">
            <v>Settled</v>
          </cell>
        </row>
        <row r="5219">
          <cell r="F5219" t="str">
            <v>US-Just wallet-12/2023</v>
          </cell>
          <cell r="G5219" t="str">
            <v>Settled</v>
          </cell>
        </row>
        <row r="5220">
          <cell r="F5220" t="str">
            <v>US-Just wallet-01/2024</v>
          </cell>
          <cell r="G5220" t="str">
            <v>Settled</v>
          </cell>
        </row>
        <row r="5221">
          <cell r="F5221" t="str">
            <v>US-Just wallet-02/2024</v>
          </cell>
          <cell r="G5221" t="str">
            <v>Settled</v>
          </cell>
        </row>
        <row r="5222">
          <cell r="F5222" t="str">
            <v>US-Just wallet-03/2024</v>
          </cell>
          <cell r="G5222" t="str">
            <v>Settled</v>
          </cell>
        </row>
        <row r="5223">
          <cell r="F5223" t="str">
            <v>US-Just wallet-04/2024</v>
          </cell>
          <cell r="G5223" t="str">
            <v>Settled</v>
          </cell>
        </row>
        <row r="5224">
          <cell r="F5224" t="str">
            <v>US-Just wallet-05/2024</v>
          </cell>
          <cell r="G5224" t="str">
            <v>Settled</v>
          </cell>
        </row>
        <row r="5225">
          <cell r="F5225" t="str">
            <v>US-Just wallet-06/2024</v>
          </cell>
          <cell r="G5225" t="str">
            <v>Settled</v>
          </cell>
        </row>
        <row r="5226">
          <cell r="F5226" t="str">
            <v>US-Just wallet-07/2024</v>
          </cell>
          <cell r="G5226" t="str">
            <v>Settled</v>
          </cell>
        </row>
        <row r="5227">
          <cell r="F5227" t="str">
            <v>US-Just wallet-08/2024</v>
          </cell>
          <cell r="G5227" t="str">
            <v>Settled</v>
          </cell>
        </row>
        <row r="5228">
          <cell r="F5228" t="str">
            <v>US-Just wallet-09/2024</v>
          </cell>
          <cell r="G5228" t="str">
            <v>Settled</v>
          </cell>
        </row>
        <row r="5229">
          <cell r="F5229" t="str">
            <v>US-Just wallet-10/2024</v>
          </cell>
          <cell r="G5229" t="str">
            <v>Settled</v>
          </cell>
        </row>
        <row r="5230">
          <cell r="F5230" t="str">
            <v>US-Just wallet-11/2024</v>
          </cell>
          <cell r="G5230" t="str">
            <v>Settled</v>
          </cell>
        </row>
        <row r="5231">
          <cell r="F5231" t="str">
            <v>US-Just wallet-12/2024</v>
          </cell>
          <cell r="G5231" t="str">
            <v>Settled</v>
          </cell>
        </row>
        <row r="5232">
          <cell r="F5232" t="str">
            <v>US-Just wallet-01/2025</v>
          </cell>
          <cell r="G5232" t="str">
            <v>Settled</v>
          </cell>
        </row>
        <row r="5233">
          <cell r="F5233" t="str">
            <v>US-Just wallet-02/2025</v>
          </cell>
          <cell r="G5233" t="str">
            <v>Settled</v>
          </cell>
        </row>
        <row r="5234">
          <cell r="F5234" t="str">
            <v>US-Just wallet-03/2025</v>
          </cell>
          <cell r="G5234" t="str">
            <v>Settled</v>
          </cell>
        </row>
        <row r="5235">
          <cell r="F5235" t="str">
            <v>US-Just wallet-04/2025</v>
          </cell>
          <cell r="G5235" t="str">
            <v>Settled</v>
          </cell>
        </row>
        <row r="5236">
          <cell r="F5236" t="str">
            <v>US-Just wallet-05/2025</v>
          </cell>
          <cell r="G5236" t="str">
            <v>Settled</v>
          </cell>
        </row>
        <row r="5237">
          <cell r="F5237" t="str">
            <v>US-Just wallet-06/2025</v>
          </cell>
          <cell r="G5237" t="str">
            <v>Settled</v>
          </cell>
        </row>
        <row r="5238">
          <cell r="F5238" t="str">
            <v>US-Just wallet-07/2025</v>
          </cell>
          <cell r="G5238" t="str">
            <v>Settled</v>
          </cell>
        </row>
        <row r="5239">
          <cell r="F5239" t="str">
            <v>US-Just wallet-08/2025</v>
          </cell>
          <cell r="G5239" t="str">
            <v>Settled</v>
          </cell>
        </row>
        <row r="5240">
          <cell r="F5240" t="str">
            <v>US-Just wallet-09/2025</v>
          </cell>
          <cell r="G5240" t="str">
            <v>Settled</v>
          </cell>
        </row>
        <row r="5241">
          <cell r="F5241" t="str">
            <v>US-Just wallet-10/2025</v>
          </cell>
          <cell r="G5241" t="str">
            <v>Settled</v>
          </cell>
        </row>
        <row r="5242">
          <cell r="F5242" t="str">
            <v>US-Stratos Payments, Inc-11/2025</v>
          </cell>
          <cell r="G5242" t="str">
            <v>Settled</v>
          </cell>
        </row>
        <row r="5243">
          <cell r="F5243" t="str">
            <v>US-Stratos Payments, Inc-12/2025</v>
          </cell>
          <cell r="G5243" t="str">
            <v>Settled</v>
          </cell>
        </row>
        <row r="5244">
          <cell r="F5244" t="str">
            <v>US-Stratos Payments, Inc-01/2026</v>
          </cell>
          <cell r="G5244" t="str">
            <v>Settled</v>
          </cell>
        </row>
        <row r="5245">
          <cell r="F5245" t="str">
            <v>US-Stratos Payments, Inc-02/2026</v>
          </cell>
          <cell r="G5245" t="str">
            <v>Settled</v>
          </cell>
        </row>
        <row r="5246">
          <cell r="F5246" t="str">
            <v>SG -Supra-08/2023</v>
          </cell>
          <cell r="G5246" t="str">
            <v>Settled</v>
          </cell>
        </row>
        <row r="5247">
          <cell r="F5247" t="str">
            <v>SG -Supra-10/2023</v>
          </cell>
          <cell r="G5247" t="str">
            <v>Settled</v>
          </cell>
        </row>
        <row r="5248">
          <cell r="F5248" t="str">
            <v>SG-Supra-09/2023</v>
          </cell>
          <cell r="G5248" t="str">
            <v>Settled</v>
          </cell>
        </row>
        <row r="5249">
          <cell r="F5249" t="str">
            <v>SG-Supra-10/2023</v>
          </cell>
          <cell r="G5249" t="str">
            <v>Settled</v>
          </cell>
        </row>
        <row r="5250">
          <cell r="F5250" t="str">
            <v>SG-Supra-11/2023</v>
          </cell>
          <cell r="G5250" t="str">
            <v>Settled</v>
          </cell>
        </row>
        <row r="5251">
          <cell r="F5251" t="str">
            <v>SG-Supra-12/2023</v>
          </cell>
          <cell r="G5251" t="str">
            <v>Settled</v>
          </cell>
        </row>
        <row r="5252">
          <cell r="F5252" t="str">
            <v>SG-Supra-01/2024</v>
          </cell>
          <cell r="G5252" t="str">
            <v>Settled</v>
          </cell>
        </row>
        <row r="5253">
          <cell r="F5253" t="str">
            <v>SG-Supra-02/2024</v>
          </cell>
          <cell r="G5253" t="str">
            <v>Settled</v>
          </cell>
        </row>
        <row r="5254">
          <cell r="F5254" t="str">
            <v>SG-Supra-03/2024</v>
          </cell>
          <cell r="G5254" t="str">
            <v>Settled</v>
          </cell>
        </row>
        <row r="5255">
          <cell r="F5255" t="str">
            <v>SG-Supra-04/2024</v>
          </cell>
          <cell r="G5255" t="str">
            <v>Settled</v>
          </cell>
        </row>
        <row r="5256">
          <cell r="F5256" t="str">
            <v>SG-Supra-05/2024</v>
          </cell>
          <cell r="G5256" t="str">
            <v>Settled</v>
          </cell>
        </row>
        <row r="5257">
          <cell r="F5257" t="str">
            <v>SG-Supra-06/2024</v>
          </cell>
          <cell r="G5257" t="str">
            <v>Settled</v>
          </cell>
        </row>
        <row r="5258">
          <cell r="F5258" t="str">
            <v>SG-Supra-07/2024</v>
          </cell>
          <cell r="G5258" t="str">
            <v>Settled</v>
          </cell>
        </row>
        <row r="5259">
          <cell r="F5259" t="str">
            <v>SG-Supra-08/2024</v>
          </cell>
          <cell r="G5259" t="str">
            <v>Settled</v>
          </cell>
        </row>
        <row r="5260">
          <cell r="F5260" t="str">
            <v>SG-Supra-09/2024</v>
          </cell>
          <cell r="G5260" t="str">
            <v>Settled</v>
          </cell>
        </row>
        <row r="5261">
          <cell r="F5261" t="str">
            <v>SG-Supra-10/2024</v>
          </cell>
          <cell r="G5261" t="str">
            <v>Settled</v>
          </cell>
        </row>
        <row r="5262">
          <cell r="F5262" t="str">
            <v>SG-Supra-11/2024</v>
          </cell>
          <cell r="G5262" t="str">
            <v>Settled</v>
          </cell>
        </row>
        <row r="5263">
          <cell r="F5263" t="str">
            <v>SG-Supra-12/2024</v>
          </cell>
          <cell r="G5263" t="str">
            <v>Settled</v>
          </cell>
        </row>
        <row r="5264">
          <cell r="F5264" t="str">
            <v>SG-Supra-01/2025</v>
          </cell>
          <cell r="G5264" t="str">
            <v>Settled</v>
          </cell>
        </row>
        <row r="5265">
          <cell r="F5265" t="str">
            <v>SG-Supra-02/2025</v>
          </cell>
          <cell r="G5265" t="str">
            <v>Settled</v>
          </cell>
        </row>
        <row r="5266">
          <cell r="F5266" t="str">
            <v>SG-AD-Supra-03-2025</v>
          </cell>
          <cell r="G5266" t="str">
            <v>Settled</v>
          </cell>
        </row>
        <row r="5267">
          <cell r="F5267" t="str">
            <v>SG-Supra-03/2025</v>
          </cell>
          <cell r="G5267" t="str">
            <v>Settled</v>
          </cell>
        </row>
        <row r="5268">
          <cell r="F5268" t="str">
            <v>SG-Supra-04/2025</v>
          </cell>
          <cell r="G5268" t="str">
            <v>Settled</v>
          </cell>
        </row>
        <row r="5269">
          <cell r="F5269" t="str">
            <v>SG-Supra-05/2025</v>
          </cell>
          <cell r="G5269" t="str">
            <v>Settled</v>
          </cell>
        </row>
        <row r="5270">
          <cell r="F5270" t="str">
            <v>SG-Supra-06/2025</v>
          </cell>
          <cell r="G5270" t="str">
            <v>Settled</v>
          </cell>
        </row>
        <row r="5271">
          <cell r="F5271" t="str">
            <v>SG-Supra-07/2025</v>
          </cell>
          <cell r="G5271" t="str">
            <v>Settled</v>
          </cell>
        </row>
        <row r="5272">
          <cell r="F5272" t="str">
            <v>SG-Supra-08/2025</v>
          </cell>
          <cell r="G5272" t="str">
            <v>Settled</v>
          </cell>
        </row>
        <row r="5273">
          <cell r="F5273" t="str">
            <v>SG-Supra-09/2025</v>
          </cell>
          <cell r="G5273" t="str">
            <v>Settled</v>
          </cell>
        </row>
        <row r="5274">
          <cell r="F5274" t="str">
            <v>SG-Supra-10/2025</v>
          </cell>
          <cell r="G5274" t="str">
            <v>Settled</v>
          </cell>
        </row>
        <row r="5275">
          <cell r="F5275" t="str">
            <v>SG-Supra-11/2025</v>
          </cell>
          <cell r="G5275" t="str">
            <v>Settled</v>
          </cell>
        </row>
        <row r="5276">
          <cell r="F5276" t="str">
            <v>SG-Supra-12/2025</v>
          </cell>
          <cell r="G5276" t="str">
            <v>Settled</v>
          </cell>
        </row>
        <row r="5277">
          <cell r="F5277" t="str">
            <v>SG-Supra-01/2026</v>
          </cell>
          <cell r="G5277" t="str">
            <v>Settled</v>
          </cell>
        </row>
        <row r="5278">
          <cell r="F5278" t="str">
            <v>SG-Supra-02/2026</v>
          </cell>
          <cell r="G5278" t="str">
            <v>Settled</v>
          </cell>
        </row>
        <row r="5279">
          <cell r="F5279" t="str">
            <v>SG-TAURUS-02/2024</v>
          </cell>
          <cell r="G5279" t="str">
            <v>Waived Off</v>
          </cell>
        </row>
        <row r="5280">
          <cell r="F5280" t="str">
            <v>SG-TAURUS-11/2024</v>
          </cell>
          <cell r="G5280" t="str">
            <v>Settled</v>
          </cell>
        </row>
        <row r="5281">
          <cell r="F5281" t="str">
            <v>SG-TAURUS-01/2024</v>
          </cell>
          <cell r="G5281" t="str">
            <v>Settled</v>
          </cell>
        </row>
        <row r="5282">
          <cell r="F5282" t="str">
            <v>SG-TAURUS-03/2024</v>
          </cell>
          <cell r="G5282" t="str">
            <v>Settled</v>
          </cell>
        </row>
        <row r="5283">
          <cell r="F5283" t="str">
            <v>SG-TAURUS-02/2024</v>
          </cell>
          <cell r="G5283" t="str">
            <v>Settled</v>
          </cell>
        </row>
        <row r="5284">
          <cell r="F5284" t="str">
            <v>SG-TAURUS-04/2024</v>
          </cell>
          <cell r="G5284" t="str">
            <v>Settled</v>
          </cell>
        </row>
        <row r="5285">
          <cell r="F5285" t="str">
            <v>SG-TAURUS-05/2024</v>
          </cell>
          <cell r="G5285" t="str">
            <v>Settled</v>
          </cell>
        </row>
        <row r="5286">
          <cell r="F5286" t="str">
            <v>SG-TAURUS-06/2024</v>
          </cell>
          <cell r="G5286" t="str">
            <v>Settled</v>
          </cell>
        </row>
        <row r="5287">
          <cell r="F5287" t="str">
            <v>SG-CN-TAURUS-06-2024</v>
          </cell>
          <cell r="G5287" t="str">
            <v>Settled</v>
          </cell>
        </row>
        <row r="5288">
          <cell r="F5288" t="str">
            <v>SG-TAURUS-06/2024</v>
          </cell>
          <cell r="G5288" t="str">
            <v>Settled</v>
          </cell>
        </row>
        <row r="5289">
          <cell r="F5289" t="str">
            <v>SG-CN-TAURUS-03-2024</v>
          </cell>
          <cell r="G5289" t="str">
            <v>Settled</v>
          </cell>
        </row>
        <row r="5290">
          <cell r="F5290" t="str">
            <v>SG-CN-TAURUS-04-2024</v>
          </cell>
          <cell r="G5290" t="str">
            <v>Settled</v>
          </cell>
        </row>
        <row r="5291">
          <cell r="F5291" t="str">
            <v>SG-CN-TAURUS-05-2024</v>
          </cell>
          <cell r="G5291" t="str">
            <v>Settled</v>
          </cell>
        </row>
        <row r="5292">
          <cell r="F5292" t="str">
            <v>SG-TAURUS-07/2024</v>
          </cell>
          <cell r="G5292" t="str">
            <v>Settled</v>
          </cell>
        </row>
        <row r="5293">
          <cell r="F5293" t="str">
            <v>SG-TAURUS-08/2024</v>
          </cell>
          <cell r="G5293" t="str">
            <v>Settled</v>
          </cell>
        </row>
        <row r="5294">
          <cell r="F5294" t="str">
            <v>SG-TAURUS-09/2024</v>
          </cell>
          <cell r="G5294" t="str">
            <v>Settled</v>
          </cell>
        </row>
        <row r="5295">
          <cell r="F5295" t="str">
            <v>SG-TAURUS-10/2024</v>
          </cell>
          <cell r="G5295" t="str">
            <v>Settled</v>
          </cell>
        </row>
        <row r="5296">
          <cell r="F5296" t="str">
            <v>SG-tazapay canada corp-11/2022</v>
          </cell>
          <cell r="G5296" t="str">
            <v>Settled</v>
          </cell>
        </row>
        <row r="5297">
          <cell r="F5297" t="str">
            <v>SG-tazapay canada corp-12/2022</v>
          </cell>
          <cell r="G5297" t="str">
            <v>Settled</v>
          </cell>
        </row>
        <row r="5298">
          <cell r="F5298" t="str">
            <v>SG-tazapay canada corp-01/2023</v>
          </cell>
          <cell r="G5298" t="str">
            <v>Settled</v>
          </cell>
        </row>
        <row r="5299">
          <cell r="F5299" t="str">
            <v>SG-tazapay-02/2023</v>
          </cell>
          <cell r="G5299" t="str">
            <v>Settled</v>
          </cell>
        </row>
        <row r="5300">
          <cell r="F5300" t="str">
            <v>SG-tazapay-03/2023</v>
          </cell>
          <cell r="G5300" t="str">
            <v>Write Off</v>
          </cell>
        </row>
        <row r="5301">
          <cell r="F5301" t="str">
            <v>SG-tazapay-04/2023</v>
          </cell>
          <cell r="G5301" t="str">
            <v>Write Off</v>
          </cell>
        </row>
        <row r="5302">
          <cell r="F5302" t="str">
            <v>SG-tazapay-05/2023</v>
          </cell>
          <cell r="G5302" t="str">
            <v>Write Off</v>
          </cell>
        </row>
        <row r="5303">
          <cell r="F5303" t="str">
            <v>SG-tazapay-06/2023</v>
          </cell>
          <cell r="G5303" t="str">
            <v>Write Off</v>
          </cell>
        </row>
        <row r="5304">
          <cell r="F5304" t="str">
            <v>SG-tazapay-07/2023</v>
          </cell>
          <cell r="G5304" t="str">
            <v>Write Off</v>
          </cell>
        </row>
        <row r="5305">
          <cell r="F5305" t="str">
            <v>US -TClub Inc.-05/2023</v>
          </cell>
          <cell r="G5305" t="str">
            <v>Settled</v>
          </cell>
        </row>
        <row r="5306">
          <cell r="F5306" t="str">
            <v>US-TClub Inc.-05/2023</v>
          </cell>
          <cell r="G5306" t="str">
            <v>Settled</v>
          </cell>
        </row>
        <row r="5307">
          <cell r="F5307" t="str">
            <v>US-TClub Inc.-06/2023</v>
          </cell>
          <cell r="G5307" t="str">
            <v>Settled</v>
          </cell>
        </row>
        <row r="5308">
          <cell r="F5308" t="str">
            <v>US-TClub Inc.-07/2023</v>
          </cell>
          <cell r="G5308" t="str">
            <v>Settled</v>
          </cell>
        </row>
        <row r="5309">
          <cell r="F5309" t="str">
            <v>US -TClub Inc.-08/2023</v>
          </cell>
          <cell r="G5309" t="str">
            <v>Settled</v>
          </cell>
        </row>
        <row r="5310">
          <cell r="F5310" t="str">
            <v>US-TClub Inc.-09/2023</v>
          </cell>
          <cell r="G5310" t="str">
            <v>Settled</v>
          </cell>
        </row>
        <row r="5311">
          <cell r="F5311" t="str">
            <v>US-TClub Inc.-10/2023</v>
          </cell>
          <cell r="G5311" t="str">
            <v>Settled</v>
          </cell>
        </row>
        <row r="5312">
          <cell r="F5312" t="str">
            <v>US-TClub Inc.-11/2023</v>
          </cell>
          <cell r="G5312" t="str">
            <v>Settled</v>
          </cell>
        </row>
        <row r="5313">
          <cell r="F5313" t="str">
            <v>US-TClub Inc.-12/2023</v>
          </cell>
          <cell r="G5313" t="str">
            <v>Settled</v>
          </cell>
        </row>
        <row r="5314">
          <cell r="F5314" t="str">
            <v>US-TClub Inc.-01/2024</v>
          </cell>
          <cell r="G5314" t="str">
            <v>Settled</v>
          </cell>
        </row>
        <row r="5315">
          <cell r="F5315" t="str">
            <v>US-TClub Inc.-02/2024</v>
          </cell>
          <cell r="G5315" t="str">
            <v>Settled</v>
          </cell>
        </row>
        <row r="5316">
          <cell r="F5316" t="str">
            <v>US-TClub Inc.-03/2024</v>
          </cell>
          <cell r="G5316" t="str">
            <v>Settled</v>
          </cell>
        </row>
        <row r="5317">
          <cell r="F5317" t="str">
            <v>US-TClub Inc.-04/2024</v>
          </cell>
          <cell r="G5317" t="str">
            <v>Settled</v>
          </cell>
        </row>
        <row r="5318">
          <cell r="F5318" t="str">
            <v>US-TClub Inc.-05/2024</v>
          </cell>
          <cell r="G5318" t="str">
            <v>Settled</v>
          </cell>
        </row>
        <row r="5319">
          <cell r="F5319" t="str">
            <v>US-TClub Inc.-09/2024</v>
          </cell>
          <cell r="G5319" t="str">
            <v>Settled</v>
          </cell>
        </row>
        <row r="5320">
          <cell r="F5320" t="str">
            <v>US-TClub Inc.-10/2024</v>
          </cell>
          <cell r="G5320" t="str">
            <v>Settled</v>
          </cell>
        </row>
        <row r="5321">
          <cell r="F5321" t="str">
            <v>US-TClub Inc.-11/2024</v>
          </cell>
          <cell r="G5321" t="str">
            <v>Settled</v>
          </cell>
        </row>
        <row r="5322">
          <cell r="F5322" t="str">
            <v>US-TClub Inc.-12/2024</v>
          </cell>
          <cell r="G5322" t="str">
            <v>Settled</v>
          </cell>
        </row>
        <row r="5323">
          <cell r="F5323" t="str">
            <v>US-TClub Inc.-01/2025</v>
          </cell>
          <cell r="G5323" t="str">
            <v>Settled</v>
          </cell>
        </row>
        <row r="5324">
          <cell r="F5324" t="str">
            <v>US-TClub Inc.-02/2025</v>
          </cell>
          <cell r="G5324" t="str">
            <v>Settled</v>
          </cell>
        </row>
        <row r="5325">
          <cell r="F5325" t="str">
            <v>US-TClub Inc.-03/2025</v>
          </cell>
          <cell r="G5325" t="str">
            <v>Settled</v>
          </cell>
        </row>
        <row r="5326">
          <cell r="F5326" t="str">
            <v>US-TClub Inc.-04/2025</v>
          </cell>
          <cell r="G5326" t="str">
            <v>Settled</v>
          </cell>
        </row>
        <row r="5327">
          <cell r="F5327" t="str">
            <v>US-TClub Inc.-05/2025</v>
          </cell>
          <cell r="G5327" t="str">
            <v>Settled</v>
          </cell>
        </row>
        <row r="5328">
          <cell r="F5328" t="str">
            <v>US-TClub Inc.-06/2025</v>
          </cell>
          <cell r="G5328" t="str">
            <v>Settled</v>
          </cell>
        </row>
        <row r="5329">
          <cell r="F5329" t="str">
            <v>US-TClub Inc.-07/2025</v>
          </cell>
          <cell r="G5329" t="str">
            <v>Settled</v>
          </cell>
        </row>
        <row r="5330">
          <cell r="F5330" t="str">
            <v>US-TClub Inc.-08/2025</v>
          </cell>
          <cell r="G5330" t="str">
            <v>Settled</v>
          </cell>
        </row>
        <row r="5331">
          <cell r="F5331" t="str">
            <v>US-TClub Inc.-09/2025</v>
          </cell>
          <cell r="G5331" t="str">
            <v>Settled</v>
          </cell>
        </row>
        <row r="5332">
          <cell r="F5332" t="str">
            <v>US-TClub Inc.-10/2025</v>
          </cell>
          <cell r="G5332" t="str">
            <v>Settled</v>
          </cell>
        </row>
        <row r="5333">
          <cell r="F5333" t="str">
            <v>US-TClub Inc.-11/2025</v>
          </cell>
          <cell r="G5333" t="str">
            <v>Settled</v>
          </cell>
        </row>
        <row r="5334">
          <cell r="F5334" t="str">
            <v>US-TClub Inc.-12/2025</v>
          </cell>
          <cell r="G5334" t="str">
            <v>Overdue</v>
          </cell>
        </row>
        <row r="5335">
          <cell r="F5335" t="str">
            <v>US-TClub Inc.-01/2026</v>
          </cell>
          <cell r="G5335" t="str">
            <v>Overdue</v>
          </cell>
        </row>
        <row r="5336">
          <cell r="F5336" t="str">
            <v>SG-AD-teledolar-06-2024</v>
          </cell>
          <cell r="G5336" t="str">
            <v>Settled</v>
          </cell>
        </row>
        <row r="5337">
          <cell r="F5337" t="str">
            <v>SG-CN-teledolar-06-2024</v>
          </cell>
          <cell r="G5337" t="str">
            <v>Settled</v>
          </cell>
        </row>
        <row r="5338">
          <cell r="F5338" t="str">
            <v>SG-teledolar-06/2024</v>
          </cell>
          <cell r="G5338" t="str">
            <v>Settled</v>
          </cell>
        </row>
        <row r="5339">
          <cell r="F5339" t="str">
            <v>SG-teledolar-07/2024</v>
          </cell>
          <cell r="G5339" t="str">
            <v>Settled</v>
          </cell>
        </row>
        <row r="5340">
          <cell r="F5340" t="str">
            <v>SG-teledolar-11/2022</v>
          </cell>
          <cell r="G5340" t="str">
            <v>Settled</v>
          </cell>
        </row>
        <row r="5341">
          <cell r="F5341" t="str">
            <v>SG-teledolar-12/2022</v>
          </cell>
          <cell r="G5341" t="str">
            <v>Settled</v>
          </cell>
        </row>
        <row r="5342">
          <cell r="F5342" t="str">
            <v>SG-teledolar-01/2023</v>
          </cell>
          <cell r="G5342" t="str">
            <v>Settled</v>
          </cell>
        </row>
        <row r="5343">
          <cell r="F5343" t="str">
            <v>SG-teledolar-02/2023</v>
          </cell>
          <cell r="G5343" t="str">
            <v>Settled</v>
          </cell>
        </row>
        <row r="5344">
          <cell r="F5344" t="str">
            <v>SG-teledolar-03/2023</v>
          </cell>
          <cell r="G5344" t="str">
            <v>Settled</v>
          </cell>
        </row>
        <row r="5345">
          <cell r="F5345" t="str">
            <v>SG-teledolar-04/2023</v>
          </cell>
          <cell r="G5345" t="str">
            <v>Settled</v>
          </cell>
        </row>
        <row r="5346">
          <cell r="F5346" t="str">
            <v>SG-teledolar-05/2023</v>
          </cell>
          <cell r="G5346" t="str">
            <v>Settled</v>
          </cell>
        </row>
        <row r="5347">
          <cell r="F5347" t="str">
            <v>SG-teledolar-06/2023</v>
          </cell>
          <cell r="G5347" t="str">
            <v>Settled</v>
          </cell>
        </row>
        <row r="5348">
          <cell r="F5348" t="str">
            <v>SG-teledolar-07/2023</v>
          </cell>
          <cell r="G5348" t="str">
            <v>Settled</v>
          </cell>
        </row>
        <row r="5349">
          <cell r="F5349" t="str">
            <v>SG -teledolar-08/2023</v>
          </cell>
          <cell r="G5349" t="str">
            <v>Settled</v>
          </cell>
        </row>
        <row r="5350">
          <cell r="F5350" t="str">
            <v>SG-teledolar-09/2023</v>
          </cell>
          <cell r="G5350" t="str">
            <v>Settled</v>
          </cell>
        </row>
        <row r="5351">
          <cell r="F5351" t="str">
            <v>SG-teledolar-10/2023</v>
          </cell>
          <cell r="G5351" t="str">
            <v>Settled</v>
          </cell>
        </row>
        <row r="5352">
          <cell r="F5352" t="str">
            <v>SG-teledolar-11/2023</v>
          </cell>
          <cell r="G5352" t="str">
            <v>Settled</v>
          </cell>
        </row>
        <row r="5353">
          <cell r="F5353" t="str">
            <v>SG-teledolar-12/2023</v>
          </cell>
          <cell r="G5353" t="str">
            <v>Settled</v>
          </cell>
        </row>
        <row r="5354">
          <cell r="F5354" t="str">
            <v>SG-teledolar-01/2024</v>
          </cell>
          <cell r="G5354" t="str">
            <v>Settled</v>
          </cell>
        </row>
        <row r="5355">
          <cell r="F5355" t="str">
            <v>SG-teledolar-02/2024</v>
          </cell>
          <cell r="G5355" t="str">
            <v>Settled</v>
          </cell>
        </row>
        <row r="5356">
          <cell r="F5356" t="str">
            <v>SG-teledolar-03/2024</v>
          </cell>
          <cell r="G5356" t="str">
            <v>Settled</v>
          </cell>
        </row>
        <row r="5357">
          <cell r="F5357" t="str">
            <v>SG-teledolar-04/2024</v>
          </cell>
          <cell r="G5357" t="str">
            <v>Settled</v>
          </cell>
        </row>
        <row r="5358">
          <cell r="F5358" t="str">
            <v>SG-teledolar-05/2024</v>
          </cell>
          <cell r="G5358" t="str">
            <v>Settled</v>
          </cell>
        </row>
        <row r="5359">
          <cell r="F5359" t="str">
            <v>SG -Telomere-05/2023</v>
          </cell>
          <cell r="G5359" t="str">
            <v>Settled</v>
          </cell>
        </row>
        <row r="5360">
          <cell r="F5360" t="str">
            <v>SG-terrawood global pte. ltd.-11/2022</v>
          </cell>
          <cell r="G5360" t="str">
            <v>Settled</v>
          </cell>
        </row>
        <row r="5361">
          <cell r="F5361" t="str">
            <v>SG-terrawood global pte. ltd.-12/2022</v>
          </cell>
          <cell r="G5361" t="str">
            <v>Settled</v>
          </cell>
        </row>
        <row r="5362">
          <cell r="F5362" t="str">
            <v>SG-terrawood global pte. ltd.-01/2023</v>
          </cell>
          <cell r="G5362" t="str">
            <v>Settled</v>
          </cell>
        </row>
        <row r="5363">
          <cell r="F5363" t="str">
            <v>SG-terrawoodglobal-02/2023</v>
          </cell>
          <cell r="G5363" t="str">
            <v>Settled</v>
          </cell>
        </row>
        <row r="5364">
          <cell r="F5364" t="str">
            <v>SG-terrawoodglobal-03/2023</v>
          </cell>
          <cell r="G5364" t="str">
            <v>Settled</v>
          </cell>
        </row>
        <row r="5365">
          <cell r="F5365" t="str">
            <v>SG-terrawoodglobal-04/2023</v>
          </cell>
          <cell r="G5365" t="str">
            <v>Settled</v>
          </cell>
        </row>
        <row r="5366">
          <cell r="F5366" t="str">
            <v>SG-terrawoodglobal-05/2023</v>
          </cell>
          <cell r="G5366" t="str">
            <v>Settled</v>
          </cell>
        </row>
        <row r="5367">
          <cell r="F5367" t="str">
            <v>SG-terrawoodglobal-06/2023</v>
          </cell>
          <cell r="G5367" t="str">
            <v>Settled</v>
          </cell>
        </row>
        <row r="5368">
          <cell r="F5368" t="str">
            <v>SG-terrawoodglobal-07/2023</v>
          </cell>
          <cell r="G5368" t="str">
            <v>Settled</v>
          </cell>
        </row>
        <row r="5369">
          <cell r="F5369" t="str">
            <v>SG -terrawoodglobal-08/2023</v>
          </cell>
          <cell r="G5369" t="str">
            <v>Settled</v>
          </cell>
        </row>
        <row r="5370">
          <cell r="F5370" t="str">
            <v>SG-Currency Cloud-10/2022</v>
          </cell>
          <cell r="G5370" t="str">
            <v>Settled</v>
          </cell>
        </row>
        <row r="5371">
          <cell r="F5371" t="str">
            <v>SG-Currency Cloud-11/2022</v>
          </cell>
          <cell r="G5371" t="str">
            <v>Settled</v>
          </cell>
        </row>
        <row r="5372">
          <cell r="F5372" t="str">
            <v>SG-Currency Cloud-12/2022</v>
          </cell>
          <cell r="G5372" t="str">
            <v>Settled</v>
          </cell>
        </row>
        <row r="5373">
          <cell r="F5373" t="str">
            <v>SG-Currency Cloud-01/2023</v>
          </cell>
          <cell r="G5373" t="str">
            <v>Settled</v>
          </cell>
        </row>
        <row r="5374">
          <cell r="F5374" t="str">
            <v>SG-Currency Cloud-02/2023</v>
          </cell>
          <cell r="G5374" t="str">
            <v>Settled</v>
          </cell>
        </row>
        <row r="5375">
          <cell r="F5375" t="str">
            <v>SG-Currency Cloud-03/2023</v>
          </cell>
          <cell r="G5375" t="str">
            <v>Settled</v>
          </cell>
        </row>
        <row r="5376">
          <cell r="F5376" t="str">
            <v>SG-Currency Cloud-04/2023</v>
          </cell>
          <cell r="G5376" t="str">
            <v>Settled</v>
          </cell>
        </row>
        <row r="5377">
          <cell r="F5377" t="str">
            <v>SG-Currency Cloud-05/2023</v>
          </cell>
          <cell r="G5377" t="str">
            <v>Settled</v>
          </cell>
        </row>
        <row r="5378">
          <cell r="F5378" t="str">
            <v>SG-Currency Cloud-06/2023</v>
          </cell>
          <cell r="G5378" t="str">
            <v>Settled</v>
          </cell>
        </row>
        <row r="5379">
          <cell r="F5379" t="str">
            <v>SG-Currency Cloud-07/2023</v>
          </cell>
          <cell r="G5379" t="str">
            <v>Settled</v>
          </cell>
        </row>
        <row r="5380">
          <cell r="F5380" t="str">
            <v>SG -Currency Cloud-08/2023</v>
          </cell>
          <cell r="G5380" t="str">
            <v>Settled</v>
          </cell>
        </row>
        <row r="5381">
          <cell r="F5381" t="str">
            <v>SG-Currency Cloud-09/2023</v>
          </cell>
          <cell r="G5381" t="str">
            <v>Settled</v>
          </cell>
        </row>
        <row r="5382">
          <cell r="F5382" t="str">
            <v>SG-Currency Cloud-10/2023</v>
          </cell>
          <cell r="G5382" t="str">
            <v>Settled</v>
          </cell>
        </row>
        <row r="5383">
          <cell r="F5383" t="str">
            <v>SG-Currency Cloud-11/2023</v>
          </cell>
          <cell r="G5383" t="str">
            <v>Settled</v>
          </cell>
        </row>
        <row r="5384">
          <cell r="F5384" t="str">
            <v>SG-Currency Cloud-12/2023</v>
          </cell>
          <cell r="G5384" t="str">
            <v>Settled</v>
          </cell>
        </row>
        <row r="5385">
          <cell r="F5385" t="str">
            <v>SG-Currency Cloud-01/2024</v>
          </cell>
          <cell r="G5385" t="str">
            <v>Settled</v>
          </cell>
        </row>
        <row r="5386">
          <cell r="F5386" t="str">
            <v>SG-Currency Cloud-01/2024-LP</v>
          </cell>
          <cell r="G5386" t="str">
            <v>Settled</v>
          </cell>
        </row>
        <row r="5387">
          <cell r="F5387" t="str">
            <v>SG-Currency Cloud-02/2024</v>
          </cell>
          <cell r="G5387" t="str">
            <v>Settled</v>
          </cell>
        </row>
        <row r="5388">
          <cell r="F5388" t="str">
            <v>SG-Currency Cloud-03/2024</v>
          </cell>
          <cell r="G5388" t="str">
            <v>Settled</v>
          </cell>
        </row>
        <row r="5389">
          <cell r="F5389" t="str">
            <v>SG-CN-Currency Cloud-04-2024</v>
          </cell>
          <cell r="G5389" t="str">
            <v>Settled</v>
          </cell>
        </row>
        <row r="5390">
          <cell r="F5390" t="str">
            <v>SG-Currency Cloud-04/2024</v>
          </cell>
          <cell r="G5390" t="str">
            <v>Settled</v>
          </cell>
        </row>
        <row r="5391">
          <cell r="F5391" t="str">
            <v>SG-Currency Cloud-05/2024</v>
          </cell>
          <cell r="G5391" t="str">
            <v>Settled</v>
          </cell>
        </row>
        <row r="5392">
          <cell r="F5392" t="str">
            <v>SG-Currency Cloud-06/2024</v>
          </cell>
          <cell r="G5392" t="str">
            <v>Settled</v>
          </cell>
        </row>
        <row r="5393">
          <cell r="F5393" t="str">
            <v>SG-Currency Cloud-07/2024</v>
          </cell>
          <cell r="G5393" t="str">
            <v>Settled</v>
          </cell>
        </row>
        <row r="5394">
          <cell r="F5394" t="str">
            <v>SG-Currency Cloud-08/2024</v>
          </cell>
          <cell r="G5394" t="str">
            <v>Settled</v>
          </cell>
        </row>
        <row r="5395">
          <cell r="F5395" t="str">
            <v>SG-Currency Cloud-09/2024</v>
          </cell>
          <cell r="G5395" t="str">
            <v>Settled</v>
          </cell>
        </row>
        <row r="5396">
          <cell r="F5396" t="str">
            <v>SG-Currency Cloud-10/2024</v>
          </cell>
          <cell r="G5396" t="str">
            <v>Settled</v>
          </cell>
        </row>
        <row r="5397">
          <cell r="F5397" t="str">
            <v>SG-Currency Cloud-11/2024</v>
          </cell>
          <cell r="G5397" t="str">
            <v>Settled</v>
          </cell>
        </row>
        <row r="5398">
          <cell r="F5398" t="str">
            <v>SG-Currency Cloud-12/2024</v>
          </cell>
          <cell r="G5398" t="str">
            <v>Settled</v>
          </cell>
        </row>
        <row r="5399">
          <cell r="F5399" t="str">
            <v>SG-Currency Cloud-01/2025</v>
          </cell>
          <cell r="G5399" t="str">
            <v>Settled</v>
          </cell>
        </row>
        <row r="5400">
          <cell r="F5400" t="str">
            <v>SG-Currency Cloud-02/2025</v>
          </cell>
          <cell r="G5400" t="str">
            <v>Settled</v>
          </cell>
        </row>
        <row r="5401">
          <cell r="F5401" t="str">
            <v>SG-Currency Cloud-03/2025</v>
          </cell>
          <cell r="G5401" t="str">
            <v>Settled</v>
          </cell>
        </row>
        <row r="5402">
          <cell r="F5402" t="str">
            <v>SG-Currency Cloud-04/2025</v>
          </cell>
          <cell r="G5402" t="str">
            <v>Settled</v>
          </cell>
        </row>
        <row r="5403">
          <cell r="F5403" t="str">
            <v>SG-Currency Cloud-05/2025</v>
          </cell>
          <cell r="G5403" t="str">
            <v>Settled</v>
          </cell>
        </row>
        <row r="5404">
          <cell r="F5404" t="str">
            <v>SG-Currency Cloud-06/2025</v>
          </cell>
          <cell r="G5404" t="str">
            <v>Settled</v>
          </cell>
        </row>
        <row r="5405">
          <cell r="F5405" t="str">
            <v>SG-Currency Cloud-07/2025</v>
          </cell>
          <cell r="G5405" t="str">
            <v>Settled</v>
          </cell>
        </row>
        <row r="5406">
          <cell r="F5406" t="str">
            <v>SG-Currency Cloud-08/2025</v>
          </cell>
          <cell r="G5406" t="str">
            <v>Settled</v>
          </cell>
        </row>
        <row r="5407">
          <cell r="F5407" t="str">
            <v>SG-Currency Cloud-09/2025</v>
          </cell>
          <cell r="G5407" t="str">
            <v>Settled</v>
          </cell>
        </row>
        <row r="5408">
          <cell r="F5408" t="str">
            <v>SG-Currency Cloud-10/2025</v>
          </cell>
          <cell r="G5408" t="str">
            <v>Settled</v>
          </cell>
        </row>
        <row r="5409">
          <cell r="F5409" t="str">
            <v>SG-Currency Cloud-11/2025</v>
          </cell>
          <cell r="G5409" t="str">
            <v>Settled</v>
          </cell>
        </row>
        <row r="5410">
          <cell r="F5410" t="str">
            <v>SG-Currency Cloud-12/2025</v>
          </cell>
          <cell r="G5410" t="str">
            <v>Settled</v>
          </cell>
        </row>
        <row r="5411">
          <cell r="F5411" t="str">
            <v>SG-Currency Cloud-01/2026</v>
          </cell>
          <cell r="G5411" t="str">
            <v>Settled</v>
          </cell>
        </row>
        <row r="5412">
          <cell r="F5412" t="str">
            <v>SG-Currency Cloud-02/2026</v>
          </cell>
          <cell r="G5412" t="str">
            <v>Overdue</v>
          </cell>
        </row>
        <row r="5413">
          <cell r="F5413" t="str">
            <v>SG-thongzala pte ltd-05/2023</v>
          </cell>
          <cell r="G5413" t="str">
            <v>Settled</v>
          </cell>
        </row>
        <row r="5414">
          <cell r="F5414" t="str">
            <v>SG -thongzala pte ltd-08/2023</v>
          </cell>
          <cell r="G5414" t="str">
            <v>Settled</v>
          </cell>
        </row>
        <row r="5415">
          <cell r="F5415" t="str">
            <v>SG-thongzala pte ltd-09/2023</v>
          </cell>
          <cell r="G5415" t="str">
            <v>Settled</v>
          </cell>
        </row>
        <row r="5416">
          <cell r="F5416" t="str">
            <v>SG-thongzala pte ltd-10/2023</v>
          </cell>
          <cell r="G5416" t="str">
            <v>Settled</v>
          </cell>
        </row>
        <row r="5417">
          <cell r="F5417" t="str">
            <v>SG-thongzala pte ltd-11/2023</v>
          </cell>
          <cell r="G5417" t="str">
            <v>Settled</v>
          </cell>
        </row>
        <row r="5418">
          <cell r="F5418" t="str">
            <v>SG-Thrymr-02/2022</v>
          </cell>
          <cell r="G5418" t="str">
            <v>Settled</v>
          </cell>
        </row>
        <row r="5419">
          <cell r="F5419" t="str">
            <v>SG-Thrymr-03/2022</v>
          </cell>
          <cell r="G5419" t="str">
            <v>Settled</v>
          </cell>
        </row>
        <row r="5420">
          <cell r="F5420" t="str">
            <v>SG-Thrymr-04/2022</v>
          </cell>
          <cell r="G5420" t="str">
            <v>Settled</v>
          </cell>
        </row>
        <row r="5421">
          <cell r="F5421" t="str">
            <v>SG-Thrymr-05/2022</v>
          </cell>
          <cell r="G5421" t="str">
            <v>Settled</v>
          </cell>
        </row>
        <row r="5422">
          <cell r="F5422" t="str">
            <v>SG-Thrymr-06/2022</v>
          </cell>
          <cell r="G5422" t="str">
            <v>Settled</v>
          </cell>
        </row>
        <row r="5423">
          <cell r="F5423" t="str">
            <v>SG-Thrymr-07/2022</v>
          </cell>
          <cell r="G5423" t="str">
            <v>Settled</v>
          </cell>
        </row>
        <row r="5424">
          <cell r="F5424" t="str">
            <v>SG-thrymr software-11/2022</v>
          </cell>
          <cell r="G5424" t="str">
            <v>Settled</v>
          </cell>
        </row>
        <row r="5425">
          <cell r="F5425" t="str">
            <v>SG-thrymr software-12/2022</v>
          </cell>
          <cell r="G5425" t="str">
            <v>Settled</v>
          </cell>
        </row>
        <row r="5426">
          <cell r="F5426" t="str">
            <v>SG-thrymr software-01/2023</v>
          </cell>
          <cell r="G5426" t="str">
            <v>Settled</v>
          </cell>
        </row>
        <row r="5427">
          <cell r="F5427" t="str">
            <v>SG-thrymr software-02/2023</v>
          </cell>
          <cell r="G5427" t="str">
            <v>Settled</v>
          </cell>
        </row>
        <row r="5428">
          <cell r="F5428" t="str">
            <v>SG-thrymr software-03/2023</v>
          </cell>
          <cell r="G5428" t="str">
            <v>Settled</v>
          </cell>
        </row>
        <row r="5429">
          <cell r="F5429" t="str">
            <v>SG-thrymr software-04/2023</v>
          </cell>
          <cell r="G5429" t="str">
            <v>Settled</v>
          </cell>
        </row>
        <row r="5430">
          <cell r="F5430" t="str">
            <v>SG-thrymr software-05/2023</v>
          </cell>
          <cell r="G5430" t="str">
            <v>Settled</v>
          </cell>
        </row>
        <row r="5431">
          <cell r="F5431" t="str">
            <v>SG-thrymr software-06/2023</v>
          </cell>
          <cell r="G5431" t="str">
            <v>Settled</v>
          </cell>
        </row>
        <row r="5432">
          <cell r="F5432" t="str">
            <v>SG-thrymr software-07/2023</v>
          </cell>
          <cell r="G5432" t="str">
            <v>Settled</v>
          </cell>
        </row>
        <row r="5433">
          <cell r="F5433" t="str">
            <v>SG -thrymr software-CR-07/2023</v>
          </cell>
          <cell r="G5433" t="str">
            <v>Settled</v>
          </cell>
        </row>
        <row r="5434">
          <cell r="F5434" t="str">
            <v>SG -thrymr software-08/2023</v>
          </cell>
          <cell r="G5434" t="str">
            <v>Settled</v>
          </cell>
        </row>
        <row r="5435">
          <cell r="F5435" t="str">
            <v>SG-thrymr software-09/2023</v>
          </cell>
          <cell r="G5435" t="str">
            <v>Settled</v>
          </cell>
        </row>
        <row r="5436">
          <cell r="F5436" t="str">
            <v>SG-thrymr software-10/2023</v>
          </cell>
          <cell r="G5436" t="str">
            <v>Settled</v>
          </cell>
        </row>
        <row r="5437">
          <cell r="F5437" t="str">
            <v>SG-thrymr software-11/2023</v>
          </cell>
          <cell r="G5437" t="str">
            <v>Settled</v>
          </cell>
        </row>
        <row r="5438">
          <cell r="F5438" t="str">
            <v>SG-tiagn i inc. dba libertypay-11/2022</v>
          </cell>
          <cell r="G5438" t="str">
            <v>Settled</v>
          </cell>
        </row>
        <row r="5439">
          <cell r="F5439" t="str">
            <v>SG-tiagn i inc. dba libertypay-12/2022</v>
          </cell>
          <cell r="G5439" t="str">
            <v>Settled</v>
          </cell>
        </row>
        <row r="5440">
          <cell r="F5440" t="str">
            <v>SG-tiagn i inc. dba libertypay-01/2023</v>
          </cell>
          <cell r="G5440" t="str">
            <v>Settled</v>
          </cell>
        </row>
        <row r="5441">
          <cell r="F5441" t="str">
            <v>SG-tiagn-02/2023</v>
          </cell>
          <cell r="G5441" t="str">
            <v>Settled</v>
          </cell>
        </row>
        <row r="5442">
          <cell r="F5442" t="str">
            <v>SG-tiagn-03/2023</v>
          </cell>
          <cell r="G5442" t="str">
            <v>Settled</v>
          </cell>
        </row>
        <row r="5443">
          <cell r="F5443" t="str">
            <v>SG-tiagn-11/2023</v>
          </cell>
          <cell r="G5443" t="str">
            <v>Settled</v>
          </cell>
        </row>
        <row r="5444">
          <cell r="F5444" t="str">
            <v>SG-tiagn-11/2024</v>
          </cell>
          <cell r="G5444" t="str">
            <v>Net Off</v>
          </cell>
        </row>
        <row r="5445">
          <cell r="F5445" t="str">
            <v>SG-tiagn-12/2024</v>
          </cell>
          <cell r="G5445" t="str">
            <v>Net Off</v>
          </cell>
        </row>
        <row r="5446">
          <cell r="F5446" t="str">
            <v>SG-CN-tiagn-11-2024</v>
          </cell>
          <cell r="G5446" t="str">
            <v>Net Off</v>
          </cell>
        </row>
        <row r="5447">
          <cell r="F5447" t="str">
            <v>SG-CN-tiagn-12-2024</v>
          </cell>
          <cell r="G5447" t="str">
            <v>Net Off</v>
          </cell>
        </row>
        <row r="5448">
          <cell r="F5448" t="str">
            <v>SG-AD-Toss Bank-01-2026</v>
          </cell>
          <cell r="G5448" t="str">
            <v>Settled</v>
          </cell>
        </row>
        <row r="5449">
          <cell r="F5449" t="str">
            <v>SG-Toss Bank -12/2025</v>
          </cell>
          <cell r="G5449" t="str">
            <v>Settled</v>
          </cell>
        </row>
        <row r="5450">
          <cell r="F5450" t="str">
            <v>SG-Toss Bank -01/2026</v>
          </cell>
          <cell r="G5450" t="str">
            <v>Settled</v>
          </cell>
        </row>
        <row r="5451">
          <cell r="F5451" t="str">
            <v>SG-Toss Bank -02/2026</v>
          </cell>
          <cell r="G5451" t="str">
            <v>Settled</v>
          </cell>
        </row>
        <row r="5452">
          <cell r="F5452" t="str">
            <v>SG-AD-Toss Bank-OD-01-2026</v>
          </cell>
          <cell r="G5452" t="str">
            <v>Settled</v>
          </cell>
        </row>
        <row r="5453">
          <cell r="F5453" t="str">
            <v>SG1-AD-Toss Bank-OD-02-2026</v>
          </cell>
          <cell r="G5453" t="str">
            <v>Settled</v>
          </cell>
        </row>
        <row r="5454">
          <cell r="F5454" t="str">
            <v>SG -transferclear pte ltd-03/2022</v>
          </cell>
          <cell r="G5454" t="str">
            <v>Settled</v>
          </cell>
        </row>
        <row r="5455">
          <cell r="F5455" t="str">
            <v>SG -transferclear pte ltd-04/2022</v>
          </cell>
          <cell r="G5455" t="str">
            <v>Settled</v>
          </cell>
        </row>
        <row r="5456">
          <cell r="F5456" t="str">
            <v>SG -transferclear pte ltd-05/2022</v>
          </cell>
          <cell r="G5456" t="str">
            <v>Settled</v>
          </cell>
        </row>
        <row r="5457">
          <cell r="F5457" t="str">
            <v>SG -transferclear pte ltd-06/2022</v>
          </cell>
          <cell r="G5457" t="str">
            <v>Settled</v>
          </cell>
        </row>
        <row r="5458">
          <cell r="F5458" t="str">
            <v>SG-Transferclear-08/2022</v>
          </cell>
          <cell r="G5458" t="str">
            <v>Settled</v>
          </cell>
        </row>
        <row r="5459">
          <cell r="F5459" t="str">
            <v>SG-Transferclear-09/2022</v>
          </cell>
          <cell r="G5459" t="str">
            <v>Settled</v>
          </cell>
        </row>
        <row r="5460">
          <cell r="F5460" t="str">
            <v>SG-Transferclear-10/2022</v>
          </cell>
          <cell r="G5460" t="str">
            <v>Settled</v>
          </cell>
        </row>
        <row r="5461">
          <cell r="F5461" t="str">
            <v>SG-Transferclear-11/2022</v>
          </cell>
          <cell r="G5461" t="str">
            <v>Settled</v>
          </cell>
        </row>
        <row r="5462">
          <cell r="F5462" t="str">
            <v>SG-transferclear pte ltd-12/2022</v>
          </cell>
          <cell r="G5462" t="str">
            <v>Write Off</v>
          </cell>
        </row>
        <row r="5463">
          <cell r="F5463" t="str">
            <v>SG-transferclear pte ltd-01/2023</v>
          </cell>
          <cell r="G5463" t="str">
            <v>Settled</v>
          </cell>
        </row>
        <row r="5464">
          <cell r="F5464" t="str">
            <v>SG-transferclear-02/2023</v>
          </cell>
          <cell r="G5464" t="str">
            <v>Write Off</v>
          </cell>
        </row>
        <row r="5465">
          <cell r="F5465" t="str">
            <v>SG-transferclear-03/2023</v>
          </cell>
          <cell r="G5465" t="str">
            <v>Write Off</v>
          </cell>
        </row>
        <row r="5466">
          <cell r="F5466" t="str">
            <v>SG-Transfergo-11/2022</v>
          </cell>
          <cell r="G5466" t="str">
            <v>Settled</v>
          </cell>
        </row>
        <row r="5467">
          <cell r="F5467" t="str">
            <v>SG-Transfergo-12/2022</v>
          </cell>
          <cell r="G5467" t="str">
            <v>Settled</v>
          </cell>
        </row>
        <row r="5468">
          <cell r="F5468" t="str">
            <v>SG-Transfergo-02/2023</v>
          </cell>
          <cell r="G5468" t="str">
            <v>Settled</v>
          </cell>
        </row>
        <row r="5469">
          <cell r="F5469" t="str">
            <v>SG-Transfergo-01/2023</v>
          </cell>
          <cell r="G5469" t="str">
            <v>Settled</v>
          </cell>
        </row>
        <row r="5470">
          <cell r="F5470" t="str">
            <v>SG-Transfergo-CR-01/2023</v>
          </cell>
          <cell r="G5470" t="str">
            <v>Settled</v>
          </cell>
        </row>
        <row r="5471">
          <cell r="F5471" t="str">
            <v>SG-Transfergo-CR-02/2023</v>
          </cell>
          <cell r="G5471" t="str">
            <v>Settled</v>
          </cell>
        </row>
        <row r="5472">
          <cell r="F5472" t="str">
            <v>SG-Transfergo-03/2023</v>
          </cell>
          <cell r="G5472" t="str">
            <v>Settled</v>
          </cell>
        </row>
        <row r="5473">
          <cell r="F5473" t="str">
            <v>SG-Transfergo-04/2023</v>
          </cell>
          <cell r="G5473" t="str">
            <v>Settled</v>
          </cell>
        </row>
        <row r="5474">
          <cell r="F5474" t="str">
            <v>SG-Transfergo-05/2023</v>
          </cell>
          <cell r="G5474" t="str">
            <v>Settled</v>
          </cell>
        </row>
        <row r="5475">
          <cell r="F5475" t="str">
            <v>SG-Transfergo-06/2023</v>
          </cell>
          <cell r="G5475" t="str">
            <v>Settled</v>
          </cell>
        </row>
        <row r="5476">
          <cell r="F5476" t="str">
            <v>SG-Transfergo-07/2023</v>
          </cell>
          <cell r="G5476" t="str">
            <v>Settled</v>
          </cell>
        </row>
        <row r="5477">
          <cell r="F5477" t="str">
            <v>SG -Transfergo-08/2023</v>
          </cell>
          <cell r="G5477" t="str">
            <v>Settled</v>
          </cell>
        </row>
        <row r="5478">
          <cell r="F5478" t="str">
            <v>SG-Transfergo-09/2023</v>
          </cell>
          <cell r="G5478" t="str">
            <v>Settled</v>
          </cell>
        </row>
        <row r="5479">
          <cell r="F5479" t="str">
            <v>SG-Transfergo-10/2023</v>
          </cell>
          <cell r="G5479" t="str">
            <v>Settled</v>
          </cell>
        </row>
        <row r="5480">
          <cell r="F5480" t="str">
            <v>SG-Transfergo-11/2023</v>
          </cell>
          <cell r="G5480" t="str">
            <v>Settled</v>
          </cell>
        </row>
        <row r="5481">
          <cell r="F5481" t="str">
            <v>SG-Transfergo-12/2023</v>
          </cell>
          <cell r="G5481" t="str">
            <v>Settled</v>
          </cell>
        </row>
        <row r="5482">
          <cell r="F5482" t="str">
            <v>SG-Transfergo-01/2024</v>
          </cell>
          <cell r="G5482" t="str">
            <v>Settled</v>
          </cell>
        </row>
        <row r="5483">
          <cell r="F5483" t="str">
            <v>SG-Transfergo-02/2024</v>
          </cell>
          <cell r="G5483" t="str">
            <v>Settled</v>
          </cell>
        </row>
        <row r="5484">
          <cell r="F5484" t="str">
            <v>SG-Transfergo-03/2024</v>
          </cell>
          <cell r="G5484" t="str">
            <v>Settled</v>
          </cell>
        </row>
        <row r="5485">
          <cell r="F5485" t="str">
            <v>SG-Transfergo-04/2024</v>
          </cell>
          <cell r="G5485" t="str">
            <v>Settled</v>
          </cell>
        </row>
        <row r="5486">
          <cell r="F5486" t="str">
            <v>SG-Transfergo-05/2024</v>
          </cell>
          <cell r="G5486" t="str">
            <v>Settled</v>
          </cell>
        </row>
        <row r="5487">
          <cell r="F5487" t="str">
            <v>SG-Transfergo-06/2024</v>
          </cell>
          <cell r="G5487" t="str">
            <v>Settled</v>
          </cell>
        </row>
        <row r="5488">
          <cell r="F5488" t="str">
            <v>SG-Transfergo-07/2024</v>
          </cell>
          <cell r="G5488" t="str">
            <v>Settled</v>
          </cell>
        </row>
        <row r="5489">
          <cell r="F5489" t="str">
            <v>SG-Transfergo-08/2024</v>
          </cell>
          <cell r="G5489" t="str">
            <v>Settled</v>
          </cell>
        </row>
        <row r="5490">
          <cell r="F5490" t="str">
            <v>SG-Transfergo-09/2024</v>
          </cell>
          <cell r="G5490" t="str">
            <v>Settled</v>
          </cell>
        </row>
        <row r="5491">
          <cell r="F5491" t="str">
            <v>SG-Transfergo-10/2024</v>
          </cell>
          <cell r="G5491" t="str">
            <v>Settled</v>
          </cell>
        </row>
        <row r="5492">
          <cell r="F5492" t="str">
            <v>SG-Transfergo-11/2024</v>
          </cell>
          <cell r="G5492" t="str">
            <v>Settled</v>
          </cell>
        </row>
        <row r="5493">
          <cell r="F5493" t="str">
            <v>SG-Transfergo-12/2024</v>
          </cell>
          <cell r="G5493" t="str">
            <v>Settled</v>
          </cell>
        </row>
        <row r="5494">
          <cell r="F5494" t="str">
            <v>SG-Transfergo-01/2025</v>
          </cell>
          <cell r="G5494" t="str">
            <v>Settled</v>
          </cell>
        </row>
        <row r="5495">
          <cell r="F5495" t="str">
            <v>SG-Transfergo-02/2025</v>
          </cell>
          <cell r="G5495" t="str">
            <v>Settled</v>
          </cell>
        </row>
        <row r="5496">
          <cell r="F5496" t="str">
            <v>SG-Transfergo-03/2025</v>
          </cell>
          <cell r="G5496" t="str">
            <v>Settled</v>
          </cell>
        </row>
        <row r="5497">
          <cell r="F5497" t="str">
            <v>SG-Transfergo-04/2025</v>
          </cell>
          <cell r="G5497" t="str">
            <v>Settled</v>
          </cell>
        </row>
        <row r="5498">
          <cell r="F5498" t="str">
            <v>SG-Transfergo-05/2025</v>
          </cell>
          <cell r="G5498" t="str">
            <v>Settled</v>
          </cell>
        </row>
        <row r="5499">
          <cell r="F5499" t="str">
            <v>SG-Transfergo-06/2025</v>
          </cell>
          <cell r="G5499" t="str">
            <v>Settled</v>
          </cell>
        </row>
        <row r="5500">
          <cell r="F5500" t="str">
            <v>SG-Transfergo-07/2025</v>
          </cell>
          <cell r="G5500" t="str">
            <v>Settled</v>
          </cell>
        </row>
        <row r="5501">
          <cell r="F5501" t="str">
            <v>SG-Transfergo-08/2025</v>
          </cell>
          <cell r="G5501" t="str">
            <v>Settled</v>
          </cell>
        </row>
        <row r="5502">
          <cell r="F5502" t="str">
            <v>SG-Transfergo-09/2025</v>
          </cell>
          <cell r="G5502" t="str">
            <v>Settled</v>
          </cell>
        </row>
        <row r="5503">
          <cell r="F5503" t="str">
            <v>SG-Transfergo-10/2025</v>
          </cell>
          <cell r="G5503" t="str">
            <v>Settled</v>
          </cell>
        </row>
        <row r="5504">
          <cell r="F5504" t="str">
            <v>SG-Transfergo-11/2025</v>
          </cell>
          <cell r="G5504" t="str">
            <v>Settled</v>
          </cell>
        </row>
        <row r="5505">
          <cell r="F5505" t="str">
            <v>SG-Transfergo-12/2025</v>
          </cell>
          <cell r="G5505" t="str">
            <v>Settled</v>
          </cell>
        </row>
        <row r="5506">
          <cell r="F5506" t="str">
            <v>SG-Transfergo-01/2026</v>
          </cell>
          <cell r="G5506" t="str">
            <v>Settled</v>
          </cell>
        </row>
        <row r="5507">
          <cell r="F5507" t="str">
            <v>SG-Transfergo-02/2026</v>
          </cell>
          <cell r="G5507" t="str">
            <v>Settled</v>
          </cell>
        </row>
        <row r="5508">
          <cell r="F5508" t="str">
            <v>SG-TravelEasy-01/2024</v>
          </cell>
          <cell r="G5508" t="str">
            <v>Settled</v>
          </cell>
        </row>
        <row r="5509">
          <cell r="F5509" t="str">
            <v>SG-TravelEasy-03/2024</v>
          </cell>
          <cell r="G5509" t="str">
            <v>Settled</v>
          </cell>
        </row>
        <row r="5510">
          <cell r="F5510" t="str">
            <v>SG-TravelEasy-04/2024</v>
          </cell>
          <cell r="G5510" t="str">
            <v>Settled</v>
          </cell>
        </row>
        <row r="5511">
          <cell r="F5511" t="str">
            <v>SG-TravelEasy-05/2024</v>
          </cell>
          <cell r="G5511" t="str">
            <v>Settled</v>
          </cell>
        </row>
        <row r="5512">
          <cell r="F5512" t="str">
            <v>SG-TravelEasy-06/2024</v>
          </cell>
          <cell r="G5512" t="str">
            <v>Settled</v>
          </cell>
        </row>
        <row r="5513">
          <cell r="F5513" t="str">
            <v>SG-TravelEasy-07/2024</v>
          </cell>
          <cell r="G5513" t="str">
            <v>Settled</v>
          </cell>
        </row>
        <row r="5514">
          <cell r="F5514" t="str">
            <v>SG-TravelEasy-08/2024</v>
          </cell>
          <cell r="G5514" t="str">
            <v>Settled</v>
          </cell>
        </row>
        <row r="5515">
          <cell r="F5515" t="str">
            <v>SG-TravelEasy-09/2024</v>
          </cell>
          <cell r="G5515" t="str">
            <v>Settled</v>
          </cell>
        </row>
        <row r="5516">
          <cell r="F5516" t="str">
            <v>SG-TravelEasy-10/2024</v>
          </cell>
          <cell r="G5516" t="str">
            <v>Settled</v>
          </cell>
        </row>
        <row r="5517">
          <cell r="F5517" t="str">
            <v>SG-TravelEasy-11/2024</v>
          </cell>
          <cell r="G5517" t="str">
            <v>Settled</v>
          </cell>
        </row>
        <row r="5518">
          <cell r="F5518" t="str">
            <v>SG-TravelEasy-01/2025</v>
          </cell>
          <cell r="G5518" t="str">
            <v>Settled</v>
          </cell>
        </row>
        <row r="5519">
          <cell r="F5519" t="str">
            <v>SG-TravelEasy-12/2024</v>
          </cell>
          <cell r="G5519" t="str">
            <v>Settled</v>
          </cell>
        </row>
        <row r="5520">
          <cell r="F5520" t="str">
            <v>SG -TVGD-04/2023</v>
          </cell>
          <cell r="G5520" t="str">
            <v>Settled</v>
          </cell>
        </row>
        <row r="5521">
          <cell r="F5521" t="str">
            <v>SG-UFintechHub Inc-03/2023</v>
          </cell>
          <cell r="G5521" t="str">
            <v>Settled</v>
          </cell>
        </row>
        <row r="5522">
          <cell r="F5522" t="str">
            <v>SG-UFintechHubSetupfees-03/2023</v>
          </cell>
          <cell r="G5522" t="str">
            <v>Settled</v>
          </cell>
        </row>
        <row r="5523">
          <cell r="F5523" t="str">
            <v>SG-UFintechHub Inc-04/2023</v>
          </cell>
          <cell r="G5523" t="str">
            <v>Settled</v>
          </cell>
        </row>
        <row r="5524">
          <cell r="F5524" t="str">
            <v>SG-UFintechHub Inc-05/2023</v>
          </cell>
          <cell r="G5524" t="str">
            <v>Settled</v>
          </cell>
        </row>
        <row r="5525">
          <cell r="F5525" t="str">
            <v>SG-UFintechHub Inc-CR-05/2023</v>
          </cell>
          <cell r="G5525" t="str">
            <v>Settled</v>
          </cell>
        </row>
        <row r="5526">
          <cell r="F5526" t="str">
            <v>SG-UFintechHub Inc-06/2023</v>
          </cell>
          <cell r="G5526" t="str">
            <v>Settled</v>
          </cell>
        </row>
        <row r="5527">
          <cell r="F5527" t="str">
            <v>SG-UFintechHub Inc-07/2023</v>
          </cell>
          <cell r="G5527" t="str">
            <v>Settled</v>
          </cell>
        </row>
        <row r="5528">
          <cell r="F5528" t="str">
            <v>SG -UFintechHub Inc-08/2023</v>
          </cell>
          <cell r="G5528" t="str">
            <v>Settled</v>
          </cell>
        </row>
        <row r="5529">
          <cell r="F5529" t="str">
            <v>SG-UFintechHub Inc-09/2023</v>
          </cell>
          <cell r="G5529" t="str">
            <v>Settled</v>
          </cell>
        </row>
        <row r="5530">
          <cell r="F5530" t="str">
            <v>SG-UFintechHub Inc-10/2023</v>
          </cell>
          <cell r="G5530" t="str">
            <v>Settled</v>
          </cell>
        </row>
        <row r="5531">
          <cell r="F5531" t="str">
            <v>SG-UFintechHub Inc-11/2023</v>
          </cell>
          <cell r="G5531" t="str">
            <v>Settled</v>
          </cell>
        </row>
        <row r="5532">
          <cell r="F5532" t="str">
            <v>SG-UFintechHub-12/2023</v>
          </cell>
          <cell r="G5532" t="str">
            <v>Settled</v>
          </cell>
        </row>
        <row r="5533">
          <cell r="F5533" t="str">
            <v>SG-UFintechHub Inc-01/2024</v>
          </cell>
          <cell r="G5533" t="str">
            <v>Settled</v>
          </cell>
        </row>
        <row r="5534">
          <cell r="F5534" t="str">
            <v>SG-UFintechHub Inc-02/2024</v>
          </cell>
          <cell r="G5534" t="str">
            <v>Settled</v>
          </cell>
        </row>
        <row r="5535">
          <cell r="F5535" t="str">
            <v>SG-UFintechHub Inc-03/2024</v>
          </cell>
          <cell r="G5535" t="str">
            <v>Settled</v>
          </cell>
        </row>
        <row r="5536">
          <cell r="F5536" t="str">
            <v>SG-UFintechHub Inc-04/2024</v>
          </cell>
          <cell r="G5536" t="str">
            <v>Settled</v>
          </cell>
        </row>
        <row r="5537">
          <cell r="F5537" t="str">
            <v>SG-UFintechHub Inc-05/2024</v>
          </cell>
          <cell r="G5537" t="str">
            <v>Settled</v>
          </cell>
        </row>
        <row r="5538">
          <cell r="F5538" t="str">
            <v>SG-UFintechHub Inc-06/2024</v>
          </cell>
          <cell r="G5538" t="str">
            <v>Settled</v>
          </cell>
        </row>
        <row r="5539">
          <cell r="F5539" t="str">
            <v>SG-UFintechHub Inc-07/2024</v>
          </cell>
          <cell r="G5539" t="str">
            <v>Settled</v>
          </cell>
        </row>
        <row r="5540">
          <cell r="F5540" t="str">
            <v>SG-UFintechHub Inc-08/2024</v>
          </cell>
          <cell r="G5540" t="str">
            <v>Settled</v>
          </cell>
        </row>
        <row r="5541">
          <cell r="F5541" t="str">
            <v>SG-UFintechHub Inc-09/2024</v>
          </cell>
          <cell r="G5541" t="str">
            <v>Settled</v>
          </cell>
        </row>
        <row r="5542">
          <cell r="F5542" t="str">
            <v>SG-UFintechHub Inc-10/2024</v>
          </cell>
          <cell r="G5542" t="str">
            <v>Settled</v>
          </cell>
        </row>
        <row r="5543">
          <cell r="F5543" t="str">
            <v>SG-UFintechHub Inc-11/2024</v>
          </cell>
          <cell r="G5543" t="str">
            <v>Settled</v>
          </cell>
        </row>
        <row r="5544">
          <cell r="F5544" t="str">
            <v>SG-UFintechHub Inc-12/2024</v>
          </cell>
          <cell r="G5544" t="str">
            <v>Settled</v>
          </cell>
        </row>
        <row r="5545">
          <cell r="F5545" t="str">
            <v>SG-UFintechHub Inc-01/2025</v>
          </cell>
          <cell r="G5545" t="str">
            <v>Settled</v>
          </cell>
        </row>
        <row r="5546">
          <cell r="F5546" t="str">
            <v>SG-CN-UFintechHub Inc-05-2025</v>
          </cell>
          <cell r="G5546" t="str">
            <v>Settled</v>
          </cell>
        </row>
        <row r="5547">
          <cell r="F5547" t="str">
            <v>SG-UFintechHub Inc-02/2025</v>
          </cell>
          <cell r="G5547" t="str">
            <v>Settled</v>
          </cell>
        </row>
        <row r="5548">
          <cell r="F5548" t="str">
            <v>SG-UFintechHub Inc-03/2025</v>
          </cell>
          <cell r="G5548" t="str">
            <v>Settled</v>
          </cell>
        </row>
        <row r="5549">
          <cell r="F5549" t="str">
            <v>SG-CN-UFintechHub Inc-04-2025</v>
          </cell>
          <cell r="G5549" t="str">
            <v>Settled</v>
          </cell>
        </row>
        <row r="5550">
          <cell r="F5550" t="str">
            <v>SG-UFintechHub Inc-04/2025</v>
          </cell>
          <cell r="G5550" t="str">
            <v>Settled</v>
          </cell>
        </row>
        <row r="5551">
          <cell r="F5551" t="str">
            <v>SG-UFintechHub Inc-05/2025</v>
          </cell>
          <cell r="G5551" t="str">
            <v>Settled</v>
          </cell>
        </row>
        <row r="5552">
          <cell r="F5552" t="str">
            <v>SG-CN-UFintechHub Inc-06-2025</v>
          </cell>
          <cell r="G5552" t="str">
            <v>Settled</v>
          </cell>
        </row>
        <row r="5553">
          <cell r="F5553" t="str">
            <v>SG-UFintechHub Inc-06/2025</v>
          </cell>
          <cell r="G5553" t="str">
            <v>Settled</v>
          </cell>
        </row>
        <row r="5554">
          <cell r="F5554" t="str">
            <v>SG-UFintechHub Inc-07/2025</v>
          </cell>
          <cell r="G5554" t="str">
            <v>Settled</v>
          </cell>
        </row>
        <row r="5555">
          <cell r="F5555" t="str">
            <v>SG-UFintechHub Inc-08/2025</v>
          </cell>
          <cell r="G5555" t="str">
            <v>Settled</v>
          </cell>
        </row>
        <row r="5556">
          <cell r="F5556" t="str">
            <v>SG-UFintechHub Inc-09/2025</v>
          </cell>
          <cell r="G5556" t="str">
            <v>Settled</v>
          </cell>
        </row>
        <row r="5557">
          <cell r="F5557" t="str">
            <v>SG-CN-UFintechHub Inc-10/2025</v>
          </cell>
          <cell r="G5557" t="str">
            <v>Settled</v>
          </cell>
        </row>
        <row r="5558">
          <cell r="F5558" t="str">
            <v>SG-UFintechHub Inc-10/2025</v>
          </cell>
          <cell r="G5558" t="str">
            <v>Settled</v>
          </cell>
        </row>
        <row r="5559">
          <cell r="F5559" t="str">
            <v>SG-CN-UFintechHub Inc-11-2025</v>
          </cell>
          <cell r="G5559" t="str">
            <v>Settled</v>
          </cell>
        </row>
        <row r="5560">
          <cell r="F5560" t="str">
            <v>SG-UFintechHub Inc-11/2025</v>
          </cell>
          <cell r="G5560" t="str">
            <v>Settled</v>
          </cell>
        </row>
        <row r="5561">
          <cell r="F5561" t="str">
            <v>SG-CN-UFintechHub Inc-12-2025</v>
          </cell>
          <cell r="G5561" t="str">
            <v>Settled</v>
          </cell>
        </row>
        <row r="5562">
          <cell r="F5562" t="str">
            <v>SG-UFintechHub Inc-12/2025</v>
          </cell>
          <cell r="G5562" t="str">
            <v>Settled</v>
          </cell>
        </row>
        <row r="5563">
          <cell r="F5563" t="str">
            <v>SG-UFintechHub Inc-01/2026</v>
          </cell>
          <cell r="G5563" t="str">
            <v>Settled</v>
          </cell>
        </row>
        <row r="5564">
          <cell r="F5564" t="str">
            <v>SG-UFintechHub Inc-02/2026</v>
          </cell>
          <cell r="G5564" t="str">
            <v>Settled</v>
          </cell>
        </row>
        <row r="5565">
          <cell r="F5565" t="str">
            <v>SG-United Global One-11/2022</v>
          </cell>
          <cell r="G5565" t="str">
            <v>Reversed</v>
          </cell>
        </row>
        <row r="5566">
          <cell r="F5566" t="str">
            <v>SG-valencyint-03/2023</v>
          </cell>
          <cell r="G5566" t="str">
            <v>Settled</v>
          </cell>
        </row>
        <row r="5567">
          <cell r="F5567" t="str">
            <v>SG-valencyint-04/2023</v>
          </cell>
          <cell r="G5567" t="str">
            <v>Settled</v>
          </cell>
        </row>
        <row r="5568">
          <cell r="F5568" t="str">
            <v>SG-valencyint-06/2023</v>
          </cell>
          <cell r="G5568" t="str">
            <v>Settled</v>
          </cell>
        </row>
        <row r="5569">
          <cell r="F5569" t="str">
            <v>SG-valencyint-07/2023</v>
          </cell>
          <cell r="G5569" t="str">
            <v>Settled</v>
          </cell>
        </row>
        <row r="5570">
          <cell r="F5570" t="str">
            <v>SG -valency international-01/2022</v>
          </cell>
          <cell r="G5570" t="str">
            <v>Settled</v>
          </cell>
        </row>
        <row r="5571">
          <cell r="F5571" t="str">
            <v>SG-valency international-10/2022</v>
          </cell>
          <cell r="G5571" t="str">
            <v>Settled</v>
          </cell>
        </row>
        <row r="5572">
          <cell r="F5572" t="str">
            <v>SG-valency international-11/2022</v>
          </cell>
          <cell r="G5572" t="str">
            <v>Settled</v>
          </cell>
        </row>
        <row r="5573">
          <cell r="F5573" t="str">
            <v>SG-valency international-12/2022</v>
          </cell>
          <cell r="G5573" t="str">
            <v>Settled</v>
          </cell>
        </row>
        <row r="5574">
          <cell r="F5574" t="str">
            <v>SG-valency international-01/2023</v>
          </cell>
          <cell r="G5574" t="str">
            <v>Settled</v>
          </cell>
        </row>
        <row r="5575">
          <cell r="F5575" t="str">
            <v>SG-valencyint-02/2023</v>
          </cell>
          <cell r="G5575" t="str">
            <v>Settled</v>
          </cell>
        </row>
        <row r="5576">
          <cell r="F5576" t="str">
            <v>SG -Velvet Finance Limited-04/2022</v>
          </cell>
          <cell r="G5576" t="str">
            <v>Write Off</v>
          </cell>
        </row>
        <row r="5577">
          <cell r="F5577" t="str">
            <v>SG -Velvet Finance Limited-05/2022</v>
          </cell>
          <cell r="G5577" t="str">
            <v>Write Off</v>
          </cell>
        </row>
        <row r="5578">
          <cell r="F5578" t="str">
            <v>SG -Velvet Finance Limited-06/2022</v>
          </cell>
          <cell r="G5578" t="str">
            <v>Write Off</v>
          </cell>
        </row>
        <row r="5579">
          <cell r="F5579" t="str">
            <v>SG-Velvet Finance-07/2022</v>
          </cell>
          <cell r="G5579" t="str">
            <v>Write Off</v>
          </cell>
        </row>
        <row r="5580">
          <cell r="F5580" t="str">
            <v>SG-Velvet Finance-08/2022</v>
          </cell>
          <cell r="G5580" t="str">
            <v>Write Off</v>
          </cell>
        </row>
        <row r="5581">
          <cell r="F5581" t="str">
            <v>SG-vidanova bank-11/2022</v>
          </cell>
          <cell r="G5581" t="str">
            <v>Settled</v>
          </cell>
        </row>
        <row r="5582">
          <cell r="F5582" t="str">
            <v>SG-vidanova bank-12/2022</v>
          </cell>
          <cell r="G5582" t="str">
            <v>Settled</v>
          </cell>
        </row>
        <row r="5583">
          <cell r="F5583" t="str">
            <v>SG-vidanova bank-01/2023</v>
          </cell>
          <cell r="G5583" t="str">
            <v>Settled</v>
          </cell>
        </row>
        <row r="5584">
          <cell r="F5584" t="str">
            <v>SG-vidanova bank-02/2023</v>
          </cell>
          <cell r="G5584" t="str">
            <v>Settled</v>
          </cell>
        </row>
        <row r="5585">
          <cell r="F5585" t="str">
            <v>SG-vidanova bank-03/2023</v>
          </cell>
          <cell r="G5585" t="str">
            <v>Settled</v>
          </cell>
        </row>
        <row r="5586">
          <cell r="F5586" t="str">
            <v>SG-vidanova bank-04/2023</v>
          </cell>
          <cell r="G5586" t="str">
            <v>Settled</v>
          </cell>
        </row>
        <row r="5587">
          <cell r="F5587" t="str">
            <v>SG-vidanova bank-05/2023</v>
          </cell>
          <cell r="G5587" t="str">
            <v>Settled</v>
          </cell>
        </row>
        <row r="5588">
          <cell r="F5588" t="str">
            <v>SG-vidanova bank-06/2023</v>
          </cell>
          <cell r="G5588" t="str">
            <v>Settled</v>
          </cell>
        </row>
        <row r="5589">
          <cell r="F5589" t="str">
            <v>SG-vidanova bank-07/2023</v>
          </cell>
          <cell r="G5589" t="str">
            <v>Settled</v>
          </cell>
        </row>
        <row r="5590">
          <cell r="F5590" t="str">
            <v>SG -vidanova bank-08/2023</v>
          </cell>
          <cell r="G5590" t="str">
            <v>Settled</v>
          </cell>
        </row>
        <row r="5591">
          <cell r="F5591" t="str">
            <v>SG-vidanova bank-09/2023</v>
          </cell>
          <cell r="G5591" t="str">
            <v>Settled</v>
          </cell>
        </row>
        <row r="5592">
          <cell r="F5592" t="str">
            <v>SG-vidanova bank-10/2023</v>
          </cell>
          <cell r="G5592" t="str">
            <v>Settled</v>
          </cell>
        </row>
        <row r="5593">
          <cell r="F5593" t="str">
            <v>SG-vidanova bank-11/2023</v>
          </cell>
          <cell r="G5593" t="str">
            <v>Settled</v>
          </cell>
        </row>
        <row r="5594">
          <cell r="F5594" t="str">
            <v>SG-vidanova bank-12/2023</v>
          </cell>
          <cell r="G5594" t="str">
            <v>Settled</v>
          </cell>
        </row>
        <row r="5595">
          <cell r="F5595" t="str">
            <v>SG-vidanova bank-01/2024</v>
          </cell>
          <cell r="G5595" t="str">
            <v>Settled</v>
          </cell>
        </row>
        <row r="5596">
          <cell r="F5596" t="str">
            <v>SG-vidanova bank-02/2024</v>
          </cell>
          <cell r="G5596" t="str">
            <v>Settled</v>
          </cell>
        </row>
        <row r="5597">
          <cell r="F5597" t="str">
            <v>SG-vidanova bank-03/2024</v>
          </cell>
          <cell r="G5597" t="str">
            <v>Settled</v>
          </cell>
        </row>
        <row r="5598">
          <cell r="F5598" t="str">
            <v>SG-vidanova bank-04/2024</v>
          </cell>
          <cell r="G5598" t="str">
            <v>Settled</v>
          </cell>
        </row>
        <row r="5599">
          <cell r="F5599" t="str">
            <v>SG-vidanova bank-05/2024</v>
          </cell>
          <cell r="G5599" t="str">
            <v>Settled</v>
          </cell>
        </row>
        <row r="5600">
          <cell r="F5600" t="str">
            <v>SG-vidanova bank-06/2024</v>
          </cell>
          <cell r="G5600" t="str">
            <v>Settled</v>
          </cell>
        </row>
        <row r="5601">
          <cell r="F5601" t="str">
            <v>SG-vidanova bank-07/2024</v>
          </cell>
          <cell r="G5601" t="str">
            <v>Settled</v>
          </cell>
        </row>
        <row r="5602">
          <cell r="F5602" t="str">
            <v>SG-vidanova bank-08/2024</v>
          </cell>
          <cell r="G5602" t="str">
            <v>Settled</v>
          </cell>
        </row>
        <row r="5603">
          <cell r="F5603" t="str">
            <v>SG-vidanova bank-09/2024</v>
          </cell>
          <cell r="G5603" t="str">
            <v>Settled</v>
          </cell>
        </row>
        <row r="5604">
          <cell r="F5604" t="str">
            <v>SG-vidanova bank-10/2024</v>
          </cell>
          <cell r="G5604" t="str">
            <v>Settled</v>
          </cell>
        </row>
        <row r="5605">
          <cell r="F5605" t="str">
            <v>SG-virema commodities-05/2023</v>
          </cell>
          <cell r="G5605" t="str">
            <v>Settled</v>
          </cell>
        </row>
        <row r="5606">
          <cell r="F5606" t="str">
            <v>SG-virema commodities-06/2023</v>
          </cell>
          <cell r="G5606" t="str">
            <v>Settled</v>
          </cell>
        </row>
        <row r="5607">
          <cell r="F5607" t="str">
            <v>SG-virema commodities-07/2023</v>
          </cell>
          <cell r="G5607" t="str">
            <v>Settled</v>
          </cell>
        </row>
        <row r="5608">
          <cell r="F5608" t="str">
            <v>SG -virema commodities-08/2023</v>
          </cell>
          <cell r="G5608" t="str">
            <v>Settled</v>
          </cell>
        </row>
        <row r="5609">
          <cell r="F5609" t="str">
            <v>SG-virema commodities-09/2023</v>
          </cell>
          <cell r="G5609" t="str">
            <v>Settled</v>
          </cell>
        </row>
        <row r="5610">
          <cell r="F5610" t="str">
            <v>SG-Vita Solutions-07/2023</v>
          </cell>
          <cell r="G5610" t="str">
            <v>Settled</v>
          </cell>
        </row>
        <row r="5611">
          <cell r="F5611" t="str">
            <v>SG -Vita Solutions-08/2023</v>
          </cell>
          <cell r="G5611" t="str">
            <v>Settled</v>
          </cell>
        </row>
        <row r="5612">
          <cell r="F5612" t="str">
            <v>SG-Vita Solutions-09/2023</v>
          </cell>
          <cell r="G5612" t="str">
            <v>Settled</v>
          </cell>
        </row>
        <row r="5613">
          <cell r="F5613" t="str">
            <v>SG-Vita Solutions-10/2023</v>
          </cell>
          <cell r="G5613" t="str">
            <v>Settled</v>
          </cell>
        </row>
        <row r="5614">
          <cell r="F5614" t="str">
            <v>SG-Vita Solutions-11/2023</v>
          </cell>
          <cell r="G5614" t="str">
            <v>Settled</v>
          </cell>
        </row>
        <row r="5615">
          <cell r="F5615" t="str">
            <v>SG-Vita Solutions-12/2023</v>
          </cell>
          <cell r="G5615" t="str">
            <v>Settled</v>
          </cell>
        </row>
        <row r="5616">
          <cell r="F5616" t="str">
            <v>SG-Vita Solutions-01/2024</v>
          </cell>
          <cell r="G5616" t="str">
            <v>Settled</v>
          </cell>
        </row>
        <row r="5617">
          <cell r="F5617" t="str">
            <v>SG-Vita Solutions-02/2024</v>
          </cell>
          <cell r="G5617" t="str">
            <v>Settled</v>
          </cell>
        </row>
        <row r="5618">
          <cell r="F5618" t="str">
            <v>SG-Vita Solutions-03/2024</v>
          </cell>
          <cell r="G5618" t="str">
            <v>Settled</v>
          </cell>
        </row>
        <row r="5619">
          <cell r="F5619" t="str">
            <v>SG-Vita Solutions-04/2024</v>
          </cell>
          <cell r="G5619" t="str">
            <v>Settled</v>
          </cell>
        </row>
        <row r="5620">
          <cell r="F5620" t="str">
            <v>SG-Vita Solutions-05/2024</v>
          </cell>
          <cell r="G5620" t="str">
            <v>Settled</v>
          </cell>
        </row>
        <row r="5621">
          <cell r="F5621" t="str">
            <v>SG-Vita Solutions-06/2024</v>
          </cell>
          <cell r="G5621" t="str">
            <v>Settled</v>
          </cell>
        </row>
        <row r="5622">
          <cell r="F5622" t="str">
            <v>SG-Vita Solutions-07/2024</v>
          </cell>
          <cell r="G5622" t="str">
            <v>Settled</v>
          </cell>
        </row>
        <row r="5623">
          <cell r="F5623" t="str">
            <v>SG-Vita Solutions-08/2024</v>
          </cell>
          <cell r="G5623" t="str">
            <v>Settled</v>
          </cell>
        </row>
        <row r="5624">
          <cell r="F5624" t="str">
            <v>SG-Vita Solutions-09/2024</v>
          </cell>
          <cell r="G5624" t="str">
            <v>Settled</v>
          </cell>
        </row>
        <row r="5625">
          <cell r="F5625" t="str">
            <v>SG-Vita Solutions-10/2024</v>
          </cell>
          <cell r="G5625" t="str">
            <v>Settled</v>
          </cell>
        </row>
        <row r="5626">
          <cell r="F5626" t="str">
            <v>SG-Vita Solutions-11/2024</v>
          </cell>
          <cell r="G5626" t="str">
            <v>Settled</v>
          </cell>
        </row>
        <row r="5627">
          <cell r="F5627" t="str">
            <v>SG-Vita Solutions-12/2024</v>
          </cell>
          <cell r="G5627" t="str">
            <v>Settled</v>
          </cell>
        </row>
        <row r="5628">
          <cell r="F5628" t="str">
            <v>SG-Vita Solutions-01/2025</v>
          </cell>
          <cell r="G5628" t="str">
            <v>Settled</v>
          </cell>
        </row>
        <row r="5629">
          <cell r="F5629" t="str">
            <v>SG-Vita Solutions-02/2025</v>
          </cell>
          <cell r="G5629" t="str">
            <v>Settled</v>
          </cell>
        </row>
        <row r="5630">
          <cell r="F5630" t="str">
            <v>SG-Vita Solutions-03/2025</v>
          </cell>
          <cell r="G5630" t="str">
            <v>Settled</v>
          </cell>
        </row>
        <row r="5631">
          <cell r="F5631" t="str">
            <v>SG-Vita Solutions-04/2025</v>
          </cell>
          <cell r="G5631" t="str">
            <v>Settled</v>
          </cell>
        </row>
        <row r="5632">
          <cell r="F5632" t="str">
            <v>SG-Vita Solutions-05/2025</v>
          </cell>
          <cell r="G5632" t="str">
            <v>Settled</v>
          </cell>
        </row>
        <row r="5633">
          <cell r="F5633" t="str">
            <v>SG-Vita Solutions-06/2025</v>
          </cell>
          <cell r="G5633" t="str">
            <v>Settled</v>
          </cell>
        </row>
        <row r="5634">
          <cell r="F5634" t="str">
            <v>SG-Vita Solutions-07/2025</v>
          </cell>
          <cell r="G5634" t="str">
            <v>Settled</v>
          </cell>
        </row>
        <row r="5635">
          <cell r="F5635" t="str">
            <v>SG-Vita Solutions-08/2025</v>
          </cell>
          <cell r="G5635" t="str">
            <v>Settled</v>
          </cell>
        </row>
        <row r="5636">
          <cell r="F5636" t="str">
            <v>SG-Vita Solutions-09/2025</v>
          </cell>
          <cell r="G5636" t="str">
            <v>Settled</v>
          </cell>
        </row>
        <row r="5637">
          <cell r="F5637" t="str">
            <v>SG-Vita Solutions-10/2025</v>
          </cell>
          <cell r="G5637" t="str">
            <v>Settled</v>
          </cell>
        </row>
        <row r="5638">
          <cell r="F5638" t="str">
            <v>SG-Vita Solutions-11/2025</v>
          </cell>
          <cell r="G5638" t="str">
            <v>Settled</v>
          </cell>
        </row>
        <row r="5639">
          <cell r="F5639" t="str">
            <v>SG-Vita Solutions-12/2025</v>
          </cell>
          <cell r="G5639" t="str">
            <v>Settled</v>
          </cell>
        </row>
        <row r="5640">
          <cell r="F5640" t="str">
            <v>SG-Vita Solutions-01/2026</v>
          </cell>
          <cell r="G5640" t="str">
            <v>Settled</v>
          </cell>
        </row>
        <row r="5641">
          <cell r="F5641" t="str">
            <v>SG-Vita Solutions-02/2026</v>
          </cell>
          <cell r="G5641" t="str">
            <v>Settled</v>
          </cell>
        </row>
        <row r="5642">
          <cell r="F5642" t="str">
            <v>HK-Vitesse-11/2022</v>
          </cell>
          <cell r="G5642" t="str">
            <v>Settled</v>
          </cell>
        </row>
        <row r="5643">
          <cell r="F5643" t="str">
            <v>HK-Vitesse-12/2022</v>
          </cell>
          <cell r="G5643" t="str">
            <v>Settled</v>
          </cell>
        </row>
        <row r="5644">
          <cell r="F5644" t="str">
            <v>HK-Vitesse-01/2023</v>
          </cell>
          <cell r="G5644" t="str">
            <v>Settled</v>
          </cell>
        </row>
        <row r="5645">
          <cell r="F5645" t="str">
            <v>HK-Vitesse-02/2023</v>
          </cell>
          <cell r="G5645" t="str">
            <v>Settled</v>
          </cell>
        </row>
        <row r="5646">
          <cell r="F5646" t="str">
            <v>HK-Vitesse-03/2023</v>
          </cell>
          <cell r="G5646" t="str">
            <v>Settled</v>
          </cell>
        </row>
        <row r="5647">
          <cell r="F5647" t="str">
            <v>HK-Vitesse-04/2023</v>
          </cell>
          <cell r="G5647" t="str">
            <v>Settled</v>
          </cell>
        </row>
        <row r="5648">
          <cell r="F5648" t="str">
            <v>HK-Vitesse-05/2023</v>
          </cell>
          <cell r="G5648" t="str">
            <v>Settled</v>
          </cell>
        </row>
        <row r="5649">
          <cell r="F5649" t="str">
            <v>HK-Vitesse-06/2023</v>
          </cell>
          <cell r="G5649" t="str">
            <v>Settled</v>
          </cell>
        </row>
        <row r="5650">
          <cell r="F5650" t="str">
            <v>HK-Vitesse-07/2023</v>
          </cell>
          <cell r="G5650" t="str">
            <v>Settled</v>
          </cell>
        </row>
        <row r="5651">
          <cell r="F5651" t="str">
            <v>HK -Vitesse-08/2023</v>
          </cell>
          <cell r="G5651" t="str">
            <v>Settled</v>
          </cell>
        </row>
        <row r="5652">
          <cell r="F5652" t="str">
            <v>HK-Vitesse-09/2023</v>
          </cell>
          <cell r="G5652" t="str">
            <v>Settled</v>
          </cell>
        </row>
        <row r="5653">
          <cell r="F5653" t="str">
            <v>HK-Vitesse-10/2023</v>
          </cell>
          <cell r="G5653" t="str">
            <v>Settled</v>
          </cell>
        </row>
        <row r="5654">
          <cell r="F5654" t="str">
            <v>HK-Vitesse-11/2023</v>
          </cell>
          <cell r="G5654" t="str">
            <v>Settled</v>
          </cell>
        </row>
        <row r="5655">
          <cell r="F5655" t="str">
            <v>HK-Vitesse-12/2023</v>
          </cell>
          <cell r="G5655" t="str">
            <v>Settled</v>
          </cell>
        </row>
        <row r="5656">
          <cell r="F5656" t="str">
            <v>HK-Vitesse-01/2024</v>
          </cell>
          <cell r="G5656" t="str">
            <v>Settled</v>
          </cell>
        </row>
        <row r="5657">
          <cell r="F5657" t="str">
            <v>HK-Vitesse-02/2024</v>
          </cell>
          <cell r="G5657" t="str">
            <v>Settled</v>
          </cell>
        </row>
        <row r="5658">
          <cell r="F5658" t="str">
            <v>HK-Vitesse-03/2024</v>
          </cell>
          <cell r="G5658" t="str">
            <v>Settled</v>
          </cell>
        </row>
        <row r="5659">
          <cell r="F5659" t="str">
            <v>HK-Vitesse-04/2024</v>
          </cell>
          <cell r="G5659" t="str">
            <v>Settled</v>
          </cell>
        </row>
        <row r="5660">
          <cell r="F5660" t="str">
            <v>HK-Vitesse-05/2024</v>
          </cell>
          <cell r="G5660" t="str">
            <v>Settled</v>
          </cell>
        </row>
        <row r="5661">
          <cell r="F5661" t="str">
            <v>HK-Vitesse-06/2024</v>
          </cell>
          <cell r="G5661" t="str">
            <v>Settled</v>
          </cell>
        </row>
        <row r="5662">
          <cell r="F5662" t="str">
            <v>HK-Vitesse-07/2024</v>
          </cell>
          <cell r="G5662" t="str">
            <v>Settled</v>
          </cell>
        </row>
        <row r="5663">
          <cell r="F5663" t="str">
            <v>HK-Vitesse-08/2024</v>
          </cell>
          <cell r="G5663" t="str">
            <v>Settled</v>
          </cell>
        </row>
        <row r="5664">
          <cell r="F5664" t="str">
            <v>HK-Vitesse-09/2024</v>
          </cell>
          <cell r="G5664" t="str">
            <v>Settled</v>
          </cell>
        </row>
        <row r="5665">
          <cell r="F5665" t="str">
            <v>HK-Vitesse-10/2024</v>
          </cell>
          <cell r="G5665" t="str">
            <v>Settled</v>
          </cell>
        </row>
        <row r="5666">
          <cell r="F5666" t="str">
            <v>HK-Vitesse-11/2024</v>
          </cell>
          <cell r="G5666" t="str">
            <v>Settled</v>
          </cell>
        </row>
        <row r="5667">
          <cell r="F5667" t="str">
            <v>HK-Vitesse-12/2024</v>
          </cell>
          <cell r="G5667" t="str">
            <v>Settled</v>
          </cell>
        </row>
        <row r="5668">
          <cell r="F5668" t="str">
            <v>HK-Vitesse-01/2025</v>
          </cell>
          <cell r="G5668" t="str">
            <v>Settled</v>
          </cell>
        </row>
        <row r="5669">
          <cell r="F5669" t="str">
            <v>HK-Vitesse-02/2025</v>
          </cell>
          <cell r="G5669" t="str">
            <v>Settled</v>
          </cell>
        </row>
        <row r="5670">
          <cell r="F5670" t="str">
            <v>HK-Vitesse-03/2025</v>
          </cell>
          <cell r="G5670" t="str">
            <v>Settled</v>
          </cell>
        </row>
        <row r="5671">
          <cell r="F5671" t="str">
            <v>HK-Vitesse-04/2025</v>
          </cell>
          <cell r="G5671" t="str">
            <v>Settled</v>
          </cell>
        </row>
        <row r="5672">
          <cell r="F5672" t="str">
            <v>HK-Vitesse-05/2025</v>
          </cell>
          <cell r="G5672" t="str">
            <v>Settled</v>
          </cell>
        </row>
        <row r="5673">
          <cell r="F5673" t="str">
            <v>HK-Vitesse-06/2025</v>
          </cell>
          <cell r="G5673" t="str">
            <v>Settled</v>
          </cell>
        </row>
        <row r="5674">
          <cell r="F5674" t="str">
            <v>HK-Vitesse-07/2025</v>
          </cell>
          <cell r="G5674" t="str">
            <v>Settled</v>
          </cell>
        </row>
        <row r="5675">
          <cell r="F5675" t="str">
            <v>HK-Vitesse-08/2025</v>
          </cell>
          <cell r="G5675" t="str">
            <v>Settled</v>
          </cell>
        </row>
        <row r="5676">
          <cell r="F5676" t="str">
            <v>HK-Vitesse-09/2025</v>
          </cell>
          <cell r="G5676" t="str">
            <v>Settled</v>
          </cell>
        </row>
        <row r="5677">
          <cell r="F5677" t="str">
            <v>HK-Vitesse-10/2025</v>
          </cell>
          <cell r="G5677" t="str">
            <v>Settled</v>
          </cell>
        </row>
        <row r="5678">
          <cell r="F5678" t="str">
            <v>HK-Vitesse-11/2025</v>
          </cell>
          <cell r="G5678" t="str">
            <v>Settled</v>
          </cell>
        </row>
        <row r="5679">
          <cell r="F5679" t="str">
            <v>HK-Vitesse-12/2025</v>
          </cell>
          <cell r="G5679" t="str">
            <v>Settled</v>
          </cell>
        </row>
        <row r="5680">
          <cell r="F5680" t="str">
            <v>HK-Vitesse-01/2026</v>
          </cell>
          <cell r="G5680" t="str">
            <v>Settled</v>
          </cell>
        </row>
        <row r="5681">
          <cell r="F5681" t="str">
            <v>HK-Vitesse-02/2026</v>
          </cell>
          <cell r="G5681" t="str">
            <v>Settled</v>
          </cell>
        </row>
        <row r="5682">
          <cell r="F5682" t="str">
            <v>SG-vrv global pte ltd-04/2023</v>
          </cell>
          <cell r="G5682" t="str">
            <v>Settled</v>
          </cell>
        </row>
        <row r="5683">
          <cell r="F5683" t="str">
            <v>SG-vrv global pte ltd-05/2023</v>
          </cell>
          <cell r="G5683" t="str">
            <v>Settled</v>
          </cell>
        </row>
        <row r="5684">
          <cell r="F5684" t="str">
            <v>SG-vrv global pte ltd-06/2023</v>
          </cell>
          <cell r="G5684" t="str">
            <v>Settled</v>
          </cell>
        </row>
        <row r="5685">
          <cell r="F5685" t="str">
            <v>SG-vrv global pte ltd-07/2023</v>
          </cell>
          <cell r="G5685" t="str">
            <v>Settled</v>
          </cell>
        </row>
        <row r="5686">
          <cell r="F5686" t="str">
            <v>SG -vrv global pte ltd-08/2023</v>
          </cell>
          <cell r="G5686" t="str">
            <v>Settled</v>
          </cell>
        </row>
        <row r="5687">
          <cell r="F5687" t="str">
            <v>SG-vrv global pte ltd-09/2023</v>
          </cell>
          <cell r="G5687" t="str">
            <v>Settled</v>
          </cell>
        </row>
        <row r="5688">
          <cell r="F5688" t="str">
            <v>SG-vrv global pte ltd-10/2023</v>
          </cell>
          <cell r="G5688" t="str">
            <v>Settled</v>
          </cell>
        </row>
        <row r="5689">
          <cell r="F5689" t="str">
            <v>SG-WAHE-11/2023</v>
          </cell>
          <cell r="G5689" t="str">
            <v>Settled</v>
          </cell>
        </row>
        <row r="5690">
          <cell r="F5690" t="str">
            <v>SG-WebuyTravel-07/2023</v>
          </cell>
          <cell r="G5690" t="str">
            <v>Settled</v>
          </cell>
        </row>
        <row r="5691">
          <cell r="F5691" t="str">
            <v>SG -WebuyTravel-08/2023</v>
          </cell>
          <cell r="G5691" t="str">
            <v>Settled</v>
          </cell>
        </row>
        <row r="5692">
          <cell r="F5692" t="str">
            <v>SG -WebuyTravel-CR-08/2023</v>
          </cell>
          <cell r="G5692" t="str">
            <v>Settled</v>
          </cell>
        </row>
        <row r="5693">
          <cell r="F5693" t="str">
            <v>SG-WebuyTravel-09/2023</v>
          </cell>
          <cell r="G5693" t="str">
            <v>Settled</v>
          </cell>
        </row>
        <row r="5694">
          <cell r="F5694" t="str">
            <v>SG-WebuyTravel-10/2023</v>
          </cell>
          <cell r="G5694" t="str">
            <v>Settled</v>
          </cell>
        </row>
        <row r="5695">
          <cell r="F5695" t="str">
            <v>SG-WebuyTravel-11/2023</v>
          </cell>
          <cell r="G5695" t="str">
            <v>Settled</v>
          </cell>
        </row>
        <row r="5696">
          <cell r="F5696" t="str">
            <v>SG-WebuyTravel-12/2023</v>
          </cell>
          <cell r="G5696" t="str">
            <v>Settled</v>
          </cell>
        </row>
        <row r="5697">
          <cell r="F5697" t="str">
            <v>SG-WebuyTravel-02/2024</v>
          </cell>
          <cell r="G5697" t="str">
            <v>Settled</v>
          </cell>
        </row>
        <row r="5698">
          <cell r="F5698" t="str">
            <v>SG-WebuyTravel-03/2024</v>
          </cell>
          <cell r="G5698" t="str">
            <v>Settled</v>
          </cell>
        </row>
        <row r="5699">
          <cell r="F5699" t="str">
            <v>SG-WebuyTravel-04/2024</v>
          </cell>
          <cell r="G5699" t="str">
            <v>Settled</v>
          </cell>
        </row>
        <row r="5700">
          <cell r="F5700" t="str">
            <v>SG-wellco conquer-11/2023</v>
          </cell>
          <cell r="G5700" t="str">
            <v>Settled</v>
          </cell>
        </row>
        <row r="5701">
          <cell r="F5701" t="str">
            <v>SG-Welldone Company-11/2022</v>
          </cell>
          <cell r="G5701" t="str">
            <v>Settled</v>
          </cell>
        </row>
        <row r="5702">
          <cell r="F5702" t="str">
            <v>SG-Welldone Company-12/2022</v>
          </cell>
          <cell r="G5702" t="str">
            <v>Settled</v>
          </cell>
        </row>
        <row r="5703">
          <cell r="F5703" t="str">
            <v>SG-Welldone Company-01/2023</v>
          </cell>
          <cell r="G5703" t="str">
            <v>Settled</v>
          </cell>
        </row>
        <row r="5704">
          <cell r="F5704" t="str">
            <v>SG-WelldoneCo-02/2023</v>
          </cell>
          <cell r="G5704" t="str">
            <v>Settled</v>
          </cell>
        </row>
        <row r="5705">
          <cell r="F5705" t="str">
            <v>SG-WelldoneCo-03/2023</v>
          </cell>
          <cell r="G5705" t="str">
            <v>Settled</v>
          </cell>
        </row>
        <row r="5706">
          <cell r="F5706" t="str">
            <v>SG-WelldoneCo-04/2023</v>
          </cell>
          <cell r="G5706" t="str">
            <v>Settled</v>
          </cell>
        </row>
        <row r="5707">
          <cell r="F5707" t="str">
            <v>SG-WelldoneCo-05/2023</v>
          </cell>
          <cell r="G5707" t="str">
            <v>Settled</v>
          </cell>
        </row>
        <row r="5708">
          <cell r="F5708" t="str">
            <v>SG-WelldoneCo-06/2023</v>
          </cell>
          <cell r="G5708" t="str">
            <v>Settled</v>
          </cell>
        </row>
        <row r="5709">
          <cell r="F5709" t="str">
            <v>SG-WelldoneCo-07/2023</v>
          </cell>
          <cell r="G5709" t="str">
            <v>Settled</v>
          </cell>
        </row>
        <row r="5710">
          <cell r="F5710" t="str">
            <v>SG -WelldoneCo-08/2023</v>
          </cell>
          <cell r="G5710" t="str">
            <v>Settled</v>
          </cell>
        </row>
        <row r="5711">
          <cell r="F5711" t="str">
            <v>AU-Widoph Remit-02-2024</v>
          </cell>
          <cell r="G5711" t="str">
            <v>Settled</v>
          </cell>
        </row>
        <row r="5712">
          <cell r="F5712" t="str">
            <v>AU-Widoph Remit-03/2024</v>
          </cell>
          <cell r="G5712" t="str">
            <v>Settled</v>
          </cell>
        </row>
        <row r="5713">
          <cell r="F5713" t="str">
            <v>AU-AD-Widoph Remit-03-2024</v>
          </cell>
          <cell r="G5713" t="str">
            <v>Settled</v>
          </cell>
        </row>
        <row r="5714">
          <cell r="F5714" t="str">
            <v>AU-Widoph Remit-04/2024</v>
          </cell>
          <cell r="G5714" t="str">
            <v>Settled</v>
          </cell>
        </row>
        <row r="5715">
          <cell r="F5715" t="str">
            <v>AU-AD-Widoph Remit-04-2024</v>
          </cell>
          <cell r="G5715" t="str">
            <v>Settled</v>
          </cell>
        </row>
        <row r="5716">
          <cell r="F5716" t="str">
            <v>AU-AD-Widoph Remit-05-2024</v>
          </cell>
          <cell r="G5716" t="str">
            <v>Settled</v>
          </cell>
        </row>
        <row r="5717">
          <cell r="F5717" t="str">
            <v>AU-Widoph Remit-05/2024</v>
          </cell>
          <cell r="G5717" t="str">
            <v>Settled</v>
          </cell>
        </row>
        <row r="5718">
          <cell r="F5718" t="str">
            <v>AU-Widoph Remit-06/2024</v>
          </cell>
          <cell r="G5718" t="str">
            <v>Settled</v>
          </cell>
        </row>
        <row r="5719">
          <cell r="F5719" t="str">
            <v>AU-AD-Widoph Remit-06-2024</v>
          </cell>
          <cell r="G5719" t="str">
            <v>Settled</v>
          </cell>
        </row>
        <row r="5720">
          <cell r="F5720" t="str">
            <v>AU-AD-Widoph Remit-07-2024</v>
          </cell>
          <cell r="G5720" t="str">
            <v>Settled</v>
          </cell>
        </row>
        <row r="5721">
          <cell r="F5721" t="str">
            <v>AU-Widoph Remit-08/2024</v>
          </cell>
          <cell r="G5721" t="str">
            <v>Settled</v>
          </cell>
        </row>
        <row r="5722">
          <cell r="F5722" t="str">
            <v>AU-Widoph Remit-09/2024</v>
          </cell>
          <cell r="G5722" t="str">
            <v>Settled</v>
          </cell>
        </row>
        <row r="5723">
          <cell r="F5723" t="str">
            <v>AU-Widoph Remit-10/2024</v>
          </cell>
          <cell r="G5723" t="str">
            <v>Settled</v>
          </cell>
        </row>
        <row r="5724">
          <cell r="F5724" t="str">
            <v>AU-Widoph Remit-11/2024</v>
          </cell>
          <cell r="G5724" t="str">
            <v>Settled</v>
          </cell>
        </row>
        <row r="5725">
          <cell r="F5725" t="str">
            <v>AU-Widoph Remit-12/2024</v>
          </cell>
          <cell r="G5725" t="str">
            <v>Settled</v>
          </cell>
        </row>
        <row r="5726">
          <cell r="F5726" t="str">
            <v>AU-Widoph Remit-01/2025</v>
          </cell>
          <cell r="G5726" t="str">
            <v>Settled</v>
          </cell>
        </row>
        <row r="5727">
          <cell r="F5727" t="str">
            <v>AU-Widoph Remit-02/2025</v>
          </cell>
          <cell r="G5727" t="str">
            <v>Settled</v>
          </cell>
        </row>
        <row r="5728">
          <cell r="F5728" t="str">
            <v>AU-Widoph Remit-03/2025</v>
          </cell>
          <cell r="G5728" t="str">
            <v>Settled</v>
          </cell>
        </row>
        <row r="5729">
          <cell r="F5729" t="str">
            <v>AU-Widoph Remit-04/2025</v>
          </cell>
          <cell r="G5729" t="str">
            <v>Settled</v>
          </cell>
        </row>
        <row r="5730">
          <cell r="F5730" t="str">
            <v>AU-Widoph Remit-05/2025</v>
          </cell>
          <cell r="G5730" t="str">
            <v>Settled</v>
          </cell>
        </row>
        <row r="5731">
          <cell r="F5731" t="str">
            <v>AU-Widoph Remit-06/2025</v>
          </cell>
          <cell r="G5731" t="str">
            <v>Settled</v>
          </cell>
        </row>
        <row r="5732">
          <cell r="F5732" t="str">
            <v>AU-Widoph Remit-07/2025</v>
          </cell>
          <cell r="G5732" t="str">
            <v>Settled</v>
          </cell>
        </row>
        <row r="5733">
          <cell r="F5733" t="str">
            <v>AU-Widoph Remit-08/2025</v>
          </cell>
          <cell r="G5733" t="str">
            <v>Settled</v>
          </cell>
        </row>
        <row r="5734">
          <cell r="F5734" t="str">
            <v>AU-Widoph Remit-09/2025</v>
          </cell>
          <cell r="G5734" t="str">
            <v>Settled</v>
          </cell>
        </row>
        <row r="5735">
          <cell r="F5735" t="str">
            <v>AU-Widoph Remit-10/2025</v>
          </cell>
          <cell r="G5735" t="str">
            <v>Settled</v>
          </cell>
        </row>
        <row r="5736">
          <cell r="F5736" t="str">
            <v>AU-Widoph Remit-11/2025</v>
          </cell>
          <cell r="G5736" t="str">
            <v>Settled</v>
          </cell>
        </row>
        <row r="5737">
          <cell r="F5737" t="str">
            <v>AU-Widoph Remit-12/2025</v>
          </cell>
          <cell r="G5737" t="str">
            <v>Settled</v>
          </cell>
        </row>
        <row r="5738">
          <cell r="F5738" t="str">
            <v>AU-Widoph Remit-01/2026</v>
          </cell>
          <cell r="G5738" t="str">
            <v>Settled</v>
          </cell>
        </row>
        <row r="5739">
          <cell r="F5739" t="str">
            <v>SG-wing bank (cambodia) plc-12/2022</v>
          </cell>
          <cell r="G5739" t="str">
            <v>Settled</v>
          </cell>
        </row>
        <row r="5740">
          <cell r="F5740" t="str">
            <v>SG-wing bank (cambodia) plc-01/2023</v>
          </cell>
          <cell r="G5740" t="str">
            <v>Settled</v>
          </cell>
        </row>
        <row r="5741">
          <cell r="F5741" t="str">
            <v>SG-wing bank (cambodia) plc-CR-01/2023</v>
          </cell>
          <cell r="G5741" t="str">
            <v>Settled</v>
          </cell>
        </row>
        <row r="5742">
          <cell r="F5742" t="str">
            <v>SG-wingbank-02/2023</v>
          </cell>
          <cell r="G5742" t="str">
            <v>Settled</v>
          </cell>
        </row>
        <row r="5743">
          <cell r="F5743" t="str">
            <v>SG-wingbank-CR-02/2023</v>
          </cell>
          <cell r="G5743" t="str">
            <v>Settled</v>
          </cell>
        </row>
        <row r="5744">
          <cell r="F5744" t="str">
            <v>SG-wingbank-CR-03/2023</v>
          </cell>
          <cell r="G5744" t="str">
            <v>Reversed</v>
          </cell>
        </row>
        <row r="5745">
          <cell r="F5745" t="str">
            <v>SG-wingbank-03/2023</v>
          </cell>
          <cell r="G5745" t="str">
            <v>Settled</v>
          </cell>
        </row>
        <row r="5746">
          <cell r="F5746" t="str">
            <v>SG-wingbank-04/2023</v>
          </cell>
          <cell r="G5746" t="str">
            <v>Settled</v>
          </cell>
        </row>
        <row r="5747">
          <cell r="F5747" t="str">
            <v>SG-wingbank-05/2023</v>
          </cell>
          <cell r="G5747" t="str">
            <v>Settled</v>
          </cell>
        </row>
        <row r="5748">
          <cell r="F5748" t="str">
            <v>SG-wingbank-06/2023</v>
          </cell>
          <cell r="G5748" t="str">
            <v>Settled</v>
          </cell>
        </row>
        <row r="5749">
          <cell r="F5749" t="str">
            <v>SG-wingbank-07/2023</v>
          </cell>
          <cell r="G5749" t="str">
            <v>Settled</v>
          </cell>
        </row>
        <row r="5750">
          <cell r="F5750" t="str">
            <v>SG -wingbank-08/2023</v>
          </cell>
          <cell r="G5750" t="str">
            <v>Settled</v>
          </cell>
        </row>
        <row r="5751">
          <cell r="F5751" t="str">
            <v>SG-wingbank-09/2023</v>
          </cell>
          <cell r="G5751" t="str">
            <v>Settled</v>
          </cell>
        </row>
        <row r="5752">
          <cell r="F5752" t="str">
            <v>SG-wingbank-10/2023</v>
          </cell>
          <cell r="G5752" t="str">
            <v>Settled</v>
          </cell>
        </row>
        <row r="5753">
          <cell r="F5753" t="str">
            <v>SG-wingbank-11/2023</v>
          </cell>
          <cell r="G5753" t="str">
            <v>Settled</v>
          </cell>
        </row>
        <row r="5754">
          <cell r="F5754" t="str">
            <v>SG-wingbank-12/2023</v>
          </cell>
          <cell r="G5754" t="str">
            <v>Settled</v>
          </cell>
        </row>
        <row r="5755">
          <cell r="F5755" t="str">
            <v>SG-wingbank-01/2024</v>
          </cell>
          <cell r="G5755" t="str">
            <v>Settled</v>
          </cell>
        </row>
        <row r="5756">
          <cell r="F5756" t="str">
            <v>SG -wingbank-CR-12/2023</v>
          </cell>
          <cell r="G5756" t="str">
            <v>Settled</v>
          </cell>
        </row>
        <row r="5757">
          <cell r="F5757" t="str">
            <v>SG-wingbank-02/2024</v>
          </cell>
          <cell r="G5757" t="str">
            <v>Settled</v>
          </cell>
        </row>
        <row r="5758">
          <cell r="F5758" t="str">
            <v>SG-wingbank-03/2024</v>
          </cell>
          <cell r="G5758" t="str">
            <v>Settled</v>
          </cell>
        </row>
        <row r="5759">
          <cell r="F5759" t="str">
            <v>SG-wingbank-04/2024</v>
          </cell>
          <cell r="G5759" t="str">
            <v>Settled</v>
          </cell>
        </row>
        <row r="5760">
          <cell r="F5760" t="str">
            <v>SG-wingbank-05/2024</v>
          </cell>
          <cell r="G5760" t="str">
            <v>Settled</v>
          </cell>
        </row>
        <row r="5761">
          <cell r="F5761" t="str">
            <v>SG-wingbank-06/2024</v>
          </cell>
          <cell r="G5761" t="str">
            <v>Settled</v>
          </cell>
        </row>
        <row r="5762">
          <cell r="F5762" t="str">
            <v>SG-wingbank-CR-06/2024</v>
          </cell>
          <cell r="G5762" t="str">
            <v>Settled</v>
          </cell>
        </row>
        <row r="5763">
          <cell r="F5763" t="str">
            <v>SG-wingbank-07/2024</v>
          </cell>
          <cell r="G5763" t="str">
            <v>Settled</v>
          </cell>
        </row>
        <row r="5764">
          <cell r="F5764" t="str">
            <v>SG-wingbank-08/2024</v>
          </cell>
          <cell r="G5764" t="str">
            <v>Settled</v>
          </cell>
        </row>
        <row r="5765">
          <cell r="F5765" t="str">
            <v>SG-wingbank-09/2024</v>
          </cell>
          <cell r="G5765" t="str">
            <v>Settled</v>
          </cell>
        </row>
        <row r="5766">
          <cell r="F5766" t="str">
            <v>SG-wingbank-10/2024</v>
          </cell>
          <cell r="G5766" t="str">
            <v>Settled</v>
          </cell>
        </row>
        <row r="5767">
          <cell r="F5767" t="str">
            <v>SG-wingbank-11/2024</v>
          </cell>
          <cell r="G5767" t="str">
            <v>Settled</v>
          </cell>
        </row>
        <row r="5768">
          <cell r="F5768" t="str">
            <v>SG-wingbank-12/2024</v>
          </cell>
          <cell r="G5768" t="str">
            <v>Settled</v>
          </cell>
        </row>
        <row r="5769">
          <cell r="F5769" t="str">
            <v>SG-wingbank-01/2025</v>
          </cell>
          <cell r="G5769" t="str">
            <v>Settled</v>
          </cell>
        </row>
        <row r="5770">
          <cell r="F5770" t="str">
            <v>SG-wingbank-02/2025</v>
          </cell>
          <cell r="G5770" t="str">
            <v>Settled</v>
          </cell>
        </row>
        <row r="5771">
          <cell r="F5771" t="str">
            <v>SG-wingbank-03/2025</v>
          </cell>
          <cell r="G5771" t="str">
            <v>Settled</v>
          </cell>
        </row>
        <row r="5772">
          <cell r="F5772" t="str">
            <v>SG-wingbank-04/2025</v>
          </cell>
          <cell r="G5772" t="str">
            <v>Settled</v>
          </cell>
        </row>
        <row r="5773">
          <cell r="F5773" t="str">
            <v>SG-wingbank-05/2025</v>
          </cell>
          <cell r="G5773" t="str">
            <v>Settled</v>
          </cell>
        </row>
        <row r="5774">
          <cell r="F5774" t="str">
            <v>SG-wingbank-06/2025</v>
          </cell>
          <cell r="G5774" t="str">
            <v>Settled</v>
          </cell>
        </row>
        <row r="5775">
          <cell r="F5775" t="str">
            <v>SG-wingbank-07/2025</v>
          </cell>
          <cell r="G5775" t="str">
            <v>Settled</v>
          </cell>
        </row>
        <row r="5776">
          <cell r="F5776" t="str">
            <v>SG-wingbank-08/2025</v>
          </cell>
          <cell r="G5776" t="str">
            <v>Settled</v>
          </cell>
        </row>
        <row r="5777">
          <cell r="F5777" t="str">
            <v>SG-wingbank-09/2025</v>
          </cell>
          <cell r="G5777" t="str">
            <v>Settled</v>
          </cell>
        </row>
        <row r="5778">
          <cell r="F5778" t="str">
            <v>SG-wingbank-10/2025</v>
          </cell>
          <cell r="G5778" t="str">
            <v>Settled</v>
          </cell>
        </row>
        <row r="5779">
          <cell r="F5779" t="str">
            <v>SG-wingbank-11/2025</v>
          </cell>
          <cell r="G5779" t="str">
            <v>Settled</v>
          </cell>
        </row>
        <row r="5780">
          <cell r="F5780" t="str">
            <v>SG-wingbank-12/2025</v>
          </cell>
          <cell r="G5780" t="str">
            <v>Settled</v>
          </cell>
        </row>
        <row r="5781">
          <cell r="F5781" t="str">
            <v>SG-wingbank-01/2026</v>
          </cell>
          <cell r="G5781" t="str">
            <v>Settled</v>
          </cell>
        </row>
        <row r="5782">
          <cell r="F5782" t="str">
            <v>SG-wingbank-02/2026</v>
          </cell>
          <cell r="G5782" t="str">
            <v>Settled</v>
          </cell>
        </row>
        <row r="5783">
          <cell r="F5783" t="str">
            <v>AU-WOODEN-10/2024</v>
          </cell>
          <cell r="G5783" t="str">
            <v>Settled</v>
          </cell>
        </row>
        <row r="5784">
          <cell r="F5784" t="str">
            <v>SG-Workfall pte ltd-11/2022</v>
          </cell>
          <cell r="G5784" t="str">
            <v>Settled</v>
          </cell>
        </row>
        <row r="5785">
          <cell r="F5785" t="str">
            <v>SG-Workfall pte ltd-12/2022</v>
          </cell>
          <cell r="G5785" t="str">
            <v>Settled</v>
          </cell>
        </row>
        <row r="5786">
          <cell r="F5786" t="str">
            <v>SG-Workfall pte ltd-01/2023</v>
          </cell>
          <cell r="G5786" t="str">
            <v>Settled</v>
          </cell>
        </row>
        <row r="5787">
          <cell r="F5787" t="str">
            <v>SG-Workfall-02/2023</v>
          </cell>
          <cell r="G5787" t="str">
            <v>Settled</v>
          </cell>
        </row>
        <row r="5788">
          <cell r="F5788" t="str">
            <v>SG-Workfall-03/2023</v>
          </cell>
          <cell r="G5788" t="str">
            <v>Settled</v>
          </cell>
        </row>
        <row r="5789">
          <cell r="F5789" t="str">
            <v>SG-Workfall-04/2023</v>
          </cell>
          <cell r="G5789" t="str">
            <v>Settled</v>
          </cell>
        </row>
        <row r="5790">
          <cell r="F5790" t="str">
            <v>SG-Workfall-05/2023</v>
          </cell>
          <cell r="G5790" t="str">
            <v>Settled</v>
          </cell>
        </row>
        <row r="5791">
          <cell r="F5791" t="str">
            <v>SG-Workfall-06/2023</v>
          </cell>
          <cell r="G5791" t="str">
            <v>Settled</v>
          </cell>
        </row>
        <row r="5792">
          <cell r="F5792" t="str">
            <v>SG-Workfall-07/2023</v>
          </cell>
          <cell r="G5792" t="str">
            <v>Settled</v>
          </cell>
        </row>
        <row r="5793">
          <cell r="F5793" t="str">
            <v>SG -Workfall-CR-07/2023</v>
          </cell>
          <cell r="G5793" t="str">
            <v>Settled</v>
          </cell>
        </row>
        <row r="5794">
          <cell r="F5794" t="str">
            <v>SG -Workfall-08/2023</v>
          </cell>
          <cell r="G5794" t="str">
            <v>Settled</v>
          </cell>
        </row>
        <row r="5795">
          <cell r="F5795" t="str">
            <v>SG-Workfall-09/2023</v>
          </cell>
          <cell r="G5795" t="str">
            <v>Settled</v>
          </cell>
        </row>
        <row r="5796">
          <cell r="F5796" t="str">
            <v>SG-Workfall-10/2023</v>
          </cell>
          <cell r="G5796" t="str">
            <v>Settled</v>
          </cell>
        </row>
        <row r="5797">
          <cell r="F5797" t="str">
            <v>SG-Workfall-11/2023</v>
          </cell>
          <cell r="G5797" t="str">
            <v>Settled</v>
          </cell>
        </row>
        <row r="5798">
          <cell r="F5798" t="str">
            <v>HK-worldpay-11/2022</v>
          </cell>
          <cell r="G5798" t="str">
            <v>Settled</v>
          </cell>
        </row>
        <row r="5799">
          <cell r="F5799" t="str">
            <v>HK-worldpay-12/2022</v>
          </cell>
          <cell r="G5799" t="str">
            <v>Settled</v>
          </cell>
        </row>
        <row r="5800">
          <cell r="F5800" t="str">
            <v>HK-Worldpay-05/2023</v>
          </cell>
          <cell r="G5800" t="str">
            <v>Settled</v>
          </cell>
        </row>
        <row r="5801">
          <cell r="F5801" t="str">
            <v>HK-Worldpay-06/2023</v>
          </cell>
          <cell r="G5801" t="str">
            <v>Settled</v>
          </cell>
        </row>
        <row r="5802">
          <cell r="F5802" t="str">
            <v>HK-worldpay ap ltd-11/2022</v>
          </cell>
          <cell r="G5802" t="str">
            <v>Settled</v>
          </cell>
        </row>
        <row r="5803">
          <cell r="F5803" t="str">
            <v>HK-worldpay ap ltd-12/2022</v>
          </cell>
          <cell r="G5803" t="str">
            <v>Settled</v>
          </cell>
        </row>
        <row r="5804">
          <cell r="F5804" t="str">
            <v>HK-worldpay ap ltd-01/2023</v>
          </cell>
          <cell r="G5804" t="str">
            <v>Settled</v>
          </cell>
        </row>
        <row r="5805">
          <cell r="F5805" t="str">
            <v>HK-worldpay ap ltd-02/2023</v>
          </cell>
          <cell r="G5805" t="str">
            <v>Settled</v>
          </cell>
        </row>
        <row r="5806">
          <cell r="F5806" t="str">
            <v>HK-worldpay ap ltd-03/2023</v>
          </cell>
          <cell r="G5806" t="str">
            <v>Settled</v>
          </cell>
        </row>
        <row r="5807">
          <cell r="F5807" t="str">
            <v>HK-worldpayapltd-04/2023</v>
          </cell>
          <cell r="G5807" t="str">
            <v>Settled</v>
          </cell>
        </row>
        <row r="5808">
          <cell r="F5808" t="str">
            <v>HK-worldpayapltd-07/2023</v>
          </cell>
          <cell r="G5808" t="str">
            <v>Settled</v>
          </cell>
        </row>
        <row r="5809">
          <cell r="F5809" t="str">
            <v>HK -worldpayapltd-08/2023</v>
          </cell>
          <cell r="G5809" t="str">
            <v>Settled</v>
          </cell>
        </row>
        <row r="5810">
          <cell r="F5810" t="str">
            <v>HK-worldpayapltd-09/2023</v>
          </cell>
          <cell r="G5810" t="str">
            <v>Settled</v>
          </cell>
        </row>
        <row r="5811">
          <cell r="F5811" t="str">
            <v>HK-worldpayapltd-10/2023</v>
          </cell>
          <cell r="G5811" t="str">
            <v>Settled</v>
          </cell>
        </row>
        <row r="5812">
          <cell r="F5812" t="str">
            <v>HK-worldpayapltd-11/2023</v>
          </cell>
          <cell r="G5812" t="str">
            <v>Settled</v>
          </cell>
        </row>
        <row r="5813">
          <cell r="F5813" t="str">
            <v>HK-worldpayapltd-12/2023</v>
          </cell>
          <cell r="G5813" t="str">
            <v>Settled</v>
          </cell>
        </row>
        <row r="5814">
          <cell r="F5814" t="str">
            <v>HK-worldpayapltd-01/2024</v>
          </cell>
          <cell r="G5814" t="str">
            <v>Settled</v>
          </cell>
        </row>
        <row r="5815">
          <cell r="F5815" t="str">
            <v>HK-worldpayapltd-02/2024</v>
          </cell>
          <cell r="G5815" t="str">
            <v>Settled</v>
          </cell>
        </row>
        <row r="5816">
          <cell r="F5816" t="str">
            <v>HK-worldpayapltd-03/2024</v>
          </cell>
          <cell r="G5816" t="str">
            <v>Settled</v>
          </cell>
        </row>
        <row r="5817">
          <cell r="F5817" t="str">
            <v>HK-worldpayapltd-04/2024</v>
          </cell>
          <cell r="G5817" t="str">
            <v>Settled</v>
          </cell>
        </row>
        <row r="5818">
          <cell r="F5818" t="str">
            <v>HK-worldpayapltd-05/2024</v>
          </cell>
          <cell r="G5818" t="str">
            <v>Settled</v>
          </cell>
        </row>
        <row r="5819">
          <cell r="F5819" t="str">
            <v>HK-worldpayapltd-06/2024</v>
          </cell>
          <cell r="G5819" t="str">
            <v>Settled</v>
          </cell>
        </row>
        <row r="5820">
          <cell r="F5820" t="str">
            <v>HK-worldpayapltd-07/2024</v>
          </cell>
          <cell r="G5820" t="str">
            <v>Settled</v>
          </cell>
        </row>
        <row r="5821">
          <cell r="F5821" t="str">
            <v>HK-worldpayapltd-08/2024</v>
          </cell>
          <cell r="G5821" t="str">
            <v>Settled</v>
          </cell>
        </row>
        <row r="5822">
          <cell r="F5822" t="str">
            <v>HK-worldpayapltd-09/2024</v>
          </cell>
          <cell r="G5822" t="str">
            <v>Settled</v>
          </cell>
        </row>
        <row r="5823">
          <cell r="F5823" t="str">
            <v>HK-worldpayapltd-10/2024</v>
          </cell>
          <cell r="G5823" t="str">
            <v>Settled</v>
          </cell>
        </row>
        <row r="5824">
          <cell r="F5824" t="str">
            <v>HK-worldpayapltd-11/2024</v>
          </cell>
          <cell r="G5824" t="str">
            <v>Settled</v>
          </cell>
        </row>
        <row r="5825">
          <cell r="F5825" t="str">
            <v>HK-worldpayapltd-12/2024</v>
          </cell>
          <cell r="G5825" t="str">
            <v>Settled</v>
          </cell>
        </row>
        <row r="5826">
          <cell r="F5826" t="str">
            <v>HK-worldpayapltd-01/2025</v>
          </cell>
          <cell r="G5826" t="str">
            <v>Settled</v>
          </cell>
        </row>
        <row r="5827">
          <cell r="F5827" t="str">
            <v>HK-worldpayapltd-02/2025</v>
          </cell>
          <cell r="G5827" t="str">
            <v>Settled</v>
          </cell>
        </row>
        <row r="5828">
          <cell r="F5828" t="str">
            <v>HK-worldpayapltd-03/2025</v>
          </cell>
          <cell r="G5828" t="str">
            <v>Settled</v>
          </cell>
        </row>
        <row r="5829">
          <cell r="F5829" t="str">
            <v>HK-worldpayapltd-04/2025</v>
          </cell>
          <cell r="G5829" t="str">
            <v>Settled</v>
          </cell>
        </row>
        <row r="5830">
          <cell r="F5830" t="str">
            <v>HK-worldpayapltd-05/2025</v>
          </cell>
          <cell r="G5830" t="str">
            <v>Settled</v>
          </cell>
        </row>
        <row r="5831">
          <cell r="F5831" t="str">
            <v>HK-worldpayapltd-06/2025</v>
          </cell>
          <cell r="G5831" t="str">
            <v>Settled</v>
          </cell>
        </row>
        <row r="5832">
          <cell r="F5832" t="str">
            <v>HK-worldpayapltd-07/2025</v>
          </cell>
          <cell r="G5832" t="str">
            <v>Settled</v>
          </cell>
        </row>
        <row r="5833">
          <cell r="F5833" t="str">
            <v>HK-worldpayapltd-08/2025</v>
          </cell>
          <cell r="G5833" t="str">
            <v>Settled</v>
          </cell>
        </row>
        <row r="5834">
          <cell r="F5834" t="str">
            <v>HK-worldpayapltd-09/2025</v>
          </cell>
          <cell r="G5834" t="str">
            <v>Settled</v>
          </cell>
        </row>
        <row r="5835">
          <cell r="F5835" t="str">
            <v>HK-worldpayapltd-10/2025</v>
          </cell>
          <cell r="G5835" t="str">
            <v>Settled</v>
          </cell>
        </row>
        <row r="5836">
          <cell r="F5836" t="str">
            <v>HK-worldpayapltd-11/2025</v>
          </cell>
          <cell r="G5836" t="str">
            <v>Settled</v>
          </cell>
        </row>
        <row r="5837">
          <cell r="F5837" t="str">
            <v>HK-worldpayapltd-12/2025</v>
          </cell>
          <cell r="G5837" t="str">
            <v>Settled</v>
          </cell>
        </row>
        <row r="5838">
          <cell r="F5838" t="str">
            <v>SG-worldpayapltd-01/2026</v>
          </cell>
          <cell r="G5838" t="str">
            <v>Settled</v>
          </cell>
        </row>
        <row r="5839">
          <cell r="F5839" t="str">
            <v>SG-worldpayapltd-02/2026</v>
          </cell>
          <cell r="G5839" t="str">
            <v>Settled</v>
          </cell>
        </row>
        <row r="5840">
          <cell r="F5840" t="str">
            <v>US-AD-WORLDPAY-Verify-01-2025</v>
          </cell>
          <cell r="G5840" t="str">
            <v>Settled</v>
          </cell>
        </row>
        <row r="5841">
          <cell r="F5841" t="str">
            <v>CA -Rank Wyre-01/2024</v>
          </cell>
          <cell r="G5841" t="str">
            <v>Settled</v>
          </cell>
        </row>
        <row r="5842">
          <cell r="F5842" t="str">
            <v>CA-Rank Wyre-01/2024</v>
          </cell>
          <cell r="G5842" t="str">
            <v>Settled</v>
          </cell>
        </row>
        <row r="5843">
          <cell r="F5843" t="str">
            <v>CA-Rank Wyre-02/2024</v>
          </cell>
          <cell r="G5843" t="str">
            <v>Settled</v>
          </cell>
        </row>
        <row r="5844">
          <cell r="F5844" t="str">
            <v>CA-Rank Wyre-03/2024</v>
          </cell>
          <cell r="G5844" t="str">
            <v>Settled</v>
          </cell>
        </row>
        <row r="5845">
          <cell r="F5845" t="str">
            <v>CA-Rank Wyre-04/2024</v>
          </cell>
          <cell r="G5845" t="str">
            <v>Settled</v>
          </cell>
        </row>
        <row r="5846">
          <cell r="F5846" t="str">
            <v>CA-Rank Wyre-05/2024</v>
          </cell>
          <cell r="G5846" t="str">
            <v>Settled</v>
          </cell>
        </row>
        <row r="5847">
          <cell r="F5847" t="str">
            <v>CA-Rank Wyre-06/2024</v>
          </cell>
          <cell r="G5847" t="str">
            <v>Settled</v>
          </cell>
        </row>
        <row r="5848">
          <cell r="F5848" t="str">
            <v>CA-Rank Wyre-07/2024</v>
          </cell>
          <cell r="G5848" t="str">
            <v>Settled</v>
          </cell>
        </row>
        <row r="5849">
          <cell r="F5849" t="str">
            <v>CA-Rank Wyre-08/2024</v>
          </cell>
          <cell r="G5849" t="str">
            <v>Settled</v>
          </cell>
        </row>
        <row r="5850">
          <cell r="F5850" t="str">
            <v>CA-Rank Wyre-09/2024</v>
          </cell>
          <cell r="G5850" t="str">
            <v>Settled</v>
          </cell>
        </row>
        <row r="5851">
          <cell r="F5851" t="str">
            <v>CA-Rank Wyre-10/2024</v>
          </cell>
          <cell r="G5851" t="str">
            <v>Settled</v>
          </cell>
        </row>
        <row r="5852">
          <cell r="F5852" t="str">
            <v>CA-Rank Wyre-11/2024</v>
          </cell>
          <cell r="G5852" t="str">
            <v>Settled</v>
          </cell>
        </row>
        <row r="5853">
          <cell r="F5853" t="str">
            <v>CA-Rank Wyre-12/2024</v>
          </cell>
          <cell r="G5853" t="str">
            <v>Settled</v>
          </cell>
        </row>
        <row r="5854">
          <cell r="F5854" t="str">
            <v>CA-Rank Wyre-01/2025</v>
          </cell>
          <cell r="G5854" t="str">
            <v>Settled</v>
          </cell>
        </row>
        <row r="5855">
          <cell r="F5855" t="str">
            <v>CA-Rank Wyre-02/2025</v>
          </cell>
          <cell r="G5855" t="str">
            <v>Net Off</v>
          </cell>
        </row>
        <row r="5856">
          <cell r="F5856" t="str">
            <v>CA-CN-Rank Wyre-02-2025</v>
          </cell>
          <cell r="G5856" t="str">
            <v>Net Off</v>
          </cell>
        </row>
        <row r="5857">
          <cell r="F5857" t="str">
            <v>CA-Rank Wyre-03/2025</v>
          </cell>
          <cell r="G5857" t="str">
            <v>Net Off</v>
          </cell>
        </row>
        <row r="5858">
          <cell r="F5858" t="str">
            <v>CA-CN-Rank Wyre-03-2025</v>
          </cell>
          <cell r="G5858" t="str">
            <v>Net Off</v>
          </cell>
        </row>
        <row r="5859">
          <cell r="F5859" t="str">
            <v>CA-CN-Rank Wyre-04-2025</v>
          </cell>
          <cell r="G5859" t="str">
            <v>Settled</v>
          </cell>
        </row>
        <row r="5860">
          <cell r="F5860" t="str">
            <v>CA-Rank Wyre-04/2025</v>
          </cell>
          <cell r="G5860" t="str">
            <v>Settled</v>
          </cell>
        </row>
        <row r="5861">
          <cell r="F5861" t="str">
            <v>CA-Rank Wyre-05/2025</v>
          </cell>
          <cell r="G5861" t="str">
            <v>Settled</v>
          </cell>
        </row>
        <row r="5862">
          <cell r="F5862" t="str">
            <v>CA-Rank Wyre-06/2025</v>
          </cell>
          <cell r="G5862" t="str">
            <v>Settled</v>
          </cell>
        </row>
        <row r="5863">
          <cell r="F5863" t="str">
            <v>CA-Rank Wyre-07/2025</v>
          </cell>
          <cell r="G5863" t="str">
            <v>Settled</v>
          </cell>
        </row>
        <row r="5864">
          <cell r="F5864" t="str">
            <v>CA-Rank Wyre-08/2025</v>
          </cell>
          <cell r="G5864" t="str">
            <v>Settled</v>
          </cell>
        </row>
        <row r="5865">
          <cell r="F5865" t="str">
            <v>CA-Yala-09/2025</v>
          </cell>
          <cell r="G5865" t="str">
            <v>Settled</v>
          </cell>
        </row>
        <row r="5866">
          <cell r="F5866" t="str">
            <v>CA-Yala-10/2025</v>
          </cell>
          <cell r="G5866" t="str">
            <v>Settled</v>
          </cell>
        </row>
        <row r="5867">
          <cell r="F5867" t="str">
            <v>CA-Yala-11/2025</v>
          </cell>
          <cell r="G5867" t="str">
            <v>Settled</v>
          </cell>
        </row>
        <row r="5868">
          <cell r="F5868" t="str">
            <v>CA-Yala-12/2025</v>
          </cell>
          <cell r="G5868" t="str">
            <v>Settled</v>
          </cell>
        </row>
        <row r="5869">
          <cell r="F5869" t="str">
            <v>CA-Yala-01/2026</v>
          </cell>
          <cell r="G5869" t="str">
            <v>Settled</v>
          </cell>
        </row>
        <row r="5870">
          <cell r="F5870" t="str">
            <v>CA-CN-Yala-01-2026</v>
          </cell>
          <cell r="G5870" t="str">
            <v>Settled</v>
          </cell>
        </row>
        <row r="5871">
          <cell r="F5871" t="str">
            <v>CA-Yala-02/2026</v>
          </cell>
          <cell r="G5871" t="str">
            <v>Settled</v>
          </cell>
        </row>
        <row r="5872">
          <cell r="F5872" t="str">
            <v>SG-YO-KAI EXPRESS INC-03/2023</v>
          </cell>
          <cell r="G5872" t="str">
            <v>Write Off</v>
          </cell>
        </row>
        <row r="5873">
          <cell r="F5873" t="str">
            <v>SG-you technologies-09/2022</v>
          </cell>
          <cell r="G5873" t="str">
            <v>Settled</v>
          </cell>
        </row>
        <row r="5874">
          <cell r="F5874" t="str">
            <v>SG-you technologies group (singapore) pte. ltd-11/2022</v>
          </cell>
          <cell r="G5874" t="str">
            <v>Settled</v>
          </cell>
        </row>
        <row r="5875">
          <cell r="F5875" t="str">
            <v>SG-you technologies group (singapore) pte. ltd-12/2022</v>
          </cell>
          <cell r="G5875" t="str">
            <v>Settled</v>
          </cell>
        </row>
        <row r="5876">
          <cell r="F5876" t="str">
            <v>SG-you technologies group (singapore) pte. ltd-01/2023</v>
          </cell>
          <cell r="G5876" t="str">
            <v>Settled</v>
          </cell>
        </row>
        <row r="5877">
          <cell r="F5877" t="str">
            <v>SG-youtech-02/2023</v>
          </cell>
          <cell r="G5877" t="str">
            <v>Settled</v>
          </cell>
        </row>
        <row r="5878">
          <cell r="F5878" t="str">
            <v>SG-youtech-03/2023</v>
          </cell>
          <cell r="G5878" t="str">
            <v>Settled</v>
          </cell>
        </row>
        <row r="5879">
          <cell r="F5879" t="str">
            <v>SG-youtech-04/2023</v>
          </cell>
          <cell r="G5879" t="str">
            <v>Settled</v>
          </cell>
        </row>
        <row r="5880">
          <cell r="F5880" t="str">
            <v>SG-youtech-05/2023</v>
          </cell>
          <cell r="G5880" t="str">
            <v>Settled</v>
          </cell>
        </row>
        <row r="5881">
          <cell r="F5881" t="str">
            <v>SG-youtech-06/2023</v>
          </cell>
          <cell r="G5881" t="str">
            <v>Settled</v>
          </cell>
        </row>
        <row r="5882">
          <cell r="F5882" t="str">
            <v>SG-youtech-07/2023</v>
          </cell>
          <cell r="G5882" t="str">
            <v>Settled</v>
          </cell>
        </row>
        <row r="5883">
          <cell r="F5883" t="str">
            <v>SG -youtech-08/2023</v>
          </cell>
          <cell r="G5883" t="str">
            <v>Settled</v>
          </cell>
        </row>
        <row r="5884">
          <cell r="F5884" t="str">
            <v>SG-youtech-09/2023</v>
          </cell>
          <cell r="G5884" t="str">
            <v>Settled</v>
          </cell>
        </row>
        <row r="5885">
          <cell r="F5885" t="str">
            <v>SG-youtech-10/2023</v>
          </cell>
          <cell r="G5885" t="str">
            <v>Settled</v>
          </cell>
        </row>
        <row r="5886">
          <cell r="F5886" t="str">
            <v>SG-youtech-11/2023</v>
          </cell>
          <cell r="G5886" t="str">
            <v>Settled</v>
          </cell>
        </row>
        <row r="5887">
          <cell r="F5887" t="str">
            <v>SG-youtech-12/2023</v>
          </cell>
          <cell r="G5887" t="str">
            <v>Settled</v>
          </cell>
        </row>
        <row r="5888">
          <cell r="F5888" t="str">
            <v>SG-youtech-01/2024</v>
          </cell>
          <cell r="G5888" t="str">
            <v>Settled</v>
          </cell>
        </row>
        <row r="5889">
          <cell r="F5889" t="str">
            <v>SG-youtech-02/2024</v>
          </cell>
          <cell r="G5889" t="str">
            <v>Settled</v>
          </cell>
        </row>
        <row r="5890">
          <cell r="F5890" t="str">
            <v>SG-youtech-03/2024</v>
          </cell>
          <cell r="G5890" t="str">
            <v>Settled</v>
          </cell>
        </row>
        <row r="5891">
          <cell r="F5891" t="str">
            <v>SG-youtech-04/2024</v>
          </cell>
          <cell r="G5891" t="str">
            <v>Settled</v>
          </cell>
        </row>
        <row r="5892">
          <cell r="F5892" t="str">
            <v>SG-youtech-05/2024</v>
          </cell>
          <cell r="G5892" t="str">
            <v>Settled</v>
          </cell>
        </row>
        <row r="5893">
          <cell r="F5893" t="str">
            <v>SG-youtech-06/2024</v>
          </cell>
          <cell r="G5893" t="str">
            <v>Settled</v>
          </cell>
        </row>
        <row r="5894">
          <cell r="F5894" t="str">
            <v>SG-youtech-07/2024</v>
          </cell>
          <cell r="G5894" t="str">
            <v>Settled</v>
          </cell>
        </row>
        <row r="5895">
          <cell r="F5895" t="str">
            <v>SG-youtech-08/2024</v>
          </cell>
          <cell r="G5895" t="str">
            <v>Settled</v>
          </cell>
        </row>
        <row r="5896">
          <cell r="F5896" t="str">
            <v>SG-youtech-09/2024</v>
          </cell>
          <cell r="G5896" t="str">
            <v>Settled</v>
          </cell>
        </row>
        <row r="5897">
          <cell r="F5897" t="str">
            <v>SG-youtech-10/2024</v>
          </cell>
          <cell r="G5897" t="str">
            <v>Settled</v>
          </cell>
        </row>
        <row r="5898">
          <cell r="F5898" t="str">
            <v>SG-youtech-11/2024</v>
          </cell>
          <cell r="G5898" t="str">
            <v>Settled</v>
          </cell>
        </row>
        <row r="5899">
          <cell r="F5899" t="str">
            <v>SG-youtech-12/2024</v>
          </cell>
          <cell r="G5899" t="str">
            <v>Settled</v>
          </cell>
        </row>
        <row r="5900">
          <cell r="F5900" t="str">
            <v>SG-youtech-01/2025</v>
          </cell>
          <cell r="G5900" t="str">
            <v>Settled</v>
          </cell>
        </row>
        <row r="5901">
          <cell r="F5901" t="str">
            <v>SG-youtech-03/2025</v>
          </cell>
          <cell r="G5901" t="str">
            <v>Settled</v>
          </cell>
        </row>
        <row r="5902">
          <cell r="F5902" t="str">
            <v>SG-youtech-04/2025</v>
          </cell>
          <cell r="G5902" t="str">
            <v>Settled</v>
          </cell>
        </row>
        <row r="5903">
          <cell r="F5903" t="str">
            <v>SG-youtech-05/2025</v>
          </cell>
          <cell r="G5903" t="str">
            <v>Settled</v>
          </cell>
        </row>
        <row r="5904">
          <cell r="F5904" t="str">
            <v>SG-youtech-06/2025</v>
          </cell>
          <cell r="G5904" t="str">
            <v>Settled</v>
          </cell>
        </row>
        <row r="5905">
          <cell r="F5905" t="str">
            <v>SG-youtech-07/2025</v>
          </cell>
          <cell r="G5905" t="str">
            <v>Settled</v>
          </cell>
        </row>
        <row r="5906">
          <cell r="F5906" t="str">
            <v>SG-youtech-08/2025</v>
          </cell>
          <cell r="G5906" t="str">
            <v>Settled</v>
          </cell>
        </row>
        <row r="5907">
          <cell r="F5907" t="str">
            <v>SG-youtech-09/2025</v>
          </cell>
          <cell r="G5907" t="str">
            <v>Settled</v>
          </cell>
        </row>
        <row r="5908">
          <cell r="F5908" t="str">
            <v>SG-youtech-10/2025</v>
          </cell>
          <cell r="G5908" t="str">
            <v>Settled</v>
          </cell>
        </row>
        <row r="5909">
          <cell r="F5909" t="str">
            <v>SG-youtech-11/2025</v>
          </cell>
          <cell r="G5909" t="str">
            <v>Settled</v>
          </cell>
        </row>
        <row r="5910">
          <cell r="F5910" t="str">
            <v>SG-youtech-12/2025</v>
          </cell>
          <cell r="G5910" t="str">
            <v>Settled</v>
          </cell>
        </row>
        <row r="5911">
          <cell r="F5911" t="str">
            <v>SG-youtech-01/2026</v>
          </cell>
          <cell r="G5911" t="str">
            <v>Settled</v>
          </cell>
        </row>
        <row r="5912">
          <cell r="F5912" t="str">
            <v>SG-youtech-02/2026</v>
          </cell>
          <cell r="G5912" t="str">
            <v>Settled</v>
          </cell>
        </row>
        <row r="5913">
          <cell r="F5913" t="str">
            <v>SG-youtech-02/2025</v>
          </cell>
          <cell r="G5913" t="str">
            <v>Settled</v>
          </cell>
        </row>
        <row r="5914">
          <cell r="F5914" t="str">
            <v>US-youtech-Verify-03/2025</v>
          </cell>
          <cell r="G5914" t="str">
            <v>Settled</v>
          </cell>
        </row>
        <row r="5915">
          <cell r="F5915" t="str">
            <v>US-youtech-Verify-04/2025</v>
          </cell>
          <cell r="G5915" t="str">
            <v>Settled</v>
          </cell>
        </row>
        <row r="5916">
          <cell r="F5916" t="str">
            <v>US-youtech-Verify-05/2025</v>
          </cell>
          <cell r="G5916" t="str">
            <v>Settled</v>
          </cell>
        </row>
        <row r="5917">
          <cell r="F5917" t="str">
            <v>US-youtech-Verify-06/2025</v>
          </cell>
          <cell r="G5917" t="str">
            <v>Settled</v>
          </cell>
        </row>
        <row r="5918">
          <cell r="F5918" t="str">
            <v>US-youtech-Verify-07/2025</v>
          </cell>
          <cell r="G5918" t="str">
            <v>Settled</v>
          </cell>
        </row>
        <row r="5919">
          <cell r="F5919" t="str">
            <v>US-youtech-Verify-08/2025</v>
          </cell>
          <cell r="G5919" t="str">
            <v>Settled</v>
          </cell>
        </row>
        <row r="5920">
          <cell r="F5920" t="str">
            <v>US-youtech-Verify-09/2025</v>
          </cell>
          <cell r="G5920" t="str">
            <v>Settled</v>
          </cell>
        </row>
        <row r="5921">
          <cell r="F5921" t="str">
            <v>US-youtech-Verify-10/2025</v>
          </cell>
          <cell r="G5921" t="str">
            <v>Settled</v>
          </cell>
        </row>
        <row r="5922">
          <cell r="F5922" t="str">
            <v>US-youtech-Verify-11/2025</v>
          </cell>
          <cell r="G5922" t="str">
            <v>Settled</v>
          </cell>
        </row>
        <row r="5923">
          <cell r="F5923" t="str">
            <v>US-youtech-Verify-12/2025</v>
          </cell>
          <cell r="G5923" t="str">
            <v>Settled</v>
          </cell>
        </row>
        <row r="5924">
          <cell r="F5924" t="str">
            <v>US-youtech-Verify-01/2026</v>
          </cell>
          <cell r="G5924" t="str">
            <v>Settled</v>
          </cell>
        </row>
        <row r="5925">
          <cell r="F5925" t="str">
            <v>US-youtech-Verify-02/2026</v>
          </cell>
          <cell r="G5925" t="str">
            <v>Settled</v>
          </cell>
        </row>
        <row r="5926">
          <cell r="F5926" t="str">
            <v>US-youtech-Verify-02/2025</v>
          </cell>
          <cell r="G5926" t="str">
            <v>Settled</v>
          </cell>
        </row>
        <row r="5927">
          <cell r="F5927" t="str">
            <v>CA -youworld-04/2022</v>
          </cell>
          <cell r="G5927" t="str">
            <v>Settled</v>
          </cell>
        </row>
        <row r="5928">
          <cell r="F5928" t="str">
            <v>HK-zen eservices pte ltd-11/2022</v>
          </cell>
          <cell r="G5928" t="str">
            <v>Settled</v>
          </cell>
        </row>
        <row r="5929">
          <cell r="F5929" t="str">
            <v>SG-Zenus-10/2022</v>
          </cell>
          <cell r="G5929" t="str">
            <v>Settled</v>
          </cell>
        </row>
        <row r="5930">
          <cell r="F5930" t="str">
            <v>SG-Zenus bank international, inc-11/2022</v>
          </cell>
          <cell r="G5930" t="str">
            <v>Settled</v>
          </cell>
        </row>
        <row r="5931">
          <cell r="F5931" t="str">
            <v>SG-Zenus bank international, inc-12/2022</v>
          </cell>
          <cell r="G5931" t="str">
            <v>Settled</v>
          </cell>
        </row>
        <row r="5932">
          <cell r="F5932" t="str">
            <v>SG-Zenus bank international, inc-01/2023</v>
          </cell>
          <cell r="G5932" t="str">
            <v>Settled</v>
          </cell>
        </row>
        <row r="5933">
          <cell r="F5933" t="str">
            <v>SG-Zenusbank-02/2023</v>
          </cell>
          <cell r="G5933" t="str">
            <v>Settled</v>
          </cell>
        </row>
        <row r="5934">
          <cell r="F5934" t="str">
            <v>SG-Zenusbank-03/2023</v>
          </cell>
          <cell r="G5934" t="str">
            <v>Settled</v>
          </cell>
        </row>
        <row r="5935">
          <cell r="F5935" t="str">
            <v>SG-Zenusbank-04/2023</v>
          </cell>
          <cell r="G5935" t="str">
            <v>Settled</v>
          </cell>
        </row>
        <row r="5936">
          <cell r="F5936" t="str">
            <v>SG-Zenusbank-05/2023</v>
          </cell>
          <cell r="G5936" t="str">
            <v>Settled</v>
          </cell>
        </row>
        <row r="5937">
          <cell r="F5937" t="str">
            <v>SG-Zenusbank-06/2023</v>
          </cell>
          <cell r="G5937" t="str">
            <v>Settled</v>
          </cell>
        </row>
        <row r="5938">
          <cell r="F5938" t="str">
            <v>SG-Zenusbank-07/2023</v>
          </cell>
          <cell r="G5938" t="str">
            <v>Settled</v>
          </cell>
        </row>
        <row r="5939">
          <cell r="F5939" t="str">
            <v>SG-Zenusbank-10/2023</v>
          </cell>
          <cell r="G5939" t="str">
            <v>Settled</v>
          </cell>
        </row>
        <row r="5940">
          <cell r="F5940" t="str">
            <v>SG-Zenusbank-11/2023</v>
          </cell>
          <cell r="G5940" t="str">
            <v>Settled</v>
          </cell>
        </row>
        <row r="5941">
          <cell r="F5941" t="str">
            <v>SG-Zenusbank-06/2024</v>
          </cell>
          <cell r="G5941" t="str">
            <v>Settled</v>
          </cell>
        </row>
        <row r="5942">
          <cell r="F5942" t="str">
            <v>SG-Zenusbank-07/2024</v>
          </cell>
          <cell r="G5942" t="str">
            <v>Settled</v>
          </cell>
        </row>
        <row r="5943">
          <cell r="F5943" t="str">
            <v>SG-Zenusbank-08/2024</v>
          </cell>
          <cell r="G5943" t="str">
            <v>Settled</v>
          </cell>
        </row>
        <row r="5944">
          <cell r="F5944" t="str">
            <v>SG-Zenusbank-09/2024</v>
          </cell>
          <cell r="G5944" t="str">
            <v>Settled</v>
          </cell>
        </row>
        <row r="5945">
          <cell r="F5945" t="str">
            <v>SG-Zenusbank-10/2024</v>
          </cell>
          <cell r="G5945" t="str">
            <v>Settled</v>
          </cell>
        </row>
        <row r="5946">
          <cell r="F5946" t="str">
            <v>SG-Zenusbank-11/2024</v>
          </cell>
          <cell r="G5946" t="str">
            <v>Settled</v>
          </cell>
        </row>
        <row r="5947">
          <cell r="F5947" t="str">
            <v>SG-Zenusbank-12/2024</v>
          </cell>
          <cell r="G5947" t="str">
            <v>Settled</v>
          </cell>
        </row>
        <row r="5948">
          <cell r="F5948" t="str">
            <v>SG-Zenusbank-01/2025</v>
          </cell>
          <cell r="G5948" t="str">
            <v>Settled</v>
          </cell>
        </row>
        <row r="5949">
          <cell r="F5949" t="str">
            <v>SG-Zenusbank-02/2025</v>
          </cell>
          <cell r="G5949" t="str">
            <v>Settled</v>
          </cell>
        </row>
        <row r="5950">
          <cell r="F5950" t="str">
            <v>SG-Zenusbank-03/2025</v>
          </cell>
          <cell r="G5950" t="str">
            <v>Settled</v>
          </cell>
        </row>
        <row r="5951">
          <cell r="F5951" t="str">
            <v>SG-Zenusbank-04/2025</v>
          </cell>
          <cell r="G5951" t="str">
            <v>Settled</v>
          </cell>
        </row>
        <row r="5952">
          <cell r="F5952" t="str">
            <v>SG-Zenusbank-05/2025</v>
          </cell>
          <cell r="G5952" t="str">
            <v>Settled</v>
          </cell>
        </row>
        <row r="5953">
          <cell r="F5953" t="str">
            <v>SG-Zenusbank-06/2025</v>
          </cell>
          <cell r="G5953" t="str">
            <v>Settled</v>
          </cell>
        </row>
        <row r="5954">
          <cell r="F5954" t="str">
            <v>SG-Zenusbank-10/2025</v>
          </cell>
          <cell r="G5954" t="str">
            <v>Settled</v>
          </cell>
        </row>
        <row r="5955">
          <cell r="F5955" t="str">
            <v>SG-Zenusbank-11/2025</v>
          </cell>
          <cell r="G5955" t="str">
            <v>Settled</v>
          </cell>
        </row>
        <row r="5956">
          <cell r="F5956" t="str">
            <v>SG-Zenusbank-12/2025</v>
          </cell>
          <cell r="G5956" t="str">
            <v>Settled</v>
          </cell>
        </row>
        <row r="5957">
          <cell r="F5957" t="str">
            <v>SG-Zenusbank-01/2026</v>
          </cell>
          <cell r="G5957" t="str">
            <v>Settled</v>
          </cell>
        </row>
        <row r="5958">
          <cell r="F5958" t="str">
            <v>SG-Zenusbank-02/2026</v>
          </cell>
          <cell r="G5958" t="str">
            <v>Settled</v>
          </cell>
        </row>
        <row r="5959">
          <cell r="F5959" t="str">
            <v>SG -Zenusbank-08/2023</v>
          </cell>
          <cell r="G5959" t="str">
            <v>Settled</v>
          </cell>
        </row>
        <row r="5960">
          <cell r="F5960" t="str">
            <v>SG-Zenusbank-09/2023</v>
          </cell>
          <cell r="G5960" t="str">
            <v>Settled</v>
          </cell>
        </row>
        <row r="5961">
          <cell r="F5961" t="str">
            <v>SG-Zenusbank-12/2023</v>
          </cell>
          <cell r="G5961" t="str">
            <v>Settled</v>
          </cell>
        </row>
        <row r="5962">
          <cell r="F5962" t="str">
            <v>SG-Zenusbank-01/2024</v>
          </cell>
          <cell r="G5962" t="str">
            <v>Settled</v>
          </cell>
        </row>
        <row r="5963">
          <cell r="F5963" t="str">
            <v>SG-Zenusbank-02/2024</v>
          </cell>
          <cell r="G5963" t="str">
            <v>Settled</v>
          </cell>
        </row>
        <row r="5964">
          <cell r="F5964" t="str">
            <v>SG-Zenusbank-03/2024</v>
          </cell>
          <cell r="G5964" t="str">
            <v>Settled</v>
          </cell>
        </row>
        <row r="5965">
          <cell r="F5965" t="str">
            <v>SG-Zenusbank-04/2024</v>
          </cell>
          <cell r="G5965" t="str">
            <v>Settled</v>
          </cell>
        </row>
        <row r="5966">
          <cell r="F5966" t="str">
            <v>SG-Zenusbank-05/2024</v>
          </cell>
          <cell r="G5966" t="str">
            <v>Settled</v>
          </cell>
        </row>
        <row r="5967">
          <cell r="F5967" t="str">
            <v>SG-Zenusbank-07/2025</v>
          </cell>
          <cell r="G5967" t="str">
            <v>Settled</v>
          </cell>
        </row>
        <row r="5968">
          <cell r="F5968" t="str">
            <v>SG-Zenusbank-08/2025</v>
          </cell>
          <cell r="G5968" t="str">
            <v>Settled</v>
          </cell>
        </row>
        <row r="5969">
          <cell r="F5969" t="str">
            <v>SG-Zenusbank-09/2025</v>
          </cell>
          <cell r="G5969" t="str">
            <v>Settled</v>
          </cell>
        </row>
        <row r="5970">
          <cell r="F5970" t="str">
            <v>SG-ZUZUHOSP-02/2024</v>
          </cell>
          <cell r="G5970" t="str">
            <v>Settled</v>
          </cell>
        </row>
        <row r="5971">
          <cell r="F5971" t="str">
            <v>SG -ZUZU HOSPITALITY SOLUTIONS PTE. LTD.-12/2021</v>
          </cell>
          <cell r="G5971" t="str">
            <v>Settled</v>
          </cell>
        </row>
        <row r="5972">
          <cell r="F5972" t="str">
            <v>SG -ZUZU HOSPITALITY SOLUTIONS PTE. LTD.-04/2022</v>
          </cell>
          <cell r="G5972" t="str">
            <v>Reversed</v>
          </cell>
        </row>
        <row r="5973">
          <cell r="F5973" t="str">
            <v>SG -ZUZU HOSPITALITY SOLUTIONS PTE. LTD.-05/2022</v>
          </cell>
          <cell r="G5973" t="str">
            <v>Reversed</v>
          </cell>
        </row>
        <row r="5974">
          <cell r="F5974" t="str">
            <v>SG-ZUZU HOSPITALITY SOLUTIONS PTE. LTD.-11/2022</v>
          </cell>
          <cell r="G5974" t="str">
            <v>Settled</v>
          </cell>
        </row>
        <row r="5975">
          <cell r="F5975" t="str">
            <v>SG-ZUZU HOSPITALITY SOLUTIONS PTE. LTD.-12/2022</v>
          </cell>
          <cell r="G5975" t="str">
            <v>Settled</v>
          </cell>
        </row>
        <row r="5976">
          <cell r="F5976" t="str">
            <v>SG-ZUZU HOSPITALITY SOLUTIONS PTE. LTD.-01/2023</v>
          </cell>
          <cell r="G5976" t="str">
            <v>Settled</v>
          </cell>
        </row>
        <row r="5977">
          <cell r="F5977" t="str">
            <v>SG-ZUZUHOSP-02/2023</v>
          </cell>
          <cell r="G5977" t="str">
            <v>Settled</v>
          </cell>
        </row>
        <row r="5978">
          <cell r="F5978" t="str">
            <v>SG-ZUZUHOSP-03/2023</v>
          </cell>
          <cell r="G5978" t="str">
            <v>Settled</v>
          </cell>
        </row>
        <row r="5979">
          <cell r="F5979" t="str">
            <v>SG-ZUZUHOSP-04/2023</v>
          </cell>
          <cell r="G5979" t="str">
            <v>Settled</v>
          </cell>
        </row>
        <row r="5980">
          <cell r="F5980" t="str">
            <v>SG-ZUZUHOSP-05/2023</v>
          </cell>
          <cell r="G5980" t="str">
            <v>Settled</v>
          </cell>
        </row>
        <row r="5981">
          <cell r="F5981" t="str">
            <v>SG-ZUZUHOSP-06/2023</v>
          </cell>
          <cell r="G5981" t="str">
            <v>Settled</v>
          </cell>
        </row>
        <row r="5982">
          <cell r="F5982" t="str">
            <v>SG-ZUZUHOSP-07/2023</v>
          </cell>
          <cell r="G5982" t="str">
            <v>Settled</v>
          </cell>
        </row>
        <row r="5983">
          <cell r="F5983" t="str">
            <v>SG -ZUZUHOSP-08/2023</v>
          </cell>
          <cell r="G5983" t="str">
            <v>Settled</v>
          </cell>
        </row>
        <row r="5984">
          <cell r="F5984" t="str">
            <v>SG-ZUZUHOSP-09/2023</v>
          </cell>
          <cell r="G5984" t="str">
            <v>Settled</v>
          </cell>
        </row>
        <row r="5985">
          <cell r="F5985" t="str">
            <v>SG-ZUZUHOSP-10/2023</v>
          </cell>
          <cell r="G5985" t="str">
            <v>Settled</v>
          </cell>
        </row>
        <row r="5986">
          <cell r="F5986" t="str">
            <v>SG-ZUZUHOSP-11/2023</v>
          </cell>
          <cell r="G5986" t="str">
            <v>Settled</v>
          </cell>
        </row>
        <row r="5987">
          <cell r="F5987" t="str">
            <v>SG-ZUZUHOSP-12/2023</v>
          </cell>
          <cell r="G5987" t="str">
            <v>Settled</v>
          </cell>
        </row>
        <row r="5988">
          <cell r="F5988" t="str">
            <v>SG-ZUZUHOSP-01/2024</v>
          </cell>
          <cell r="G5988" t="str">
            <v>Settled</v>
          </cell>
        </row>
        <row r="5989">
          <cell r="F5989" t="str">
            <v>SG-ZUZUHOSP-05/2024</v>
          </cell>
          <cell r="G5989" t="str">
            <v>Settled</v>
          </cell>
        </row>
        <row r="5990">
          <cell r="F5990" t="str">
            <v>SG-CN-ZUZUHOSP-05-2024</v>
          </cell>
          <cell r="G5990" t="str">
            <v>Settled</v>
          </cell>
        </row>
        <row r="5991">
          <cell r="F5991" t="str">
            <v>INV-041223170518</v>
          </cell>
          <cell r="G5991" t="str">
            <v>Paid</v>
          </cell>
        </row>
        <row r="5992">
          <cell r="F5992" t="str">
            <v>INV-051023164954</v>
          </cell>
          <cell r="G5992" t="str">
            <v>Paid</v>
          </cell>
        </row>
        <row r="5993">
          <cell r="F5993" t="str">
            <v>CR-INV-051023164954</v>
          </cell>
          <cell r="G5993" t="str">
            <v>Paid</v>
          </cell>
        </row>
        <row r="5994">
          <cell r="F5994" t="str">
            <v>INV-080124151923</v>
          </cell>
          <cell r="G5994" t="str">
            <v>Paid</v>
          </cell>
        </row>
        <row r="5995">
          <cell r="F5995" t="str">
            <v>INV-050224160009</v>
          </cell>
          <cell r="G5995" t="str">
            <v>Paid</v>
          </cell>
        </row>
        <row r="5996">
          <cell r="F5996" t="str">
            <v>INV-061123152230</v>
          </cell>
          <cell r="G5996" t="str">
            <v>Paid</v>
          </cell>
        </row>
        <row r="5997">
          <cell r="F5997" t="str">
            <v>INV-050324152449</v>
          </cell>
          <cell r="G5997" t="str">
            <v>Paid</v>
          </cell>
        </row>
        <row r="5998">
          <cell r="F5998" t="str">
            <v>INV-030524165414</v>
          </cell>
          <cell r="G5998" t="str">
            <v>Paid</v>
          </cell>
        </row>
        <row r="5999">
          <cell r="F5999" t="str">
            <v>INV-031224163745</v>
          </cell>
          <cell r="G5999" t="str">
            <v>Paid</v>
          </cell>
        </row>
        <row r="6000">
          <cell r="F6000" t="str">
            <v>INV-040424133733</v>
          </cell>
          <cell r="G6000" t="str">
            <v>Paid</v>
          </cell>
        </row>
        <row r="6001">
          <cell r="F6001" t="str">
            <v>INV-040624121018</v>
          </cell>
          <cell r="G6001" t="str">
            <v>Paid</v>
          </cell>
        </row>
        <row r="6002">
          <cell r="F6002" t="str">
            <v>INV-040724122447</v>
          </cell>
          <cell r="G6002" t="str">
            <v>Paid</v>
          </cell>
        </row>
        <row r="6003">
          <cell r="F6003" t="str">
            <v>INV-040924132729</v>
          </cell>
          <cell r="G6003" t="str">
            <v>Paid</v>
          </cell>
        </row>
        <row r="6004">
          <cell r="F6004" t="str">
            <v>INV-041024184817</v>
          </cell>
          <cell r="G6004" t="str">
            <v>Paid</v>
          </cell>
        </row>
        <row r="6005">
          <cell r="F6005" t="str">
            <v>INV-030824120101</v>
          </cell>
          <cell r="G6005" t="str">
            <v>Paid</v>
          </cell>
        </row>
        <row r="6006">
          <cell r="F6006" t="str">
            <v>INV-061124111111</v>
          </cell>
          <cell r="G6006" t="str">
            <v>Paid</v>
          </cell>
        </row>
        <row r="6007">
          <cell r="F6007" t="str">
            <v>INV-060125105439</v>
          </cell>
          <cell r="G6007" t="str">
            <v>Paid</v>
          </cell>
        </row>
        <row r="6008">
          <cell r="F6008" t="str">
            <v>INV-040225151042</v>
          </cell>
          <cell r="G6008" t="str">
            <v>Paid</v>
          </cell>
        </row>
        <row r="6009">
          <cell r="F6009" t="str">
            <v>INV-040325152157</v>
          </cell>
          <cell r="G6009" t="str">
            <v>Paid</v>
          </cell>
        </row>
        <row r="6010">
          <cell r="F6010" t="str">
            <v>INV-020425155700</v>
          </cell>
          <cell r="G6010" t="str">
            <v>Paid</v>
          </cell>
        </row>
        <row r="6011">
          <cell r="F6011" t="str">
            <v>INV-020525182336</v>
          </cell>
          <cell r="G6011" t="str">
            <v>Paid</v>
          </cell>
        </row>
        <row r="6012">
          <cell r="F6012" t="str">
            <v>INV-030625134419</v>
          </cell>
          <cell r="G6012" t="str">
            <v>Paid</v>
          </cell>
        </row>
        <row r="6013">
          <cell r="F6013" t="str">
            <v>INV-020725163348</v>
          </cell>
          <cell r="G6013" t="str">
            <v>Paid</v>
          </cell>
        </row>
        <row r="6014">
          <cell r="F6014" t="str">
            <v>INV-040825131605</v>
          </cell>
          <cell r="G6014" t="str">
            <v>Paid</v>
          </cell>
        </row>
        <row r="6015">
          <cell r="F6015" t="str">
            <v>INV-020925115420</v>
          </cell>
          <cell r="G6015" t="str">
            <v>Paid</v>
          </cell>
        </row>
        <row r="6016">
          <cell r="F6016" t="str">
            <v>INV-021025124300</v>
          </cell>
          <cell r="G6016" t="str">
            <v>Paid</v>
          </cell>
        </row>
        <row r="6017">
          <cell r="F6017" t="str">
            <v>INV-041125192554</v>
          </cell>
          <cell r="G6017" t="str">
            <v>Paid</v>
          </cell>
        </row>
        <row r="6018">
          <cell r="F6018" t="str">
            <v>INV-021225124602</v>
          </cell>
          <cell r="G6018" t="str">
            <v>Paid</v>
          </cell>
        </row>
        <row r="6019">
          <cell r="F6019" t="str">
            <v>INV-020126124124</v>
          </cell>
          <cell r="G6019" t="str">
            <v>Paid</v>
          </cell>
        </row>
        <row r="6020">
          <cell r="F6020" t="str">
            <v>INV-040226113540</v>
          </cell>
          <cell r="G6020" t="str">
            <v>Paid</v>
          </cell>
        </row>
        <row r="6021">
          <cell r="F6021" t="str">
            <v>INV-020326175238</v>
          </cell>
          <cell r="G6021" t="str">
            <v>Paid</v>
          </cell>
        </row>
        <row r="6022">
          <cell r="F6022" t="str">
            <v>INV-050923181042</v>
          </cell>
          <cell r="G6022" t="str">
            <v>Paid</v>
          </cell>
        </row>
        <row r="6023">
          <cell r="F6023" t="str">
            <v>INV2022-ADF-001</v>
          </cell>
          <cell r="G6023" t="str">
            <v>Paid</v>
          </cell>
        </row>
        <row r="6024">
          <cell r="F6024" t="str">
            <v>AUCARDS0015</v>
          </cell>
          <cell r="G6024" t="str">
            <v>Paid</v>
          </cell>
        </row>
        <row r="6025">
          <cell r="F6025" t="str">
            <v>AUCARDS0047</v>
          </cell>
          <cell r="G6025" t="str">
            <v>Paid</v>
          </cell>
        </row>
        <row r="6026">
          <cell r="F6026" t="str">
            <v>AUCARDS0053</v>
          </cell>
          <cell r="G6026" t="str">
            <v>Paid</v>
          </cell>
        </row>
        <row r="6027">
          <cell r="F6027" t="str">
            <v>AUCARDS0059</v>
          </cell>
          <cell r="G6027" t="str">
            <v>Paid</v>
          </cell>
        </row>
        <row r="6028">
          <cell r="F6028" t="str">
            <v>INV-021122052216</v>
          </cell>
          <cell r="G6028" t="str">
            <v>Paid</v>
          </cell>
        </row>
        <row r="6029">
          <cell r="F6029" t="str">
            <v>INV-021222043007</v>
          </cell>
          <cell r="G6029" t="str">
            <v>Paid</v>
          </cell>
        </row>
        <row r="6030">
          <cell r="F6030" t="str">
            <v>INV-040123130616</v>
          </cell>
          <cell r="G6030" t="str">
            <v>Paid</v>
          </cell>
        </row>
        <row r="6031">
          <cell r="F6031" t="str">
            <v>INV-020223031020</v>
          </cell>
          <cell r="G6031" t="str">
            <v>Paid</v>
          </cell>
        </row>
        <row r="6032">
          <cell r="F6032" t="str">
            <v>INV-020323020217</v>
          </cell>
          <cell r="G6032" t="str">
            <v>Paid</v>
          </cell>
        </row>
        <row r="6033">
          <cell r="F6033" t="str">
            <v>INV-031123112433</v>
          </cell>
          <cell r="G6033" t="str">
            <v>Paid</v>
          </cell>
        </row>
        <row r="6034">
          <cell r="F6034" t="str">
            <v>INV-040423001049</v>
          </cell>
          <cell r="G6034" t="str">
            <v>Paid</v>
          </cell>
        </row>
        <row r="6035">
          <cell r="F6035" t="str">
            <v>INV-040923113604</v>
          </cell>
          <cell r="G6035" t="str">
            <v>Paid</v>
          </cell>
        </row>
        <row r="6036">
          <cell r="F6036" t="str">
            <v>INV-041023182652</v>
          </cell>
          <cell r="G6036" t="str">
            <v>Paid</v>
          </cell>
        </row>
        <row r="6037">
          <cell r="F6037" t="str">
            <v>INV-020523230216</v>
          </cell>
          <cell r="G6037" t="str">
            <v>Paid</v>
          </cell>
        </row>
        <row r="6038">
          <cell r="F6038" t="str">
            <v>INV-051223131924</v>
          </cell>
          <cell r="G6038" t="str">
            <v>Paid</v>
          </cell>
        </row>
        <row r="6039">
          <cell r="F6039" t="str">
            <v>INV-020623134841</v>
          </cell>
          <cell r="G6039" t="str">
            <v>Paid</v>
          </cell>
        </row>
        <row r="6040">
          <cell r="F6040" t="str">
            <v>INV-030723143743</v>
          </cell>
          <cell r="G6040" t="str">
            <v>Paid</v>
          </cell>
        </row>
        <row r="6041">
          <cell r="F6041" t="str">
            <v>INV-020823160804</v>
          </cell>
          <cell r="G6041" t="str">
            <v>Paid</v>
          </cell>
        </row>
        <row r="6042">
          <cell r="F6042" t="str">
            <v>INV-040124153205</v>
          </cell>
          <cell r="G6042" t="str">
            <v>Paid</v>
          </cell>
        </row>
        <row r="6043">
          <cell r="F6043" t="str">
            <v>INV-060224125247</v>
          </cell>
          <cell r="G6043" t="str">
            <v>Paid</v>
          </cell>
        </row>
        <row r="6044">
          <cell r="F6044" t="str">
            <v>INV-060324150545</v>
          </cell>
          <cell r="G6044" t="str">
            <v>Paid</v>
          </cell>
        </row>
        <row r="6045">
          <cell r="F6045" t="str">
            <v>INV-050424180945</v>
          </cell>
          <cell r="G6045" t="str">
            <v>Paid</v>
          </cell>
        </row>
        <row r="6046">
          <cell r="F6046" t="str">
            <v>INV-040724180148</v>
          </cell>
          <cell r="G6046" t="str">
            <v>Paid</v>
          </cell>
        </row>
        <row r="6047">
          <cell r="F6047" t="str">
            <v>INV-050624142924</v>
          </cell>
          <cell r="G6047" t="str">
            <v>Paid</v>
          </cell>
        </row>
        <row r="6048">
          <cell r="F6048" t="str">
            <v>INV-060524131122</v>
          </cell>
          <cell r="G6048" t="str">
            <v>Paid</v>
          </cell>
        </row>
        <row r="6049">
          <cell r="F6049" t="str">
            <v>INV-060824094110</v>
          </cell>
          <cell r="G6049" t="str">
            <v>Paid</v>
          </cell>
        </row>
        <row r="6050">
          <cell r="F6050" t="str">
            <v>INV-060924133511</v>
          </cell>
          <cell r="G6050" t="str">
            <v>Paid</v>
          </cell>
        </row>
        <row r="6051">
          <cell r="F6051" t="str">
            <v>INV-091224120510</v>
          </cell>
          <cell r="G6051" t="str">
            <v>Paid</v>
          </cell>
        </row>
        <row r="6052">
          <cell r="F6052" t="str">
            <v>INV-081024162728</v>
          </cell>
          <cell r="G6052" t="str">
            <v>Paid</v>
          </cell>
        </row>
        <row r="6053">
          <cell r="F6053" t="str">
            <v>INV-071124152756</v>
          </cell>
          <cell r="G6053" t="str">
            <v>Paid</v>
          </cell>
        </row>
        <row r="6054">
          <cell r="F6054" t="str">
            <v>INV-070125111840</v>
          </cell>
          <cell r="G6054" t="str">
            <v>Paid</v>
          </cell>
        </row>
        <row r="6055">
          <cell r="F6055" t="str">
            <v>INV-060225110605</v>
          </cell>
          <cell r="G6055" t="str">
            <v>Paid</v>
          </cell>
        </row>
        <row r="6056">
          <cell r="F6056" t="str">
            <v>INV-050325140029</v>
          </cell>
          <cell r="G6056" t="str">
            <v>Paid</v>
          </cell>
        </row>
        <row r="6057">
          <cell r="F6057" t="str">
            <v>INV-030425180039</v>
          </cell>
          <cell r="G6057" t="str">
            <v>Paid</v>
          </cell>
        </row>
        <row r="6058">
          <cell r="F6058" t="str">
            <v>INV-060525100402</v>
          </cell>
          <cell r="G6058" t="str">
            <v>Paid</v>
          </cell>
        </row>
        <row r="6059">
          <cell r="F6059" t="str">
            <v>INV-050625122826</v>
          </cell>
          <cell r="G6059" t="str">
            <v>Paid</v>
          </cell>
        </row>
        <row r="6060">
          <cell r="F6060" t="str">
            <v>INV-041024181135</v>
          </cell>
          <cell r="G6060" t="str">
            <v>Paid</v>
          </cell>
        </row>
        <row r="6061">
          <cell r="F6061" t="str">
            <v>INV-050225113753</v>
          </cell>
          <cell r="G6061" t="str">
            <v>Paid</v>
          </cell>
        </row>
        <row r="6062">
          <cell r="F6062" t="str">
            <v>INV-020425193328</v>
          </cell>
          <cell r="G6062" t="str">
            <v>Paid</v>
          </cell>
        </row>
        <row r="6063">
          <cell r="F6063" t="str">
            <v>INV-050525141849</v>
          </cell>
          <cell r="G6063" t="str">
            <v>Paid</v>
          </cell>
        </row>
        <row r="6064">
          <cell r="F6064" t="str">
            <v>INV-040625123355</v>
          </cell>
          <cell r="G6064" t="str">
            <v>Paid</v>
          </cell>
        </row>
        <row r="6065">
          <cell r="F6065" t="str">
            <v>INV-030725145336</v>
          </cell>
          <cell r="G6065" t="str">
            <v>Paid</v>
          </cell>
        </row>
        <row r="6066">
          <cell r="F6066" t="str">
            <v>INV-040825193304</v>
          </cell>
          <cell r="G6066" t="str">
            <v>Paid</v>
          </cell>
        </row>
        <row r="6067">
          <cell r="F6067" t="str">
            <v>INV-020925164213</v>
          </cell>
          <cell r="G6067" t="str">
            <v>Paid</v>
          </cell>
        </row>
        <row r="6068">
          <cell r="F6068" t="str">
            <v>INV-021225162852</v>
          </cell>
          <cell r="G6068" t="str">
            <v>Paid</v>
          </cell>
        </row>
        <row r="6069">
          <cell r="F6069" t="str">
            <v>INV-050126151745</v>
          </cell>
          <cell r="G6069" t="str">
            <v>Paid</v>
          </cell>
        </row>
        <row r="6070">
          <cell r="F6070" t="str">
            <v>INV-061125184124</v>
          </cell>
          <cell r="G6070" t="str">
            <v>Paid</v>
          </cell>
        </row>
        <row r="6071">
          <cell r="F6071" t="str">
            <v>INV-030326143016</v>
          </cell>
          <cell r="G6071" t="str">
            <v>Outstanding</v>
          </cell>
        </row>
        <row r="6072">
          <cell r="F6072" t="str">
            <v>CARDS0008</v>
          </cell>
          <cell r="G6072" t="str">
            <v>Paid</v>
          </cell>
        </row>
        <row r="6073">
          <cell r="F6073" t="str">
            <v>DNCARDS0001</v>
          </cell>
          <cell r="G6073" t="str">
            <v>Paid</v>
          </cell>
        </row>
        <row r="6074">
          <cell r="F6074" t="str">
            <v>CARDS0014</v>
          </cell>
          <cell r="G6074" t="str">
            <v>Paid</v>
          </cell>
        </row>
        <row r="6075">
          <cell r="F6075" t="str">
            <v>CARDS0028</v>
          </cell>
          <cell r="G6075" t="str">
            <v>Paid</v>
          </cell>
        </row>
        <row r="6076">
          <cell r="F6076" t="str">
            <v>CARDS0043</v>
          </cell>
          <cell r="G6076" t="str">
            <v>Paid</v>
          </cell>
        </row>
        <row r="6077">
          <cell r="F6077" t="str">
            <v>CARDS0064</v>
          </cell>
          <cell r="G6077" t="str">
            <v>Paid</v>
          </cell>
        </row>
        <row r="6078">
          <cell r="F6078" t="str">
            <v>CARDS0065</v>
          </cell>
          <cell r="G6078" t="str">
            <v>Paid</v>
          </cell>
        </row>
        <row r="6079">
          <cell r="F6079" t="str">
            <v>CARDS0054</v>
          </cell>
          <cell r="G6079" t="str">
            <v>Net Off</v>
          </cell>
        </row>
        <row r="6080">
          <cell r="F6080" t="str">
            <v>CNCARDS0001</v>
          </cell>
          <cell r="G6080" t="str">
            <v>Net Off</v>
          </cell>
        </row>
        <row r="6081">
          <cell r="F6081" t="str">
            <v>CARDS0077</v>
          </cell>
          <cell r="G6081" t="str">
            <v>Paid</v>
          </cell>
        </row>
        <row r="6082">
          <cell r="F6082" t="str">
            <v>CARDS0089</v>
          </cell>
          <cell r="G6082" t="str">
            <v>Paid</v>
          </cell>
        </row>
        <row r="6083">
          <cell r="F6083" t="str">
            <v>CARDS0106</v>
          </cell>
          <cell r="G6083" t="str">
            <v>Paid</v>
          </cell>
        </row>
        <row r="6084">
          <cell r="F6084" t="str">
            <v>CARDS0125</v>
          </cell>
          <cell r="G6084" t="str">
            <v>Paid</v>
          </cell>
        </row>
        <row r="6085">
          <cell r="F6085" t="str">
            <v>DNCARDS0006</v>
          </cell>
          <cell r="G6085" t="str">
            <v>Paid</v>
          </cell>
        </row>
        <row r="6086">
          <cell r="F6086" t="str">
            <v>CARDS0142</v>
          </cell>
          <cell r="G6086" t="str">
            <v>Paid</v>
          </cell>
        </row>
        <row r="6087">
          <cell r="F6087" t="str">
            <v>CARDS0161</v>
          </cell>
          <cell r="G6087" t="str">
            <v>Paid</v>
          </cell>
        </row>
        <row r="6088">
          <cell r="F6088" t="str">
            <v>CARDS0178</v>
          </cell>
          <cell r="G6088" t="str">
            <v>Paid</v>
          </cell>
        </row>
        <row r="6089">
          <cell r="F6089" t="str">
            <v>CARDS0198</v>
          </cell>
          <cell r="G6089" t="str">
            <v>Paid</v>
          </cell>
        </row>
        <row r="6090">
          <cell r="F6090" t="str">
            <v>CARDS0219</v>
          </cell>
          <cell r="G6090" t="str">
            <v>Paid</v>
          </cell>
        </row>
        <row r="6091">
          <cell r="F6091" t="str">
            <v>CARDS0238</v>
          </cell>
          <cell r="G6091" t="str">
            <v>Paid</v>
          </cell>
        </row>
        <row r="6092">
          <cell r="F6092" t="str">
            <v>CNCARDS0015</v>
          </cell>
          <cell r="G6092" t="str">
            <v>Paid</v>
          </cell>
        </row>
        <row r="6093">
          <cell r="F6093" t="str">
            <v>CARDS0259</v>
          </cell>
          <cell r="G6093" t="str">
            <v>Paid</v>
          </cell>
        </row>
        <row r="6094">
          <cell r="F6094" t="str">
            <v>CARDS0276</v>
          </cell>
          <cell r="G6094" t="str">
            <v>Paid</v>
          </cell>
        </row>
        <row r="6095">
          <cell r="F6095" t="str">
            <v>CARDS0294</v>
          </cell>
          <cell r="G6095" t="str">
            <v>Paid</v>
          </cell>
        </row>
        <row r="6096">
          <cell r="F6096" t="str">
            <v>CNCARDS0021</v>
          </cell>
          <cell r="G6096" t="str">
            <v>Paid</v>
          </cell>
        </row>
        <row r="6097">
          <cell r="F6097" t="str">
            <v>CARDS0309</v>
          </cell>
          <cell r="G6097" t="str">
            <v>Paid</v>
          </cell>
        </row>
        <row r="6098">
          <cell r="F6098" t="str">
            <v>CARDS0325</v>
          </cell>
          <cell r="G6098" t="str">
            <v>Paid</v>
          </cell>
        </row>
        <row r="6099">
          <cell r="F6099" t="str">
            <v>CARDS0338</v>
          </cell>
          <cell r="G6099" t="str">
            <v>Paid</v>
          </cell>
        </row>
        <row r="6100">
          <cell r="F6100" t="str">
            <v>INV-021122014809</v>
          </cell>
          <cell r="G6100" t="str">
            <v>Paid</v>
          </cell>
        </row>
        <row r="6101">
          <cell r="F6101" t="str">
            <v>INV-021222002605</v>
          </cell>
          <cell r="G6101" t="str">
            <v>Paid</v>
          </cell>
        </row>
        <row r="6102">
          <cell r="F6102" t="str">
            <v>INV-040123024557</v>
          </cell>
          <cell r="G6102" t="str">
            <v>Paid</v>
          </cell>
        </row>
        <row r="6103">
          <cell r="F6103" t="str">
            <v>INV-020223164554</v>
          </cell>
          <cell r="G6103" t="str">
            <v>Paid</v>
          </cell>
        </row>
        <row r="6104">
          <cell r="F6104" t="str">
            <v>INV-020323125834</v>
          </cell>
          <cell r="G6104" t="str">
            <v>Paid</v>
          </cell>
        </row>
        <row r="6105">
          <cell r="F6105" t="str">
            <v>INV-031123152427</v>
          </cell>
          <cell r="G6105" t="str">
            <v>Paid</v>
          </cell>
        </row>
        <row r="6106">
          <cell r="F6106" t="str">
            <v>INV-030423171631</v>
          </cell>
          <cell r="G6106" t="str">
            <v>Paid</v>
          </cell>
        </row>
        <row r="6107">
          <cell r="F6107" t="str">
            <v>INV-040923160554</v>
          </cell>
          <cell r="G6107" t="str">
            <v>Paid</v>
          </cell>
        </row>
        <row r="6108">
          <cell r="F6108" t="str">
            <v>CN-140423000515</v>
          </cell>
          <cell r="G6108" t="str">
            <v>Paid</v>
          </cell>
        </row>
        <row r="6109">
          <cell r="F6109" t="str">
            <v>CN-190423102032</v>
          </cell>
          <cell r="G6109" t="str">
            <v>Paid</v>
          </cell>
        </row>
        <row r="6110">
          <cell r="F6110" t="str">
            <v>CN-250423235452</v>
          </cell>
          <cell r="G6110" t="str">
            <v>Paid</v>
          </cell>
        </row>
        <row r="6111">
          <cell r="F6111" t="str">
            <v>CN-250423235522</v>
          </cell>
          <cell r="G6111" t="str">
            <v>Paid</v>
          </cell>
        </row>
        <row r="6112">
          <cell r="F6112" t="str">
            <v>INV-030523105324</v>
          </cell>
          <cell r="G6112" t="str">
            <v>Paid</v>
          </cell>
        </row>
        <row r="6113">
          <cell r="F6113" t="str">
            <v>INV-051023102103</v>
          </cell>
          <cell r="G6113" t="str">
            <v>Paid</v>
          </cell>
        </row>
        <row r="6114">
          <cell r="F6114" t="str">
            <v>INV-051223155836</v>
          </cell>
          <cell r="G6114" t="str">
            <v>Paid</v>
          </cell>
        </row>
        <row r="6115">
          <cell r="F6115" t="str">
            <v>INV-050623110715</v>
          </cell>
          <cell r="G6115" t="str">
            <v>Paid</v>
          </cell>
        </row>
        <row r="6116">
          <cell r="F6116" t="str">
            <v>INV-030723173132</v>
          </cell>
          <cell r="G6116" t="str">
            <v>Paid</v>
          </cell>
        </row>
        <row r="6117">
          <cell r="F6117" t="str">
            <v>INV-020823145709</v>
          </cell>
          <cell r="G6117" t="str">
            <v>Paid</v>
          </cell>
        </row>
        <row r="6118">
          <cell r="F6118" t="str">
            <v>INV-050124165718</v>
          </cell>
          <cell r="G6118" t="str">
            <v>Paid</v>
          </cell>
        </row>
        <row r="6119">
          <cell r="F6119" t="str">
            <v>INV-070224120941</v>
          </cell>
          <cell r="G6119" t="str">
            <v>Paid</v>
          </cell>
        </row>
        <row r="6120">
          <cell r="F6120" t="str">
            <v>INV-240424121428</v>
          </cell>
          <cell r="G6120" t="str">
            <v>Paid</v>
          </cell>
        </row>
        <row r="6121">
          <cell r="F6121" t="str">
            <v>INV-250424095027</v>
          </cell>
          <cell r="G6121" t="str">
            <v>Paid</v>
          </cell>
        </row>
        <row r="6122">
          <cell r="F6122" t="str">
            <v>INV-100524163022</v>
          </cell>
          <cell r="G6122" t="str">
            <v>Paid</v>
          </cell>
        </row>
        <row r="6123">
          <cell r="F6123" t="str">
            <v>INV-080124171322</v>
          </cell>
          <cell r="G6123" t="str">
            <v>Paid</v>
          </cell>
        </row>
        <row r="6124">
          <cell r="F6124" t="str">
            <v>INV-141223135610</v>
          </cell>
          <cell r="G6124" t="str">
            <v>Paid</v>
          </cell>
        </row>
        <row r="6125">
          <cell r="F6125" t="str">
            <v>INV-070224165427</v>
          </cell>
          <cell r="G6125" t="str">
            <v>Paid</v>
          </cell>
        </row>
        <row r="6126">
          <cell r="F6126" t="str">
            <v>INV-090324131202</v>
          </cell>
          <cell r="G6126" t="str">
            <v>Paid</v>
          </cell>
        </row>
        <row r="6127">
          <cell r="F6127" t="str">
            <v>INV-020424162400</v>
          </cell>
          <cell r="G6127" t="str">
            <v>Paid</v>
          </cell>
        </row>
        <row r="6128">
          <cell r="F6128" t="str">
            <v>INV-050424185528</v>
          </cell>
          <cell r="G6128" t="str">
            <v>Paid</v>
          </cell>
        </row>
        <row r="6129">
          <cell r="F6129" t="str">
            <v>INV-050624145726</v>
          </cell>
          <cell r="G6129" t="str">
            <v>Paid</v>
          </cell>
        </row>
        <row r="6130">
          <cell r="F6130" t="str">
            <v>INV-070524125230</v>
          </cell>
          <cell r="G6130" t="str">
            <v>Paid</v>
          </cell>
        </row>
        <row r="6131">
          <cell r="F6131" t="str">
            <v>INV-050724151020</v>
          </cell>
          <cell r="G6131" t="str">
            <v>Paid</v>
          </cell>
        </row>
        <row r="6132">
          <cell r="F6132" t="str">
            <v>INV-060824120411</v>
          </cell>
          <cell r="G6132" t="str">
            <v>Paid</v>
          </cell>
        </row>
        <row r="6133">
          <cell r="F6133" t="str">
            <v>INV-090924133305</v>
          </cell>
          <cell r="G6133" t="str">
            <v>Paid</v>
          </cell>
        </row>
        <row r="6134">
          <cell r="F6134" t="str">
            <v>INV-091224134439</v>
          </cell>
          <cell r="G6134" t="str">
            <v>Paid</v>
          </cell>
        </row>
        <row r="6135">
          <cell r="F6135" t="str">
            <v>INV-091024102343</v>
          </cell>
          <cell r="G6135" t="str">
            <v>Paid</v>
          </cell>
        </row>
        <row r="6136">
          <cell r="F6136" t="str">
            <v>INV-081124154149</v>
          </cell>
          <cell r="G6136" t="str">
            <v>Paid</v>
          </cell>
        </row>
        <row r="6137">
          <cell r="F6137" t="str">
            <v>INV-070125121215</v>
          </cell>
          <cell r="G6137" t="str">
            <v>Paid</v>
          </cell>
        </row>
        <row r="6138">
          <cell r="F6138" t="str">
            <v>INV-060225152313</v>
          </cell>
          <cell r="G6138" t="str">
            <v>Paid</v>
          </cell>
        </row>
        <row r="6139">
          <cell r="F6139" t="str">
            <v>INV-050325174700</v>
          </cell>
          <cell r="G6139" t="str">
            <v>Paid</v>
          </cell>
        </row>
        <row r="6140">
          <cell r="F6140" t="str">
            <v>INV-030425191913</v>
          </cell>
          <cell r="G6140" t="str">
            <v>Paid</v>
          </cell>
        </row>
        <row r="6141">
          <cell r="F6141" t="str">
            <v>INV-060525113335</v>
          </cell>
          <cell r="G6141" t="str">
            <v>Paid</v>
          </cell>
        </row>
        <row r="6142">
          <cell r="F6142" t="str">
            <v>INV-06052025160000</v>
          </cell>
          <cell r="G6142" t="str">
            <v>Paid</v>
          </cell>
        </row>
        <row r="6143">
          <cell r="F6143" t="str">
            <v>INV-040625175800</v>
          </cell>
          <cell r="G6143" t="str">
            <v>Paid</v>
          </cell>
        </row>
        <row r="6144">
          <cell r="F6144" t="str">
            <v>INV-040725154008</v>
          </cell>
          <cell r="G6144" t="str">
            <v>Paid</v>
          </cell>
        </row>
        <row r="6145">
          <cell r="F6145" t="str">
            <v>INV-050825193511</v>
          </cell>
          <cell r="G6145" t="str">
            <v>Paid</v>
          </cell>
        </row>
        <row r="6146">
          <cell r="F6146" t="str">
            <v>INV-030925142646</v>
          </cell>
          <cell r="G6146" t="str">
            <v>Paid</v>
          </cell>
        </row>
        <row r="6147">
          <cell r="F6147" t="str">
            <v>INV-120120261600</v>
          </cell>
          <cell r="G6147" t="str">
            <v>Paid</v>
          </cell>
        </row>
        <row r="6148">
          <cell r="F6148" t="str">
            <v>INV-050224135200</v>
          </cell>
          <cell r="G6148" t="str">
            <v>Paid</v>
          </cell>
        </row>
        <row r="6149">
          <cell r="F6149" t="str">
            <v>INV-260224155001</v>
          </cell>
          <cell r="G6149" t="str">
            <v>Paid</v>
          </cell>
        </row>
        <row r="6150">
          <cell r="F6150" t="str">
            <v>INV-080324111300</v>
          </cell>
          <cell r="G6150" t="str">
            <v>Paid</v>
          </cell>
        </row>
        <row r="6151">
          <cell r="F6151" t="str">
            <v>INV2021-ALG-002</v>
          </cell>
          <cell r="G6151" t="str">
            <v>Paid</v>
          </cell>
        </row>
        <row r="6152">
          <cell r="F6152" t="str">
            <v>INV2021-ALG-003</v>
          </cell>
          <cell r="G6152" t="str">
            <v>Paid</v>
          </cell>
        </row>
        <row r="6153">
          <cell r="F6153" t="str">
            <v>INV2021-ALG-004</v>
          </cell>
          <cell r="G6153" t="str">
            <v>Paid</v>
          </cell>
        </row>
        <row r="6154">
          <cell r="F6154" t="str">
            <v>INV2021-ALG-005</v>
          </cell>
          <cell r="G6154" t="str">
            <v>Paid</v>
          </cell>
        </row>
        <row r="6155">
          <cell r="F6155" t="str">
            <v>CN2021-ALG-001</v>
          </cell>
          <cell r="G6155" t="str">
            <v>Paid</v>
          </cell>
        </row>
        <row r="6156">
          <cell r="F6156" t="str">
            <v>INV2021-ALG-006</v>
          </cell>
          <cell r="G6156" t="str">
            <v>Paid</v>
          </cell>
        </row>
        <row r="6157">
          <cell r="F6157" t="str">
            <v>INV2021-ALG-007</v>
          </cell>
          <cell r="G6157" t="str">
            <v>Paid</v>
          </cell>
        </row>
        <row r="6158">
          <cell r="F6158" t="str">
            <v>INV2021-ALG-008</v>
          </cell>
          <cell r="G6158" t="str">
            <v>Paid</v>
          </cell>
        </row>
        <row r="6159">
          <cell r="F6159" t="str">
            <v>HKCARDS0008</v>
          </cell>
          <cell r="G6159" t="str">
            <v>Paid</v>
          </cell>
        </row>
        <row r="6160">
          <cell r="F6160" t="str">
            <v>HKCARDS0009</v>
          </cell>
          <cell r="G6160" t="str">
            <v>Paid</v>
          </cell>
        </row>
        <row r="6161">
          <cell r="F6161" t="str">
            <v>HKCARDS0014</v>
          </cell>
          <cell r="G6161" t="str">
            <v>Paid</v>
          </cell>
        </row>
        <row r="6162">
          <cell r="F6162" t="str">
            <v>HKCARDS0020</v>
          </cell>
          <cell r="G6162" t="str">
            <v>Paid</v>
          </cell>
        </row>
        <row r="6163">
          <cell r="F6163" t="str">
            <v>HKCARDS0025</v>
          </cell>
          <cell r="G6163" t="str">
            <v>Paid</v>
          </cell>
        </row>
        <row r="6164">
          <cell r="F6164" t="str">
            <v>HKCARDS0029</v>
          </cell>
          <cell r="G6164" t="str">
            <v>Paid</v>
          </cell>
        </row>
        <row r="6165">
          <cell r="F6165" t="str">
            <v>CNHKCARDS0008</v>
          </cell>
          <cell r="G6165" t="str">
            <v>Paid</v>
          </cell>
        </row>
        <row r="6166">
          <cell r="F6166" t="str">
            <v>DNCARDS0016</v>
          </cell>
          <cell r="G6166" t="str">
            <v>Paid</v>
          </cell>
        </row>
        <row r="6167">
          <cell r="F6167" t="str">
            <v>HKCARDS0034</v>
          </cell>
          <cell r="G6167" t="str">
            <v>Paid</v>
          </cell>
        </row>
        <row r="6168">
          <cell r="F6168" t="str">
            <v>HKCARDS0084</v>
          </cell>
          <cell r="G6168" t="str">
            <v>Paid</v>
          </cell>
        </row>
        <row r="6169">
          <cell r="F6169" t="str">
            <v>DNHKCARDS0001</v>
          </cell>
          <cell r="G6169" t="str">
            <v>Void</v>
          </cell>
        </row>
        <row r="6170">
          <cell r="F6170" t="str">
            <v>DNHKCARDS0002</v>
          </cell>
          <cell r="G6170" t="str">
            <v>Void</v>
          </cell>
        </row>
        <row r="6171">
          <cell r="F6171" t="str">
            <v>DNHKCARDS0003</v>
          </cell>
          <cell r="G6171" t="str">
            <v>Void</v>
          </cell>
        </row>
        <row r="6172">
          <cell r="F6172" t="str">
            <v>HKCARDS0039</v>
          </cell>
          <cell r="G6172" t="str">
            <v>Paid</v>
          </cell>
        </row>
        <row r="6173">
          <cell r="F6173" t="str">
            <v>CNHKCARDS0003</v>
          </cell>
          <cell r="G6173" t="str">
            <v>Paid</v>
          </cell>
        </row>
        <row r="6174">
          <cell r="F6174" t="str">
            <v>CNHKCARDS0004</v>
          </cell>
          <cell r="G6174" t="str">
            <v>Paid</v>
          </cell>
        </row>
        <row r="6175">
          <cell r="F6175" t="str">
            <v>CNHKCARDS0005</v>
          </cell>
          <cell r="G6175" t="str">
            <v>Paid</v>
          </cell>
        </row>
        <row r="6176">
          <cell r="F6176" t="str">
            <v>CNHKCARDS0006</v>
          </cell>
          <cell r="G6176" t="str">
            <v>Void</v>
          </cell>
        </row>
        <row r="6177">
          <cell r="F6177" t="str">
            <v>CNHKCARDS0007</v>
          </cell>
          <cell r="G6177" t="str">
            <v>Void</v>
          </cell>
        </row>
        <row r="6178">
          <cell r="F6178" t="str">
            <v>DNCARDS0021</v>
          </cell>
          <cell r="G6178" t="str">
            <v>Void</v>
          </cell>
        </row>
        <row r="6179">
          <cell r="F6179" t="str">
            <v>HKCARDS0080</v>
          </cell>
          <cell r="G6179" t="str">
            <v>Paid</v>
          </cell>
        </row>
        <row r="6180">
          <cell r="F6180" t="str">
            <v>HKCARDS0085</v>
          </cell>
          <cell r="G6180" t="str">
            <v>Paid</v>
          </cell>
        </row>
        <row r="6181">
          <cell r="F6181" t="str">
            <v>CNHKCARDS0009</v>
          </cell>
          <cell r="G6181" t="str">
            <v>Paid</v>
          </cell>
        </row>
        <row r="6182">
          <cell r="F6182" t="str">
            <v>CNHKCARDS0010</v>
          </cell>
          <cell r="G6182" t="str">
            <v>Paid</v>
          </cell>
        </row>
        <row r="6183">
          <cell r="F6183" t="str">
            <v>HKCARDS0099</v>
          </cell>
          <cell r="G6183" t="str">
            <v>Paid</v>
          </cell>
        </row>
        <row r="6184">
          <cell r="F6184" t="str">
            <v>INV-021122114309</v>
          </cell>
          <cell r="G6184" t="str">
            <v>Paid</v>
          </cell>
        </row>
        <row r="6185">
          <cell r="F6185" t="str">
            <v>INV-021222025936</v>
          </cell>
          <cell r="G6185" t="str">
            <v>Paid</v>
          </cell>
        </row>
        <row r="6186">
          <cell r="F6186" t="str">
            <v>INV-030123235040</v>
          </cell>
          <cell r="G6186" t="str">
            <v>Paid</v>
          </cell>
        </row>
        <row r="6187">
          <cell r="F6187" t="str">
            <v>DN-021222025936</v>
          </cell>
          <cell r="G6187" t="str">
            <v>Paid</v>
          </cell>
        </row>
        <row r="6188">
          <cell r="F6188" t="str">
            <v>INV-020223022013</v>
          </cell>
          <cell r="G6188" t="str">
            <v>Paid</v>
          </cell>
        </row>
        <row r="6189">
          <cell r="F6189" t="str">
            <v>INV-020323005648</v>
          </cell>
          <cell r="G6189" t="str">
            <v>Paid</v>
          </cell>
        </row>
        <row r="6190">
          <cell r="F6190" t="str">
            <v>INV-031123173311</v>
          </cell>
          <cell r="G6190" t="str">
            <v>Paid</v>
          </cell>
        </row>
        <row r="6191">
          <cell r="F6191" t="str">
            <v>INV-030423174846</v>
          </cell>
          <cell r="G6191" t="str">
            <v>Paid</v>
          </cell>
        </row>
        <row r="6192">
          <cell r="F6192" t="str">
            <v>INV-020523183525</v>
          </cell>
          <cell r="G6192" t="str">
            <v>Paid</v>
          </cell>
        </row>
        <row r="6193">
          <cell r="F6193" t="str">
            <v>INV-050923112050</v>
          </cell>
          <cell r="G6193" t="str">
            <v>Paid</v>
          </cell>
        </row>
        <row r="6194">
          <cell r="F6194" t="str">
            <v>INV-051023145523</v>
          </cell>
          <cell r="G6194" t="str">
            <v>Paid</v>
          </cell>
        </row>
        <row r="6195">
          <cell r="F6195" t="str">
            <v>INV-020623185539</v>
          </cell>
          <cell r="G6195" t="str">
            <v>Paid</v>
          </cell>
        </row>
        <row r="6196">
          <cell r="F6196" t="str">
            <v>INV-061223100321</v>
          </cell>
          <cell r="G6196" t="str">
            <v>Paid</v>
          </cell>
        </row>
        <row r="6197">
          <cell r="F6197" t="str">
            <v>INV-040723155322</v>
          </cell>
          <cell r="G6197" t="str">
            <v>Paid</v>
          </cell>
        </row>
        <row r="6198">
          <cell r="F6198" t="str">
            <v>INV-030823154649</v>
          </cell>
          <cell r="G6198" t="str">
            <v>Paid</v>
          </cell>
        </row>
        <row r="6199">
          <cell r="F6199" t="str">
            <v>INV-050124194313</v>
          </cell>
          <cell r="G6199" t="str">
            <v>Paid</v>
          </cell>
        </row>
        <row r="6200">
          <cell r="F6200" t="str">
            <v>INV-070224161741</v>
          </cell>
          <cell r="G6200" t="str">
            <v>Paid</v>
          </cell>
        </row>
        <row r="6201">
          <cell r="F6201" t="str">
            <v>INV-060324161202</v>
          </cell>
          <cell r="G6201" t="str">
            <v>Paid</v>
          </cell>
        </row>
        <row r="6202">
          <cell r="F6202" t="str">
            <v>INV-270324195043</v>
          </cell>
          <cell r="G6202" t="str">
            <v>Paid</v>
          </cell>
        </row>
        <row r="6203">
          <cell r="F6203" t="str">
            <v>INV-060424180618</v>
          </cell>
          <cell r="G6203" t="str">
            <v>Paid</v>
          </cell>
        </row>
        <row r="6204">
          <cell r="F6204" t="str">
            <v>INV-050624152011</v>
          </cell>
          <cell r="G6204" t="str">
            <v>Paid</v>
          </cell>
        </row>
        <row r="6205">
          <cell r="F6205" t="str">
            <v>INV-070524163024</v>
          </cell>
          <cell r="G6205" t="str">
            <v>Paid</v>
          </cell>
        </row>
        <row r="6206">
          <cell r="F6206" t="str">
            <v>INV-050724114710</v>
          </cell>
          <cell r="G6206" t="str">
            <v>Paid</v>
          </cell>
        </row>
        <row r="6207">
          <cell r="F6207" t="str">
            <v>INV-060924154828</v>
          </cell>
          <cell r="G6207" t="str">
            <v>Paid</v>
          </cell>
        </row>
        <row r="6208">
          <cell r="F6208" t="str">
            <v>INV-070824165743</v>
          </cell>
          <cell r="G6208" t="str">
            <v>Paid</v>
          </cell>
        </row>
        <row r="6209">
          <cell r="F6209" t="str">
            <v>INV-050724114710_1</v>
          </cell>
          <cell r="G6209" t="str">
            <v>Paid</v>
          </cell>
        </row>
        <row r="6210">
          <cell r="F6210" t="str">
            <v>INV-081124154946</v>
          </cell>
          <cell r="G6210" t="str">
            <v>Paid</v>
          </cell>
        </row>
        <row r="6211">
          <cell r="F6211" t="str">
            <v>INV-071024191443</v>
          </cell>
          <cell r="G6211" t="str">
            <v>Paid</v>
          </cell>
        </row>
        <row r="6212">
          <cell r="F6212" t="str">
            <v>INV-101224134940</v>
          </cell>
          <cell r="G6212" t="str">
            <v>Paid</v>
          </cell>
        </row>
        <row r="6213">
          <cell r="F6213" t="str">
            <v>INV-060125134047</v>
          </cell>
          <cell r="G6213" t="str">
            <v>Paid</v>
          </cell>
        </row>
        <row r="6214">
          <cell r="F6214" t="str">
            <v>INV-080125162846</v>
          </cell>
          <cell r="G6214" t="str">
            <v>Paid</v>
          </cell>
        </row>
        <row r="6215">
          <cell r="F6215" t="str">
            <v>INV-070225152820</v>
          </cell>
          <cell r="G6215" t="str">
            <v>Paid</v>
          </cell>
        </row>
        <row r="6216">
          <cell r="F6216" t="str">
            <v>INV-060325111911</v>
          </cell>
          <cell r="G6216" t="str">
            <v>Paid</v>
          </cell>
        </row>
        <row r="6217">
          <cell r="F6217" t="str">
            <v>INV-070425131526</v>
          </cell>
          <cell r="G6217" t="str">
            <v>Paid</v>
          </cell>
        </row>
        <row r="6218">
          <cell r="F6218" t="str">
            <v>INV-060525150125</v>
          </cell>
          <cell r="G6218" t="str">
            <v>Paid</v>
          </cell>
        </row>
        <row r="6219">
          <cell r="F6219" t="str">
            <v>INV-050625172715</v>
          </cell>
          <cell r="G6219" t="str">
            <v>Paid</v>
          </cell>
        </row>
        <row r="6220">
          <cell r="F6220" t="str">
            <v>INV-040725192556</v>
          </cell>
          <cell r="G6220" t="str">
            <v>Paid</v>
          </cell>
        </row>
        <row r="6221">
          <cell r="F6221" t="str">
            <v>INV-060825132541</v>
          </cell>
          <cell r="G6221" t="str">
            <v>Paid</v>
          </cell>
        </row>
        <row r="6222">
          <cell r="F6222" t="str">
            <v>INV-040925155848</v>
          </cell>
          <cell r="G6222" t="str">
            <v>Paid</v>
          </cell>
        </row>
        <row r="6223">
          <cell r="F6223" t="str">
            <v>INV-061025153806</v>
          </cell>
          <cell r="G6223" t="str">
            <v>Paid</v>
          </cell>
        </row>
        <row r="6224">
          <cell r="F6224" t="str">
            <v>INV-061125133431</v>
          </cell>
          <cell r="G6224" t="str">
            <v>Paid</v>
          </cell>
        </row>
        <row r="6225">
          <cell r="F6225" t="str">
            <v>INV-041225174816</v>
          </cell>
          <cell r="G6225" t="str">
            <v>Paid</v>
          </cell>
        </row>
        <row r="6226">
          <cell r="F6226" t="str">
            <v>INV-060126164237</v>
          </cell>
          <cell r="G6226" t="str">
            <v>Paid</v>
          </cell>
        </row>
        <row r="6227">
          <cell r="F6227" t="str">
            <v>INV-070226152241</v>
          </cell>
          <cell r="G6227" t="str">
            <v>Paid</v>
          </cell>
        </row>
        <row r="6228">
          <cell r="F6228" t="str">
            <v>INV-050326152311</v>
          </cell>
          <cell r="G6228" t="str">
            <v>Paid</v>
          </cell>
        </row>
        <row r="6229">
          <cell r="F6229" t="str">
            <v>INV-030625190336</v>
          </cell>
          <cell r="G6229" t="str">
            <v>Paid</v>
          </cell>
        </row>
        <row r="6230">
          <cell r="F6230" t="str">
            <v>INV-030925101906</v>
          </cell>
          <cell r="G6230" t="str">
            <v>Paid</v>
          </cell>
        </row>
        <row r="6231">
          <cell r="F6231" t="str">
            <v>INV-130525153603</v>
          </cell>
          <cell r="G6231" t="str">
            <v>Paid</v>
          </cell>
        </row>
        <row r="6232">
          <cell r="F6232" t="str">
            <v>INV-041125162045</v>
          </cell>
          <cell r="G6232" t="str">
            <v>Paid</v>
          </cell>
        </row>
        <row r="6233">
          <cell r="F6233" t="str">
            <v>INV-031225125452</v>
          </cell>
          <cell r="G6233" t="str">
            <v>Paid</v>
          </cell>
        </row>
        <row r="6234">
          <cell r="F6234" t="str">
            <v>INV-020126192352</v>
          </cell>
          <cell r="G6234" t="str">
            <v>Paid</v>
          </cell>
        </row>
        <row r="6235">
          <cell r="F6235" t="str">
            <v>INV-040226000930</v>
          </cell>
          <cell r="G6235" t="str">
            <v>Paid</v>
          </cell>
        </row>
        <row r="6236">
          <cell r="F6236" t="str">
            <v>INV-030326140100</v>
          </cell>
          <cell r="G6236" t="str">
            <v>Paid</v>
          </cell>
        </row>
        <row r="6237">
          <cell r="F6237" t="str">
            <v>CN-INV-030925182457</v>
          </cell>
          <cell r="G6237" t="str">
            <v>Partially Paid</v>
          </cell>
        </row>
        <row r="6238">
          <cell r="F6238" t="str">
            <v>INV-060126150040</v>
          </cell>
          <cell r="G6238" t="str">
            <v>Paid</v>
          </cell>
        </row>
        <row r="6239">
          <cell r="F6239" t="str">
            <v>INV-050226011321</v>
          </cell>
          <cell r="G6239" t="str">
            <v>Paid</v>
          </cell>
        </row>
        <row r="6240">
          <cell r="F6240" t="str">
            <v>INV-030725191331</v>
          </cell>
          <cell r="G6240" t="str">
            <v>Paid</v>
          </cell>
        </row>
        <row r="6241">
          <cell r="F6241" t="str">
            <v>INV-050825105726</v>
          </cell>
          <cell r="G6241" t="str">
            <v>Paid</v>
          </cell>
        </row>
        <row r="6242">
          <cell r="F6242" t="str">
            <v>CARDS0188</v>
          </cell>
          <cell r="G6242" t="str">
            <v>Paid</v>
          </cell>
        </row>
        <row r="6243">
          <cell r="F6243" t="str">
            <v>INV-020824182225</v>
          </cell>
          <cell r="G6243" t="str">
            <v>Paid</v>
          </cell>
        </row>
        <row r="6244">
          <cell r="F6244" t="str">
            <v>INV-030424180151</v>
          </cell>
          <cell r="G6244" t="str">
            <v>Paid</v>
          </cell>
        </row>
        <row r="6245">
          <cell r="F6245" t="str">
            <v>INV-050324133712</v>
          </cell>
          <cell r="G6245" t="str">
            <v>Paid</v>
          </cell>
        </row>
        <row r="6246">
          <cell r="F6246" t="str">
            <v>INV-030724154021</v>
          </cell>
          <cell r="G6246" t="str">
            <v>Paid</v>
          </cell>
        </row>
        <row r="6247">
          <cell r="F6247" t="str">
            <v>INV-031224181209</v>
          </cell>
          <cell r="G6247" t="str">
            <v>Paid</v>
          </cell>
        </row>
        <row r="6248">
          <cell r="F6248" t="str">
            <v>INV-040624115331</v>
          </cell>
          <cell r="G6248" t="str">
            <v>Paid</v>
          </cell>
        </row>
        <row r="6249">
          <cell r="F6249" t="str">
            <v>INV-040924150332</v>
          </cell>
          <cell r="G6249" t="str">
            <v>Paid</v>
          </cell>
        </row>
        <row r="6250">
          <cell r="F6250" t="str">
            <v>INV-061124110030</v>
          </cell>
          <cell r="G6250" t="str">
            <v>Paid</v>
          </cell>
        </row>
        <row r="6251">
          <cell r="F6251" t="str">
            <v>INV-021024154653</v>
          </cell>
          <cell r="G6251" t="str">
            <v>Paid</v>
          </cell>
        </row>
        <row r="6252">
          <cell r="F6252" t="str">
            <v>INV-060125190827</v>
          </cell>
          <cell r="G6252" t="str">
            <v>Net Off</v>
          </cell>
        </row>
        <row r="6253">
          <cell r="F6253" t="str">
            <v>INV-040225155252</v>
          </cell>
          <cell r="G6253" t="str">
            <v>Net Off</v>
          </cell>
        </row>
        <row r="6254">
          <cell r="F6254" t="str">
            <v>INV-040325161804</v>
          </cell>
          <cell r="G6254" t="str">
            <v>Net Off</v>
          </cell>
        </row>
        <row r="6255">
          <cell r="F6255" t="str">
            <v>INV-020425170217</v>
          </cell>
          <cell r="G6255" t="str">
            <v>Net Off</v>
          </cell>
        </row>
        <row r="6256">
          <cell r="F6256" t="str">
            <v>INV-020525185717</v>
          </cell>
          <cell r="G6256" t="str">
            <v>Net Off</v>
          </cell>
        </row>
        <row r="6257">
          <cell r="F6257" t="str">
            <v>INV-040625093640</v>
          </cell>
          <cell r="G6257" t="str">
            <v>Net Off</v>
          </cell>
        </row>
        <row r="6258">
          <cell r="F6258" t="str">
            <v>CN-INV-140825132020</v>
          </cell>
          <cell r="G6258" t="str">
            <v>Net Off</v>
          </cell>
        </row>
        <row r="6259">
          <cell r="F6259" t="str">
            <v>INV-040326124919</v>
          </cell>
          <cell r="G6259" t="str">
            <v>Paid</v>
          </cell>
        </row>
        <row r="6260">
          <cell r="F6260" t="str">
            <v>INV-011225101632</v>
          </cell>
          <cell r="G6260" t="str">
            <v>Paid</v>
          </cell>
        </row>
        <row r="6261">
          <cell r="F6261" t="str">
            <v>INV-050126144845</v>
          </cell>
          <cell r="G6261" t="str">
            <v>Paid</v>
          </cell>
        </row>
        <row r="6262">
          <cell r="F6262" t="str">
            <v>INV-040226164114</v>
          </cell>
          <cell r="G6262" t="str">
            <v>Paid</v>
          </cell>
        </row>
        <row r="6263">
          <cell r="F6263" t="str">
            <v>INV-110825095942</v>
          </cell>
          <cell r="G6263" t="str">
            <v>Paid</v>
          </cell>
        </row>
        <row r="6264">
          <cell r="F6264" t="str">
            <v>INV-061125095415</v>
          </cell>
          <cell r="G6264" t="str">
            <v>Paid</v>
          </cell>
        </row>
        <row r="6265">
          <cell r="F6265" t="str">
            <v>INV-041225095656</v>
          </cell>
          <cell r="G6265" t="str">
            <v>Paid</v>
          </cell>
        </row>
        <row r="6266">
          <cell r="F6266" t="str">
            <v>INV-050126110331</v>
          </cell>
          <cell r="G6266" t="str">
            <v>Paid</v>
          </cell>
        </row>
        <row r="6267">
          <cell r="F6267" t="str">
            <v>INV-050226032903</v>
          </cell>
          <cell r="G6267" t="str">
            <v>Paid</v>
          </cell>
        </row>
        <row r="6268">
          <cell r="F6268" t="str">
            <v>INV-030326160748</v>
          </cell>
          <cell r="G6268" t="str">
            <v>Paid</v>
          </cell>
        </row>
        <row r="6269">
          <cell r="F6269" t="str">
            <v>INV-231024151910</v>
          </cell>
          <cell r="G6269" t="str">
            <v>Paid</v>
          </cell>
        </row>
        <row r="6270">
          <cell r="F6270" t="str">
            <v>INV-050225162008</v>
          </cell>
          <cell r="G6270" t="str">
            <v>Paid</v>
          </cell>
        </row>
        <row r="6271">
          <cell r="F6271" t="str">
            <v>INV-050325100637</v>
          </cell>
          <cell r="G6271" t="str">
            <v>Paid</v>
          </cell>
        </row>
        <row r="6272">
          <cell r="F6272" t="str">
            <v>INV-020425192616</v>
          </cell>
          <cell r="G6272" t="str">
            <v>Paid</v>
          </cell>
        </row>
        <row r="6273">
          <cell r="F6273" t="str">
            <v>INV-050525150853</v>
          </cell>
          <cell r="G6273" t="str">
            <v>Paid</v>
          </cell>
        </row>
        <row r="6274">
          <cell r="F6274" t="str">
            <v>INV-040625103548</v>
          </cell>
          <cell r="G6274" t="str">
            <v>Paid</v>
          </cell>
        </row>
        <row r="6275">
          <cell r="F6275" t="str">
            <v>INV-030725112754</v>
          </cell>
          <cell r="G6275" t="str">
            <v>Paid</v>
          </cell>
        </row>
        <row r="6276">
          <cell r="F6276" t="str">
            <v>INV-040825190748</v>
          </cell>
          <cell r="G6276" t="str">
            <v>Paid</v>
          </cell>
        </row>
        <row r="6277">
          <cell r="F6277" t="str">
            <v>INV-020925172141</v>
          </cell>
          <cell r="G6277" t="str">
            <v>Paid</v>
          </cell>
        </row>
        <row r="6278">
          <cell r="F6278" t="str">
            <v>INV-031025134756</v>
          </cell>
          <cell r="G6278" t="str">
            <v>Paid</v>
          </cell>
        </row>
        <row r="6279">
          <cell r="F6279" t="str">
            <v>INV-051125094040</v>
          </cell>
          <cell r="G6279" t="str">
            <v>Paid</v>
          </cell>
        </row>
        <row r="6280">
          <cell r="F6280" t="str">
            <v>INV-021225184704</v>
          </cell>
          <cell r="G6280" t="str">
            <v>Paid</v>
          </cell>
        </row>
        <row r="6281">
          <cell r="F6281" t="str">
            <v>INV-020126162913</v>
          </cell>
          <cell r="G6281" t="str">
            <v>Paid</v>
          </cell>
        </row>
        <row r="6282">
          <cell r="F6282" t="str">
            <v>INV-030226095512</v>
          </cell>
          <cell r="G6282" t="str">
            <v>Paid</v>
          </cell>
        </row>
        <row r="6283">
          <cell r="F6283" t="str">
            <v>INV-020326193518</v>
          </cell>
          <cell r="G6283" t="str">
            <v>Paid</v>
          </cell>
        </row>
        <row r="6284">
          <cell r="F6284" t="str">
            <v>CARDS0002</v>
          </cell>
          <cell r="G6284" t="str">
            <v>Paid</v>
          </cell>
        </row>
        <row r="6285">
          <cell r="F6285" t="str">
            <v>CARDS0015</v>
          </cell>
          <cell r="G6285" t="str">
            <v>Paid</v>
          </cell>
        </row>
        <row r="6286">
          <cell r="F6286" t="str">
            <v>CARDS0029</v>
          </cell>
          <cell r="G6286" t="str">
            <v>Paid</v>
          </cell>
        </row>
        <row r="6287">
          <cell r="F6287" t="str">
            <v>CARDS0044</v>
          </cell>
          <cell r="G6287" t="str">
            <v>Paid</v>
          </cell>
        </row>
        <row r="6288">
          <cell r="F6288" t="str">
            <v>CARDS0067</v>
          </cell>
          <cell r="G6288" t="str">
            <v>Paid</v>
          </cell>
        </row>
        <row r="6289">
          <cell r="F6289" t="str">
            <v>CARDS0080</v>
          </cell>
          <cell r="G6289" t="str">
            <v>Paid</v>
          </cell>
        </row>
        <row r="6290">
          <cell r="F6290" t="str">
            <v>CARDS0097</v>
          </cell>
          <cell r="G6290" t="str">
            <v>Paid</v>
          </cell>
        </row>
        <row r="6291">
          <cell r="F6291" t="str">
            <v>CARDS0116</v>
          </cell>
          <cell r="G6291" t="str">
            <v>Paid</v>
          </cell>
        </row>
        <row r="6292">
          <cell r="F6292" t="str">
            <v>CARDS0134</v>
          </cell>
          <cell r="G6292" t="str">
            <v>Paid</v>
          </cell>
        </row>
        <row r="6293">
          <cell r="F6293" t="str">
            <v>CARDS0154</v>
          </cell>
          <cell r="G6293" t="str">
            <v>Paid</v>
          </cell>
        </row>
        <row r="6294">
          <cell r="F6294" t="str">
            <v>INV2021-Aspire-001</v>
          </cell>
          <cell r="G6294" t="str">
            <v>Paid</v>
          </cell>
        </row>
        <row r="6295">
          <cell r="F6295" t="str">
            <v>CARDS0170</v>
          </cell>
          <cell r="G6295" t="str">
            <v>Paid</v>
          </cell>
        </row>
        <row r="6296">
          <cell r="F6296" t="str">
            <v>CARDS0192</v>
          </cell>
          <cell r="G6296" t="str">
            <v>Paid</v>
          </cell>
        </row>
        <row r="6297">
          <cell r="F6297" t="str">
            <v>CARDS0212</v>
          </cell>
          <cell r="G6297" t="str">
            <v>Paid</v>
          </cell>
        </row>
        <row r="6298">
          <cell r="F6298" t="str">
            <v>INV2022- Aspire-002</v>
          </cell>
          <cell r="G6298" t="str">
            <v>Paid</v>
          </cell>
        </row>
        <row r="6299">
          <cell r="F6299" t="str">
            <v>CARDS0229</v>
          </cell>
          <cell r="G6299" t="str">
            <v>Paid</v>
          </cell>
        </row>
        <row r="6300">
          <cell r="F6300" t="str">
            <v>INV2022-Aspire-003</v>
          </cell>
          <cell r="G6300" t="str">
            <v>Paid</v>
          </cell>
        </row>
        <row r="6301">
          <cell r="F6301" t="str">
            <v>CARDS0246</v>
          </cell>
          <cell r="G6301" t="str">
            <v>Paid</v>
          </cell>
        </row>
        <row r="6302">
          <cell r="F6302" t="str">
            <v>INV2022-Aspire-004</v>
          </cell>
          <cell r="G6302" t="str">
            <v>Paid</v>
          </cell>
        </row>
        <row r="6303">
          <cell r="F6303" t="str">
            <v>CARDS0267</v>
          </cell>
          <cell r="G6303" t="str">
            <v>Net Off</v>
          </cell>
        </row>
        <row r="6304">
          <cell r="F6304" t="str">
            <v>DNCARDS0010</v>
          </cell>
          <cell r="G6304" t="str">
            <v>Net Off</v>
          </cell>
        </row>
        <row r="6305">
          <cell r="F6305" t="str">
            <v>CARDS0285</v>
          </cell>
          <cell r="G6305" t="str">
            <v>Net Off</v>
          </cell>
        </row>
        <row r="6306">
          <cell r="F6306" t="str">
            <v>CARDS0303</v>
          </cell>
          <cell r="G6306" t="str">
            <v>Paid</v>
          </cell>
        </row>
        <row r="6307">
          <cell r="F6307" t="str">
            <v>CARDS0317</v>
          </cell>
          <cell r="G6307" t="str">
            <v>Paid</v>
          </cell>
        </row>
        <row r="6308">
          <cell r="F6308" t="str">
            <v>CARDS0331</v>
          </cell>
          <cell r="G6308" t="str">
            <v>Paid</v>
          </cell>
        </row>
        <row r="6309">
          <cell r="F6309" t="str">
            <v>CNCARDS0025</v>
          </cell>
          <cell r="G6309" t="str">
            <v>Net Off</v>
          </cell>
        </row>
        <row r="6310">
          <cell r="F6310" t="str">
            <v>CNCARDS0026</v>
          </cell>
          <cell r="G6310" t="str">
            <v>Net Off</v>
          </cell>
        </row>
        <row r="6311">
          <cell r="F6311" t="str">
            <v>CNCARDS0027</v>
          </cell>
          <cell r="G6311" t="str">
            <v>Net Off</v>
          </cell>
        </row>
        <row r="6312">
          <cell r="F6312" t="str">
            <v>CARDS0344</v>
          </cell>
          <cell r="G6312" t="str">
            <v>Paid</v>
          </cell>
        </row>
        <row r="6313">
          <cell r="F6313" t="str">
            <v>CARDS0345</v>
          </cell>
          <cell r="G6313" t="str">
            <v>Paid</v>
          </cell>
        </row>
        <row r="6314">
          <cell r="F6314" t="str">
            <v>CNCARDS0024</v>
          </cell>
          <cell r="G6314" t="str">
            <v>Paid</v>
          </cell>
        </row>
        <row r="6315">
          <cell r="F6315" t="str">
            <v>INV-021122041328</v>
          </cell>
          <cell r="G6315" t="str">
            <v>Paid</v>
          </cell>
        </row>
        <row r="6316">
          <cell r="F6316" t="str">
            <v>INV-021222004053</v>
          </cell>
          <cell r="G6316" t="str">
            <v>Paid</v>
          </cell>
        </row>
        <row r="6317">
          <cell r="F6317" t="str">
            <v>INV-030123162215</v>
          </cell>
          <cell r="G6317" t="str">
            <v>Paid</v>
          </cell>
        </row>
        <row r="6318">
          <cell r="F6318" t="str">
            <v>INV-020223005004</v>
          </cell>
          <cell r="G6318" t="str">
            <v>Paid</v>
          </cell>
        </row>
        <row r="6319">
          <cell r="F6319" t="str">
            <v>INV-020323000623</v>
          </cell>
          <cell r="G6319" t="str">
            <v>Paid</v>
          </cell>
        </row>
        <row r="6320">
          <cell r="F6320" t="str">
            <v>INV-031123130411</v>
          </cell>
          <cell r="G6320" t="str">
            <v>Paid</v>
          </cell>
        </row>
        <row r="6321">
          <cell r="F6321" t="str">
            <v>INV-030423153524</v>
          </cell>
          <cell r="G6321" t="str">
            <v>Paid</v>
          </cell>
        </row>
        <row r="6322">
          <cell r="F6322" t="str">
            <v>INV-040923140916</v>
          </cell>
          <cell r="G6322" t="str">
            <v>Paid</v>
          </cell>
        </row>
        <row r="6323">
          <cell r="F6323" t="str">
            <v>INV-020523173214</v>
          </cell>
          <cell r="G6323" t="str">
            <v>Paid</v>
          </cell>
        </row>
        <row r="6324">
          <cell r="F6324" t="str">
            <v>INV-051023095023</v>
          </cell>
          <cell r="G6324" t="str">
            <v>Paid</v>
          </cell>
        </row>
        <row r="6325">
          <cell r="F6325" t="str">
            <v>INV-051223151431</v>
          </cell>
          <cell r="G6325" t="str">
            <v>Paid</v>
          </cell>
        </row>
        <row r="6326">
          <cell r="F6326" t="str">
            <v>CN-290523140038</v>
          </cell>
          <cell r="G6326" t="str">
            <v>Paid</v>
          </cell>
        </row>
        <row r="6327">
          <cell r="F6327" t="str">
            <v>INV-050623105154</v>
          </cell>
          <cell r="G6327" t="str">
            <v>Paid</v>
          </cell>
        </row>
        <row r="6328">
          <cell r="F6328" t="str">
            <v>INV-030723171130</v>
          </cell>
          <cell r="G6328" t="str">
            <v>Paid</v>
          </cell>
        </row>
        <row r="6329">
          <cell r="F6329" t="str">
            <v>INV-020823153919</v>
          </cell>
          <cell r="G6329" t="str">
            <v>Paid</v>
          </cell>
        </row>
        <row r="6330">
          <cell r="F6330" t="str">
            <v>INV-081223164049</v>
          </cell>
          <cell r="G6330" t="str">
            <v>Paid</v>
          </cell>
        </row>
        <row r="6331">
          <cell r="F6331" t="str">
            <v>INV-040124180211</v>
          </cell>
          <cell r="G6331" t="str">
            <v>Paid</v>
          </cell>
        </row>
        <row r="6332">
          <cell r="F6332" t="str">
            <v>INV-070224093810</v>
          </cell>
          <cell r="G6332" t="str">
            <v>Paid</v>
          </cell>
        </row>
        <row r="6333">
          <cell r="F6333" t="str">
            <v>INV-070324092441</v>
          </cell>
          <cell r="G6333" t="str">
            <v>Paid</v>
          </cell>
        </row>
        <row r="6334">
          <cell r="F6334" t="str">
            <v>INV-050424165039</v>
          </cell>
          <cell r="G6334" t="str">
            <v>Paid</v>
          </cell>
        </row>
        <row r="6335">
          <cell r="F6335" t="str">
            <v>INV-040724181629</v>
          </cell>
          <cell r="G6335" t="str">
            <v>Paid</v>
          </cell>
        </row>
        <row r="6336">
          <cell r="F6336" t="str">
            <v>INV-060524152253</v>
          </cell>
          <cell r="G6336" t="str">
            <v>Paid</v>
          </cell>
        </row>
        <row r="6337">
          <cell r="F6337" t="str">
            <v>INV-060824113848</v>
          </cell>
          <cell r="G6337" t="str">
            <v>Paid</v>
          </cell>
        </row>
        <row r="6338">
          <cell r="F6338" t="str">
            <v>INV-060924140532</v>
          </cell>
          <cell r="G6338" t="str">
            <v>Paid</v>
          </cell>
        </row>
        <row r="6339">
          <cell r="F6339" t="str">
            <v>INV-100624152001</v>
          </cell>
          <cell r="G6339" t="str">
            <v>Paid</v>
          </cell>
        </row>
        <row r="6340">
          <cell r="F6340" t="str">
            <v>CN-INV-250624164001</v>
          </cell>
          <cell r="G6340" t="str">
            <v>Paid</v>
          </cell>
        </row>
        <row r="6341">
          <cell r="F6341" t="str">
            <v>CN-INV-250624164002</v>
          </cell>
          <cell r="G6341" t="str">
            <v>Paid</v>
          </cell>
        </row>
        <row r="6342">
          <cell r="F6342" t="str">
            <v>CN-INV-250624164003</v>
          </cell>
          <cell r="G6342" t="str">
            <v>Paid</v>
          </cell>
        </row>
        <row r="6343">
          <cell r="F6343" t="str">
            <v>INV2024-ASPIRE-003</v>
          </cell>
          <cell r="G6343" t="str">
            <v>Paid</v>
          </cell>
        </row>
        <row r="6344">
          <cell r="F6344" t="str">
            <v>INV-091224123246</v>
          </cell>
          <cell r="G6344" t="str">
            <v>Paid</v>
          </cell>
        </row>
        <row r="6345">
          <cell r="F6345" t="str">
            <v>INV-081024173114</v>
          </cell>
          <cell r="G6345" t="str">
            <v>Paid</v>
          </cell>
        </row>
        <row r="6346">
          <cell r="F6346" t="str">
            <v>INV-081124142541</v>
          </cell>
          <cell r="G6346" t="str">
            <v>Paid</v>
          </cell>
        </row>
        <row r="6347">
          <cell r="F6347" t="str">
            <v>INV-181124100000</v>
          </cell>
          <cell r="G6347" t="str">
            <v>Paid</v>
          </cell>
        </row>
        <row r="6348">
          <cell r="F6348" t="str">
            <v>INV-181124101000</v>
          </cell>
          <cell r="G6348" t="str">
            <v>Paid</v>
          </cell>
        </row>
        <row r="6349">
          <cell r="F6349" t="str">
            <v>INV-181124102000</v>
          </cell>
          <cell r="G6349" t="str">
            <v>Paid</v>
          </cell>
        </row>
        <row r="6350">
          <cell r="F6350" t="str">
            <v>INV-080125104722</v>
          </cell>
          <cell r="G6350" t="str">
            <v>Paid</v>
          </cell>
        </row>
        <row r="6351">
          <cell r="F6351" t="str">
            <v>INV2025-Aspire-001</v>
          </cell>
          <cell r="G6351" t="str">
            <v>Paid</v>
          </cell>
        </row>
        <row r="6352">
          <cell r="F6352" t="str">
            <v>INV-220125103000</v>
          </cell>
          <cell r="G6352" t="str">
            <v>Paid</v>
          </cell>
        </row>
        <row r="6353">
          <cell r="F6353" t="str">
            <v>INV-060225130707</v>
          </cell>
          <cell r="G6353" t="str">
            <v>Paid</v>
          </cell>
        </row>
        <row r="6354">
          <cell r="F6354" t="str">
            <v>INV-260225110000</v>
          </cell>
          <cell r="G6354" t="str">
            <v>Paid</v>
          </cell>
        </row>
        <row r="6355">
          <cell r="F6355" t="str">
            <v>INV-050325164009</v>
          </cell>
          <cell r="G6355" t="str">
            <v>Paid</v>
          </cell>
        </row>
        <row r="6356">
          <cell r="F6356" t="str">
            <v>INV-200325093000</v>
          </cell>
          <cell r="G6356" t="str">
            <v>Paid</v>
          </cell>
        </row>
        <row r="6357">
          <cell r="F6357" t="str">
            <v>INV-030425190152</v>
          </cell>
          <cell r="G6357" t="str">
            <v>Paid</v>
          </cell>
        </row>
        <row r="6358">
          <cell r="F6358" t="str">
            <v>INV-21041100000</v>
          </cell>
          <cell r="G6358" t="str">
            <v>Paid</v>
          </cell>
        </row>
        <row r="6359">
          <cell r="F6359" t="str">
            <v>INV-060525110822</v>
          </cell>
          <cell r="G6359" t="str">
            <v>Paid</v>
          </cell>
        </row>
        <row r="6360">
          <cell r="F6360" t="str">
            <v>INV-1205150000</v>
          </cell>
          <cell r="G6360" t="str">
            <v>Paid</v>
          </cell>
        </row>
        <row r="6361">
          <cell r="F6361" t="str">
            <v>INV-040625171310</v>
          </cell>
          <cell r="G6361" t="str">
            <v>Paid</v>
          </cell>
        </row>
        <row r="6362">
          <cell r="F6362" t="str">
            <v>INV-250625200000</v>
          </cell>
          <cell r="G6362" t="str">
            <v>Paid</v>
          </cell>
        </row>
        <row r="6363">
          <cell r="F6363" t="str">
            <v>INV-040725152237</v>
          </cell>
          <cell r="G6363" t="str">
            <v>Paid</v>
          </cell>
        </row>
        <row r="6364">
          <cell r="F6364" t="str">
            <v>INV-160725200000</v>
          </cell>
          <cell r="G6364" t="str">
            <v>Paid</v>
          </cell>
        </row>
        <row r="6365">
          <cell r="F6365" t="str">
            <v>CN-INV-1205150000</v>
          </cell>
          <cell r="G6365" t="str">
            <v>Paid</v>
          </cell>
        </row>
        <row r="6366">
          <cell r="F6366" t="str">
            <v>CN-INV-160725200000</v>
          </cell>
          <cell r="G6366" t="str">
            <v>Paid</v>
          </cell>
        </row>
        <row r="6367">
          <cell r="F6367" t="str">
            <v>INV-060825103143</v>
          </cell>
          <cell r="G6367" t="str">
            <v>Paid</v>
          </cell>
        </row>
        <row r="6368">
          <cell r="F6368" t="str">
            <v>INV-190825200000</v>
          </cell>
          <cell r="G6368" t="str">
            <v>Paid</v>
          </cell>
        </row>
        <row r="6369">
          <cell r="F6369" t="str">
            <v>INV-030925143219</v>
          </cell>
          <cell r="G6369" t="str">
            <v>Paid</v>
          </cell>
        </row>
        <row r="6370">
          <cell r="F6370" t="str">
            <v>INV-160925200000</v>
          </cell>
          <cell r="G6370" t="str">
            <v>Paid</v>
          </cell>
        </row>
        <row r="6371">
          <cell r="F6371" t="str">
            <v>INV-061025140754</v>
          </cell>
          <cell r="G6371" t="str">
            <v>Paid</v>
          </cell>
        </row>
        <row r="6372">
          <cell r="F6372" t="str">
            <v>INV-300925200000</v>
          </cell>
          <cell r="G6372" t="str">
            <v>Paid</v>
          </cell>
        </row>
        <row r="6373">
          <cell r="F6373" t="str">
            <v>INV-061125114251</v>
          </cell>
          <cell r="G6373" t="str">
            <v>Paid</v>
          </cell>
        </row>
        <row r="6374">
          <cell r="F6374" t="str">
            <v>INV-171125220000</v>
          </cell>
          <cell r="G6374" t="str">
            <v>Paid</v>
          </cell>
        </row>
        <row r="6375">
          <cell r="F6375" t="str">
            <v>INV-041225180001</v>
          </cell>
          <cell r="G6375" t="str">
            <v>Paid</v>
          </cell>
        </row>
        <row r="6376">
          <cell r="F6376" t="str">
            <v>INV-151125220000</v>
          </cell>
          <cell r="G6376" t="str">
            <v>Paid</v>
          </cell>
        </row>
        <row r="6377">
          <cell r="F6377" t="str">
            <v>INV-060126132544</v>
          </cell>
          <cell r="G6377" t="str">
            <v>Paid</v>
          </cell>
        </row>
        <row r="6378">
          <cell r="F6378" t="str">
            <v>INV-230126220000</v>
          </cell>
          <cell r="G6378" t="str">
            <v>Paid</v>
          </cell>
        </row>
        <row r="6379">
          <cell r="F6379" t="str">
            <v>INV-070226172013</v>
          </cell>
          <cell r="G6379" t="str">
            <v>Outstanding</v>
          </cell>
        </row>
        <row r="6380">
          <cell r="F6380" t="str">
            <v>INV-200226220000</v>
          </cell>
          <cell r="G6380" t="str">
            <v>Paid</v>
          </cell>
        </row>
        <row r="6381">
          <cell r="F6381" t="str">
            <v>INV-040326135331</v>
          </cell>
          <cell r="G6381" t="str">
            <v>Invoice Sent</v>
          </cell>
        </row>
        <row r="6382">
          <cell r="F6382" t="str">
            <v>INV-230326220000</v>
          </cell>
          <cell r="G6382" t="str">
            <v>Invoice Sent</v>
          </cell>
        </row>
        <row r="6383">
          <cell r="F6383" t="str">
            <v>CARDS0348</v>
          </cell>
          <cell r="G6383" t="str">
            <v>Paid</v>
          </cell>
        </row>
        <row r="6384">
          <cell r="F6384" t="str">
            <v>INV2024-ASPIRE-001</v>
          </cell>
          <cell r="G6384" t="str">
            <v>Paid</v>
          </cell>
        </row>
        <row r="6385">
          <cell r="F6385" t="str">
            <v>INV2024-ASPIRE-002</v>
          </cell>
          <cell r="G6385" t="str">
            <v>Paid</v>
          </cell>
        </row>
        <row r="6386">
          <cell r="F6386" t="str">
            <v>INV-180825142233</v>
          </cell>
          <cell r="G6386" t="str">
            <v>Paid</v>
          </cell>
        </row>
        <row r="6387">
          <cell r="F6387" t="str">
            <v>INV-031025162730</v>
          </cell>
          <cell r="G6387" t="str">
            <v>Paid</v>
          </cell>
        </row>
        <row r="6388">
          <cell r="F6388" t="str">
            <v>INV-051125145635</v>
          </cell>
          <cell r="G6388" t="str">
            <v>Paid</v>
          </cell>
        </row>
        <row r="6389">
          <cell r="F6389" t="str">
            <v>INV-031225181510</v>
          </cell>
          <cell r="G6389" t="str">
            <v>Paid</v>
          </cell>
        </row>
        <row r="6390">
          <cell r="F6390" t="str">
            <v>INV-050126122159</v>
          </cell>
          <cell r="G6390" t="str">
            <v>Paid</v>
          </cell>
        </row>
        <row r="6391">
          <cell r="F6391" t="str">
            <v>INV-040226162909</v>
          </cell>
          <cell r="G6391" t="str">
            <v>Paid</v>
          </cell>
        </row>
        <row r="6392">
          <cell r="F6392" t="str">
            <v>INV-030326152512</v>
          </cell>
          <cell r="G6392" t="str">
            <v>Paid</v>
          </cell>
        </row>
        <row r="6393">
          <cell r="F6393" t="str">
            <v>INV-050525174704</v>
          </cell>
          <cell r="G6393" t="str">
            <v>Paid</v>
          </cell>
        </row>
        <row r="6394">
          <cell r="F6394" t="str">
            <v>INV-030625195429</v>
          </cell>
          <cell r="G6394" t="str">
            <v>Paid</v>
          </cell>
        </row>
        <row r="6395">
          <cell r="F6395" t="str">
            <v>INV-030725115931</v>
          </cell>
          <cell r="G6395" t="str">
            <v>Paid</v>
          </cell>
        </row>
        <row r="6396">
          <cell r="F6396" t="str">
            <v>INV-040825162312</v>
          </cell>
          <cell r="G6396" t="str">
            <v>Paid</v>
          </cell>
        </row>
        <row r="6397">
          <cell r="F6397" t="str">
            <v>INV-020925191440</v>
          </cell>
          <cell r="G6397" t="str">
            <v>Paid</v>
          </cell>
        </row>
        <row r="6398">
          <cell r="F6398" t="str">
            <v>INV-021025182543</v>
          </cell>
          <cell r="G6398" t="str">
            <v>Paid</v>
          </cell>
        </row>
        <row r="6399">
          <cell r="F6399" t="str">
            <v>INV-051125095708</v>
          </cell>
          <cell r="G6399" t="str">
            <v>Paid</v>
          </cell>
        </row>
        <row r="6400">
          <cell r="F6400" t="str">
            <v>INV-031225123701</v>
          </cell>
          <cell r="G6400" t="str">
            <v>Paid</v>
          </cell>
        </row>
        <row r="6401">
          <cell r="F6401" t="str">
            <v>INV-020126183622</v>
          </cell>
          <cell r="G6401" t="str">
            <v>Paid</v>
          </cell>
        </row>
        <row r="6402">
          <cell r="F6402" t="str">
            <v>INV-030226122636</v>
          </cell>
          <cell r="G6402" t="str">
            <v>Paid</v>
          </cell>
        </row>
        <row r="6403">
          <cell r="F6403" t="str">
            <v>INV-030326131416</v>
          </cell>
          <cell r="G6403" t="str">
            <v>Paid</v>
          </cell>
        </row>
        <row r="6404">
          <cell r="F6404" t="str">
            <v>CARDS0111</v>
          </cell>
          <cell r="G6404" t="str">
            <v>Paid</v>
          </cell>
        </row>
        <row r="6405">
          <cell r="F6405" t="str">
            <v>CARDS0130</v>
          </cell>
          <cell r="G6405" t="str">
            <v>Paid</v>
          </cell>
        </row>
        <row r="6406">
          <cell r="F6406" t="str">
            <v>CARDS0147</v>
          </cell>
          <cell r="G6406" t="str">
            <v>Paid</v>
          </cell>
        </row>
        <row r="6407">
          <cell r="F6407" t="str">
            <v>DNCARDS0007</v>
          </cell>
          <cell r="G6407" t="str">
            <v>Paid</v>
          </cell>
        </row>
        <row r="6408">
          <cell r="F6408" t="str">
            <v>CARDS0166</v>
          </cell>
          <cell r="G6408" t="str">
            <v>Paid</v>
          </cell>
        </row>
        <row r="6409">
          <cell r="F6409" t="str">
            <v>CNCARDS0011</v>
          </cell>
          <cell r="G6409" t="str">
            <v>Paid</v>
          </cell>
        </row>
        <row r="6410">
          <cell r="F6410" t="str">
            <v>CARDS0183</v>
          </cell>
          <cell r="G6410" t="str">
            <v>Waived Off</v>
          </cell>
        </row>
        <row r="6411">
          <cell r="F6411" t="str">
            <v>CARDS0204</v>
          </cell>
          <cell r="G6411" t="str">
            <v>Waived Off</v>
          </cell>
        </row>
        <row r="6412">
          <cell r="F6412" t="str">
            <v>CARDS0225</v>
          </cell>
          <cell r="G6412" t="str">
            <v>Waived Off</v>
          </cell>
        </row>
        <row r="6413">
          <cell r="F6413" t="str">
            <v>INV-031224173001</v>
          </cell>
          <cell r="G6413" t="str">
            <v>Paid</v>
          </cell>
        </row>
        <row r="6414">
          <cell r="F6414" t="str">
            <v>INV-040924125129</v>
          </cell>
          <cell r="G6414" t="str">
            <v>Paid</v>
          </cell>
        </row>
        <row r="6415">
          <cell r="F6415" t="str">
            <v>INV-021024155453</v>
          </cell>
          <cell r="G6415" t="str">
            <v>Paid</v>
          </cell>
        </row>
        <row r="6416">
          <cell r="F6416" t="str">
            <v>INV-051124175436</v>
          </cell>
          <cell r="G6416" t="str">
            <v>Paid</v>
          </cell>
        </row>
        <row r="6417">
          <cell r="F6417" t="str">
            <v>INV-060125103249</v>
          </cell>
          <cell r="G6417" t="str">
            <v>Paid</v>
          </cell>
        </row>
        <row r="6418">
          <cell r="F6418" t="str">
            <v>INV-040225154933</v>
          </cell>
          <cell r="G6418" t="str">
            <v>Paid</v>
          </cell>
        </row>
        <row r="6419">
          <cell r="F6419" t="str">
            <v>INV-020525185353</v>
          </cell>
          <cell r="G6419" t="str">
            <v>Paid</v>
          </cell>
        </row>
        <row r="6420">
          <cell r="F6420" t="str">
            <v>INV-030625151048</v>
          </cell>
          <cell r="G6420" t="str">
            <v>Paid</v>
          </cell>
        </row>
        <row r="6421">
          <cell r="F6421" t="str">
            <v>INV-020725165852</v>
          </cell>
          <cell r="G6421" t="str">
            <v>Paid</v>
          </cell>
        </row>
        <row r="6422">
          <cell r="F6422" t="str">
            <v>INV-040825133100</v>
          </cell>
          <cell r="G6422" t="str">
            <v>Paid</v>
          </cell>
        </row>
        <row r="6423">
          <cell r="F6423" t="str">
            <v>INV-020925122401</v>
          </cell>
          <cell r="G6423" t="str">
            <v>Paid</v>
          </cell>
        </row>
        <row r="6424">
          <cell r="F6424" t="str">
            <v>INV-021025132604</v>
          </cell>
          <cell r="G6424" t="str">
            <v>Paid</v>
          </cell>
        </row>
        <row r="6425">
          <cell r="F6425" t="str">
            <v>INV-031125184753</v>
          </cell>
          <cell r="G6425" t="str">
            <v>Outstanding</v>
          </cell>
        </row>
        <row r="6426">
          <cell r="F6426" t="str">
            <v>INV-021225130146</v>
          </cell>
          <cell r="G6426" t="str">
            <v>Outstanding</v>
          </cell>
        </row>
        <row r="6427">
          <cell r="F6427" t="str">
            <v>INV-020126135021</v>
          </cell>
          <cell r="G6427" t="str">
            <v>Outstanding</v>
          </cell>
        </row>
        <row r="6428">
          <cell r="F6428" t="str">
            <v>INV-020226153711</v>
          </cell>
          <cell r="G6428" t="str">
            <v>Outstanding</v>
          </cell>
        </row>
        <row r="6429">
          <cell r="F6429" t="str">
            <v>INV-030326093301</v>
          </cell>
          <cell r="G6429" t="str">
            <v>Invoice Sent</v>
          </cell>
        </row>
        <row r="6430">
          <cell r="F6430" t="str">
            <v>INV-121223103936</v>
          </cell>
          <cell r="G6430" t="str">
            <v>Waived Off</v>
          </cell>
        </row>
        <row r="6431">
          <cell r="F6431" t="str">
            <v>INV-020824175950</v>
          </cell>
          <cell r="G6431" t="str">
            <v>Paid</v>
          </cell>
        </row>
        <row r="6432">
          <cell r="F6432" t="str">
            <v>INV-030524141202</v>
          </cell>
          <cell r="G6432" t="str">
            <v>Paid</v>
          </cell>
        </row>
        <row r="6433">
          <cell r="F6433" t="str">
            <v>INV-030724155818</v>
          </cell>
          <cell r="G6433" t="str">
            <v>Paid</v>
          </cell>
        </row>
        <row r="6434">
          <cell r="F6434" t="str">
            <v>INV-040424094523</v>
          </cell>
          <cell r="G6434" t="str">
            <v>Paid</v>
          </cell>
        </row>
        <row r="6435">
          <cell r="F6435" t="str">
            <v>INV-040624111037</v>
          </cell>
          <cell r="G6435" t="str">
            <v>Paid</v>
          </cell>
        </row>
        <row r="6436">
          <cell r="F6436" t="str">
            <v>INV2021-B2B-001</v>
          </cell>
          <cell r="G6436" t="str">
            <v>Paid</v>
          </cell>
        </row>
        <row r="6437">
          <cell r="F6437" t="str">
            <v>INV2022-B2B-001</v>
          </cell>
          <cell r="G6437" t="str">
            <v>Paid</v>
          </cell>
        </row>
        <row r="6438">
          <cell r="F6438" t="str">
            <v>UKCARDS0009</v>
          </cell>
          <cell r="G6438" t="str">
            <v>Paid</v>
          </cell>
        </row>
        <row r="6439">
          <cell r="F6439" t="str">
            <v>INV2022-B2B-002</v>
          </cell>
          <cell r="G6439" t="str">
            <v>Paid</v>
          </cell>
        </row>
        <row r="6440">
          <cell r="F6440" t="str">
            <v>INV2022-B2B-003</v>
          </cell>
          <cell r="G6440" t="str">
            <v>Paid</v>
          </cell>
        </row>
        <row r="6441">
          <cell r="F6441" t="str">
            <v>INV2022-B2B-004</v>
          </cell>
          <cell r="G6441" t="str">
            <v>Paid</v>
          </cell>
        </row>
        <row r="6442">
          <cell r="F6442" t="str">
            <v>CN2022-B2B-001</v>
          </cell>
          <cell r="G6442" t="str">
            <v>Paid</v>
          </cell>
        </row>
        <row r="6443">
          <cell r="F6443" t="str">
            <v>UKCARDS0012</v>
          </cell>
          <cell r="G6443" t="str">
            <v>Paid</v>
          </cell>
        </row>
        <row r="6444">
          <cell r="F6444" t="str">
            <v>UKCARDS0013</v>
          </cell>
          <cell r="G6444" t="str">
            <v>Paid</v>
          </cell>
        </row>
        <row r="6445">
          <cell r="F6445" t="str">
            <v>INV2022-B2B-005</v>
          </cell>
          <cell r="G6445" t="str">
            <v>Paid</v>
          </cell>
        </row>
        <row r="6446">
          <cell r="F6446" t="str">
            <v>UKCARDS0014</v>
          </cell>
          <cell r="G6446" t="str">
            <v>Paid</v>
          </cell>
        </row>
        <row r="6447">
          <cell r="F6447" t="str">
            <v>CN2022-B2B-002</v>
          </cell>
          <cell r="G6447" t="str">
            <v>Paid</v>
          </cell>
        </row>
        <row r="6448">
          <cell r="F6448" t="str">
            <v>INV2022-B2B-006</v>
          </cell>
          <cell r="G6448" t="str">
            <v>Paid</v>
          </cell>
        </row>
        <row r="6449">
          <cell r="F6449" t="str">
            <v>INV-021122193506</v>
          </cell>
          <cell r="G6449" t="str">
            <v>Paid</v>
          </cell>
        </row>
        <row r="6450">
          <cell r="F6450" t="str">
            <v>INV2022-B2B-008</v>
          </cell>
          <cell r="G6450" t="str">
            <v>Paid</v>
          </cell>
        </row>
        <row r="6451">
          <cell r="F6451" t="str">
            <v>INV2022-B2B-007</v>
          </cell>
          <cell r="G6451" t="str">
            <v>Paid</v>
          </cell>
        </row>
        <row r="6452">
          <cell r="F6452" t="str">
            <v>INV-021222204526</v>
          </cell>
          <cell r="G6452" t="str">
            <v>Paid</v>
          </cell>
        </row>
        <row r="6453">
          <cell r="F6453" t="str">
            <v>INV2022-B2B-009</v>
          </cell>
          <cell r="G6453" t="str">
            <v>Paid</v>
          </cell>
        </row>
        <row r="6454">
          <cell r="F6454" t="str">
            <v>INV-040123221717</v>
          </cell>
          <cell r="G6454" t="str">
            <v>PAID</v>
          </cell>
        </row>
        <row r="6455">
          <cell r="F6455" t="str">
            <v>INV2023-B2B-001</v>
          </cell>
          <cell r="G6455" t="str">
            <v>Paid</v>
          </cell>
        </row>
        <row r="6456">
          <cell r="F6456" t="str">
            <v>INV-030223022246</v>
          </cell>
          <cell r="G6456" t="str">
            <v>Paid</v>
          </cell>
        </row>
        <row r="6457">
          <cell r="F6457" t="str">
            <v>DN-090223141230</v>
          </cell>
          <cell r="G6457" t="str">
            <v>Paid</v>
          </cell>
        </row>
        <row r="6458">
          <cell r="F6458" t="str">
            <v>CN-130223140000</v>
          </cell>
          <cell r="G6458" t="str">
            <v>PAID</v>
          </cell>
        </row>
        <row r="6459">
          <cell r="F6459" t="str">
            <v>DN-130223145927</v>
          </cell>
          <cell r="G6459" t="str">
            <v>Paid</v>
          </cell>
        </row>
        <row r="6460">
          <cell r="F6460" t="str">
            <v>DN-130223151042</v>
          </cell>
          <cell r="G6460" t="str">
            <v>Paid</v>
          </cell>
        </row>
        <row r="6461">
          <cell r="F6461" t="str">
            <v>DN-130223152014</v>
          </cell>
          <cell r="G6461" t="str">
            <v>Paid</v>
          </cell>
        </row>
        <row r="6462">
          <cell r="F6462" t="str">
            <v>DN-130223170926</v>
          </cell>
          <cell r="G6462" t="str">
            <v>Paid</v>
          </cell>
        </row>
        <row r="6463">
          <cell r="F6463" t="str">
            <v>DN-130223171154</v>
          </cell>
          <cell r="G6463" t="str">
            <v>Paid</v>
          </cell>
        </row>
        <row r="6464">
          <cell r="F6464" t="str">
            <v>DN-130223171532</v>
          </cell>
          <cell r="G6464" t="str">
            <v>Paid</v>
          </cell>
        </row>
        <row r="6465">
          <cell r="F6465" t="str">
            <v>INV2023-B2B-002</v>
          </cell>
          <cell r="G6465" t="str">
            <v>Paid</v>
          </cell>
        </row>
        <row r="6466">
          <cell r="F6466" t="str">
            <v>INV-020323223915</v>
          </cell>
          <cell r="G6466" t="str">
            <v>PAID</v>
          </cell>
        </row>
        <row r="6467">
          <cell r="F6467" t="str">
            <v>INV2023-B2B-003</v>
          </cell>
          <cell r="G6467" t="str">
            <v>Paid</v>
          </cell>
        </row>
        <row r="6468">
          <cell r="F6468" t="str">
            <v>INV-040423121740</v>
          </cell>
          <cell r="G6468" t="str">
            <v>PAID</v>
          </cell>
        </row>
        <row r="6469">
          <cell r="F6469" t="str">
            <v>INV2023-B2B-004</v>
          </cell>
          <cell r="G6469" t="str">
            <v>Paid</v>
          </cell>
        </row>
        <row r="6470">
          <cell r="F6470" t="str">
            <v>INV-030523193442</v>
          </cell>
          <cell r="G6470" t="str">
            <v>Paid</v>
          </cell>
        </row>
        <row r="6471">
          <cell r="F6471" t="str">
            <v>INV2023-B2B-005</v>
          </cell>
          <cell r="G6471" t="str">
            <v>Paid</v>
          </cell>
        </row>
        <row r="6472">
          <cell r="F6472" t="str">
            <v xml:space="preserve"> INV-020623162416</v>
          </cell>
          <cell r="G6472" t="str">
            <v>Paid</v>
          </cell>
        </row>
        <row r="6473">
          <cell r="F6473" t="str">
            <v>INV2023-B2B-006</v>
          </cell>
          <cell r="G6473" t="str">
            <v>Paid</v>
          </cell>
        </row>
        <row r="6474">
          <cell r="F6474" t="str">
            <v>INV-040723151707</v>
          </cell>
          <cell r="G6474" t="str">
            <v>Paid</v>
          </cell>
        </row>
        <row r="6475">
          <cell r="F6475" t="str">
            <v>INV-060825125341</v>
          </cell>
          <cell r="G6475" t="str">
            <v>Paid</v>
          </cell>
        </row>
        <row r="6476">
          <cell r="F6476" t="str">
            <v>INV-020925192512</v>
          </cell>
          <cell r="G6476" t="str">
            <v>Paid</v>
          </cell>
        </row>
        <row r="6477">
          <cell r="F6477" t="str">
            <v>INV-020226194757</v>
          </cell>
          <cell r="G6477" t="str">
            <v>Paid</v>
          </cell>
        </row>
        <row r="6478">
          <cell r="F6478" t="str">
            <v>INV-021025144400</v>
          </cell>
          <cell r="G6478" t="str">
            <v>Paid</v>
          </cell>
        </row>
        <row r="6479">
          <cell r="F6479" t="str">
            <v>INV-061125173517</v>
          </cell>
          <cell r="G6479" t="str">
            <v>Paid</v>
          </cell>
        </row>
        <row r="6480">
          <cell r="F6480" t="str">
            <v>INV-021225160258</v>
          </cell>
          <cell r="G6480" t="str">
            <v>Paid</v>
          </cell>
        </row>
        <row r="6481">
          <cell r="F6481" t="str">
            <v>INV-020126183633</v>
          </cell>
          <cell r="G6481" t="str">
            <v>Paid</v>
          </cell>
        </row>
        <row r="6482">
          <cell r="F6482" t="str">
            <v>INV-040326103402</v>
          </cell>
          <cell r="G6482" t="str">
            <v>Paid</v>
          </cell>
        </row>
        <row r="6483">
          <cell r="F6483" t="str">
            <v>INV-040725193200</v>
          </cell>
          <cell r="G6483" t="str">
            <v>Paid</v>
          </cell>
        </row>
        <row r="6484">
          <cell r="F6484" t="str">
            <v>INV-050825114009</v>
          </cell>
          <cell r="G6484" t="str">
            <v>Paid</v>
          </cell>
        </row>
        <row r="6485">
          <cell r="F6485" t="str">
            <v>INV-020925164052</v>
          </cell>
          <cell r="G6485" t="str">
            <v>Paid</v>
          </cell>
        </row>
        <row r="6486">
          <cell r="F6486" t="str">
            <v>INV-021025190149</v>
          </cell>
          <cell r="G6486" t="str">
            <v>Paid</v>
          </cell>
        </row>
        <row r="6487">
          <cell r="F6487" t="str">
            <v>INV-061125200628</v>
          </cell>
          <cell r="G6487" t="str">
            <v>Paid</v>
          </cell>
        </row>
        <row r="6488">
          <cell r="F6488" t="str">
            <v>INV-031225153853</v>
          </cell>
          <cell r="G6488" t="str">
            <v>Paid</v>
          </cell>
        </row>
        <row r="6489">
          <cell r="F6489" t="str">
            <v>INV-020126190235</v>
          </cell>
          <cell r="G6489" t="str">
            <v>Paid</v>
          </cell>
        </row>
        <row r="6490">
          <cell r="F6490" t="str">
            <v>INV-050226022712</v>
          </cell>
          <cell r="G6490" t="str">
            <v>Paid</v>
          </cell>
        </row>
        <row r="6491">
          <cell r="F6491" t="str">
            <v>INV-030326155624</v>
          </cell>
          <cell r="G6491" t="str">
            <v>Paid</v>
          </cell>
        </row>
        <row r="6492">
          <cell r="F6492" t="str">
            <v>INV-030925114035</v>
          </cell>
          <cell r="G6492" t="str">
            <v>Paid</v>
          </cell>
        </row>
        <row r="6493">
          <cell r="F6493" t="str">
            <v>INV-031025164013</v>
          </cell>
          <cell r="G6493" t="str">
            <v>Paid</v>
          </cell>
        </row>
        <row r="6494">
          <cell r="F6494" t="str">
            <v>INV-061125123817</v>
          </cell>
          <cell r="G6494" t="str">
            <v>Paid</v>
          </cell>
        </row>
        <row r="6495">
          <cell r="F6495" t="str">
            <v>INV-031225150706</v>
          </cell>
          <cell r="G6495" t="str">
            <v>Paid</v>
          </cell>
        </row>
        <row r="6496">
          <cell r="F6496" t="str">
            <v>INV-050126113520</v>
          </cell>
          <cell r="G6496" t="str">
            <v>Paid</v>
          </cell>
        </row>
        <row r="6497">
          <cell r="F6497" t="str">
            <v>INV-050226024713</v>
          </cell>
          <cell r="G6497" t="str">
            <v>Paid</v>
          </cell>
        </row>
        <row r="6498">
          <cell r="F6498" t="str">
            <v>INV-030326163300</v>
          </cell>
          <cell r="G6498" t="str">
            <v>Paid</v>
          </cell>
        </row>
        <row r="6499">
          <cell r="F6499" t="str">
            <v>INV2022-BAN-002</v>
          </cell>
          <cell r="G6499" t="str">
            <v>Paid</v>
          </cell>
        </row>
        <row r="6500">
          <cell r="F6500" t="str">
            <v>INV2021-BAN-001</v>
          </cell>
          <cell r="G6500" t="str">
            <v>Paid</v>
          </cell>
        </row>
        <row r="6501">
          <cell r="F6501" t="str">
            <v>INV-2021-BNO-001</v>
          </cell>
          <cell r="G6501" t="str">
            <v>Paid</v>
          </cell>
        </row>
        <row r="6502">
          <cell r="F6502" t="str">
            <v>AUCARDS0008</v>
          </cell>
          <cell r="G6502" t="str">
            <v>Paid</v>
          </cell>
        </row>
        <row r="6503">
          <cell r="F6503" t="str">
            <v>AUCARDS0009</v>
          </cell>
          <cell r="G6503" t="str">
            <v>Paid</v>
          </cell>
        </row>
        <row r="6504">
          <cell r="F6504" t="str">
            <v>AUCARDS0012</v>
          </cell>
          <cell r="G6504" t="str">
            <v>Paid</v>
          </cell>
        </row>
        <row r="6505">
          <cell r="F6505" t="str">
            <v>AUCARDS0017</v>
          </cell>
          <cell r="G6505" t="str">
            <v>Paid</v>
          </cell>
        </row>
        <row r="6506">
          <cell r="F6506" t="str">
            <v>AUCARDS0019</v>
          </cell>
          <cell r="G6506" t="str">
            <v>Paid</v>
          </cell>
        </row>
        <row r="6507">
          <cell r="F6507" t="str">
            <v>AUCARDS0022</v>
          </cell>
          <cell r="G6507" t="str">
            <v>Paid</v>
          </cell>
        </row>
        <row r="6508">
          <cell r="F6508" t="str">
            <v>AUCARDS0032</v>
          </cell>
          <cell r="G6508" t="str">
            <v>Paid</v>
          </cell>
        </row>
        <row r="6509">
          <cell r="F6509" t="str">
            <v>AUCARDS0037</v>
          </cell>
          <cell r="G6509" t="str">
            <v>Paid</v>
          </cell>
        </row>
        <row r="6510">
          <cell r="F6510" t="str">
            <v>AUCARDS0043</v>
          </cell>
          <cell r="G6510" t="str">
            <v>Paid</v>
          </cell>
        </row>
        <row r="6511">
          <cell r="F6511" t="str">
            <v>AUCARDS0050</v>
          </cell>
          <cell r="G6511" t="str">
            <v>Paid</v>
          </cell>
        </row>
        <row r="6512">
          <cell r="F6512" t="str">
            <v>AUCARDS0056</v>
          </cell>
          <cell r="G6512" t="str">
            <v>Paid</v>
          </cell>
        </row>
        <row r="6513">
          <cell r="F6513" t="str">
            <v>INV-021122035854</v>
          </cell>
          <cell r="G6513" t="str">
            <v>Paid</v>
          </cell>
        </row>
        <row r="6514">
          <cell r="F6514" t="str">
            <v>INV-021222110706</v>
          </cell>
          <cell r="G6514" t="str">
            <v>Paid</v>
          </cell>
        </row>
        <row r="6515">
          <cell r="F6515" t="str">
            <v>INV-040123043229</v>
          </cell>
          <cell r="G6515" t="str">
            <v>Paid</v>
          </cell>
        </row>
        <row r="6516">
          <cell r="F6516" t="str">
            <v>INV-020223030041</v>
          </cell>
          <cell r="G6516" t="str">
            <v>Paid</v>
          </cell>
        </row>
        <row r="6517">
          <cell r="F6517" t="str">
            <v>INV-020323013044</v>
          </cell>
          <cell r="G6517" t="str">
            <v>Paid</v>
          </cell>
        </row>
        <row r="6518">
          <cell r="F6518" t="str">
            <v>INV-031123113121</v>
          </cell>
          <cell r="G6518" t="str">
            <v>Paid</v>
          </cell>
        </row>
        <row r="6519">
          <cell r="F6519" t="str">
            <v>INV-030423235542</v>
          </cell>
          <cell r="G6519" t="str">
            <v>Paid</v>
          </cell>
        </row>
        <row r="6520">
          <cell r="F6520" t="str">
            <v>INV-040923115018</v>
          </cell>
          <cell r="G6520" t="str">
            <v>Paid</v>
          </cell>
        </row>
        <row r="6521">
          <cell r="F6521" t="str">
            <v>INV-041023181503</v>
          </cell>
          <cell r="G6521" t="str">
            <v>Paid</v>
          </cell>
        </row>
        <row r="6522">
          <cell r="F6522" t="str">
            <v>INV-030523021832</v>
          </cell>
          <cell r="G6522" t="str">
            <v>Paid</v>
          </cell>
        </row>
        <row r="6523">
          <cell r="F6523" t="str">
            <v>INV-051223145110</v>
          </cell>
          <cell r="G6523" t="str">
            <v>Paid</v>
          </cell>
        </row>
        <row r="6524">
          <cell r="F6524" t="str">
            <v>INV-020623140846</v>
          </cell>
          <cell r="G6524" t="str">
            <v>Paid</v>
          </cell>
        </row>
        <row r="6525">
          <cell r="F6525" t="str">
            <v>INV-030723133247</v>
          </cell>
          <cell r="G6525" t="str">
            <v>Paid</v>
          </cell>
        </row>
        <row r="6526">
          <cell r="F6526" t="str">
            <v>INV-020823155712</v>
          </cell>
          <cell r="G6526" t="str">
            <v>Paid</v>
          </cell>
        </row>
        <row r="6527">
          <cell r="F6527" t="str">
            <v>INV-050124104134</v>
          </cell>
          <cell r="G6527" t="str">
            <v>Paid</v>
          </cell>
        </row>
        <row r="6528">
          <cell r="F6528" t="str">
            <v>INV-060224150027</v>
          </cell>
          <cell r="G6528" t="str">
            <v>Paid</v>
          </cell>
        </row>
        <row r="6529">
          <cell r="F6529" t="str">
            <v>INV-050424172038</v>
          </cell>
          <cell r="G6529" t="str">
            <v>Paid</v>
          </cell>
        </row>
        <row r="6530">
          <cell r="F6530" t="str">
            <v>INV-280624150900</v>
          </cell>
          <cell r="G6530" t="str">
            <v>Paid</v>
          </cell>
        </row>
        <row r="6531">
          <cell r="F6531" t="str">
            <v>INV-060324154433</v>
          </cell>
          <cell r="G6531" t="str">
            <v>Paid</v>
          </cell>
        </row>
        <row r="6532">
          <cell r="F6532" t="str">
            <v>INV-270824122838</v>
          </cell>
          <cell r="G6532" t="str">
            <v>Paid</v>
          </cell>
        </row>
        <row r="6533">
          <cell r="F6533" t="str">
            <v>INV-050225160831</v>
          </cell>
          <cell r="G6533" t="str">
            <v>Paid</v>
          </cell>
        </row>
        <row r="6534">
          <cell r="F6534" t="str">
            <v>INV-050325132549</v>
          </cell>
          <cell r="G6534" t="str">
            <v>Paid</v>
          </cell>
        </row>
        <row r="6535">
          <cell r="F6535" t="str">
            <v>INV-020425193831</v>
          </cell>
          <cell r="G6535" t="str">
            <v>Paid</v>
          </cell>
        </row>
        <row r="6536">
          <cell r="F6536" t="str">
            <v>INV-050525100747</v>
          </cell>
          <cell r="G6536" t="str">
            <v>Paid</v>
          </cell>
        </row>
        <row r="6537">
          <cell r="F6537" t="str">
            <v>INV-030625161219</v>
          </cell>
          <cell r="G6537" t="str">
            <v>Paid</v>
          </cell>
        </row>
        <row r="6538">
          <cell r="F6538" t="str">
            <v>INV-030725104050</v>
          </cell>
          <cell r="G6538" t="str">
            <v>Paid</v>
          </cell>
        </row>
        <row r="6539">
          <cell r="F6539" t="str">
            <v>INV-040825143502</v>
          </cell>
          <cell r="G6539" t="str">
            <v>Paid</v>
          </cell>
        </row>
        <row r="6540">
          <cell r="F6540" t="str">
            <v>INV-020925180852</v>
          </cell>
          <cell r="G6540" t="str">
            <v>Paid</v>
          </cell>
        </row>
        <row r="6541">
          <cell r="F6541" t="str">
            <v>INV-021025164338</v>
          </cell>
          <cell r="G6541" t="str">
            <v>Paid</v>
          </cell>
        </row>
        <row r="6542">
          <cell r="F6542" t="str">
            <v>INV-051125085451</v>
          </cell>
          <cell r="G6542" t="str">
            <v>Paid</v>
          </cell>
        </row>
        <row r="6543">
          <cell r="F6543" t="str">
            <v>INV-021225173421</v>
          </cell>
          <cell r="G6543" t="str">
            <v>Paid</v>
          </cell>
        </row>
        <row r="6544">
          <cell r="F6544" t="str">
            <v>INV-020126142807</v>
          </cell>
          <cell r="G6544" t="str">
            <v>Paid</v>
          </cell>
        </row>
        <row r="6545">
          <cell r="F6545" t="str">
            <v>INV-020226220956</v>
          </cell>
          <cell r="G6545" t="str">
            <v>Paid</v>
          </cell>
        </row>
        <row r="6546">
          <cell r="F6546" t="str">
            <v>INV-030326005231</v>
          </cell>
          <cell r="G6546" t="str">
            <v>Outstanding</v>
          </cell>
        </row>
        <row r="6547">
          <cell r="F6547" t="str">
            <v>INV-120225092830</v>
          </cell>
          <cell r="G6547" t="str">
            <v>Paid</v>
          </cell>
        </row>
        <row r="6548">
          <cell r="F6548" t="str">
            <v>INV-051125144313</v>
          </cell>
          <cell r="G6548" t="str">
            <v>Paid</v>
          </cell>
        </row>
        <row r="6549">
          <cell r="F6549" t="str">
            <v>INV-031225114343</v>
          </cell>
          <cell r="G6549" t="str">
            <v>Paid</v>
          </cell>
        </row>
        <row r="6550">
          <cell r="F6550" t="str">
            <v>INV-020126192443</v>
          </cell>
          <cell r="G6550" t="str">
            <v>Paid</v>
          </cell>
        </row>
        <row r="6551">
          <cell r="F6551" t="str">
            <v>INV-040226201806</v>
          </cell>
          <cell r="G6551" t="str">
            <v>Paid</v>
          </cell>
        </row>
        <row r="6552">
          <cell r="F6552" t="str">
            <v>INV-030326175549</v>
          </cell>
          <cell r="G6552" t="str">
            <v>Paid</v>
          </cell>
        </row>
        <row r="6553">
          <cell r="F6553" t="str">
            <v>INV2021-BLK-001</v>
          </cell>
          <cell r="G6553" t="str">
            <v>Waived Off</v>
          </cell>
        </row>
        <row r="6554">
          <cell r="F6554" t="str">
            <v>CARDS0012</v>
          </cell>
          <cell r="G6554" t="str">
            <v>Paid</v>
          </cell>
        </row>
        <row r="6555">
          <cell r="F6555" t="str">
            <v>INV2021-BSM-003</v>
          </cell>
          <cell r="G6555" t="str">
            <v>Paid</v>
          </cell>
        </row>
        <row r="6556">
          <cell r="F6556" t="str">
            <v>INV2021-BSM-004</v>
          </cell>
          <cell r="G6556" t="str">
            <v>Paid</v>
          </cell>
        </row>
        <row r="6557">
          <cell r="F6557" t="str">
            <v>CARDS0038</v>
          </cell>
          <cell r="G6557" t="str">
            <v>Paid</v>
          </cell>
        </row>
        <row r="6558">
          <cell r="F6558" t="str">
            <v>CARDS0053</v>
          </cell>
          <cell r="G6558" t="str">
            <v>Paid</v>
          </cell>
        </row>
        <row r="6559">
          <cell r="F6559" t="str">
            <v>CARDS0075</v>
          </cell>
          <cell r="G6559" t="str">
            <v>Paid</v>
          </cell>
        </row>
        <row r="6560">
          <cell r="F6560" t="str">
            <v>CARDS0088</v>
          </cell>
          <cell r="G6560" t="str">
            <v>Paid</v>
          </cell>
        </row>
        <row r="6561">
          <cell r="F6561" t="str">
            <v>INV2021-BSM-005</v>
          </cell>
          <cell r="G6561" t="str">
            <v>Paid</v>
          </cell>
        </row>
        <row r="6562">
          <cell r="F6562" t="str">
            <v>CARDS0105</v>
          </cell>
          <cell r="G6562" t="str">
            <v>Paid</v>
          </cell>
        </row>
        <row r="6563">
          <cell r="F6563" t="str">
            <v>INV2021-BSM-006</v>
          </cell>
          <cell r="G6563" t="str">
            <v>Paid</v>
          </cell>
        </row>
        <row r="6564">
          <cell r="F6564" t="str">
            <v>CARDS0124</v>
          </cell>
          <cell r="G6564" t="str">
            <v>Paid</v>
          </cell>
        </row>
        <row r="6565">
          <cell r="F6565" t="str">
            <v>CARDS0141</v>
          </cell>
          <cell r="G6565" t="str">
            <v>Paid</v>
          </cell>
        </row>
        <row r="6566">
          <cell r="F6566" t="str">
            <v>CNCARDS0006</v>
          </cell>
          <cell r="G6566" t="str">
            <v>Paid</v>
          </cell>
        </row>
        <row r="6567">
          <cell r="F6567" t="str">
            <v>INV2021-BSM-007</v>
          </cell>
          <cell r="G6567" t="str">
            <v>Paid</v>
          </cell>
        </row>
        <row r="6568">
          <cell r="F6568" t="str">
            <v>CARDS0160</v>
          </cell>
          <cell r="G6568" t="str">
            <v>Paid</v>
          </cell>
        </row>
        <row r="6569">
          <cell r="F6569" t="str">
            <v>CARDS0177</v>
          </cell>
          <cell r="G6569" t="str">
            <v>Paid</v>
          </cell>
        </row>
        <row r="6570">
          <cell r="F6570" t="str">
            <v>CARDS0197</v>
          </cell>
          <cell r="G6570" t="str">
            <v>Paid</v>
          </cell>
        </row>
        <row r="6571">
          <cell r="F6571" t="str">
            <v>CARDS0217</v>
          </cell>
          <cell r="G6571" t="str">
            <v>Paid</v>
          </cell>
        </row>
        <row r="6572">
          <cell r="F6572" t="str">
            <v>CARDS0235</v>
          </cell>
          <cell r="G6572" t="str">
            <v>Paid</v>
          </cell>
        </row>
        <row r="6573">
          <cell r="F6573" t="str">
            <v>CARDS0252</v>
          </cell>
          <cell r="G6573" t="str">
            <v>Paid</v>
          </cell>
        </row>
        <row r="6574">
          <cell r="F6574" t="str">
            <v>CARDS0273</v>
          </cell>
          <cell r="G6574" t="str">
            <v>Paid</v>
          </cell>
        </row>
        <row r="6575">
          <cell r="F6575" t="str">
            <v>DNCARDS0017</v>
          </cell>
          <cell r="G6575" t="str">
            <v>Paid</v>
          </cell>
        </row>
        <row r="6576">
          <cell r="F6576" t="str">
            <v>CARDS0291</v>
          </cell>
          <cell r="G6576" t="str">
            <v>Paid</v>
          </cell>
        </row>
        <row r="6577">
          <cell r="F6577" t="str">
            <v>CARDS0308</v>
          </cell>
          <cell r="G6577" t="str">
            <v>Paid</v>
          </cell>
        </row>
        <row r="6578">
          <cell r="F6578" t="str">
            <v>CNCARDS0023</v>
          </cell>
          <cell r="G6578" t="str">
            <v>Paid</v>
          </cell>
        </row>
        <row r="6579">
          <cell r="F6579" t="str">
            <v>CARDS0322</v>
          </cell>
          <cell r="G6579" t="str">
            <v>Paid</v>
          </cell>
        </row>
        <row r="6580">
          <cell r="F6580" t="str">
            <v>CARDS0335</v>
          </cell>
          <cell r="G6580" t="str">
            <v>Paid</v>
          </cell>
        </row>
        <row r="6581">
          <cell r="F6581" t="str">
            <v>INV-021122010944</v>
          </cell>
          <cell r="G6581" t="str">
            <v>Waived Off</v>
          </cell>
        </row>
        <row r="6582">
          <cell r="F6582" t="str">
            <v>INV-020824183048</v>
          </cell>
          <cell r="G6582" t="str">
            <v>Paid</v>
          </cell>
        </row>
        <row r="6583">
          <cell r="F6583" t="str">
            <v>INV-030724161650</v>
          </cell>
          <cell r="G6583" t="str">
            <v>Paid</v>
          </cell>
        </row>
        <row r="6584">
          <cell r="F6584" t="str">
            <v>INV-031224174211</v>
          </cell>
          <cell r="G6584" t="str">
            <v>Paid</v>
          </cell>
        </row>
        <row r="6585">
          <cell r="F6585" t="str">
            <v>INV-040924133958</v>
          </cell>
          <cell r="G6585" t="str">
            <v>Paid</v>
          </cell>
        </row>
        <row r="6586">
          <cell r="F6586" t="str">
            <v>INV-061124160547</v>
          </cell>
          <cell r="G6586" t="str">
            <v>Paid</v>
          </cell>
        </row>
        <row r="6587">
          <cell r="F6587" t="str">
            <v>INV-120624103954</v>
          </cell>
          <cell r="G6587" t="str">
            <v>Paid</v>
          </cell>
        </row>
        <row r="6588">
          <cell r="F6588" t="str">
            <v>INV-120624104928</v>
          </cell>
          <cell r="G6588" t="str">
            <v>Paid</v>
          </cell>
        </row>
        <row r="6589">
          <cell r="F6589" t="str">
            <v>INV-071024113632</v>
          </cell>
          <cell r="G6589" t="str">
            <v>Paid</v>
          </cell>
        </row>
        <row r="6590">
          <cell r="F6590" t="str">
            <v>INV-030125182949</v>
          </cell>
          <cell r="G6590" t="str">
            <v>Paid</v>
          </cell>
        </row>
        <row r="6591">
          <cell r="F6591" t="str">
            <v>INV-040225162357</v>
          </cell>
          <cell r="G6591" t="str">
            <v>Paid</v>
          </cell>
        </row>
        <row r="6592">
          <cell r="F6592" t="str">
            <v>INV-040325163300</v>
          </cell>
          <cell r="G6592" t="str">
            <v>Paid</v>
          </cell>
        </row>
        <row r="6593">
          <cell r="F6593" t="str">
            <v>INV-020425172537</v>
          </cell>
          <cell r="G6593" t="str">
            <v>Paid</v>
          </cell>
        </row>
        <row r="6594">
          <cell r="F6594" t="str">
            <v>INV-020525194652</v>
          </cell>
          <cell r="G6594" t="str">
            <v>Paid</v>
          </cell>
        </row>
        <row r="6595">
          <cell r="F6595" t="str">
            <v>INV-030625152343</v>
          </cell>
          <cell r="G6595" t="str">
            <v>Paid</v>
          </cell>
        </row>
        <row r="6596">
          <cell r="F6596" t="str">
            <v>INV-020725185352</v>
          </cell>
          <cell r="G6596" t="str">
            <v>Paid</v>
          </cell>
        </row>
        <row r="6597">
          <cell r="F6597" t="str">
            <v>INV-040825163548</v>
          </cell>
          <cell r="G6597" t="str">
            <v>Paid</v>
          </cell>
        </row>
        <row r="6598">
          <cell r="F6598" t="str">
            <v>INV-020925171947</v>
          </cell>
          <cell r="G6598" t="str">
            <v>Paid</v>
          </cell>
        </row>
        <row r="6599">
          <cell r="F6599" t="str">
            <v>INV-021025135208</v>
          </cell>
          <cell r="G6599" t="str">
            <v>Paid</v>
          </cell>
        </row>
        <row r="6600">
          <cell r="F6600" t="str">
            <v>INV-031125192326</v>
          </cell>
          <cell r="G6600" t="str">
            <v>Paid</v>
          </cell>
        </row>
        <row r="6601">
          <cell r="F6601" t="str">
            <v>INV-021225131711</v>
          </cell>
          <cell r="G6601" t="str">
            <v>Paid</v>
          </cell>
        </row>
        <row r="6602">
          <cell r="F6602" t="str">
            <v>INV-020126151700</v>
          </cell>
          <cell r="G6602" t="str">
            <v>Paid</v>
          </cell>
        </row>
        <row r="6603">
          <cell r="F6603" t="str">
            <v>INV-020226170303</v>
          </cell>
          <cell r="G6603" t="str">
            <v>Paid</v>
          </cell>
        </row>
        <row r="6604">
          <cell r="F6604" t="str">
            <v>INV-030326095359</v>
          </cell>
          <cell r="G6604" t="str">
            <v>Paid</v>
          </cell>
        </row>
        <row r="6605">
          <cell r="F6605" t="str">
            <v>CARDS0206</v>
          </cell>
          <cell r="G6605" t="str">
            <v>Waived Off</v>
          </cell>
        </row>
        <row r="6606">
          <cell r="F6606" t="str">
            <v>INV2021-BCM-001</v>
          </cell>
          <cell r="G6606" t="str">
            <v>Paid</v>
          </cell>
        </row>
        <row r="6607">
          <cell r="F6607" t="str">
            <v>AUCARDS0024</v>
          </cell>
          <cell r="G6607" t="str">
            <v>Paid</v>
          </cell>
        </row>
        <row r="6608">
          <cell r="F6608" t="str">
            <v>AUCARDS0034</v>
          </cell>
          <cell r="G6608" t="str">
            <v>Paid</v>
          </cell>
        </row>
        <row r="6609">
          <cell r="F6609" t="str">
            <v>CNCARDS0017</v>
          </cell>
          <cell r="G6609" t="str">
            <v>Paid</v>
          </cell>
        </row>
        <row r="6610">
          <cell r="F6610" t="str">
            <v>AUCARDS0039</v>
          </cell>
          <cell r="G6610" t="str">
            <v>Paid</v>
          </cell>
        </row>
        <row r="6611">
          <cell r="F6611" t="str">
            <v>AUCARDS0045</v>
          </cell>
          <cell r="G6611" t="str">
            <v>Paid</v>
          </cell>
        </row>
        <row r="6612">
          <cell r="F6612" t="str">
            <v>AUCARDS0052</v>
          </cell>
          <cell r="G6612" t="str">
            <v>Paid</v>
          </cell>
        </row>
        <row r="6613">
          <cell r="F6613" t="str">
            <v>AUCARDS0058</v>
          </cell>
          <cell r="G6613" t="str">
            <v>Paid</v>
          </cell>
        </row>
        <row r="6614">
          <cell r="F6614" t="str">
            <v>INV-021122050731</v>
          </cell>
          <cell r="G6614" t="str">
            <v>Paid</v>
          </cell>
        </row>
        <row r="6615">
          <cell r="F6615" t="str">
            <v>INV-021222123643</v>
          </cell>
          <cell r="G6615" t="str">
            <v>Paid</v>
          </cell>
        </row>
        <row r="6616">
          <cell r="F6616" t="str">
            <v>INV-040123113502</v>
          </cell>
          <cell r="G6616" t="str">
            <v>Paid</v>
          </cell>
        </row>
        <row r="6617">
          <cell r="F6617" t="str">
            <v>INV-020223224115</v>
          </cell>
          <cell r="G6617" t="str">
            <v>Paid</v>
          </cell>
        </row>
        <row r="6618">
          <cell r="F6618" t="str">
            <v>INV-020323151137</v>
          </cell>
          <cell r="G6618" t="str">
            <v>Paid</v>
          </cell>
        </row>
        <row r="6619">
          <cell r="F6619" t="str">
            <v>INV-040423000527</v>
          </cell>
          <cell r="G6619" t="str">
            <v>Paid</v>
          </cell>
        </row>
        <row r="6620">
          <cell r="F6620" t="str">
            <v>INV-031025135018</v>
          </cell>
          <cell r="G6620" t="str">
            <v>Paid</v>
          </cell>
        </row>
        <row r="6621">
          <cell r="F6621" t="str">
            <v>INV2021-AUBCM-002</v>
          </cell>
          <cell r="G6621" t="str">
            <v>Paid</v>
          </cell>
        </row>
        <row r="6622">
          <cell r="F6622" t="str">
            <v>INV2021-AUBCM-003</v>
          </cell>
          <cell r="G6622" t="str">
            <v>Paid</v>
          </cell>
        </row>
        <row r="6623">
          <cell r="F6623" t="str">
            <v>INV2021-AUBCM-004</v>
          </cell>
          <cell r="G6623" t="str">
            <v>Paid</v>
          </cell>
        </row>
        <row r="6624">
          <cell r="F6624" t="str">
            <v>INV2021-AUBCM-005</v>
          </cell>
          <cell r="G6624" t="str">
            <v>Paid</v>
          </cell>
        </row>
        <row r="6625">
          <cell r="F6625" t="str">
            <v>INV2021-AUBCM-006</v>
          </cell>
          <cell r="G6625" t="str">
            <v>Paid</v>
          </cell>
        </row>
        <row r="6626">
          <cell r="F6626" t="str">
            <v>INV-2021-BCM-007</v>
          </cell>
          <cell r="G6626" t="str">
            <v>Paid</v>
          </cell>
        </row>
        <row r="6627">
          <cell r="F6627" t="str">
            <v>INV-2021-BCM-008</v>
          </cell>
          <cell r="G6627" t="str">
            <v>Paid</v>
          </cell>
        </row>
        <row r="6628">
          <cell r="F6628" t="str">
            <v>INV2021-BCM-009</v>
          </cell>
          <cell r="G6628" t="str">
            <v>Paid</v>
          </cell>
        </row>
        <row r="6629">
          <cell r="F6629" t="str">
            <v>AUCARDS0003</v>
          </cell>
          <cell r="G6629" t="str">
            <v>Paid</v>
          </cell>
        </row>
        <row r="6630">
          <cell r="F6630" t="str">
            <v>AUCARDS0005</v>
          </cell>
          <cell r="G6630" t="str">
            <v>Paid</v>
          </cell>
        </row>
        <row r="6631">
          <cell r="F6631" t="str">
            <v>AUCARDS0007</v>
          </cell>
          <cell r="G6631" t="str">
            <v>Paid</v>
          </cell>
        </row>
        <row r="6632">
          <cell r="F6632" t="str">
            <v>AUCARDS0011</v>
          </cell>
          <cell r="G6632" t="str">
            <v>Paid</v>
          </cell>
        </row>
        <row r="6633">
          <cell r="F6633" t="str">
            <v>INV2021-BOP-001</v>
          </cell>
          <cell r="G6633" t="str">
            <v>Waived Off</v>
          </cell>
        </row>
        <row r="6634">
          <cell r="F6634" t="str">
            <v>INV2022-BOP-001</v>
          </cell>
          <cell r="G6634" t="str">
            <v>Waived Off</v>
          </cell>
        </row>
        <row r="6635">
          <cell r="F6635" t="str">
            <v>INV-291123175735</v>
          </cell>
          <cell r="G6635" t="str">
            <v>Paid</v>
          </cell>
        </row>
        <row r="6636">
          <cell r="F6636" t="str">
            <v>INV-291123173518</v>
          </cell>
          <cell r="G6636" t="str">
            <v>Paid</v>
          </cell>
        </row>
        <row r="6637">
          <cell r="F6637" t="str">
            <v>INV-291123174159</v>
          </cell>
          <cell r="G6637" t="str">
            <v>Paid</v>
          </cell>
        </row>
        <row r="6638">
          <cell r="F6638" t="str">
            <v>CN-INV3107241745</v>
          </cell>
          <cell r="G6638" t="str">
            <v>Paid</v>
          </cell>
        </row>
        <row r="6639">
          <cell r="F6639" t="str">
            <v>INV2023-BKNG-001</v>
          </cell>
          <cell r="G6639" t="str">
            <v>Paid</v>
          </cell>
        </row>
        <row r="6640">
          <cell r="F6640" t="str">
            <v>INV-291123171340</v>
          </cell>
          <cell r="G6640" t="str">
            <v>Paid</v>
          </cell>
        </row>
        <row r="6641">
          <cell r="F6641" t="str">
            <v>INV-250923174414</v>
          </cell>
          <cell r="G6641" t="str">
            <v>Paid</v>
          </cell>
        </row>
        <row r="6642">
          <cell r="F6642" t="str">
            <v>CARDS0009</v>
          </cell>
          <cell r="G6642" t="str">
            <v>Paid</v>
          </cell>
        </row>
        <row r="6643">
          <cell r="F6643" t="str">
            <v>CARDS0020</v>
          </cell>
          <cell r="G6643" t="str">
            <v>Paid</v>
          </cell>
        </row>
        <row r="6644">
          <cell r="F6644" t="str">
            <v>CARDS0034</v>
          </cell>
          <cell r="G6644" t="str">
            <v>Paid</v>
          </cell>
        </row>
        <row r="6645">
          <cell r="F6645" t="str">
            <v>CARDS0050</v>
          </cell>
          <cell r="G6645" t="str">
            <v>Paid</v>
          </cell>
        </row>
        <row r="6646">
          <cell r="F6646" t="str">
            <v>INV2021-BFT-001</v>
          </cell>
          <cell r="G6646" t="str">
            <v>Waived Off</v>
          </cell>
        </row>
        <row r="6647">
          <cell r="F6647" t="str">
            <v>INV-120724114008</v>
          </cell>
          <cell r="G6647" t="str">
            <v>Paid</v>
          </cell>
        </row>
        <row r="6648">
          <cell r="F6648" t="str">
            <v>INV-041224181528</v>
          </cell>
          <cell r="G6648" t="str">
            <v>Paid</v>
          </cell>
        </row>
        <row r="6649">
          <cell r="F6649" t="str">
            <v>INV-060125111547</v>
          </cell>
          <cell r="G6649" t="str">
            <v>Paid</v>
          </cell>
        </row>
        <row r="6650">
          <cell r="F6650" t="str">
            <v>INV-050225122446</v>
          </cell>
          <cell r="G6650" t="str">
            <v>Paid</v>
          </cell>
        </row>
        <row r="6651">
          <cell r="F6651" t="str">
            <v>INV-040325194028</v>
          </cell>
          <cell r="G6651" t="str">
            <v>Paid</v>
          </cell>
        </row>
        <row r="6652">
          <cell r="F6652" t="str">
            <v>INV-020425191709</v>
          </cell>
          <cell r="G6652" t="str">
            <v>Paid</v>
          </cell>
        </row>
        <row r="6653">
          <cell r="F6653" t="str">
            <v>INV-050525151352</v>
          </cell>
          <cell r="G6653" t="str">
            <v>Paid</v>
          </cell>
        </row>
        <row r="6654">
          <cell r="F6654" t="str">
            <v>INV-030625194106</v>
          </cell>
          <cell r="G6654" t="str">
            <v>Paid</v>
          </cell>
        </row>
        <row r="6655">
          <cell r="F6655" t="str">
            <v>INV-030725102536</v>
          </cell>
          <cell r="G6655" t="str">
            <v>Paid</v>
          </cell>
        </row>
        <row r="6656">
          <cell r="F6656" t="str">
            <v>INV-040825135149</v>
          </cell>
          <cell r="G6656" t="str">
            <v>Net Off</v>
          </cell>
        </row>
        <row r="6657">
          <cell r="F6657" t="str">
            <v>INV-020925161627</v>
          </cell>
          <cell r="G6657" t="str">
            <v>Net Off</v>
          </cell>
        </row>
        <row r="6658">
          <cell r="F6658" t="str">
            <v>INV-021025161120</v>
          </cell>
          <cell r="G6658" t="str">
            <v>Net Off</v>
          </cell>
        </row>
        <row r="6659">
          <cell r="F6659" t="str">
            <v>INV-051125092759</v>
          </cell>
          <cell r="G6659" t="str">
            <v>Net Off</v>
          </cell>
        </row>
        <row r="6660">
          <cell r="F6660" t="str">
            <v>INV-021225163914</v>
          </cell>
          <cell r="G6660" t="str">
            <v>Net Off</v>
          </cell>
        </row>
        <row r="6661">
          <cell r="F6661" t="str">
            <v>INV-020126141332</v>
          </cell>
          <cell r="G6661" t="str">
            <v>Net Off</v>
          </cell>
        </row>
        <row r="6662">
          <cell r="F6662" t="str">
            <v>INV-020226220215</v>
          </cell>
          <cell r="G6662" t="str">
            <v>Net Off</v>
          </cell>
        </row>
        <row r="6663">
          <cell r="F6663" t="str">
            <v>CN-INV-230326125513</v>
          </cell>
          <cell r="G6663" t="str">
            <v>Net Off</v>
          </cell>
        </row>
        <row r="6664">
          <cell r="F6664" t="str">
            <v>INV2021-BGL-002</v>
          </cell>
          <cell r="G6664" t="str">
            <v>Paid</v>
          </cell>
        </row>
        <row r="6665">
          <cell r="F6665" t="str">
            <v>INV2021-BGL-003</v>
          </cell>
          <cell r="G6665" t="str">
            <v>Paid</v>
          </cell>
        </row>
        <row r="6666">
          <cell r="F6666" t="str">
            <v>CN2021-BGL-001</v>
          </cell>
          <cell r="G6666" t="str">
            <v>Paid</v>
          </cell>
        </row>
        <row r="6667">
          <cell r="F6667" t="str">
            <v>INV21-BGL-015</v>
          </cell>
          <cell r="G6667" t="str">
            <v>Paid</v>
          </cell>
        </row>
        <row r="6668">
          <cell r="F6668" t="str">
            <v>INV2021-BGL-004</v>
          </cell>
          <cell r="G6668" t="str">
            <v>Paid</v>
          </cell>
        </row>
        <row r="6669">
          <cell r="F6669" t="str">
            <v>INV2021-BGL-005</v>
          </cell>
          <cell r="G6669" t="str">
            <v>Paid</v>
          </cell>
        </row>
        <row r="6670">
          <cell r="F6670" t="str">
            <v>INV2021-BGL-006</v>
          </cell>
          <cell r="G6670" t="str">
            <v>Paid</v>
          </cell>
        </row>
        <row r="6671">
          <cell r="F6671" t="str">
            <v>INV-2021-BGL-007</v>
          </cell>
          <cell r="G6671" t="str">
            <v>Paid</v>
          </cell>
        </row>
        <row r="6672">
          <cell r="F6672" t="str">
            <v>INV-2021-BGL-008</v>
          </cell>
          <cell r="G6672" t="str">
            <v>Paid</v>
          </cell>
        </row>
        <row r="6673">
          <cell r="F6673" t="str">
            <v>INV2021-BGL-009</v>
          </cell>
          <cell r="G6673" t="str">
            <v>Paid</v>
          </cell>
        </row>
        <row r="6674">
          <cell r="F6674" t="str">
            <v>AUCARDS0002</v>
          </cell>
          <cell r="G6674" t="str">
            <v>Paid</v>
          </cell>
        </row>
        <row r="6675">
          <cell r="F6675" t="str">
            <v>AUCARDS0004</v>
          </cell>
          <cell r="G6675" t="str">
            <v>Paid</v>
          </cell>
        </row>
        <row r="6676">
          <cell r="F6676" t="str">
            <v>AUCARDS0006</v>
          </cell>
          <cell r="G6676" t="str">
            <v>Paid</v>
          </cell>
        </row>
        <row r="6677">
          <cell r="F6677" t="str">
            <v>AUCARDS0013</v>
          </cell>
          <cell r="G6677" t="str">
            <v>Paid</v>
          </cell>
        </row>
        <row r="6678">
          <cell r="F6678" t="str">
            <v>AUCARDS0016</v>
          </cell>
          <cell r="G6678" t="str">
            <v>Paid</v>
          </cell>
        </row>
        <row r="6679">
          <cell r="F6679" t="str">
            <v>AUCARDS0018</v>
          </cell>
          <cell r="G6679" t="str">
            <v>Paid</v>
          </cell>
        </row>
        <row r="6680">
          <cell r="F6680" t="str">
            <v>AUCARDS0021</v>
          </cell>
          <cell r="G6680" t="str">
            <v>Paid</v>
          </cell>
        </row>
        <row r="6681">
          <cell r="F6681" t="str">
            <v>INV2022-BGL-017</v>
          </cell>
          <cell r="G6681" t="str">
            <v>Paid</v>
          </cell>
        </row>
        <row r="6682">
          <cell r="F6682" t="str">
            <v>AUCARDS0031</v>
          </cell>
          <cell r="G6682" t="str">
            <v>Paid</v>
          </cell>
        </row>
        <row r="6683">
          <cell r="F6683" t="str">
            <v>AUCARDS0036</v>
          </cell>
          <cell r="G6683" t="str">
            <v>Paid</v>
          </cell>
        </row>
        <row r="6684">
          <cell r="F6684" t="str">
            <v>DNCARDS0018</v>
          </cell>
          <cell r="G6684" t="str">
            <v>Paid</v>
          </cell>
        </row>
        <row r="6685">
          <cell r="F6685" t="str">
            <v>AUCARDS0041</v>
          </cell>
          <cell r="G6685" t="str">
            <v>Paid</v>
          </cell>
        </row>
        <row r="6686">
          <cell r="F6686" t="str">
            <v>AUCARDS0042</v>
          </cell>
          <cell r="G6686" t="str">
            <v>Paid</v>
          </cell>
        </row>
        <row r="6687">
          <cell r="F6687" t="str">
            <v>AUCARDS0049</v>
          </cell>
          <cell r="G6687" t="str">
            <v>Paid</v>
          </cell>
        </row>
        <row r="6688">
          <cell r="F6688" t="str">
            <v>CNAUDCARDS0001</v>
          </cell>
          <cell r="G6688" t="str">
            <v>Paid</v>
          </cell>
        </row>
        <row r="6689">
          <cell r="F6689" t="str">
            <v>AUCARDS0055</v>
          </cell>
          <cell r="G6689" t="str">
            <v>Paid</v>
          </cell>
        </row>
        <row r="6690">
          <cell r="F6690" t="str">
            <v>INV-021122154012</v>
          </cell>
          <cell r="G6690" t="str">
            <v>Paid</v>
          </cell>
        </row>
        <row r="6691">
          <cell r="F6691" t="str">
            <v>INV-021222040919</v>
          </cell>
          <cell r="G6691" t="str">
            <v>Paid</v>
          </cell>
        </row>
        <row r="6692">
          <cell r="F6692" t="str">
            <v>INV-040123034738</v>
          </cell>
          <cell r="G6692" t="str">
            <v>Paid</v>
          </cell>
        </row>
        <row r="6693">
          <cell r="F6693" t="str">
            <v>INV-030223152404</v>
          </cell>
          <cell r="G6693" t="str">
            <v>Paid</v>
          </cell>
        </row>
        <row r="6694">
          <cell r="F6694" t="str">
            <v>INV-020323154513</v>
          </cell>
          <cell r="G6694" t="str">
            <v>Paid</v>
          </cell>
        </row>
        <row r="6695">
          <cell r="F6695" t="str">
            <v>INV-031123122339</v>
          </cell>
          <cell r="G6695" t="str">
            <v>Paid</v>
          </cell>
        </row>
        <row r="6696">
          <cell r="F6696" t="str">
            <v>INV-030423234023</v>
          </cell>
          <cell r="G6696" t="str">
            <v>Paid</v>
          </cell>
        </row>
        <row r="6697">
          <cell r="F6697" t="str">
            <v>INV-040923115119</v>
          </cell>
          <cell r="G6697" t="str">
            <v>Paid</v>
          </cell>
        </row>
        <row r="6698">
          <cell r="F6698" t="str">
            <v>INV-030523150526</v>
          </cell>
          <cell r="G6698" t="str">
            <v>Paid</v>
          </cell>
        </row>
        <row r="6699">
          <cell r="F6699" t="str">
            <v>INV-051223183118</v>
          </cell>
          <cell r="G6699" t="str">
            <v>Paid</v>
          </cell>
        </row>
        <row r="6700">
          <cell r="F6700" t="str">
            <v>INV-020623144709</v>
          </cell>
          <cell r="G6700" t="str">
            <v>Paid</v>
          </cell>
        </row>
        <row r="6701">
          <cell r="F6701" t="str">
            <v>INV-061023114542</v>
          </cell>
          <cell r="G6701" t="str">
            <v>Paid</v>
          </cell>
        </row>
        <row r="6702">
          <cell r="F6702" t="str">
            <v>INV-030723175516</v>
          </cell>
          <cell r="G6702" t="str">
            <v>Paid</v>
          </cell>
        </row>
        <row r="6703">
          <cell r="F6703" t="str">
            <v>INV-030823162713</v>
          </cell>
          <cell r="G6703" t="str">
            <v>Paid</v>
          </cell>
        </row>
        <row r="6704">
          <cell r="F6704" t="str">
            <v>INV-050124143719</v>
          </cell>
          <cell r="G6704" t="str">
            <v>Paid</v>
          </cell>
        </row>
        <row r="6705">
          <cell r="F6705" t="str">
            <v>INV-060224151306</v>
          </cell>
          <cell r="G6705" t="str">
            <v>Paid</v>
          </cell>
        </row>
        <row r="6706">
          <cell r="F6706" t="str">
            <v>INV-070324105850</v>
          </cell>
          <cell r="G6706" t="str">
            <v>Paid</v>
          </cell>
        </row>
        <row r="6707">
          <cell r="F6707" t="str">
            <v>INV-080424090447</v>
          </cell>
          <cell r="G6707" t="str">
            <v>Paid</v>
          </cell>
        </row>
        <row r="6708">
          <cell r="F6708" t="str">
            <v>INV-060524143820</v>
          </cell>
          <cell r="G6708" t="str">
            <v>Paid</v>
          </cell>
        </row>
        <row r="6709">
          <cell r="F6709" t="str">
            <v>INV-050724155131</v>
          </cell>
          <cell r="G6709" t="str">
            <v>Paid</v>
          </cell>
        </row>
        <row r="6710">
          <cell r="F6710" t="str">
            <v>INV-060624122450</v>
          </cell>
          <cell r="G6710" t="str">
            <v>Paid</v>
          </cell>
        </row>
        <row r="6711">
          <cell r="F6711" t="str">
            <v>INV-060824101609</v>
          </cell>
          <cell r="G6711" t="str">
            <v>Paid</v>
          </cell>
        </row>
        <row r="6712">
          <cell r="F6712" t="str">
            <v>INV-060924161152</v>
          </cell>
          <cell r="G6712" t="str">
            <v>Paid</v>
          </cell>
        </row>
        <row r="6713">
          <cell r="F6713" t="str">
            <v>INV-061224131546</v>
          </cell>
          <cell r="G6713" t="str">
            <v>Paid</v>
          </cell>
        </row>
        <row r="6714">
          <cell r="F6714" t="str">
            <v>INV-081024165413</v>
          </cell>
          <cell r="G6714" t="str">
            <v>Paid</v>
          </cell>
        </row>
        <row r="6715">
          <cell r="F6715" t="str">
            <v>INV-090824192758</v>
          </cell>
          <cell r="G6715" t="str">
            <v>Paid</v>
          </cell>
        </row>
        <row r="6716">
          <cell r="F6716" t="str">
            <v>INV-081124102925</v>
          </cell>
          <cell r="G6716" t="str">
            <v>Paid</v>
          </cell>
        </row>
        <row r="6717">
          <cell r="F6717" t="str">
            <v>INV-080125095903</v>
          </cell>
          <cell r="G6717" t="str">
            <v>Paid</v>
          </cell>
        </row>
        <row r="6718">
          <cell r="F6718" t="str">
            <v>INV-060225111602</v>
          </cell>
          <cell r="G6718" t="str">
            <v>Paid</v>
          </cell>
        </row>
        <row r="6719">
          <cell r="F6719" t="str">
            <v>INV-050325141418</v>
          </cell>
          <cell r="G6719" t="str">
            <v>Paid</v>
          </cell>
        </row>
        <row r="6720">
          <cell r="F6720" t="str">
            <v>INV-030425184457</v>
          </cell>
          <cell r="G6720" t="str">
            <v>Paid</v>
          </cell>
        </row>
        <row r="6721">
          <cell r="F6721" t="str">
            <v>INV-060525103809</v>
          </cell>
          <cell r="G6721" t="str">
            <v>Paid</v>
          </cell>
        </row>
        <row r="6722">
          <cell r="F6722" t="str">
            <v>INV-040625165224</v>
          </cell>
          <cell r="G6722" t="str">
            <v>Paid</v>
          </cell>
        </row>
        <row r="6723">
          <cell r="F6723" t="str">
            <v>INV-040725135058</v>
          </cell>
          <cell r="G6723" t="str">
            <v>Paid</v>
          </cell>
        </row>
        <row r="6724">
          <cell r="F6724" t="str">
            <v>INV-060825094710</v>
          </cell>
          <cell r="G6724" t="str">
            <v>Paid</v>
          </cell>
        </row>
        <row r="6725">
          <cell r="F6725" t="str">
            <v>INV-040925092141</v>
          </cell>
          <cell r="G6725" t="str">
            <v>Paid</v>
          </cell>
        </row>
        <row r="6726">
          <cell r="F6726" t="str">
            <v>INV-061025154358</v>
          </cell>
          <cell r="G6726" t="str">
            <v>Paid</v>
          </cell>
        </row>
        <row r="6727">
          <cell r="F6727" t="str">
            <v>INV-061125111559</v>
          </cell>
          <cell r="G6727" t="str">
            <v>Paid</v>
          </cell>
        </row>
        <row r="6728">
          <cell r="F6728" t="str">
            <v>INV-041225151052</v>
          </cell>
          <cell r="G6728" t="str">
            <v>Paid</v>
          </cell>
        </row>
        <row r="6729">
          <cell r="F6729" t="str">
            <v>INV-060126122618</v>
          </cell>
          <cell r="G6729" t="str">
            <v>Outstanding</v>
          </cell>
        </row>
        <row r="6730">
          <cell r="F6730" t="str">
            <v>INV-070226133026</v>
          </cell>
          <cell r="G6730" t="str">
            <v>Outstanding</v>
          </cell>
        </row>
        <row r="6731">
          <cell r="F6731" t="str">
            <v>INV-200226170000</v>
          </cell>
          <cell r="G6731" t="str">
            <v>Outstanding</v>
          </cell>
        </row>
        <row r="6732">
          <cell r="F6732" t="str">
            <v>INV-040326125850</v>
          </cell>
          <cell r="G6732" t="str">
            <v>Invoice Sent</v>
          </cell>
        </row>
        <row r="6733">
          <cell r="F6733" t="str">
            <v>INV-140225111500</v>
          </cell>
          <cell r="G6733" t="str">
            <v>Paid</v>
          </cell>
        </row>
        <row r="6734">
          <cell r="F6734" t="str">
            <v>INV-250325112500</v>
          </cell>
          <cell r="G6734" t="str">
            <v>Paid</v>
          </cell>
        </row>
        <row r="6735">
          <cell r="F6735" t="str">
            <v>INV160420250000</v>
          </cell>
          <cell r="G6735" t="str">
            <v>Paid</v>
          </cell>
        </row>
        <row r="6736">
          <cell r="F6736" t="str">
            <v>INV-250421110000</v>
          </cell>
          <cell r="G6736" t="str">
            <v>Paid</v>
          </cell>
        </row>
        <row r="6737">
          <cell r="F6737" t="str">
            <v>INV-120525190000</v>
          </cell>
          <cell r="G6737" t="str">
            <v>Paid</v>
          </cell>
        </row>
        <row r="6738">
          <cell r="F6738" t="str">
            <v>INV-160625120000</v>
          </cell>
          <cell r="G6738" t="str">
            <v>Paid</v>
          </cell>
        </row>
        <row r="6739">
          <cell r="F6739" t="str">
            <v>INV-080725120000</v>
          </cell>
          <cell r="G6739" t="str">
            <v>Paid</v>
          </cell>
        </row>
        <row r="6740">
          <cell r="F6740" t="str">
            <v>INV250720251000</v>
          </cell>
          <cell r="G6740" t="str">
            <v>Paid</v>
          </cell>
        </row>
        <row r="6741">
          <cell r="F6741" t="str">
            <v>INV-190825170000</v>
          </cell>
          <cell r="G6741" t="str">
            <v>Paid</v>
          </cell>
        </row>
        <row r="6742">
          <cell r="F6742" t="str">
            <v>INV-160925170000</v>
          </cell>
          <cell r="G6742" t="str">
            <v>Paid</v>
          </cell>
        </row>
        <row r="6743">
          <cell r="F6743" t="str">
            <v>INV-281025170000</v>
          </cell>
          <cell r="G6743" t="str">
            <v>Partially Paid</v>
          </cell>
        </row>
        <row r="6744">
          <cell r="F6744" t="str">
            <v>INV-171125170000</v>
          </cell>
          <cell r="G6744" t="str">
            <v>Outstanding</v>
          </cell>
        </row>
        <row r="6745">
          <cell r="F6745" t="str">
            <v>INV-151225170000</v>
          </cell>
          <cell r="G6745" t="str">
            <v>Outstanding</v>
          </cell>
        </row>
        <row r="6746">
          <cell r="F6746" t="str">
            <v>INV-230126170000</v>
          </cell>
          <cell r="G6746" t="str">
            <v>Outstanding</v>
          </cell>
        </row>
        <row r="6747">
          <cell r="F6747" t="str">
            <v>INV-220126180527</v>
          </cell>
          <cell r="G6747" t="str">
            <v>Paid</v>
          </cell>
        </row>
        <row r="6748">
          <cell r="F6748" t="str">
            <v>CARDS0283</v>
          </cell>
          <cell r="G6748" t="str">
            <v>Paid</v>
          </cell>
        </row>
        <row r="6749">
          <cell r="F6749" t="str">
            <v>CARDS0330</v>
          </cell>
          <cell r="G6749" t="str">
            <v>Paid</v>
          </cell>
        </row>
        <row r="6750">
          <cell r="F6750" t="str">
            <v>INV-031123154609</v>
          </cell>
          <cell r="G6750" t="str">
            <v>Paid</v>
          </cell>
        </row>
        <row r="6751">
          <cell r="F6751" t="str">
            <v>INV-041223151730</v>
          </cell>
          <cell r="G6751" t="str">
            <v>Paid</v>
          </cell>
        </row>
        <row r="6752">
          <cell r="F6752" t="str">
            <v>INV-050923150630</v>
          </cell>
          <cell r="G6752" t="str">
            <v>Paid</v>
          </cell>
        </row>
        <row r="6753">
          <cell r="F6753" t="str">
            <v>INV-051023160323</v>
          </cell>
          <cell r="G6753" t="str">
            <v>Paid</v>
          </cell>
        </row>
        <row r="6754">
          <cell r="F6754" t="str">
            <v>INV-190623175128</v>
          </cell>
          <cell r="G6754" t="str">
            <v>Paid</v>
          </cell>
        </row>
        <row r="6755">
          <cell r="F6755" t="str">
            <v>INV-050723103611</v>
          </cell>
          <cell r="G6755" t="str">
            <v>Paid</v>
          </cell>
        </row>
        <row r="6756">
          <cell r="F6756" t="str">
            <v>INV-040823104458</v>
          </cell>
          <cell r="G6756" t="str">
            <v>Paid</v>
          </cell>
        </row>
        <row r="6757">
          <cell r="F6757" t="str">
            <v>INV-040124123541</v>
          </cell>
          <cell r="G6757" t="str">
            <v>Paid</v>
          </cell>
        </row>
        <row r="6758">
          <cell r="F6758" t="str">
            <v>INV-050224113453</v>
          </cell>
          <cell r="G6758" t="str">
            <v>Paid</v>
          </cell>
        </row>
        <row r="6759">
          <cell r="F6759" t="str">
            <v>INV-020824162132</v>
          </cell>
          <cell r="G6759" t="str">
            <v>Paid</v>
          </cell>
        </row>
        <row r="6760">
          <cell r="F6760" t="str">
            <v>INV-030424154658</v>
          </cell>
          <cell r="G6760" t="str">
            <v>Paid</v>
          </cell>
        </row>
        <row r="6761">
          <cell r="F6761" t="str">
            <v>INV-050324105148</v>
          </cell>
          <cell r="G6761" t="str">
            <v>Paid</v>
          </cell>
        </row>
        <row r="6762">
          <cell r="F6762" t="str">
            <v>INV-030524095950</v>
          </cell>
          <cell r="G6762" t="str">
            <v>Paid</v>
          </cell>
        </row>
        <row r="6763">
          <cell r="F6763" t="str">
            <v>INV-030724112600</v>
          </cell>
          <cell r="G6763" t="str">
            <v>Paid</v>
          </cell>
        </row>
        <row r="6764">
          <cell r="F6764" t="str">
            <v>INV-031224160123</v>
          </cell>
          <cell r="G6764" t="str">
            <v>Paid</v>
          </cell>
        </row>
        <row r="6765">
          <cell r="F6765" t="str">
            <v>INV-040624104613</v>
          </cell>
          <cell r="G6765" t="str">
            <v>Paid</v>
          </cell>
        </row>
        <row r="6766">
          <cell r="F6766" t="str">
            <v>INV-040924094054</v>
          </cell>
          <cell r="G6766" t="str">
            <v>Paid</v>
          </cell>
        </row>
        <row r="6767">
          <cell r="F6767" t="str">
            <v>INV-021024150830</v>
          </cell>
          <cell r="G6767" t="str">
            <v>Paid</v>
          </cell>
        </row>
        <row r="6768">
          <cell r="F6768" t="str">
            <v>INV-051124162737</v>
          </cell>
          <cell r="G6768" t="str">
            <v>Paid</v>
          </cell>
        </row>
        <row r="6769">
          <cell r="F6769" t="str">
            <v>INV-060125094220</v>
          </cell>
          <cell r="G6769" t="str">
            <v>Paid</v>
          </cell>
        </row>
        <row r="6770">
          <cell r="F6770" t="str">
            <v>INV-040225134334</v>
          </cell>
          <cell r="G6770" t="str">
            <v>Paid</v>
          </cell>
        </row>
        <row r="6771">
          <cell r="F6771" t="str">
            <v>INV-040325134724</v>
          </cell>
          <cell r="G6771" t="str">
            <v>Paid</v>
          </cell>
        </row>
        <row r="6772">
          <cell r="F6772" t="str">
            <v>INV-020425152451</v>
          </cell>
          <cell r="G6772" t="str">
            <v>Paid</v>
          </cell>
        </row>
        <row r="6773">
          <cell r="F6773" t="str">
            <v>INV-020525174612</v>
          </cell>
          <cell r="G6773" t="str">
            <v>Paid</v>
          </cell>
        </row>
        <row r="6774">
          <cell r="F6774" t="str">
            <v>INV-030625131223</v>
          </cell>
          <cell r="G6774" t="str">
            <v>Paid</v>
          </cell>
        </row>
        <row r="6775">
          <cell r="F6775" t="str">
            <v>INV-020725160443</v>
          </cell>
          <cell r="G6775" t="str">
            <v>Paid</v>
          </cell>
        </row>
        <row r="6776">
          <cell r="F6776" t="str">
            <v>INV-040825115357</v>
          </cell>
          <cell r="G6776" t="str">
            <v>Paid</v>
          </cell>
        </row>
        <row r="6777">
          <cell r="F6777" t="str">
            <v>INV-020925111409</v>
          </cell>
          <cell r="G6777" t="str">
            <v>Paid</v>
          </cell>
        </row>
        <row r="6778">
          <cell r="F6778" t="str">
            <v>INV-021025095212</v>
          </cell>
          <cell r="G6778" t="str">
            <v>Paid</v>
          </cell>
        </row>
        <row r="6779">
          <cell r="F6779" t="str">
            <v>INV-031125160832</v>
          </cell>
          <cell r="G6779" t="str">
            <v>Paid</v>
          </cell>
        </row>
        <row r="6780">
          <cell r="F6780" t="str">
            <v>INV-021225114731</v>
          </cell>
          <cell r="G6780" t="str">
            <v>Paid</v>
          </cell>
        </row>
        <row r="6781">
          <cell r="F6781" t="str">
            <v>INV-020126121334</v>
          </cell>
          <cell r="G6781" t="str">
            <v>Paid</v>
          </cell>
        </row>
        <row r="6782">
          <cell r="F6782" t="str">
            <v>INV-020226132958</v>
          </cell>
          <cell r="G6782" t="str">
            <v>Paid</v>
          </cell>
        </row>
        <row r="6783">
          <cell r="F6783" t="str">
            <v>INV-020326173239</v>
          </cell>
          <cell r="G6783" t="str">
            <v>Paid</v>
          </cell>
        </row>
        <row r="6784">
          <cell r="F6784" t="str">
            <v>INV-031024114149</v>
          </cell>
          <cell r="G6784" t="str">
            <v>Paid</v>
          </cell>
        </row>
        <row r="6785">
          <cell r="F6785" t="str">
            <v>INV-031224193650</v>
          </cell>
          <cell r="G6785" t="str">
            <v>Paid</v>
          </cell>
        </row>
        <row r="6786">
          <cell r="F6786" t="str">
            <v>INV-040924175148</v>
          </cell>
          <cell r="G6786" t="str">
            <v>Paid</v>
          </cell>
        </row>
        <row r="6787">
          <cell r="F6787" t="str">
            <v>INV-050824121243</v>
          </cell>
          <cell r="G6787" t="str">
            <v>Paid</v>
          </cell>
        </row>
        <row r="6788">
          <cell r="F6788" t="str">
            <v>INV-061124192622</v>
          </cell>
          <cell r="G6788" t="str">
            <v>Paid</v>
          </cell>
        </row>
        <row r="6789">
          <cell r="F6789" t="str">
            <v>INV-030125163420</v>
          </cell>
          <cell r="G6789" t="str">
            <v>Paid</v>
          </cell>
        </row>
        <row r="6790">
          <cell r="F6790" t="str">
            <v>INV-040225175600</v>
          </cell>
          <cell r="G6790" t="str">
            <v>Paid</v>
          </cell>
        </row>
        <row r="6791">
          <cell r="F6791" t="str">
            <v>INV-040325182734</v>
          </cell>
          <cell r="G6791" t="str">
            <v>Paid</v>
          </cell>
        </row>
        <row r="6792">
          <cell r="F6792" t="str">
            <v>INV-020425182030</v>
          </cell>
          <cell r="G6792" t="str">
            <v>Paid</v>
          </cell>
        </row>
        <row r="6793">
          <cell r="F6793" t="str">
            <v>INV-020525200321</v>
          </cell>
          <cell r="G6793" t="str">
            <v>Paid</v>
          </cell>
        </row>
        <row r="6794">
          <cell r="F6794" t="str">
            <v>INV-040624124725</v>
          </cell>
          <cell r="G6794" t="str">
            <v>Paid</v>
          </cell>
        </row>
        <row r="6795">
          <cell r="F6795" t="str">
            <v>INV-060524114633</v>
          </cell>
          <cell r="G6795" t="str">
            <v>Paid</v>
          </cell>
        </row>
        <row r="6796">
          <cell r="F6796" t="str">
            <v>CARDS0039</v>
          </cell>
          <cell r="G6796" t="str">
            <v>Paid</v>
          </cell>
        </row>
        <row r="6797">
          <cell r="F6797" t="str">
            <v>CARDS0076</v>
          </cell>
          <cell r="G6797" t="str">
            <v>Paid</v>
          </cell>
        </row>
        <row r="6798">
          <cell r="F6798" t="str">
            <v>CARDS0090</v>
          </cell>
          <cell r="G6798" t="str">
            <v>Paid</v>
          </cell>
        </row>
        <row r="6799">
          <cell r="F6799" t="str">
            <v>CARDS0107</v>
          </cell>
          <cell r="G6799" t="str">
            <v>Paid</v>
          </cell>
        </row>
        <row r="6800">
          <cell r="F6800" t="str">
            <v>CARDS0126</v>
          </cell>
          <cell r="G6800" t="str">
            <v>Paid</v>
          </cell>
        </row>
        <row r="6801">
          <cell r="F6801" t="str">
            <v>CARDS0143</v>
          </cell>
          <cell r="G6801" t="str">
            <v>Paid</v>
          </cell>
        </row>
        <row r="6802">
          <cell r="F6802" t="str">
            <v>CARDS0162</v>
          </cell>
          <cell r="G6802" t="str">
            <v>Paid</v>
          </cell>
        </row>
        <row r="6803">
          <cell r="F6803" t="str">
            <v>CARDS0179</v>
          </cell>
          <cell r="G6803" t="str">
            <v>Paid</v>
          </cell>
        </row>
        <row r="6804">
          <cell r="F6804" t="str">
            <v>CARDS0199</v>
          </cell>
          <cell r="G6804" t="str">
            <v>Paid</v>
          </cell>
        </row>
        <row r="6805">
          <cell r="F6805" t="str">
            <v>CARDS0220</v>
          </cell>
          <cell r="G6805" t="str">
            <v>Paid</v>
          </cell>
        </row>
        <row r="6806">
          <cell r="F6806" t="str">
            <v>CARDS0236</v>
          </cell>
          <cell r="G6806" t="str">
            <v>Paid</v>
          </cell>
        </row>
        <row r="6807">
          <cell r="F6807" t="str">
            <v>CARDS0253</v>
          </cell>
          <cell r="G6807" t="str">
            <v>Paid</v>
          </cell>
        </row>
        <row r="6808">
          <cell r="F6808" t="str">
            <v>CARDS0274</v>
          </cell>
          <cell r="G6808" t="str">
            <v>Paid</v>
          </cell>
        </row>
        <row r="6809">
          <cell r="F6809" t="str">
            <v>DNCARDS0014</v>
          </cell>
          <cell r="G6809" t="str">
            <v>Paid</v>
          </cell>
        </row>
        <row r="6810">
          <cell r="F6810" t="str">
            <v>CARDS0292</v>
          </cell>
          <cell r="G6810" t="str">
            <v>Paid</v>
          </cell>
        </row>
        <row r="6811">
          <cell r="F6811" t="str">
            <v>DNCARDS0019</v>
          </cell>
          <cell r="G6811" t="str">
            <v>Paid</v>
          </cell>
        </row>
        <row r="6812">
          <cell r="F6812" t="str">
            <v>CARDS0310</v>
          </cell>
          <cell r="G6812" t="str">
            <v>Paid</v>
          </cell>
        </row>
        <row r="6813">
          <cell r="F6813" t="str">
            <v>CARDS0323</v>
          </cell>
          <cell r="G6813" t="str">
            <v>Paid</v>
          </cell>
        </row>
        <row r="6814">
          <cell r="F6814" t="str">
            <v>CARDS0336</v>
          </cell>
          <cell r="G6814" t="str">
            <v>Paid</v>
          </cell>
        </row>
        <row r="6815">
          <cell r="F6815" t="str">
            <v>INV-021122043643</v>
          </cell>
          <cell r="G6815" t="str">
            <v>Paid</v>
          </cell>
        </row>
        <row r="6816">
          <cell r="F6816" t="str">
            <v>INV-011222232942</v>
          </cell>
          <cell r="G6816" t="str">
            <v>Paid</v>
          </cell>
        </row>
        <row r="6817">
          <cell r="F6817" t="str">
            <v>INV-030123175040</v>
          </cell>
          <cell r="G6817" t="str">
            <v>Paid</v>
          </cell>
        </row>
        <row r="6818">
          <cell r="F6818" t="str">
            <v>INV-020223011905</v>
          </cell>
          <cell r="G6818" t="str">
            <v>Paid</v>
          </cell>
        </row>
        <row r="6819">
          <cell r="F6819" t="str">
            <v>INV-020323003828</v>
          </cell>
          <cell r="G6819" t="str">
            <v>Paid</v>
          </cell>
        </row>
        <row r="6820">
          <cell r="F6820" t="str">
            <v>INV-031123132604</v>
          </cell>
          <cell r="G6820" t="str">
            <v>Paid</v>
          </cell>
        </row>
        <row r="6821">
          <cell r="F6821" t="str">
            <v>INV-030423154423</v>
          </cell>
          <cell r="G6821" t="str">
            <v>Paid</v>
          </cell>
        </row>
        <row r="6822">
          <cell r="F6822" t="str">
            <v>INV-040923160014</v>
          </cell>
          <cell r="G6822" t="str">
            <v>Paid</v>
          </cell>
        </row>
        <row r="6823">
          <cell r="F6823" t="str">
            <v>INV-020523181606</v>
          </cell>
          <cell r="G6823" t="str">
            <v>Paid</v>
          </cell>
        </row>
        <row r="6824">
          <cell r="F6824" t="str">
            <v>INV-051023115858</v>
          </cell>
          <cell r="G6824" t="str">
            <v>Paid</v>
          </cell>
        </row>
        <row r="6825">
          <cell r="F6825" t="str">
            <v>INV-051223154247</v>
          </cell>
          <cell r="G6825" t="str">
            <v>Paid</v>
          </cell>
        </row>
        <row r="6826">
          <cell r="F6826" t="str">
            <v>INV-050623104640</v>
          </cell>
          <cell r="G6826" t="str">
            <v>Paid</v>
          </cell>
        </row>
        <row r="6827">
          <cell r="F6827" t="str">
            <v>INV-030723171922</v>
          </cell>
          <cell r="G6827" t="str">
            <v>Paid</v>
          </cell>
        </row>
        <row r="6828">
          <cell r="F6828" t="str">
            <v>INV-020823153205</v>
          </cell>
          <cell r="G6828" t="str">
            <v>Paid</v>
          </cell>
        </row>
        <row r="6829">
          <cell r="F6829" t="str">
            <v>INV-040124162649</v>
          </cell>
          <cell r="G6829" t="str">
            <v>Paid</v>
          </cell>
        </row>
        <row r="6830">
          <cell r="F6830" t="str">
            <v>INV-070224101515</v>
          </cell>
          <cell r="G6830" t="str">
            <v>Paid</v>
          </cell>
        </row>
        <row r="6831">
          <cell r="F6831" t="str">
            <v>INV-060324164203</v>
          </cell>
          <cell r="G6831" t="str">
            <v>Paid</v>
          </cell>
        </row>
        <row r="6832">
          <cell r="F6832" t="str">
            <v>INV-050424174403</v>
          </cell>
          <cell r="G6832" t="str">
            <v>Net Off</v>
          </cell>
        </row>
        <row r="6833">
          <cell r="F6833" t="str">
            <v>INV-060524141741</v>
          </cell>
          <cell r="G6833" t="str">
            <v>Net Off</v>
          </cell>
        </row>
        <row r="6834">
          <cell r="F6834" t="str">
            <v>CN-INV-240325151115</v>
          </cell>
          <cell r="G6834" t="str">
            <v>Net Off</v>
          </cell>
        </row>
        <row r="6835">
          <cell r="F6835" t="str">
            <v>INV-180325101821</v>
          </cell>
          <cell r="G6835" t="str">
            <v>Paid</v>
          </cell>
        </row>
        <row r="6836">
          <cell r="F6836" t="str">
            <v>INV-030425135734</v>
          </cell>
          <cell r="G6836" t="str">
            <v>Paid</v>
          </cell>
        </row>
        <row r="6837">
          <cell r="F6837" t="str">
            <v>INV-050525123529</v>
          </cell>
          <cell r="G6837" t="str">
            <v>Paid</v>
          </cell>
        </row>
        <row r="6838">
          <cell r="F6838" t="str">
            <v>INV-030625182728</v>
          </cell>
          <cell r="G6838" t="str">
            <v>Net Off</v>
          </cell>
        </row>
        <row r="6839">
          <cell r="F6839" t="str">
            <v>INV-030725123338</v>
          </cell>
          <cell r="G6839" t="str">
            <v>Net Off</v>
          </cell>
        </row>
        <row r="6840">
          <cell r="F6840" t="str">
            <v>INV-050825114948</v>
          </cell>
          <cell r="G6840" t="str">
            <v>Net Off</v>
          </cell>
        </row>
        <row r="6841">
          <cell r="F6841" t="str">
            <v>INV-031025113615</v>
          </cell>
          <cell r="G6841" t="str">
            <v>Paid</v>
          </cell>
        </row>
        <row r="6842">
          <cell r="F6842" t="str">
            <v>CN-INV-091025160903</v>
          </cell>
          <cell r="G6842" t="str">
            <v>Net Off</v>
          </cell>
        </row>
        <row r="6843">
          <cell r="F6843" t="str">
            <v>INV-041125175721</v>
          </cell>
          <cell r="G6843" t="str">
            <v>Paid</v>
          </cell>
        </row>
        <row r="6844">
          <cell r="F6844" t="str">
            <v>INV-031225093641</v>
          </cell>
          <cell r="G6844" t="str">
            <v>Paid</v>
          </cell>
        </row>
        <row r="6845">
          <cell r="F6845" t="str">
            <v>INV-020126190939</v>
          </cell>
          <cell r="G6845" t="str">
            <v>Paid</v>
          </cell>
        </row>
        <row r="6846">
          <cell r="F6846" t="str">
            <v>INV-040226191953</v>
          </cell>
          <cell r="G6846" t="str">
            <v>Outstanding</v>
          </cell>
        </row>
        <row r="6847">
          <cell r="F6847" t="str">
            <v>INV-030326191331</v>
          </cell>
          <cell r="G6847" t="str">
            <v>Outstanding</v>
          </cell>
        </row>
        <row r="6848">
          <cell r="F6848" t="str">
            <v>CARDS0057</v>
          </cell>
          <cell r="G6848" t="str">
            <v>Paid</v>
          </cell>
        </row>
        <row r="6849">
          <cell r="F6849" t="str">
            <v>INV2021-CCF-001</v>
          </cell>
          <cell r="G6849" t="str">
            <v>Paid</v>
          </cell>
        </row>
        <row r="6850">
          <cell r="F6850" t="str">
            <v>CARDS0114</v>
          </cell>
          <cell r="G6850" t="str">
            <v>Paid</v>
          </cell>
        </row>
        <row r="6851">
          <cell r="F6851" t="str">
            <v>INV2022-CCF-002</v>
          </cell>
          <cell r="G6851" t="str">
            <v>Waived Off</v>
          </cell>
        </row>
        <row r="6852">
          <cell r="F6852" t="str">
            <v>INV2022-CTS-003</v>
          </cell>
          <cell r="G6852" t="str">
            <v>Paid</v>
          </cell>
        </row>
        <row r="6853">
          <cell r="F6853" t="str">
            <v>CARDS0265</v>
          </cell>
          <cell r="G6853" t="str">
            <v>Paid</v>
          </cell>
        </row>
        <row r="6854">
          <cell r="F6854" t="str">
            <v>INV2021-CML-001</v>
          </cell>
          <cell r="G6854" t="str">
            <v>Paid</v>
          </cell>
        </row>
        <row r="6855">
          <cell r="F6855" t="str">
            <v>INV2021-CML-002</v>
          </cell>
          <cell r="G6855" t="str">
            <v>Paid</v>
          </cell>
        </row>
        <row r="6856">
          <cell r="F6856" t="str">
            <v>HKCARDS0011</v>
          </cell>
          <cell r="G6856" t="str">
            <v>Paid</v>
          </cell>
        </row>
        <row r="6857">
          <cell r="F6857" t="str">
            <v>HKCARDS0015</v>
          </cell>
          <cell r="G6857" t="str">
            <v>Paid</v>
          </cell>
        </row>
        <row r="6858">
          <cell r="F6858" t="str">
            <v>HKCARDS0021</v>
          </cell>
          <cell r="G6858" t="str">
            <v>Paid</v>
          </cell>
        </row>
        <row r="6859">
          <cell r="F6859" t="str">
            <v>HKCARDS0026</v>
          </cell>
          <cell r="G6859" t="str">
            <v>Paid</v>
          </cell>
        </row>
        <row r="6860">
          <cell r="F6860" t="str">
            <v>HKCARDS0030</v>
          </cell>
          <cell r="G6860" t="str">
            <v>Paid</v>
          </cell>
        </row>
        <row r="6861">
          <cell r="F6861" t="str">
            <v>HKCARDS0035</v>
          </cell>
          <cell r="G6861" t="str">
            <v>Paid</v>
          </cell>
        </row>
        <row r="6862">
          <cell r="F6862" t="str">
            <v>HKCARDS0040</v>
          </cell>
          <cell r="G6862" t="str">
            <v>Paid</v>
          </cell>
        </row>
        <row r="6863">
          <cell r="F6863" t="str">
            <v>HKCARDS0081</v>
          </cell>
          <cell r="G6863" t="str">
            <v>Paid</v>
          </cell>
        </row>
        <row r="6864">
          <cell r="F6864" t="str">
            <v>HKCARDS0086</v>
          </cell>
          <cell r="G6864" t="str">
            <v>Paid</v>
          </cell>
        </row>
        <row r="6865">
          <cell r="F6865" t="str">
            <v>HKCARDS0100</v>
          </cell>
          <cell r="G6865" t="str">
            <v>Paid</v>
          </cell>
        </row>
        <row r="6866">
          <cell r="F6866" t="str">
            <v>INV-021122114822</v>
          </cell>
          <cell r="G6866" t="str">
            <v>Paid</v>
          </cell>
        </row>
        <row r="6867">
          <cell r="F6867" t="str">
            <v>INV-021222030447</v>
          </cell>
          <cell r="G6867" t="str">
            <v>Paid</v>
          </cell>
        </row>
        <row r="6868">
          <cell r="F6868" t="str">
            <v>INV-040123003244</v>
          </cell>
          <cell r="G6868" t="str">
            <v>Paid</v>
          </cell>
        </row>
        <row r="6869">
          <cell r="F6869" t="str">
            <v>DN-021222030447</v>
          </cell>
          <cell r="G6869" t="str">
            <v>Paid</v>
          </cell>
        </row>
        <row r="6870">
          <cell r="F6870" t="str">
            <v>INV-020223023705</v>
          </cell>
          <cell r="G6870" t="str">
            <v>Paid</v>
          </cell>
        </row>
        <row r="6871">
          <cell r="F6871" t="str">
            <v>INV-020323010736</v>
          </cell>
          <cell r="G6871" t="str">
            <v>Paid</v>
          </cell>
        </row>
        <row r="6872">
          <cell r="F6872" t="str">
            <v>INV-031123164928</v>
          </cell>
          <cell r="G6872" t="str">
            <v>Paid</v>
          </cell>
        </row>
        <row r="6873">
          <cell r="F6873" t="str">
            <v>INV-030423225735</v>
          </cell>
          <cell r="G6873" t="str">
            <v>Paid</v>
          </cell>
        </row>
        <row r="6874">
          <cell r="F6874" t="str">
            <v>INV-040923161839</v>
          </cell>
          <cell r="G6874" t="str">
            <v>Paid</v>
          </cell>
        </row>
        <row r="6875">
          <cell r="F6875" t="str">
            <v>INV-020523184849</v>
          </cell>
          <cell r="G6875" t="str">
            <v>Paid</v>
          </cell>
        </row>
        <row r="6876">
          <cell r="F6876" t="str">
            <v>INV-051023131659</v>
          </cell>
          <cell r="G6876" t="str">
            <v>Paid</v>
          </cell>
        </row>
        <row r="6877">
          <cell r="F6877" t="str">
            <v>INV-051223123719</v>
          </cell>
          <cell r="G6877" t="str">
            <v>Paid</v>
          </cell>
        </row>
        <row r="6878">
          <cell r="F6878" t="str">
            <v>INV-020623190942</v>
          </cell>
          <cell r="G6878" t="str">
            <v>Paid</v>
          </cell>
        </row>
        <row r="6879">
          <cell r="F6879" t="str">
            <v>INV-040723111006</v>
          </cell>
          <cell r="G6879" t="str">
            <v>Paid</v>
          </cell>
        </row>
        <row r="6880">
          <cell r="F6880" t="str">
            <v>INV-030823142217</v>
          </cell>
          <cell r="G6880" t="str">
            <v>Paid</v>
          </cell>
        </row>
        <row r="6881">
          <cell r="F6881" t="str">
            <v>INV-040124182330</v>
          </cell>
          <cell r="G6881" t="str">
            <v>Paid</v>
          </cell>
        </row>
        <row r="6882">
          <cell r="F6882" t="str">
            <v>INV-060224175050</v>
          </cell>
          <cell r="G6882" t="str">
            <v>Paid</v>
          </cell>
        </row>
        <row r="6883">
          <cell r="F6883" t="str">
            <v>INV-060324125053</v>
          </cell>
          <cell r="G6883" t="str">
            <v>Paid</v>
          </cell>
        </row>
        <row r="6884">
          <cell r="F6884" t="str">
            <v>INV-040424163118</v>
          </cell>
          <cell r="G6884" t="str">
            <v>Paid</v>
          </cell>
        </row>
        <row r="6885">
          <cell r="F6885" t="str">
            <v>INV-060524181022</v>
          </cell>
          <cell r="G6885" t="str">
            <v>Paid</v>
          </cell>
        </row>
        <row r="6886">
          <cell r="F6886" t="str">
            <v>CARDS0185</v>
          </cell>
          <cell r="G6886" t="str">
            <v>Paid</v>
          </cell>
        </row>
        <row r="6887">
          <cell r="F6887" t="str">
            <v>CNCARDS0016</v>
          </cell>
          <cell r="G6887" t="str">
            <v>Paid</v>
          </cell>
        </row>
        <row r="6888">
          <cell r="F6888" t="str">
            <v>INV-060125152522</v>
          </cell>
          <cell r="G6888" t="str">
            <v>Paid</v>
          </cell>
        </row>
        <row r="6889">
          <cell r="F6889" t="str">
            <v>INV-050225121716</v>
          </cell>
          <cell r="G6889" t="str">
            <v>Paid</v>
          </cell>
        </row>
        <row r="6890">
          <cell r="F6890" t="str">
            <v>INV-050325100117</v>
          </cell>
          <cell r="G6890" t="str">
            <v>Paid</v>
          </cell>
        </row>
        <row r="6891">
          <cell r="F6891" t="str">
            <v>INV-020425191032</v>
          </cell>
          <cell r="G6891" t="str">
            <v>Paid</v>
          </cell>
        </row>
        <row r="6892">
          <cell r="F6892" t="str">
            <v>INV-030625165516</v>
          </cell>
          <cell r="G6892" t="str">
            <v>Paid</v>
          </cell>
        </row>
        <row r="6893">
          <cell r="F6893" t="str">
            <v>INV-040825154425</v>
          </cell>
          <cell r="G6893" t="str">
            <v>Paid</v>
          </cell>
        </row>
        <row r="6894">
          <cell r="F6894" t="str">
            <v>INV-020925171147</v>
          </cell>
          <cell r="G6894" t="str">
            <v>Paid</v>
          </cell>
        </row>
        <row r="6895">
          <cell r="F6895" t="str">
            <v>INV-031025125538</v>
          </cell>
          <cell r="G6895" t="str">
            <v>Paid</v>
          </cell>
        </row>
        <row r="6896">
          <cell r="F6896" t="str">
            <v>INV-021225193132</v>
          </cell>
          <cell r="G6896" t="str">
            <v>Paid</v>
          </cell>
        </row>
        <row r="6897">
          <cell r="F6897" t="str">
            <v>INV-050126145501</v>
          </cell>
          <cell r="G6897" t="str">
            <v>Paid</v>
          </cell>
        </row>
        <row r="6898">
          <cell r="F6898" t="str">
            <v>UKCARDS0011</v>
          </cell>
          <cell r="G6898" t="str">
            <v>Paid</v>
          </cell>
        </row>
        <row r="6899">
          <cell r="F6899" t="str">
            <v>INV-161122161237</v>
          </cell>
          <cell r="G6899" t="str">
            <v>Paid</v>
          </cell>
        </row>
        <row r="6900">
          <cell r="F6900" t="str">
            <v>DN-100223104530</v>
          </cell>
          <cell r="G6900" t="str">
            <v>Paid</v>
          </cell>
        </row>
        <row r="6901">
          <cell r="F6901" t="str">
            <v>INV-170723113304</v>
          </cell>
          <cell r="G6901" t="str">
            <v>Paid</v>
          </cell>
        </row>
        <row r="6902">
          <cell r="F6902" t="str">
            <v>INV-061123160135</v>
          </cell>
          <cell r="G6902" t="str">
            <v>Paid</v>
          </cell>
        </row>
        <row r="6903">
          <cell r="F6903" t="str">
            <v>INV-070224111027</v>
          </cell>
          <cell r="G6903" t="str">
            <v>Paid</v>
          </cell>
        </row>
        <row r="6904">
          <cell r="F6904" t="str">
            <v>INV-141122212824</v>
          </cell>
          <cell r="G6904" t="str">
            <v>Paid</v>
          </cell>
        </row>
        <row r="6905">
          <cell r="F6905" t="str">
            <v>DN-100223105230</v>
          </cell>
          <cell r="G6905" t="str">
            <v>Paid</v>
          </cell>
        </row>
        <row r="6906">
          <cell r="F6906" t="str">
            <v>INV-140223202912</v>
          </cell>
          <cell r="G6906" t="str">
            <v>Paid</v>
          </cell>
        </row>
        <row r="6907">
          <cell r="F6907" t="str">
            <v>INV-051023155056</v>
          </cell>
          <cell r="G6907" t="str">
            <v>Paid</v>
          </cell>
        </row>
        <row r="6908">
          <cell r="F6908" t="str">
            <v>INV-060923162250</v>
          </cell>
          <cell r="G6908" t="str">
            <v>Paid</v>
          </cell>
        </row>
        <row r="6909">
          <cell r="F6909" t="str">
            <v>INV-061223112158</v>
          </cell>
          <cell r="G6909" t="str">
            <v>Paid</v>
          </cell>
        </row>
        <row r="6910">
          <cell r="F6910" t="str">
            <v>INV-070823161349</v>
          </cell>
          <cell r="G6910" t="str">
            <v>Paid</v>
          </cell>
        </row>
        <row r="6911">
          <cell r="F6911" t="str">
            <v>INV-040124182908</v>
          </cell>
          <cell r="G6911" t="str">
            <v>Paid</v>
          </cell>
        </row>
        <row r="6912">
          <cell r="F6912" t="str">
            <v>INV-090226192522</v>
          </cell>
          <cell r="G6912" t="str">
            <v>Paid</v>
          </cell>
        </row>
        <row r="6913">
          <cell r="F6913" t="str">
            <v>INV-030925130534</v>
          </cell>
          <cell r="G6913" t="str">
            <v>Paid</v>
          </cell>
        </row>
        <row r="6914">
          <cell r="F6914" t="str">
            <v>INV-060126092059</v>
          </cell>
          <cell r="G6914" t="str">
            <v>Paid</v>
          </cell>
        </row>
        <row r="6915">
          <cell r="F6915" t="str">
            <v>INV-050226125828</v>
          </cell>
          <cell r="G6915" t="str">
            <v>Paid</v>
          </cell>
        </row>
        <row r="6916">
          <cell r="F6916" t="str">
            <v>INV-040326120929</v>
          </cell>
          <cell r="G6916" t="str">
            <v>Paid</v>
          </cell>
        </row>
        <row r="6917">
          <cell r="F6917" t="str">
            <v>CARDS0094</v>
          </cell>
          <cell r="G6917" t="str">
            <v>Paid</v>
          </cell>
        </row>
        <row r="6918">
          <cell r="F6918" t="str">
            <v>INV-220724104105</v>
          </cell>
          <cell r="G6918" t="str">
            <v>Paid</v>
          </cell>
        </row>
        <row r="6919">
          <cell r="F6919" t="str">
            <v>CN-INV-160625145410</v>
          </cell>
          <cell r="G6919" t="str">
            <v>Paid</v>
          </cell>
        </row>
        <row r="6920">
          <cell r="F6920" t="str">
            <v>CARDS0261</v>
          </cell>
          <cell r="G6920" t="str">
            <v>Waived Off</v>
          </cell>
        </row>
        <row r="6921">
          <cell r="F6921" t="str">
            <v>INV2021-DCR-001</v>
          </cell>
          <cell r="G6921" t="str">
            <v>Waived Off</v>
          </cell>
        </row>
        <row r="6922">
          <cell r="F6922" t="str">
            <v>INV2021-DLI-006</v>
          </cell>
          <cell r="G6922" t="str">
            <v>Paid</v>
          </cell>
        </row>
        <row r="6923">
          <cell r="F6923" t="str">
            <v>INV2021-DLI-007</v>
          </cell>
          <cell r="G6923" t="str">
            <v>Paid</v>
          </cell>
        </row>
        <row r="6924">
          <cell r="F6924" t="str">
            <v>CARDS0022</v>
          </cell>
          <cell r="G6924" t="str">
            <v>Paid</v>
          </cell>
        </row>
        <row r="6925">
          <cell r="F6925" t="str">
            <v>CARDS0036</v>
          </cell>
          <cell r="G6925" t="str">
            <v>Paid</v>
          </cell>
        </row>
        <row r="6926">
          <cell r="F6926" t="str">
            <v>CARDS0049</v>
          </cell>
          <cell r="G6926" t="str">
            <v>Paid</v>
          </cell>
        </row>
        <row r="6927">
          <cell r="F6927" t="str">
            <v>DNCARDS0002</v>
          </cell>
          <cell r="G6927" t="str">
            <v>Paid</v>
          </cell>
        </row>
        <row r="6928">
          <cell r="F6928" t="str">
            <v>CARDS0072</v>
          </cell>
          <cell r="G6928" t="str">
            <v>Paid</v>
          </cell>
        </row>
        <row r="6929">
          <cell r="F6929" t="str">
            <v>CARDS0085</v>
          </cell>
          <cell r="G6929" t="str">
            <v>Paid</v>
          </cell>
        </row>
        <row r="6930">
          <cell r="F6930" t="str">
            <v>CARDS0102</v>
          </cell>
          <cell r="G6930" t="str">
            <v>Paid</v>
          </cell>
        </row>
        <row r="6931">
          <cell r="F6931" t="str">
            <v>INV2021-DLI-008</v>
          </cell>
          <cell r="G6931" t="str">
            <v>Paid</v>
          </cell>
        </row>
        <row r="6932">
          <cell r="F6932" t="str">
            <v>CARDS0121</v>
          </cell>
          <cell r="G6932" t="str">
            <v>Net Off</v>
          </cell>
        </row>
        <row r="6933">
          <cell r="F6933" t="str">
            <v>CARDS0138</v>
          </cell>
          <cell r="G6933" t="str">
            <v>Net Off</v>
          </cell>
        </row>
        <row r="6934">
          <cell r="F6934" t="str">
            <v>CARDS0168</v>
          </cell>
          <cell r="G6934" t="str">
            <v>Paid</v>
          </cell>
        </row>
        <row r="6935">
          <cell r="F6935" t="str">
            <v>CNCARDS0009</v>
          </cell>
          <cell r="G6935" t="str">
            <v>Paid</v>
          </cell>
        </row>
        <row r="6936">
          <cell r="F6936" t="str">
            <v>CARDS0175</v>
          </cell>
          <cell r="G6936" t="str">
            <v>Paid</v>
          </cell>
        </row>
        <row r="6937">
          <cell r="F6937" t="str">
            <v>CARDS0201</v>
          </cell>
          <cell r="G6937" t="str">
            <v>Paid</v>
          </cell>
        </row>
        <row r="6938">
          <cell r="F6938" t="str">
            <v>CARDS0218</v>
          </cell>
          <cell r="G6938" t="str">
            <v>Paid</v>
          </cell>
        </row>
        <row r="6939">
          <cell r="F6939" t="str">
            <v>CARDS0234</v>
          </cell>
          <cell r="G6939" t="str">
            <v>Paid</v>
          </cell>
        </row>
        <row r="6940">
          <cell r="F6940" t="str">
            <v>INV2022-DLI-001</v>
          </cell>
          <cell r="G6940" t="str">
            <v>Paid</v>
          </cell>
        </row>
        <row r="6941">
          <cell r="F6941" t="str">
            <v>CARDS0251</v>
          </cell>
          <cell r="G6941" t="str">
            <v>Paid</v>
          </cell>
        </row>
        <row r="6942">
          <cell r="F6942" t="str">
            <v>CARDS0272</v>
          </cell>
          <cell r="G6942" t="str">
            <v>Paid</v>
          </cell>
        </row>
        <row r="6943">
          <cell r="F6943" t="str">
            <v>CARDS0290</v>
          </cell>
          <cell r="G6943" t="str">
            <v>Paid</v>
          </cell>
        </row>
        <row r="6944">
          <cell r="F6944" t="str">
            <v>INV2022-DLI-002</v>
          </cell>
          <cell r="G6944" t="str">
            <v>Paid</v>
          </cell>
        </row>
        <row r="6945">
          <cell r="F6945" t="str">
            <v>CARDS0321</v>
          </cell>
          <cell r="G6945" t="str">
            <v>Paid</v>
          </cell>
        </row>
        <row r="6946">
          <cell r="F6946" t="str">
            <v>CARDS0334</v>
          </cell>
          <cell r="G6946" t="str">
            <v>Paid</v>
          </cell>
        </row>
        <row r="6947">
          <cell r="F6947" t="str">
            <v>INV-021122190155</v>
          </cell>
          <cell r="G6947" t="str">
            <v>Paid</v>
          </cell>
        </row>
        <row r="6948">
          <cell r="F6948" t="str">
            <v>INV-021222194133</v>
          </cell>
          <cell r="G6948" t="str">
            <v>Paid</v>
          </cell>
        </row>
        <row r="6949">
          <cell r="F6949" t="str">
            <v>INV2022-DLI-003</v>
          </cell>
          <cell r="G6949" t="str">
            <v>PAID</v>
          </cell>
        </row>
        <row r="6950">
          <cell r="F6950" t="str">
            <v>INV-040123020531</v>
          </cell>
          <cell r="G6950" t="str">
            <v>Paid</v>
          </cell>
        </row>
        <row r="6951">
          <cell r="F6951" t="str">
            <v>DNCARDS0334</v>
          </cell>
          <cell r="G6951" t="str">
            <v>PAID</v>
          </cell>
        </row>
        <row r="6952">
          <cell r="F6952" t="str">
            <v>DN-040123020531</v>
          </cell>
          <cell r="G6952" t="str">
            <v>Paid</v>
          </cell>
        </row>
        <row r="6953">
          <cell r="F6953" t="str">
            <v>DN-021122190155</v>
          </cell>
          <cell r="G6953" t="str">
            <v>Paid</v>
          </cell>
        </row>
        <row r="6954">
          <cell r="F6954" t="str">
            <v>DN-021222194133</v>
          </cell>
          <cell r="G6954" t="str">
            <v>Paid</v>
          </cell>
        </row>
        <row r="6955">
          <cell r="F6955" t="str">
            <v>INV-020223032225</v>
          </cell>
          <cell r="G6955" t="str">
            <v>Paid</v>
          </cell>
        </row>
        <row r="6956">
          <cell r="F6956" t="str">
            <v>INV-020323021932</v>
          </cell>
          <cell r="G6956" t="str">
            <v>Paid</v>
          </cell>
        </row>
        <row r="6957">
          <cell r="F6957" t="str">
            <v>INV-031123153407</v>
          </cell>
          <cell r="G6957" t="str">
            <v>Paid</v>
          </cell>
        </row>
        <row r="6958">
          <cell r="F6958" t="str">
            <v>INV-020423220920</v>
          </cell>
          <cell r="G6958" t="str">
            <v>Paid</v>
          </cell>
        </row>
        <row r="6959">
          <cell r="F6959" t="str">
            <v>INV-040923164345</v>
          </cell>
          <cell r="G6959" t="str">
            <v>Paid</v>
          </cell>
        </row>
        <row r="6960">
          <cell r="F6960" t="str">
            <v>INV-020523180141</v>
          </cell>
          <cell r="G6960" t="str">
            <v>Paid</v>
          </cell>
        </row>
        <row r="6961">
          <cell r="F6961" t="str">
            <v>INV-051023123647</v>
          </cell>
          <cell r="G6961" t="str">
            <v>Paid</v>
          </cell>
        </row>
        <row r="6962">
          <cell r="F6962" t="str">
            <v>INV-051223181737</v>
          </cell>
          <cell r="G6962" t="str">
            <v>Paid</v>
          </cell>
        </row>
        <row r="6963">
          <cell r="F6963" t="str">
            <v>INV-050623163105</v>
          </cell>
          <cell r="G6963" t="str">
            <v>Paid</v>
          </cell>
        </row>
        <row r="6964">
          <cell r="F6964" t="str">
            <v>INV-040723101458</v>
          </cell>
          <cell r="G6964" t="str">
            <v>Paid</v>
          </cell>
        </row>
        <row r="6965">
          <cell r="F6965" t="str">
            <v>INV-020823170404</v>
          </cell>
          <cell r="G6965" t="str">
            <v>Paid</v>
          </cell>
        </row>
        <row r="6966">
          <cell r="F6966" t="str">
            <v>INV-080124103933</v>
          </cell>
          <cell r="G6966" t="str">
            <v>Paid</v>
          </cell>
        </row>
        <row r="6967">
          <cell r="F6967" t="str">
            <v>INV-060224181352</v>
          </cell>
          <cell r="G6967" t="str">
            <v>Paid</v>
          </cell>
        </row>
        <row r="6968">
          <cell r="F6968" t="str">
            <v>INV-070324090817</v>
          </cell>
          <cell r="G6968" t="str">
            <v>Paid</v>
          </cell>
        </row>
        <row r="6969">
          <cell r="F6969" t="str">
            <v>INV-050424092505</v>
          </cell>
          <cell r="G6969" t="str">
            <v>Paid</v>
          </cell>
        </row>
        <row r="6970">
          <cell r="F6970" t="str">
            <v>INV-060524164301</v>
          </cell>
          <cell r="G6970" t="str">
            <v>Paid</v>
          </cell>
        </row>
        <row r="6971">
          <cell r="F6971" t="str">
            <v>INV-050624114223</v>
          </cell>
          <cell r="G6971" t="str">
            <v>Paid</v>
          </cell>
        </row>
        <row r="6972">
          <cell r="F6972" t="str">
            <v>INV-050724105757</v>
          </cell>
          <cell r="G6972" t="str">
            <v>Paid</v>
          </cell>
        </row>
        <row r="6973">
          <cell r="F6973" t="str">
            <v>INV-050824175332</v>
          </cell>
          <cell r="G6973" t="str">
            <v>Paid</v>
          </cell>
        </row>
        <row r="6974">
          <cell r="F6974" t="str">
            <v>INV-061224183731</v>
          </cell>
          <cell r="G6974" t="str">
            <v>Paid</v>
          </cell>
        </row>
        <row r="6975">
          <cell r="F6975" t="str">
            <v>CN-INV3107241805</v>
          </cell>
          <cell r="G6975" t="str">
            <v>Paid</v>
          </cell>
        </row>
        <row r="6976">
          <cell r="F6976" t="str">
            <v>INV-090924122749</v>
          </cell>
          <cell r="G6976" t="str">
            <v>Paid</v>
          </cell>
        </row>
        <row r="6977">
          <cell r="F6977" t="str">
            <v>INV-081024100258</v>
          </cell>
          <cell r="G6977" t="str">
            <v>Paid</v>
          </cell>
        </row>
        <row r="6978">
          <cell r="F6978" t="str">
            <v>INV-071124113859</v>
          </cell>
          <cell r="G6978" t="str">
            <v>Paid</v>
          </cell>
        </row>
        <row r="6979">
          <cell r="F6979" t="str">
            <v>INV-080125110915</v>
          </cell>
          <cell r="G6979" t="str">
            <v>Paid</v>
          </cell>
        </row>
        <row r="6980">
          <cell r="F6980" t="str">
            <v>INV-060225164137</v>
          </cell>
          <cell r="G6980" t="str">
            <v>Paid</v>
          </cell>
        </row>
        <row r="6981">
          <cell r="F6981" t="str">
            <v>INV-070325120022</v>
          </cell>
          <cell r="G6981" t="str">
            <v>Paid</v>
          </cell>
        </row>
        <row r="6982">
          <cell r="F6982" t="str">
            <v>INV-010425175830</v>
          </cell>
          <cell r="G6982" t="str">
            <v>Paid</v>
          </cell>
        </row>
        <row r="6983">
          <cell r="F6983" t="str">
            <v>INV-110724170118</v>
          </cell>
          <cell r="G6983" t="str">
            <v>Paid</v>
          </cell>
        </row>
        <row r="6984">
          <cell r="F6984" t="str">
            <v>INV-030425104926</v>
          </cell>
          <cell r="G6984" t="str">
            <v>Paid</v>
          </cell>
        </row>
        <row r="6985">
          <cell r="F6985" t="str">
            <v>CARDS0150</v>
          </cell>
          <cell r="G6985" t="str">
            <v>Paid</v>
          </cell>
        </row>
        <row r="6986">
          <cell r="F6986" t="str">
            <v>INV2022-SPENMO-001</v>
          </cell>
          <cell r="G6986" t="str">
            <v>Paid</v>
          </cell>
        </row>
        <row r="6987">
          <cell r="F6987" t="str">
            <v>INV-031123125726</v>
          </cell>
          <cell r="G6987" t="str">
            <v>Paid</v>
          </cell>
        </row>
        <row r="6988">
          <cell r="F6988" t="str">
            <v>INV-040923152418</v>
          </cell>
          <cell r="G6988" t="str">
            <v>Paid</v>
          </cell>
        </row>
        <row r="6989">
          <cell r="F6989" t="str">
            <v>INV-140423155828</v>
          </cell>
          <cell r="G6989" t="str">
            <v>Paid</v>
          </cell>
        </row>
        <row r="6990">
          <cell r="F6990" t="str">
            <v>INV-140423161542</v>
          </cell>
          <cell r="G6990" t="str">
            <v>Paid</v>
          </cell>
        </row>
        <row r="6991">
          <cell r="F6991" t="str">
            <v>INV-140423162330</v>
          </cell>
          <cell r="G6991" t="str">
            <v>Paid</v>
          </cell>
        </row>
        <row r="6992">
          <cell r="F6992" t="str">
            <v>INV-140423162837</v>
          </cell>
          <cell r="G6992" t="str">
            <v>Paid</v>
          </cell>
        </row>
        <row r="6993">
          <cell r="F6993" t="str">
            <v>INV-030523183513</v>
          </cell>
          <cell r="G6993" t="str">
            <v>Paid</v>
          </cell>
        </row>
        <row r="6994">
          <cell r="F6994" t="str">
            <v>INV-051023102919</v>
          </cell>
          <cell r="G6994" t="str">
            <v>Paid</v>
          </cell>
        </row>
        <row r="6995">
          <cell r="F6995" t="str">
            <v>INV-051223150358</v>
          </cell>
          <cell r="G6995" t="str">
            <v>Paid</v>
          </cell>
        </row>
        <row r="6996">
          <cell r="F6996" t="str">
            <v>INV-050623125833</v>
          </cell>
          <cell r="G6996" t="str">
            <v>Paid</v>
          </cell>
        </row>
        <row r="6997">
          <cell r="F6997" t="str">
            <v>INV-030723163547</v>
          </cell>
          <cell r="G6997" t="str">
            <v>Paid</v>
          </cell>
        </row>
        <row r="6998">
          <cell r="F6998" t="str">
            <v>INV-020823133045</v>
          </cell>
          <cell r="G6998" t="str">
            <v>Paid</v>
          </cell>
        </row>
        <row r="6999">
          <cell r="F6999" t="str">
            <v>INV-040124155654</v>
          </cell>
          <cell r="G6999" t="str">
            <v>Paid</v>
          </cell>
        </row>
        <row r="7000">
          <cell r="F7000" t="str">
            <v>INV-070224093756</v>
          </cell>
          <cell r="G7000" t="str">
            <v>Paid</v>
          </cell>
        </row>
        <row r="7001">
          <cell r="F7001" t="str">
            <v>INV-060324190020</v>
          </cell>
          <cell r="G7001" t="str">
            <v>Paid</v>
          </cell>
        </row>
        <row r="7002">
          <cell r="F7002" t="str">
            <v>INV-050424114519</v>
          </cell>
          <cell r="G7002" t="str">
            <v>Paid</v>
          </cell>
        </row>
        <row r="7003">
          <cell r="F7003" t="str">
            <v>INV-050624160739</v>
          </cell>
          <cell r="G7003" t="str">
            <v>Paid</v>
          </cell>
        </row>
        <row r="7004">
          <cell r="F7004" t="str">
            <v>INV-060524155754</v>
          </cell>
          <cell r="G7004" t="str">
            <v>Paid</v>
          </cell>
        </row>
        <row r="7005">
          <cell r="F7005" t="str">
            <v>INV-280524102431</v>
          </cell>
          <cell r="G7005" t="str">
            <v>Paid</v>
          </cell>
        </row>
        <row r="7006">
          <cell r="F7006" t="str">
            <v>INV-280524114729</v>
          </cell>
          <cell r="G7006" t="str">
            <v>Paid</v>
          </cell>
        </row>
        <row r="7007">
          <cell r="F7007" t="str">
            <v>INV-280524125027</v>
          </cell>
          <cell r="G7007" t="str">
            <v>Paid</v>
          </cell>
        </row>
        <row r="7008">
          <cell r="F7008" t="str">
            <v>INV-280524130915</v>
          </cell>
          <cell r="G7008" t="str">
            <v>Paid</v>
          </cell>
        </row>
        <row r="7009">
          <cell r="F7009" t="str">
            <v>CN-INV-280524122930</v>
          </cell>
          <cell r="G7009" t="str">
            <v>Paid</v>
          </cell>
        </row>
        <row r="7010">
          <cell r="F7010" t="str">
            <v>INV-061224150432</v>
          </cell>
          <cell r="G7010" t="str">
            <v>Paid</v>
          </cell>
        </row>
        <row r="7011">
          <cell r="F7011" t="str">
            <v>INV-080724140517</v>
          </cell>
          <cell r="G7011" t="str">
            <v>Paid</v>
          </cell>
        </row>
        <row r="7012">
          <cell r="F7012" t="str">
            <v>CN-INV-220724132120</v>
          </cell>
          <cell r="G7012" t="str">
            <v>Paid</v>
          </cell>
        </row>
        <row r="7013">
          <cell r="F7013" t="str">
            <v>INV-080824121805</v>
          </cell>
          <cell r="G7013" t="str">
            <v>Paid</v>
          </cell>
        </row>
        <row r="7014">
          <cell r="F7014" t="str">
            <v>INV-100924124342</v>
          </cell>
          <cell r="G7014" t="str">
            <v>Paid</v>
          </cell>
        </row>
        <row r="7015">
          <cell r="F7015" t="str">
            <v>INV-091024142510</v>
          </cell>
          <cell r="G7015" t="str">
            <v>Paid</v>
          </cell>
        </row>
        <row r="7016">
          <cell r="F7016" t="str">
            <v>INV-241024152825</v>
          </cell>
          <cell r="G7016" t="str">
            <v>Paid</v>
          </cell>
        </row>
        <row r="7017">
          <cell r="F7017" t="str">
            <v>INV-081124121647</v>
          </cell>
          <cell r="G7017" t="str">
            <v>Paid</v>
          </cell>
        </row>
        <row r="7018">
          <cell r="F7018" t="str">
            <v>INV2024-SPENMO-001</v>
          </cell>
          <cell r="G7018" t="str">
            <v>Paid</v>
          </cell>
        </row>
        <row r="7019">
          <cell r="F7019" t="str">
            <v>INV-070125123411</v>
          </cell>
          <cell r="G7019" t="str">
            <v>Paid</v>
          </cell>
        </row>
        <row r="7020">
          <cell r="F7020" t="str">
            <v>INV-060225122626</v>
          </cell>
          <cell r="G7020" t="str">
            <v>Paid</v>
          </cell>
        </row>
        <row r="7021">
          <cell r="F7021" t="str">
            <v>INV-060325121544</v>
          </cell>
          <cell r="G7021" t="str">
            <v>Paid</v>
          </cell>
        </row>
        <row r="7022">
          <cell r="F7022" t="str">
            <v>INV-040425180235</v>
          </cell>
          <cell r="G7022" t="str">
            <v>Paid</v>
          </cell>
        </row>
        <row r="7023">
          <cell r="F7023" t="str">
            <v>INV-060525162516</v>
          </cell>
          <cell r="G7023" t="str">
            <v>Paid</v>
          </cell>
        </row>
        <row r="7024">
          <cell r="F7024" t="str">
            <v>INV-050625134234</v>
          </cell>
          <cell r="G7024" t="str">
            <v>Paid</v>
          </cell>
        </row>
        <row r="7025">
          <cell r="F7025" t="str">
            <v>INV-040725182553</v>
          </cell>
          <cell r="G7025" t="str">
            <v>Paid</v>
          </cell>
        </row>
        <row r="7026">
          <cell r="F7026" t="str">
            <v>INV-060825161559</v>
          </cell>
          <cell r="G7026" t="str">
            <v>Paid</v>
          </cell>
        </row>
        <row r="7027">
          <cell r="F7027" t="str">
            <v>INV-040925120602</v>
          </cell>
          <cell r="G7027" t="str">
            <v>Paid</v>
          </cell>
        </row>
        <row r="7028">
          <cell r="F7028" t="str">
            <v>25112025167000</v>
          </cell>
          <cell r="G7028" t="str">
            <v>Paid</v>
          </cell>
        </row>
        <row r="7029">
          <cell r="F7029" t="str">
            <v>INV-040924163557</v>
          </cell>
          <cell r="G7029" t="str">
            <v>Paid</v>
          </cell>
        </row>
        <row r="7030">
          <cell r="F7030" t="str">
            <v>INV-170424170819</v>
          </cell>
          <cell r="G7030" t="str">
            <v>Paid</v>
          </cell>
        </row>
        <row r="7031">
          <cell r="F7031" t="str">
            <v>CN-INV-040924163557</v>
          </cell>
          <cell r="G7031" t="str">
            <v>Paid</v>
          </cell>
        </row>
        <row r="7032">
          <cell r="F7032" t="str">
            <v>INV2021-DVL-001</v>
          </cell>
          <cell r="G7032" t="str">
            <v>Waived Off</v>
          </cell>
        </row>
        <row r="7033">
          <cell r="F7033" t="str">
            <v>INV-281024170208</v>
          </cell>
          <cell r="G7033" t="str">
            <v>Paid</v>
          </cell>
        </row>
        <row r="7034">
          <cell r="F7034" t="str">
            <v>INV-040825171757</v>
          </cell>
          <cell r="G7034" t="str">
            <v>Paid</v>
          </cell>
        </row>
        <row r="7035">
          <cell r="F7035" t="str">
            <v>INV-030925123403</v>
          </cell>
          <cell r="G7035" t="str">
            <v>Paid</v>
          </cell>
        </row>
        <row r="7036">
          <cell r="F7036" t="str">
            <v>INV-031025173634</v>
          </cell>
          <cell r="G7036" t="str">
            <v>Paid</v>
          </cell>
        </row>
        <row r="7037">
          <cell r="F7037" t="str">
            <v>INV-051125113908</v>
          </cell>
          <cell r="G7037" t="str">
            <v>Paid</v>
          </cell>
        </row>
        <row r="7038">
          <cell r="F7038" t="str">
            <v>INV-031225110514</v>
          </cell>
          <cell r="G7038" t="str">
            <v>Paid</v>
          </cell>
        </row>
        <row r="7039">
          <cell r="F7039" t="str">
            <v>INV-050126162303</v>
          </cell>
          <cell r="G7039" t="str">
            <v>Paid</v>
          </cell>
        </row>
        <row r="7040">
          <cell r="F7040" t="str">
            <v>INV-040226200358</v>
          </cell>
          <cell r="G7040" t="str">
            <v>Paid</v>
          </cell>
        </row>
        <row r="7041">
          <cell r="F7041" t="str">
            <v>INV-030326185225</v>
          </cell>
          <cell r="G7041" t="str">
            <v>Outstanding</v>
          </cell>
        </row>
        <row r="7042">
          <cell r="F7042" t="str">
            <v>INV-040725104417</v>
          </cell>
          <cell r="G7042" t="str">
            <v>Paid</v>
          </cell>
        </row>
        <row r="7043">
          <cell r="F7043" t="str">
            <v>CARDS0003</v>
          </cell>
          <cell r="G7043" t="str">
            <v>Waived Off</v>
          </cell>
        </row>
        <row r="7044">
          <cell r="F7044" t="str">
            <v>CARDS0016</v>
          </cell>
          <cell r="G7044" t="str">
            <v>Waived Off</v>
          </cell>
        </row>
        <row r="7045">
          <cell r="F7045" t="str">
            <v>CARDS0030</v>
          </cell>
          <cell r="G7045" t="str">
            <v>Waived Off</v>
          </cell>
        </row>
        <row r="7046">
          <cell r="F7046" t="str">
            <v>CARDS0045</v>
          </cell>
          <cell r="G7046" t="str">
            <v>Waived Off</v>
          </cell>
        </row>
        <row r="7047">
          <cell r="F7047" t="str">
            <v>DNCARDS0005</v>
          </cell>
          <cell r="G7047" t="str">
            <v>Waived Off</v>
          </cell>
        </row>
        <row r="7048">
          <cell r="F7048" t="str">
            <v>CARDS0068</v>
          </cell>
          <cell r="G7048" t="str">
            <v>Waived Off</v>
          </cell>
        </row>
        <row r="7049">
          <cell r="F7049" t="str">
            <v>CARDS0081</v>
          </cell>
          <cell r="G7049" t="str">
            <v>Waived Off</v>
          </cell>
        </row>
        <row r="7050">
          <cell r="F7050" t="str">
            <v>CARDS0098</v>
          </cell>
          <cell r="G7050" t="str">
            <v>Waived Off</v>
          </cell>
        </row>
        <row r="7051">
          <cell r="F7051" t="str">
            <v>CARDS0117</v>
          </cell>
          <cell r="G7051" t="str">
            <v>Waived Off</v>
          </cell>
        </row>
        <row r="7052">
          <cell r="F7052" t="str">
            <v>CARDS0135</v>
          </cell>
          <cell r="G7052" t="str">
            <v>Waived Off</v>
          </cell>
        </row>
        <row r="7053">
          <cell r="F7053" t="str">
            <v>CARDS0155</v>
          </cell>
          <cell r="G7053" t="str">
            <v>Waived Off</v>
          </cell>
        </row>
        <row r="7054">
          <cell r="F7054" t="str">
            <v>CARDS0171</v>
          </cell>
          <cell r="G7054" t="str">
            <v>Waived Off</v>
          </cell>
        </row>
        <row r="7055">
          <cell r="F7055" t="str">
            <v>CARDS0193</v>
          </cell>
          <cell r="G7055" t="str">
            <v>Waived Off</v>
          </cell>
        </row>
        <row r="7056">
          <cell r="F7056" t="str">
            <v>CARDS0213</v>
          </cell>
          <cell r="G7056" t="str">
            <v>Waived Off</v>
          </cell>
        </row>
        <row r="7057">
          <cell r="F7057" t="str">
            <v>CARDS0230</v>
          </cell>
          <cell r="G7057" t="str">
            <v>Waived Off</v>
          </cell>
        </row>
        <row r="7058">
          <cell r="F7058" t="str">
            <v>CARDS0247</v>
          </cell>
          <cell r="G7058" t="str">
            <v>Waived Off</v>
          </cell>
        </row>
        <row r="7059">
          <cell r="F7059" t="str">
            <v>CARDS0268</v>
          </cell>
          <cell r="G7059" t="str">
            <v>Waived Off</v>
          </cell>
        </row>
        <row r="7060">
          <cell r="F7060" t="str">
            <v>CARDS0286</v>
          </cell>
          <cell r="G7060" t="str">
            <v>Waived Off</v>
          </cell>
        </row>
        <row r="7061">
          <cell r="F7061" t="str">
            <v>CARDS0304</v>
          </cell>
          <cell r="G7061" t="str">
            <v>Waived Off</v>
          </cell>
        </row>
        <row r="7062">
          <cell r="F7062" t="str">
            <v>INV-090125195627</v>
          </cell>
          <cell r="G7062" t="str">
            <v>Net Off</v>
          </cell>
        </row>
        <row r="7063">
          <cell r="F7063" t="str">
            <v>CR-INV-090125195627</v>
          </cell>
          <cell r="G7063" t="str">
            <v>Net Off</v>
          </cell>
        </row>
        <row r="7064">
          <cell r="F7064" t="str">
            <v>INV-130824154647</v>
          </cell>
          <cell r="G7064" t="str">
            <v>Paid</v>
          </cell>
        </row>
        <row r="7065">
          <cell r="F7065" t="str">
            <v>INV-051224160915</v>
          </cell>
          <cell r="G7065" t="str">
            <v>Paid</v>
          </cell>
        </row>
        <row r="7066">
          <cell r="F7066" t="str">
            <v>INV-060125141110</v>
          </cell>
          <cell r="G7066" t="str">
            <v>Paid</v>
          </cell>
        </row>
        <row r="7067">
          <cell r="F7067" t="str">
            <v>INV-050325101952</v>
          </cell>
          <cell r="G7067" t="str">
            <v>Paid</v>
          </cell>
        </row>
        <row r="7068">
          <cell r="F7068" t="str">
            <v>INV-020425191827</v>
          </cell>
          <cell r="G7068" t="str">
            <v>Paid</v>
          </cell>
        </row>
        <row r="7069">
          <cell r="F7069" t="str">
            <v>INV-050525151741</v>
          </cell>
          <cell r="G7069" t="str">
            <v>Paid</v>
          </cell>
        </row>
        <row r="7070">
          <cell r="F7070" t="str">
            <v>INV-040625115238</v>
          </cell>
          <cell r="G7070" t="str">
            <v>Paid</v>
          </cell>
        </row>
        <row r="7071">
          <cell r="F7071" t="str">
            <v>INV-030725115211</v>
          </cell>
          <cell r="G7071" t="str">
            <v>Paid</v>
          </cell>
        </row>
        <row r="7072">
          <cell r="F7072" t="str">
            <v>INV-040825185658</v>
          </cell>
          <cell r="G7072" t="str">
            <v>Paid</v>
          </cell>
        </row>
        <row r="7073">
          <cell r="F7073" t="str">
            <v>INV-020925181540</v>
          </cell>
          <cell r="G7073" t="str">
            <v>Paid</v>
          </cell>
        </row>
        <row r="7074">
          <cell r="F7074" t="str">
            <v>INV-021025181515</v>
          </cell>
          <cell r="G7074" t="str">
            <v>Paid</v>
          </cell>
        </row>
        <row r="7075">
          <cell r="F7075" t="str">
            <v>INV-051125095004</v>
          </cell>
          <cell r="G7075" t="str">
            <v>Paid</v>
          </cell>
        </row>
        <row r="7076">
          <cell r="F7076" t="str">
            <v>INV-021225193028</v>
          </cell>
          <cell r="G7076" t="str">
            <v>Paid</v>
          </cell>
        </row>
        <row r="7077">
          <cell r="F7077" t="str">
            <v>INV-020126164232</v>
          </cell>
          <cell r="G7077" t="str">
            <v>Paid</v>
          </cell>
        </row>
        <row r="7078">
          <cell r="F7078" t="str">
            <v>INV-030226100136</v>
          </cell>
          <cell r="G7078" t="str">
            <v>Paid</v>
          </cell>
        </row>
        <row r="7079">
          <cell r="F7079" t="str">
            <v>INV-030326092207</v>
          </cell>
          <cell r="G7079" t="str">
            <v>Paid</v>
          </cell>
        </row>
        <row r="7080">
          <cell r="F7080" t="str">
            <v>INV2021-EPI-001</v>
          </cell>
          <cell r="G7080" t="str">
            <v>Paid</v>
          </cell>
        </row>
        <row r="7081">
          <cell r="F7081" t="str">
            <v>HKCARDS0007</v>
          </cell>
          <cell r="G7081" t="str">
            <v>Paid</v>
          </cell>
        </row>
        <row r="7082">
          <cell r="F7082" t="str">
            <v>HKCARDS0013</v>
          </cell>
          <cell r="G7082" t="str">
            <v>Paid</v>
          </cell>
        </row>
        <row r="7083">
          <cell r="F7083" t="str">
            <v>HKCARDS0017</v>
          </cell>
          <cell r="G7083" t="str">
            <v>Paid</v>
          </cell>
        </row>
        <row r="7084">
          <cell r="F7084" t="str">
            <v>HKCARDS0023</v>
          </cell>
          <cell r="G7084" t="str">
            <v>Paid</v>
          </cell>
        </row>
        <row r="7085">
          <cell r="F7085" t="str">
            <v>HKCARDS0028</v>
          </cell>
          <cell r="G7085" t="str">
            <v>Paid</v>
          </cell>
        </row>
        <row r="7086">
          <cell r="F7086" t="str">
            <v>HKCARDS0032</v>
          </cell>
          <cell r="G7086" t="str">
            <v>Paid</v>
          </cell>
        </row>
        <row r="7087">
          <cell r="F7087" t="str">
            <v>HKCARDS0038</v>
          </cell>
          <cell r="G7087" t="str">
            <v>Paid</v>
          </cell>
        </row>
        <row r="7088">
          <cell r="F7088" t="str">
            <v>HKCARDS0042</v>
          </cell>
          <cell r="G7088" t="str">
            <v>Paid</v>
          </cell>
        </row>
        <row r="7089">
          <cell r="F7089" t="str">
            <v>HKCARDS0083</v>
          </cell>
          <cell r="G7089" t="str">
            <v>Paid</v>
          </cell>
        </row>
        <row r="7090">
          <cell r="F7090" t="str">
            <v>HKCARDS0088</v>
          </cell>
          <cell r="G7090" t="str">
            <v>Paid</v>
          </cell>
        </row>
        <row r="7091">
          <cell r="F7091" t="str">
            <v>HKCARDS0102</v>
          </cell>
          <cell r="G7091" t="str">
            <v>Paid</v>
          </cell>
        </row>
        <row r="7092">
          <cell r="F7092" t="str">
            <v>INV-021122173542</v>
          </cell>
          <cell r="G7092" t="str">
            <v>Paid</v>
          </cell>
        </row>
        <row r="7093">
          <cell r="F7093" t="str">
            <v>INV-021222032332</v>
          </cell>
          <cell r="G7093" t="str">
            <v>Paid</v>
          </cell>
        </row>
        <row r="7094">
          <cell r="F7094" t="str">
            <v>INV-040123011047</v>
          </cell>
          <cell r="G7094" t="str">
            <v>Paid</v>
          </cell>
        </row>
        <row r="7095">
          <cell r="F7095" t="str">
            <v>INV-020223025427</v>
          </cell>
          <cell r="G7095" t="str">
            <v>Paid</v>
          </cell>
        </row>
        <row r="7096">
          <cell r="F7096" t="str">
            <v>INV-020323012709</v>
          </cell>
          <cell r="G7096" t="str">
            <v>Paid</v>
          </cell>
        </row>
        <row r="7097">
          <cell r="F7097" t="str">
            <v>INV-031123170545</v>
          </cell>
          <cell r="G7097" t="str">
            <v>Paid</v>
          </cell>
        </row>
        <row r="7098">
          <cell r="F7098" t="str">
            <v>INV-030423233045</v>
          </cell>
          <cell r="G7098" t="str">
            <v>Paid</v>
          </cell>
        </row>
        <row r="7099">
          <cell r="F7099" t="str">
            <v>INV-040923152447</v>
          </cell>
          <cell r="G7099" t="str">
            <v>Paid</v>
          </cell>
        </row>
        <row r="7100">
          <cell r="F7100" t="str">
            <v>INV-020523190517</v>
          </cell>
          <cell r="G7100" t="str">
            <v>Paid</v>
          </cell>
        </row>
        <row r="7101">
          <cell r="F7101" t="str">
            <v>INV-051023121957</v>
          </cell>
          <cell r="G7101" t="str">
            <v>Paid</v>
          </cell>
        </row>
        <row r="7102">
          <cell r="F7102" t="str">
            <v>INV-051223123011</v>
          </cell>
          <cell r="G7102" t="str">
            <v>Paid</v>
          </cell>
        </row>
        <row r="7103">
          <cell r="F7103" t="str">
            <v>INV-020623193228</v>
          </cell>
          <cell r="G7103" t="str">
            <v>Paid</v>
          </cell>
        </row>
        <row r="7104">
          <cell r="F7104" t="str">
            <v>INV-040723110401</v>
          </cell>
          <cell r="G7104" t="str">
            <v>Paid</v>
          </cell>
        </row>
        <row r="7105">
          <cell r="F7105" t="str">
            <v>INV-030823143444</v>
          </cell>
          <cell r="G7105" t="str">
            <v>Paid</v>
          </cell>
        </row>
        <row r="7106">
          <cell r="F7106" t="str">
            <v>INV-040124163633</v>
          </cell>
          <cell r="G7106" t="str">
            <v>Paid</v>
          </cell>
        </row>
        <row r="7107">
          <cell r="F7107" t="str">
            <v>INV-070224095738</v>
          </cell>
          <cell r="G7107" t="str">
            <v>Paid</v>
          </cell>
        </row>
        <row r="7108">
          <cell r="F7108" t="str">
            <v>INV-060324105303</v>
          </cell>
          <cell r="G7108" t="str">
            <v>Paid</v>
          </cell>
        </row>
        <row r="7109">
          <cell r="F7109" t="str">
            <v>INV-060326152527</v>
          </cell>
          <cell r="G7109" t="str">
            <v>Outstanding</v>
          </cell>
        </row>
        <row r="7110">
          <cell r="F7110" t="str">
            <v>INV-050625151157</v>
          </cell>
          <cell r="G7110" t="str">
            <v>Paid</v>
          </cell>
        </row>
        <row r="7111">
          <cell r="F7111" t="str">
            <v>INV-040725113028</v>
          </cell>
          <cell r="G7111" t="str">
            <v>Paid</v>
          </cell>
        </row>
        <row r="7112">
          <cell r="F7112" t="str">
            <v>INV-050825152827</v>
          </cell>
          <cell r="G7112" t="str">
            <v>Paid</v>
          </cell>
        </row>
        <row r="7113">
          <cell r="F7113" t="str">
            <v>INV-030925081021</v>
          </cell>
          <cell r="G7113" t="str">
            <v>Paid</v>
          </cell>
        </row>
        <row r="7114">
          <cell r="F7114" t="str">
            <v>INV-031025182917</v>
          </cell>
          <cell r="G7114" t="str">
            <v>Paid</v>
          </cell>
        </row>
        <row r="7115">
          <cell r="F7115" t="str">
            <v>INV-061125131459</v>
          </cell>
          <cell r="G7115" t="str">
            <v>Paid</v>
          </cell>
        </row>
        <row r="7116">
          <cell r="F7116" t="str">
            <v>INV-031225121529</v>
          </cell>
          <cell r="G7116" t="str">
            <v>Paid</v>
          </cell>
        </row>
        <row r="7117">
          <cell r="F7117" t="str">
            <v>INV-050126184609</v>
          </cell>
          <cell r="G7117" t="str">
            <v>Paid</v>
          </cell>
        </row>
        <row r="7118">
          <cell r="F7118" t="str">
            <v>INV-040226171625</v>
          </cell>
          <cell r="G7118" t="str">
            <v>Paid</v>
          </cell>
        </row>
        <row r="7119">
          <cell r="F7119" t="str">
            <v>INV-040326135554</v>
          </cell>
          <cell r="G7119" t="str">
            <v>Outstanding</v>
          </cell>
        </row>
        <row r="7120">
          <cell r="F7120" t="str">
            <v>INV-050625152807</v>
          </cell>
          <cell r="G7120" t="str">
            <v>Paid</v>
          </cell>
        </row>
        <row r="7121">
          <cell r="F7121" t="str">
            <v>INV-040725110130</v>
          </cell>
          <cell r="G7121" t="str">
            <v>Paid</v>
          </cell>
        </row>
        <row r="7122">
          <cell r="F7122" t="str">
            <v>INV-050825160935</v>
          </cell>
          <cell r="G7122" t="str">
            <v>Paid</v>
          </cell>
        </row>
        <row r="7123">
          <cell r="F7123" t="str">
            <v>INV-030925083059</v>
          </cell>
          <cell r="G7123" t="str">
            <v>Paid</v>
          </cell>
        </row>
        <row r="7124">
          <cell r="F7124" t="str">
            <v>INV-061025111735</v>
          </cell>
          <cell r="G7124" t="str">
            <v>Paid</v>
          </cell>
        </row>
        <row r="7125">
          <cell r="F7125" t="str">
            <v>INV-061125150929</v>
          </cell>
          <cell r="G7125" t="str">
            <v>Paid</v>
          </cell>
        </row>
        <row r="7126">
          <cell r="F7126" t="str">
            <v>INV-031225125223</v>
          </cell>
          <cell r="G7126" t="str">
            <v>Paid</v>
          </cell>
        </row>
        <row r="7127">
          <cell r="F7127" t="str">
            <v>INV-050126190843</v>
          </cell>
          <cell r="G7127" t="str">
            <v>Paid</v>
          </cell>
        </row>
        <row r="7128">
          <cell r="F7128" t="str">
            <v>INV-040226181813</v>
          </cell>
          <cell r="G7128" t="str">
            <v>Paid</v>
          </cell>
        </row>
        <row r="7129">
          <cell r="F7129" t="str">
            <v>INV-040326162658</v>
          </cell>
          <cell r="G7129" t="str">
            <v>Outstanding</v>
          </cell>
        </row>
        <row r="7130">
          <cell r="F7130" t="str">
            <v>INV-060125173325</v>
          </cell>
          <cell r="G7130" t="str">
            <v>Paid</v>
          </cell>
        </row>
        <row r="7131">
          <cell r="F7131" t="str">
            <v>INV-050225155212</v>
          </cell>
          <cell r="G7131" t="str">
            <v>Paid</v>
          </cell>
        </row>
        <row r="7132">
          <cell r="F7132" t="str">
            <v>INV-040325184348</v>
          </cell>
          <cell r="G7132" t="str">
            <v>Paid</v>
          </cell>
        </row>
        <row r="7133">
          <cell r="F7133" t="str">
            <v>INV-020425185222</v>
          </cell>
          <cell r="G7133" t="str">
            <v>Paid</v>
          </cell>
        </row>
        <row r="7134">
          <cell r="F7134" t="str">
            <v>INV-050525173242</v>
          </cell>
          <cell r="G7134" t="str">
            <v>Net Off</v>
          </cell>
        </row>
        <row r="7135">
          <cell r="F7135" t="str">
            <v>INV-060625114540</v>
          </cell>
          <cell r="G7135" t="str">
            <v>Paid</v>
          </cell>
        </row>
        <row r="7136">
          <cell r="F7136" t="str">
            <v>INV-060625121720</v>
          </cell>
          <cell r="G7136" t="str">
            <v>Paid</v>
          </cell>
        </row>
        <row r="7137">
          <cell r="F7137" t="str">
            <v>CN-INV-050525173242</v>
          </cell>
          <cell r="G7137" t="str">
            <v>Net Off</v>
          </cell>
        </row>
        <row r="7138">
          <cell r="F7138" t="str">
            <v>INV-020725195454</v>
          </cell>
          <cell r="G7138" t="str">
            <v>Paid</v>
          </cell>
        </row>
        <row r="7139">
          <cell r="F7139" t="str">
            <v>INV-040825184649</v>
          </cell>
          <cell r="G7139" t="str">
            <v>Paid</v>
          </cell>
        </row>
        <row r="7140">
          <cell r="F7140" t="str">
            <v>INV-020925125429</v>
          </cell>
          <cell r="G7140" t="str">
            <v>Paid</v>
          </cell>
        </row>
        <row r="7141">
          <cell r="F7141" t="str">
            <v>INV-021025154145</v>
          </cell>
          <cell r="G7141" t="str">
            <v>Paid</v>
          </cell>
        </row>
        <row r="7142">
          <cell r="F7142" t="str">
            <v>INV-061125190516</v>
          </cell>
          <cell r="G7142" t="str">
            <v>Paid</v>
          </cell>
        </row>
        <row r="7143">
          <cell r="F7143" t="str">
            <v>CN-INV-061125190516</v>
          </cell>
          <cell r="G7143" t="str">
            <v>Paid</v>
          </cell>
        </row>
        <row r="7144">
          <cell r="F7144" t="str">
            <v>INV-031225114152</v>
          </cell>
          <cell r="G7144" t="str">
            <v>Paid</v>
          </cell>
        </row>
        <row r="7145">
          <cell r="F7145" t="str">
            <v>INV-020126174418</v>
          </cell>
          <cell r="G7145" t="str">
            <v>Paid</v>
          </cell>
        </row>
        <row r="7146">
          <cell r="F7146" t="str">
            <v>INV-030226101052</v>
          </cell>
          <cell r="G7146" t="str">
            <v>Paid</v>
          </cell>
        </row>
        <row r="7147">
          <cell r="F7147" t="str">
            <v>INV-030326121550</v>
          </cell>
          <cell r="G7147" t="str">
            <v>Paid</v>
          </cell>
        </row>
        <row r="7148">
          <cell r="F7148" t="str">
            <v>INV2021-EPS-001</v>
          </cell>
          <cell r="G7148" t="str">
            <v>Waived Off</v>
          </cell>
        </row>
        <row r="7149">
          <cell r="F7149" t="str">
            <v>INV-181225104616</v>
          </cell>
          <cell r="G7149" t="str">
            <v>Paid</v>
          </cell>
        </row>
        <row r="7150">
          <cell r="F7150" t="str">
            <v>INV-110225132938</v>
          </cell>
          <cell r="G7150" t="str">
            <v>Paid</v>
          </cell>
        </row>
        <row r="7151">
          <cell r="F7151" t="str">
            <v>INV-020625194906</v>
          </cell>
          <cell r="G7151" t="str">
            <v>Paid</v>
          </cell>
        </row>
        <row r="7152">
          <cell r="F7152" t="str">
            <v>INV-010925091851</v>
          </cell>
          <cell r="G7152" t="str">
            <v>Paid</v>
          </cell>
        </row>
        <row r="7153">
          <cell r="F7153" t="str">
            <v>INV-031025104052</v>
          </cell>
          <cell r="G7153" t="str">
            <v>Paid</v>
          </cell>
        </row>
        <row r="7154">
          <cell r="F7154" t="str">
            <v>INV-021225200651</v>
          </cell>
          <cell r="G7154" t="str">
            <v>Paid</v>
          </cell>
        </row>
        <row r="7155">
          <cell r="F7155" t="str">
            <v>INV-021225200014</v>
          </cell>
          <cell r="G7155" t="str">
            <v>Paid</v>
          </cell>
        </row>
        <row r="7156">
          <cell r="F7156" t="str">
            <v>INV-060226135736</v>
          </cell>
          <cell r="G7156" t="str">
            <v>Outstanding</v>
          </cell>
        </row>
        <row r="7157">
          <cell r="F7157" t="str">
            <v>INV-030326151733</v>
          </cell>
          <cell r="G7157" t="str">
            <v>Outstanding</v>
          </cell>
        </row>
        <row r="7158">
          <cell r="F7158" t="str">
            <v>INV-170223180014</v>
          </cell>
          <cell r="G7158" t="str">
            <v>Paid</v>
          </cell>
        </row>
        <row r="7159">
          <cell r="F7159" t="str">
            <v>INV-050523115751</v>
          </cell>
          <cell r="G7159" t="str">
            <v>Waived Off</v>
          </cell>
        </row>
        <row r="7160">
          <cell r="F7160" t="str">
            <v>INV-150923133943</v>
          </cell>
          <cell r="G7160" t="str">
            <v>Waived Off</v>
          </cell>
        </row>
        <row r="7161">
          <cell r="F7161" t="str">
            <v>INV-121225102235</v>
          </cell>
          <cell r="G7161" t="str">
            <v>Paid</v>
          </cell>
        </row>
        <row r="7162">
          <cell r="F7162" t="str">
            <v>INV-060326111243</v>
          </cell>
          <cell r="G7162" t="str">
            <v>Partially Paid</v>
          </cell>
        </row>
        <row r="7163">
          <cell r="F7163" t="str">
            <v>INV-090925165512</v>
          </cell>
          <cell r="G7163" t="str">
            <v>Paid</v>
          </cell>
        </row>
        <row r="7164">
          <cell r="F7164" t="str">
            <v>INV-050126095427</v>
          </cell>
          <cell r="G7164" t="str">
            <v>Outstanding</v>
          </cell>
        </row>
        <row r="7165">
          <cell r="F7165" t="str">
            <v>INV-060226120820</v>
          </cell>
          <cell r="G7165" t="str">
            <v>Outstanding</v>
          </cell>
        </row>
        <row r="7166">
          <cell r="F7166" t="str">
            <v>INV-040326132912</v>
          </cell>
          <cell r="G7166" t="str">
            <v>Outstanding</v>
          </cell>
        </row>
        <row r="7167">
          <cell r="F7167" t="str">
            <v>INV2021-FBS-001</v>
          </cell>
          <cell r="G7167" t="str">
            <v>Paid</v>
          </cell>
        </row>
        <row r="7168">
          <cell r="F7168" t="str">
            <v>INV-050724170245</v>
          </cell>
          <cell r="G7168" t="str">
            <v>Paid</v>
          </cell>
        </row>
        <row r="7169">
          <cell r="F7169" t="str">
            <v>INV-110624125421</v>
          </cell>
          <cell r="G7169" t="str">
            <v>Paid</v>
          </cell>
        </row>
        <row r="7170">
          <cell r="F7170" t="str">
            <v>INV-090824185046</v>
          </cell>
          <cell r="G7170" t="str">
            <v>Paid</v>
          </cell>
        </row>
        <row r="7171">
          <cell r="F7171" t="str">
            <v>INV-090924170332</v>
          </cell>
          <cell r="G7171" t="str">
            <v>Paid</v>
          </cell>
        </row>
        <row r="7172">
          <cell r="F7172" t="str">
            <v>INV-091224150629</v>
          </cell>
          <cell r="G7172" t="str">
            <v>Paid</v>
          </cell>
        </row>
        <row r="7173">
          <cell r="F7173" t="str">
            <v>INV-081024105817</v>
          </cell>
          <cell r="G7173" t="str">
            <v>Paid</v>
          </cell>
        </row>
        <row r="7174">
          <cell r="F7174" t="str">
            <v>INV-071124183934</v>
          </cell>
          <cell r="G7174" t="str">
            <v>Paid</v>
          </cell>
        </row>
        <row r="7175">
          <cell r="F7175" t="str">
            <v>INV-080125112914</v>
          </cell>
          <cell r="G7175" t="str">
            <v>Paid</v>
          </cell>
        </row>
        <row r="7176">
          <cell r="F7176" t="str">
            <v>INV-070225163258</v>
          </cell>
          <cell r="G7176" t="str">
            <v>Paid</v>
          </cell>
        </row>
        <row r="7177">
          <cell r="F7177" t="str">
            <v>INV-070325111755</v>
          </cell>
          <cell r="G7177" t="str">
            <v>Paid</v>
          </cell>
        </row>
        <row r="7178">
          <cell r="F7178" t="str">
            <v>INV-040425173503</v>
          </cell>
          <cell r="G7178" t="str">
            <v>Paid</v>
          </cell>
        </row>
        <row r="7179">
          <cell r="F7179" t="str">
            <v>INV-070525093956</v>
          </cell>
          <cell r="G7179" t="str">
            <v>Paid</v>
          </cell>
        </row>
        <row r="7180">
          <cell r="F7180" t="str">
            <v>INV-050625191211</v>
          </cell>
          <cell r="G7180" t="str">
            <v>Paid</v>
          </cell>
        </row>
        <row r="7181">
          <cell r="F7181" t="str">
            <v>INV-260625093215</v>
          </cell>
          <cell r="G7181" t="str">
            <v>Paid</v>
          </cell>
        </row>
        <row r="7182">
          <cell r="F7182" t="str">
            <v>INV-050725115338</v>
          </cell>
          <cell r="G7182" t="str">
            <v>Paid</v>
          </cell>
        </row>
        <row r="7183">
          <cell r="F7183" t="str">
            <v>INV-070825093934</v>
          </cell>
          <cell r="G7183" t="str">
            <v>Paid</v>
          </cell>
        </row>
        <row r="7184">
          <cell r="F7184" t="str">
            <v>INV-050925125927</v>
          </cell>
          <cell r="G7184" t="str">
            <v>Paid</v>
          </cell>
        </row>
        <row r="7185">
          <cell r="F7185" t="str">
            <v>INV-061025213059</v>
          </cell>
          <cell r="G7185" t="str">
            <v>Paid</v>
          </cell>
        </row>
        <row r="7186">
          <cell r="F7186" t="str">
            <v>INV-061125172533</v>
          </cell>
          <cell r="G7186" t="str">
            <v>Paid</v>
          </cell>
        </row>
        <row r="7187">
          <cell r="F7187" t="str">
            <v>CN-INV-061025213059</v>
          </cell>
          <cell r="G7187" t="str">
            <v>Paid</v>
          </cell>
        </row>
        <row r="7188">
          <cell r="F7188" t="str">
            <v>INV-041225164530</v>
          </cell>
          <cell r="G7188" t="str">
            <v>Paid</v>
          </cell>
        </row>
        <row r="7189">
          <cell r="F7189" t="str">
            <v>INV-060126172556</v>
          </cell>
          <cell r="G7189" t="str">
            <v>Paid</v>
          </cell>
        </row>
        <row r="7190">
          <cell r="F7190" t="str">
            <v>INV-080226190250</v>
          </cell>
          <cell r="G7190" t="str">
            <v>Paid</v>
          </cell>
        </row>
        <row r="7191">
          <cell r="F7191" t="str">
            <v>INV-050326163610</v>
          </cell>
          <cell r="G7191" t="str">
            <v>Outstanding</v>
          </cell>
        </row>
        <row r="7192">
          <cell r="F7192" t="str">
            <v>HKCARDS0001</v>
          </cell>
          <cell r="G7192" t="str">
            <v>Net Off</v>
          </cell>
        </row>
        <row r="7193">
          <cell r="F7193" t="str">
            <v>CNHKCARDS0002</v>
          </cell>
          <cell r="G7193" t="str">
            <v>Net Off</v>
          </cell>
        </row>
        <row r="7194">
          <cell r="F7194" t="str">
            <v>INV2021-FDE-002</v>
          </cell>
          <cell r="G7194" t="str">
            <v>Net Off</v>
          </cell>
        </row>
        <row r="7195">
          <cell r="F7195" t="str">
            <v>CN2021-FDE-001</v>
          </cell>
          <cell r="G7195" t="str">
            <v>Net Off</v>
          </cell>
        </row>
        <row r="7196">
          <cell r="F7196" t="str">
            <v>CN2021-FDE-002</v>
          </cell>
          <cell r="G7196" t="str">
            <v>Net Off</v>
          </cell>
        </row>
        <row r="7197">
          <cell r="F7197" t="str">
            <v>INV-110225170830</v>
          </cell>
          <cell r="G7197" t="str">
            <v>Paid</v>
          </cell>
        </row>
        <row r="7198">
          <cell r="F7198" t="str">
            <v>INV-040625120235</v>
          </cell>
          <cell r="G7198" t="str">
            <v>Paid</v>
          </cell>
        </row>
        <row r="7199">
          <cell r="F7199" t="str">
            <v>INV-030725151105</v>
          </cell>
          <cell r="G7199" t="str">
            <v>Paid</v>
          </cell>
        </row>
        <row r="7200">
          <cell r="F7200" t="str">
            <v>INV-040825193833</v>
          </cell>
          <cell r="G7200" t="str">
            <v>Paid</v>
          </cell>
        </row>
        <row r="7201">
          <cell r="F7201" t="str">
            <v>INV-020925160357</v>
          </cell>
          <cell r="G7201" t="str">
            <v>Paid</v>
          </cell>
        </row>
        <row r="7202">
          <cell r="F7202" t="str">
            <v>INV-021025191835</v>
          </cell>
          <cell r="G7202" t="str">
            <v>Paid</v>
          </cell>
        </row>
        <row r="7203">
          <cell r="F7203" t="str">
            <v>INV-041125173839</v>
          </cell>
          <cell r="G7203" t="str">
            <v>Paid</v>
          </cell>
        </row>
        <row r="7204">
          <cell r="F7204" t="str">
            <v>INV-031225113615</v>
          </cell>
          <cell r="G7204" t="str">
            <v>Paid</v>
          </cell>
        </row>
        <row r="7205">
          <cell r="F7205" t="str">
            <v>INV-020126193151</v>
          </cell>
          <cell r="G7205" t="str">
            <v>Paid</v>
          </cell>
        </row>
        <row r="7206">
          <cell r="F7206" t="str">
            <v>INV-040226203353</v>
          </cell>
          <cell r="G7206" t="str">
            <v>Paid</v>
          </cell>
        </row>
        <row r="7207">
          <cell r="F7207" t="str">
            <v>INV-030326103344</v>
          </cell>
          <cell r="G7207" t="str">
            <v>Paid</v>
          </cell>
        </row>
        <row r="7208">
          <cell r="F7208" t="str">
            <v>INV-041024171735</v>
          </cell>
          <cell r="G7208" t="str">
            <v>Paid</v>
          </cell>
        </row>
        <row r="7209">
          <cell r="F7209" t="str">
            <v>INV-030425193141</v>
          </cell>
          <cell r="G7209" t="str">
            <v>Paid</v>
          </cell>
        </row>
        <row r="7210">
          <cell r="F7210" t="str">
            <v>INV-061125101527</v>
          </cell>
          <cell r="G7210" t="str">
            <v>Paid</v>
          </cell>
        </row>
        <row r="7211">
          <cell r="F7211" t="str">
            <v>INV-031225181000</v>
          </cell>
          <cell r="G7211" t="str">
            <v>Paid</v>
          </cell>
        </row>
        <row r="7212">
          <cell r="F7212" t="str">
            <v>INV-050126111150</v>
          </cell>
          <cell r="G7212" t="str">
            <v>Paid</v>
          </cell>
        </row>
        <row r="7213">
          <cell r="F7213" t="str">
            <v>INV-050226031828</v>
          </cell>
          <cell r="G7213" t="str">
            <v>Paid</v>
          </cell>
        </row>
        <row r="7214">
          <cell r="F7214" t="str">
            <v>INV-030326161558</v>
          </cell>
          <cell r="G7214" t="str">
            <v>Outstanding</v>
          </cell>
        </row>
        <row r="7215">
          <cell r="F7215" t="str">
            <v>CARDS0023</v>
          </cell>
          <cell r="G7215" t="str">
            <v>Waived Off</v>
          </cell>
        </row>
        <row r="7216">
          <cell r="F7216" t="str">
            <v>INV2021-GET-006</v>
          </cell>
          <cell r="G7216" t="str">
            <v>Paid</v>
          </cell>
        </row>
        <row r="7217">
          <cell r="F7217" t="str">
            <v>INV2021-GET-007</v>
          </cell>
          <cell r="G7217" t="str">
            <v>Paid</v>
          </cell>
        </row>
        <row r="7218">
          <cell r="F7218" t="str">
            <v>CARDS0037</v>
          </cell>
          <cell r="G7218" t="str">
            <v>Waived Off</v>
          </cell>
        </row>
        <row r="7219">
          <cell r="F7219" t="str">
            <v>CARDS0052</v>
          </cell>
          <cell r="G7219" t="str">
            <v>Waived Off</v>
          </cell>
        </row>
        <row r="7220">
          <cell r="F7220" t="str">
            <v>DNCARDS0003</v>
          </cell>
          <cell r="G7220" t="str">
            <v>Waived Off</v>
          </cell>
        </row>
        <row r="7221">
          <cell r="F7221" t="str">
            <v>CARDS0074</v>
          </cell>
          <cell r="G7221" t="str">
            <v>Waived Off</v>
          </cell>
        </row>
        <row r="7222">
          <cell r="F7222" t="str">
            <v>CNCARDS0003</v>
          </cell>
          <cell r="G7222" t="str">
            <v>Waived Off</v>
          </cell>
        </row>
        <row r="7223">
          <cell r="F7223" t="str">
            <v>CARDS0087</v>
          </cell>
          <cell r="G7223" t="str">
            <v>Waived Off</v>
          </cell>
        </row>
        <row r="7224">
          <cell r="F7224" t="str">
            <v>CARDS0104</v>
          </cell>
          <cell r="G7224" t="str">
            <v>Waived Off</v>
          </cell>
        </row>
        <row r="7225">
          <cell r="F7225" t="str">
            <v>CARDS0123</v>
          </cell>
          <cell r="G7225" t="str">
            <v>Waived Off</v>
          </cell>
        </row>
        <row r="7226">
          <cell r="F7226" t="str">
            <v>CARDS0139</v>
          </cell>
          <cell r="G7226" t="str">
            <v>Waived Off</v>
          </cell>
        </row>
        <row r="7227">
          <cell r="F7227" t="str">
            <v>CNCARDS0008</v>
          </cell>
          <cell r="G7227" t="str">
            <v>Waived Off</v>
          </cell>
        </row>
        <row r="7228">
          <cell r="F7228" t="str">
            <v>CARDS0158</v>
          </cell>
          <cell r="G7228" t="str">
            <v>Waived Off</v>
          </cell>
        </row>
        <row r="7229">
          <cell r="F7229" t="str">
            <v>CARDS0174</v>
          </cell>
          <cell r="G7229" t="str">
            <v>Waived Off</v>
          </cell>
        </row>
        <row r="7230">
          <cell r="F7230" t="str">
            <v>CARDS0196</v>
          </cell>
          <cell r="G7230" t="str">
            <v>Waived Off</v>
          </cell>
        </row>
        <row r="7231">
          <cell r="F7231" t="str">
            <v>CARDS0216</v>
          </cell>
          <cell r="G7231" t="str">
            <v>Waived Off</v>
          </cell>
        </row>
        <row r="7232">
          <cell r="F7232" t="str">
            <v>CNCARDS0014</v>
          </cell>
          <cell r="G7232" t="str">
            <v>Waived Off</v>
          </cell>
        </row>
        <row r="7233">
          <cell r="F7233" t="str">
            <v>CARDS0233</v>
          </cell>
          <cell r="G7233" t="str">
            <v>Waived Off</v>
          </cell>
        </row>
        <row r="7234">
          <cell r="F7234" t="str">
            <v>CARDS0250</v>
          </cell>
          <cell r="G7234" t="str">
            <v>Waived Off</v>
          </cell>
        </row>
        <row r="7235">
          <cell r="F7235" t="str">
            <v>CARDS0271</v>
          </cell>
          <cell r="G7235" t="str">
            <v>Waived Off</v>
          </cell>
        </row>
        <row r="7236">
          <cell r="F7236" t="str">
            <v>DNCARDS0013</v>
          </cell>
          <cell r="G7236" t="str">
            <v>Waived Off</v>
          </cell>
        </row>
        <row r="7237">
          <cell r="F7237" t="str">
            <v>CARDS0289</v>
          </cell>
          <cell r="G7237" t="str">
            <v>Waived Off</v>
          </cell>
        </row>
        <row r="7238">
          <cell r="F7238" t="str">
            <v>CARDS0307</v>
          </cell>
          <cell r="G7238" t="str">
            <v>Waived Off</v>
          </cell>
        </row>
        <row r="7239">
          <cell r="F7239" t="str">
            <v>INV-020323180913</v>
          </cell>
          <cell r="G7239" t="str">
            <v>Paid</v>
          </cell>
        </row>
        <row r="7240">
          <cell r="F7240" t="str">
            <v>INV-031123145548</v>
          </cell>
          <cell r="G7240" t="str">
            <v>Paid</v>
          </cell>
        </row>
        <row r="7241">
          <cell r="F7241" t="str">
            <v>CN-280323205327</v>
          </cell>
          <cell r="G7241" t="str">
            <v>Paid</v>
          </cell>
        </row>
        <row r="7242">
          <cell r="F7242" t="str">
            <v>INV-040423143346</v>
          </cell>
          <cell r="G7242" t="str">
            <v>Paid</v>
          </cell>
        </row>
        <row r="7243">
          <cell r="F7243" t="str">
            <v>INV-040923170957</v>
          </cell>
          <cell r="G7243" t="str">
            <v>Paid</v>
          </cell>
        </row>
        <row r="7244">
          <cell r="F7244" t="str">
            <v>INV-030523174018</v>
          </cell>
          <cell r="G7244" t="str">
            <v>Paid</v>
          </cell>
        </row>
        <row r="7245">
          <cell r="F7245" t="str">
            <v>INV-051023110144</v>
          </cell>
          <cell r="G7245" t="str">
            <v>Paid</v>
          </cell>
        </row>
        <row r="7246">
          <cell r="F7246" t="str">
            <v>INV-051223154709</v>
          </cell>
          <cell r="G7246" t="str">
            <v>Paid</v>
          </cell>
        </row>
        <row r="7247">
          <cell r="F7247" t="str">
            <v>INV-050623151837</v>
          </cell>
          <cell r="G7247" t="str">
            <v>Paid</v>
          </cell>
        </row>
        <row r="7248">
          <cell r="F7248" t="str">
            <v>INV-040723111734</v>
          </cell>
          <cell r="G7248" t="str">
            <v>Paid</v>
          </cell>
        </row>
        <row r="7249">
          <cell r="F7249" t="str">
            <v>INV-030823114209</v>
          </cell>
          <cell r="G7249" t="str">
            <v>Paid</v>
          </cell>
        </row>
        <row r="7250">
          <cell r="F7250" t="str">
            <v>INV-050124123456</v>
          </cell>
          <cell r="G7250" t="str">
            <v>Paid</v>
          </cell>
        </row>
        <row r="7251">
          <cell r="F7251" t="str">
            <v>INV-070224125408</v>
          </cell>
          <cell r="G7251" t="str">
            <v>Paid</v>
          </cell>
        </row>
        <row r="7252">
          <cell r="F7252" t="str">
            <v>INV-060324181019</v>
          </cell>
          <cell r="G7252" t="str">
            <v>Paid</v>
          </cell>
        </row>
        <row r="7253">
          <cell r="F7253" t="str">
            <v>INV-050424193004</v>
          </cell>
          <cell r="G7253" t="str">
            <v>Paid</v>
          </cell>
        </row>
        <row r="7254">
          <cell r="F7254" t="str">
            <v>INV-050624170903</v>
          </cell>
          <cell r="G7254" t="str">
            <v>Paid</v>
          </cell>
        </row>
        <row r="7255">
          <cell r="F7255" t="str">
            <v>INV-070524105355</v>
          </cell>
          <cell r="G7255" t="str">
            <v>Paid</v>
          </cell>
        </row>
        <row r="7256">
          <cell r="F7256" t="str">
            <v>INV-050724091650</v>
          </cell>
          <cell r="G7256" t="str">
            <v>Paid</v>
          </cell>
        </row>
        <row r="7257">
          <cell r="F7257" t="str">
            <v>CN-INV-050424193004</v>
          </cell>
          <cell r="G7257" t="str">
            <v>Paid</v>
          </cell>
        </row>
        <row r="7258">
          <cell r="F7258" t="str">
            <v>INV-060824170227</v>
          </cell>
          <cell r="G7258" t="str">
            <v>Paid</v>
          </cell>
        </row>
        <row r="7259">
          <cell r="F7259" t="str">
            <v>INV-060924164337</v>
          </cell>
          <cell r="G7259" t="str">
            <v>Paid</v>
          </cell>
        </row>
        <row r="7260">
          <cell r="F7260" t="str">
            <v>CN-INV-240125160710</v>
          </cell>
          <cell r="G7260" t="str">
            <v>Net Off</v>
          </cell>
        </row>
        <row r="7261">
          <cell r="F7261" t="str">
            <v>HKCARDS0053</v>
          </cell>
          <cell r="G7261" t="str">
            <v>Waived Off</v>
          </cell>
        </row>
        <row r="7262">
          <cell r="F7262" t="str">
            <v>HKCARDS0061</v>
          </cell>
          <cell r="G7262" t="str">
            <v>Waived Off</v>
          </cell>
        </row>
        <row r="7263">
          <cell r="F7263" t="str">
            <v>HKCARDS0070</v>
          </cell>
          <cell r="G7263" t="str">
            <v>Waived Off</v>
          </cell>
        </row>
        <row r="7264">
          <cell r="F7264" t="str">
            <v>HKCARDS0079</v>
          </cell>
          <cell r="G7264" t="str">
            <v>Waived Off</v>
          </cell>
        </row>
        <row r="7265">
          <cell r="F7265" t="str">
            <v>HKCARDS0097</v>
          </cell>
          <cell r="G7265" t="str">
            <v>Waived Off</v>
          </cell>
        </row>
        <row r="7266">
          <cell r="F7266" t="str">
            <v>HKCARDS0111</v>
          </cell>
          <cell r="G7266" t="str">
            <v>Waived Off</v>
          </cell>
        </row>
        <row r="7267">
          <cell r="F7267" t="str">
            <v>INV-030423001335</v>
          </cell>
          <cell r="G7267" t="str">
            <v>Waived Off</v>
          </cell>
        </row>
        <row r="7268">
          <cell r="F7268" t="str">
            <v>UKCARDS0001</v>
          </cell>
          <cell r="G7268" t="str">
            <v>Paid</v>
          </cell>
        </row>
        <row r="7269">
          <cell r="F7269" t="str">
            <v>UKCARDS0003</v>
          </cell>
          <cell r="G7269" t="str">
            <v>Waived Off</v>
          </cell>
        </row>
        <row r="7270">
          <cell r="F7270" t="str">
            <v>INV-220524150506</v>
          </cell>
          <cell r="G7270" t="str">
            <v>Paid</v>
          </cell>
        </row>
        <row r="7271">
          <cell r="F7271" t="str">
            <v>INV-050324161740</v>
          </cell>
          <cell r="G7271" t="str">
            <v>Paid</v>
          </cell>
        </row>
        <row r="7272">
          <cell r="F7272" t="str">
            <v>CN-INV-290824125001</v>
          </cell>
          <cell r="G7272" t="str">
            <v>Paid</v>
          </cell>
        </row>
        <row r="7273">
          <cell r="F7273" t="str">
            <v>INV2021-GEP-001</v>
          </cell>
          <cell r="G7273" t="str">
            <v>Paid</v>
          </cell>
        </row>
        <row r="7274">
          <cell r="F7274" t="str">
            <v>INV2021-GEP-002</v>
          </cell>
          <cell r="G7274" t="str">
            <v>Paid</v>
          </cell>
        </row>
        <row r="7275">
          <cell r="F7275" t="str">
            <v>HKCARDS0050</v>
          </cell>
          <cell r="G7275" t="str">
            <v>Waived Off</v>
          </cell>
        </row>
        <row r="7276">
          <cell r="F7276" t="str">
            <v>HKCARDS0058</v>
          </cell>
          <cell r="G7276" t="str">
            <v>Waived Off</v>
          </cell>
        </row>
        <row r="7277">
          <cell r="F7277" t="str">
            <v>HKCARDS0067</v>
          </cell>
          <cell r="G7277" t="str">
            <v>Waived Off</v>
          </cell>
        </row>
        <row r="7278">
          <cell r="F7278" t="str">
            <v>HKCARDS0076</v>
          </cell>
          <cell r="G7278" t="str">
            <v>Waived Off</v>
          </cell>
        </row>
        <row r="7279">
          <cell r="F7279" t="str">
            <v>HKCARDS0108</v>
          </cell>
          <cell r="G7279" t="str">
            <v>Paid</v>
          </cell>
        </row>
        <row r="7280">
          <cell r="F7280" t="str">
            <v>CNHKCARDS0012</v>
          </cell>
          <cell r="G7280" t="str">
            <v>Paid</v>
          </cell>
        </row>
        <row r="7281">
          <cell r="F7281" t="str">
            <v>INV-021122063127</v>
          </cell>
          <cell r="G7281" t="str">
            <v>Paid</v>
          </cell>
        </row>
        <row r="7282">
          <cell r="F7282" t="str">
            <v>INV-021222022207</v>
          </cell>
          <cell r="G7282" t="str">
            <v>Paid</v>
          </cell>
        </row>
        <row r="7283">
          <cell r="F7283" t="str">
            <v>INV-030123142718</v>
          </cell>
          <cell r="G7283" t="str">
            <v>Paid</v>
          </cell>
        </row>
        <row r="7284">
          <cell r="F7284" t="str">
            <v>INV-020223041733</v>
          </cell>
          <cell r="G7284" t="str">
            <v>Paid</v>
          </cell>
        </row>
        <row r="7285">
          <cell r="F7285" t="str">
            <v>INV-020323032617</v>
          </cell>
          <cell r="G7285" t="str">
            <v>Paid</v>
          </cell>
        </row>
        <row r="7286">
          <cell r="F7286" t="str">
            <v>INV-031123174930</v>
          </cell>
          <cell r="G7286" t="str">
            <v>Paid</v>
          </cell>
        </row>
        <row r="7287">
          <cell r="F7287" t="str">
            <v>INV-030423000427</v>
          </cell>
          <cell r="G7287" t="str">
            <v>Paid</v>
          </cell>
        </row>
        <row r="7288">
          <cell r="F7288" t="str">
            <v>INV-020523214244</v>
          </cell>
          <cell r="G7288" t="str">
            <v>Paid</v>
          </cell>
        </row>
        <row r="7289">
          <cell r="F7289" t="str">
            <v>INV-050923101100</v>
          </cell>
          <cell r="G7289" t="str">
            <v>Paid</v>
          </cell>
        </row>
        <row r="7290">
          <cell r="F7290" t="str">
            <v>INV-051023144806</v>
          </cell>
          <cell r="G7290" t="str">
            <v>Paid</v>
          </cell>
        </row>
        <row r="7291">
          <cell r="F7291" t="str">
            <v>INV-051223101644</v>
          </cell>
          <cell r="G7291" t="str">
            <v>Paid</v>
          </cell>
        </row>
        <row r="7292">
          <cell r="F7292" t="str">
            <v>INV-020623185918</v>
          </cell>
          <cell r="G7292" t="str">
            <v>Paid</v>
          </cell>
        </row>
        <row r="7293">
          <cell r="F7293" t="str">
            <v>INV-040723171341</v>
          </cell>
          <cell r="G7293" t="str">
            <v>Paid</v>
          </cell>
        </row>
        <row r="7294">
          <cell r="F7294" t="str">
            <v>INV-030823153854</v>
          </cell>
          <cell r="G7294" t="str">
            <v>Paid</v>
          </cell>
        </row>
        <row r="7295">
          <cell r="F7295" t="str">
            <v>INV-050124134432</v>
          </cell>
          <cell r="G7295" t="str">
            <v>Paid</v>
          </cell>
        </row>
        <row r="7296">
          <cell r="F7296" t="str">
            <v>INV-060224183328</v>
          </cell>
          <cell r="G7296" t="str">
            <v>Paid</v>
          </cell>
        </row>
        <row r="7297">
          <cell r="F7297" t="str">
            <v>INV-060324123105</v>
          </cell>
          <cell r="G7297" t="str">
            <v>Paid</v>
          </cell>
        </row>
        <row r="7298">
          <cell r="F7298" t="str">
            <v>INV-050424080326</v>
          </cell>
          <cell r="G7298" t="str">
            <v>Paid</v>
          </cell>
        </row>
        <row r="7299">
          <cell r="F7299" t="str">
            <v>INV-040724190830</v>
          </cell>
          <cell r="G7299" t="str">
            <v>Paid</v>
          </cell>
        </row>
        <row r="7300">
          <cell r="F7300" t="str">
            <v>INV-050624120324</v>
          </cell>
          <cell r="G7300" t="str">
            <v>Paid</v>
          </cell>
        </row>
        <row r="7301">
          <cell r="F7301" t="str">
            <v>INV-070524134459</v>
          </cell>
          <cell r="G7301" t="str">
            <v>Paid</v>
          </cell>
        </row>
        <row r="7302">
          <cell r="F7302" t="str">
            <v>INV-050924171249</v>
          </cell>
          <cell r="G7302" t="str">
            <v>Paid</v>
          </cell>
        </row>
        <row r="7303">
          <cell r="F7303" t="str">
            <v>INV-061224162029</v>
          </cell>
          <cell r="G7303" t="str">
            <v>Paid</v>
          </cell>
        </row>
        <row r="7304">
          <cell r="F7304" t="str">
            <v>INV-070824101256</v>
          </cell>
          <cell r="G7304" t="str">
            <v>Paid</v>
          </cell>
        </row>
        <row r="7305">
          <cell r="F7305" t="str">
            <v>INV-071024170632</v>
          </cell>
          <cell r="G7305" t="str">
            <v>Paid</v>
          </cell>
        </row>
        <row r="7306">
          <cell r="F7306" t="str">
            <v>INV-071124175052</v>
          </cell>
          <cell r="G7306" t="str">
            <v>Paid</v>
          </cell>
        </row>
        <row r="7307">
          <cell r="F7307" t="str">
            <v>INV-070125122309</v>
          </cell>
          <cell r="G7307" t="str">
            <v>Paid</v>
          </cell>
        </row>
        <row r="7308">
          <cell r="F7308" t="str">
            <v>INV-070225104300</v>
          </cell>
          <cell r="G7308" t="str">
            <v>Paid</v>
          </cell>
        </row>
        <row r="7309">
          <cell r="F7309" t="str">
            <v>INV-050325173408</v>
          </cell>
          <cell r="G7309" t="str">
            <v>Paid</v>
          </cell>
        </row>
        <row r="7310">
          <cell r="F7310" t="str">
            <v>INV-030425183747</v>
          </cell>
          <cell r="G7310" t="str">
            <v>Paid</v>
          </cell>
        </row>
        <row r="7311">
          <cell r="F7311" t="str">
            <v>INV-060525114427</v>
          </cell>
          <cell r="G7311" t="str">
            <v>Paid</v>
          </cell>
        </row>
        <row r="7312">
          <cell r="F7312" t="str">
            <v>INV-050625142513</v>
          </cell>
          <cell r="G7312" t="str">
            <v>Paid</v>
          </cell>
        </row>
        <row r="7313">
          <cell r="F7313" t="str">
            <v>INV-070725095251</v>
          </cell>
          <cell r="G7313" t="str">
            <v>Paid</v>
          </cell>
        </row>
        <row r="7314">
          <cell r="F7314" t="str">
            <v>INV-060825113042</v>
          </cell>
          <cell r="G7314" t="str">
            <v>Paid</v>
          </cell>
        </row>
        <row r="7315">
          <cell r="F7315" t="str">
            <v>INV-040925135745</v>
          </cell>
          <cell r="G7315" t="str">
            <v>Paid</v>
          </cell>
        </row>
        <row r="7316">
          <cell r="F7316" t="str">
            <v>INV-061025142623</v>
          </cell>
          <cell r="G7316" t="str">
            <v>Paid</v>
          </cell>
        </row>
        <row r="7317">
          <cell r="F7317" t="str">
            <v>INV-061125113021</v>
          </cell>
          <cell r="G7317" t="str">
            <v>Paid</v>
          </cell>
        </row>
        <row r="7318">
          <cell r="F7318" t="str">
            <v>INV-041225160347</v>
          </cell>
          <cell r="G7318" t="str">
            <v>Paid</v>
          </cell>
        </row>
        <row r="7319">
          <cell r="F7319" t="str">
            <v>INV-060126162316</v>
          </cell>
          <cell r="G7319" t="str">
            <v>Paid</v>
          </cell>
        </row>
        <row r="7320">
          <cell r="F7320" t="str">
            <v>INV-070226150656</v>
          </cell>
          <cell r="G7320" t="str">
            <v>Paid</v>
          </cell>
        </row>
        <row r="7321">
          <cell r="F7321" t="str">
            <v>INV-050326132528</v>
          </cell>
          <cell r="G7321" t="str">
            <v>Paid</v>
          </cell>
        </row>
        <row r="7322">
          <cell r="F7322" t="str">
            <v>INV-120625131652</v>
          </cell>
          <cell r="G7322" t="str">
            <v>Paid</v>
          </cell>
        </row>
        <row r="7323">
          <cell r="F7323" t="str">
            <v>INV-030925131537</v>
          </cell>
          <cell r="G7323" t="str">
            <v>Paid</v>
          </cell>
        </row>
        <row r="7324">
          <cell r="F7324" t="str">
            <v>INV-031025193547</v>
          </cell>
          <cell r="G7324" t="str">
            <v>Paid</v>
          </cell>
        </row>
        <row r="7325">
          <cell r="F7325" t="str">
            <v>INV-051125184510</v>
          </cell>
          <cell r="G7325" t="str">
            <v>Paid</v>
          </cell>
        </row>
        <row r="7326">
          <cell r="F7326" t="str">
            <v>INV-031225182053</v>
          </cell>
          <cell r="G7326" t="str">
            <v>Paid</v>
          </cell>
        </row>
        <row r="7327">
          <cell r="F7327" t="str">
            <v>INV-060126090108</v>
          </cell>
          <cell r="G7327" t="str">
            <v>Paid</v>
          </cell>
        </row>
        <row r="7328">
          <cell r="F7328" t="str">
            <v>INV-060226113511</v>
          </cell>
          <cell r="G7328" t="str">
            <v>Paid</v>
          </cell>
        </row>
        <row r="7329">
          <cell r="F7329" t="str">
            <v>INV-050326103533</v>
          </cell>
          <cell r="G7329" t="str">
            <v>Outstanding</v>
          </cell>
        </row>
        <row r="7330">
          <cell r="F7330" t="str">
            <v>INV-051125174340</v>
          </cell>
          <cell r="G7330" t="str">
            <v>Paid</v>
          </cell>
        </row>
        <row r="7331">
          <cell r="F7331" t="str">
            <v>INV-021225174912</v>
          </cell>
          <cell r="G7331" t="str">
            <v>Paid</v>
          </cell>
        </row>
        <row r="7332">
          <cell r="F7332" t="str">
            <v>INV-050126153824</v>
          </cell>
          <cell r="G7332" t="str">
            <v>Paid</v>
          </cell>
        </row>
        <row r="7333">
          <cell r="F7333" t="str">
            <v>INV-030226120720</v>
          </cell>
          <cell r="G7333" t="str">
            <v>Paid</v>
          </cell>
        </row>
        <row r="7334">
          <cell r="F7334" t="str">
            <v>INV-030326125714</v>
          </cell>
          <cell r="G7334" t="str">
            <v>Paid</v>
          </cell>
        </row>
        <row r="7335">
          <cell r="F7335" t="str">
            <v>HKCARDS0037</v>
          </cell>
          <cell r="G7335" t="str">
            <v>Paid</v>
          </cell>
        </row>
        <row r="7336">
          <cell r="F7336" t="str">
            <v>HKCARDS0049</v>
          </cell>
          <cell r="G7336" t="str">
            <v>Net Off</v>
          </cell>
        </row>
        <row r="7337">
          <cell r="F7337" t="str">
            <v>HKCARDS0094</v>
          </cell>
          <cell r="G7337" t="str">
            <v>Net Off</v>
          </cell>
        </row>
        <row r="7338">
          <cell r="F7338" t="str">
            <v>CNHKCARDS0011</v>
          </cell>
          <cell r="G7338" t="str">
            <v>Net Off</v>
          </cell>
        </row>
        <row r="7339">
          <cell r="F7339" t="str">
            <v>HKCARDS0107</v>
          </cell>
          <cell r="G7339" t="str">
            <v>Paid</v>
          </cell>
        </row>
        <row r="7340">
          <cell r="F7340" t="str">
            <v>INV-021122132332</v>
          </cell>
          <cell r="G7340" t="str">
            <v>Paid</v>
          </cell>
        </row>
        <row r="7341">
          <cell r="F7341" t="str">
            <v>INV-021222140036</v>
          </cell>
          <cell r="G7341" t="str">
            <v>Paid</v>
          </cell>
        </row>
        <row r="7342">
          <cell r="F7342" t="str">
            <v>INV-040123012158</v>
          </cell>
          <cell r="G7342" t="str">
            <v>Paid</v>
          </cell>
        </row>
        <row r="7343">
          <cell r="F7343" t="str">
            <v>INV-020223042028</v>
          </cell>
          <cell r="G7343" t="str">
            <v>Paid</v>
          </cell>
        </row>
        <row r="7344">
          <cell r="F7344" t="str">
            <v>INV-020323033155</v>
          </cell>
          <cell r="G7344" t="str">
            <v>Paid</v>
          </cell>
        </row>
        <row r="7345">
          <cell r="F7345" t="str">
            <v>INV-031123183327</v>
          </cell>
          <cell r="G7345" t="str">
            <v>Paid</v>
          </cell>
        </row>
        <row r="7346">
          <cell r="F7346" t="str">
            <v>INV-040423002647</v>
          </cell>
          <cell r="G7346" t="str">
            <v>Paid</v>
          </cell>
        </row>
        <row r="7347">
          <cell r="F7347" t="str">
            <v>INV-020523232844</v>
          </cell>
          <cell r="G7347" t="str">
            <v>Paid</v>
          </cell>
        </row>
        <row r="7348">
          <cell r="F7348" t="str">
            <v>INV-050923105018</v>
          </cell>
          <cell r="G7348" t="str">
            <v>Paid</v>
          </cell>
        </row>
        <row r="7349">
          <cell r="F7349" t="str">
            <v>INV-051023150240</v>
          </cell>
          <cell r="G7349" t="str">
            <v>Paid</v>
          </cell>
        </row>
        <row r="7350">
          <cell r="F7350" t="str">
            <v>INV-051223111408</v>
          </cell>
          <cell r="G7350" t="str">
            <v>Paid</v>
          </cell>
        </row>
        <row r="7351">
          <cell r="F7351" t="str">
            <v>INV-020623191014</v>
          </cell>
          <cell r="G7351" t="str">
            <v>Paid</v>
          </cell>
        </row>
        <row r="7352">
          <cell r="F7352" t="str">
            <v>INV-040723152428</v>
          </cell>
          <cell r="G7352" t="str">
            <v>Paid</v>
          </cell>
        </row>
        <row r="7353">
          <cell r="F7353" t="str">
            <v>INV-030823162034</v>
          </cell>
          <cell r="G7353" t="str">
            <v>Paid</v>
          </cell>
        </row>
        <row r="7354">
          <cell r="F7354" t="str">
            <v>INV-050124125418</v>
          </cell>
          <cell r="G7354" t="str">
            <v>Paid</v>
          </cell>
        </row>
        <row r="7355">
          <cell r="F7355" t="str">
            <v>INV-060224181405</v>
          </cell>
          <cell r="G7355" t="str">
            <v>Paid</v>
          </cell>
        </row>
        <row r="7356">
          <cell r="F7356" t="str">
            <v>INV-060324120008</v>
          </cell>
          <cell r="G7356" t="str">
            <v>Paid</v>
          </cell>
        </row>
        <row r="7357">
          <cell r="F7357" t="str">
            <v>INV-060424115229</v>
          </cell>
          <cell r="G7357" t="str">
            <v>Paid</v>
          </cell>
        </row>
        <row r="7358">
          <cell r="F7358" t="str">
            <v>INV-050624143157</v>
          </cell>
          <cell r="G7358" t="str">
            <v>Paid</v>
          </cell>
        </row>
        <row r="7359">
          <cell r="F7359" t="str">
            <v>INV-070524140602</v>
          </cell>
          <cell r="G7359" t="str">
            <v>Paid</v>
          </cell>
        </row>
        <row r="7360">
          <cell r="F7360" t="str">
            <v>INV-050724102115</v>
          </cell>
          <cell r="G7360" t="str">
            <v>Paid</v>
          </cell>
        </row>
        <row r="7361">
          <cell r="F7361" t="str">
            <v>INV-070824111000</v>
          </cell>
          <cell r="G7361" t="str">
            <v>Paid</v>
          </cell>
        </row>
        <row r="7362">
          <cell r="F7362" t="str">
            <v>INV-071024181803</v>
          </cell>
          <cell r="G7362" t="str">
            <v>Paid</v>
          </cell>
        </row>
        <row r="7363">
          <cell r="F7363" t="str">
            <v>INV-081124150748</v>
          </cell>
          <cell r="G7363" t="str">
            <v>Paid</v>
          </cell>
        </row>
        <row r="7364">
          <cell r="F7364" t="str">
            <v>INV-090924124920</v>
          </cell>
          <cell r="G7364" t="str">
            <v>Paid</v>
          </cell>
        </row>
        <row r="7365">
          <cell r="F7365" t="str">
            <v>INV-061224172833</v>
          </cell>
          <cell r="G7365" t="str">
            <v>Paid</v>
          </cell>
        </row>
        <row r="7366">
          <cell r="F7366" t="str">
            <v>INV-070125122911</v>
          </cell>
          <cell r="G7366" t="str">
            <v>Paid</v>
          </cell>
        </row>
        <row r="7367">
          <cell r="F7367" t="str">
            <v>INV-070225103110</v>
          </cell>
          <cell r="G7367" t="str">
            <v>Paid</v>
          </cell>
        </row>
        <row r="7368">
          <cell r="F7368" t="str">
            <v>INV-050325174530</v>
          </cell>
          <cell r="G7368" t="str">
            <v>Paid</v>
          </cell>
        </row>
        <row r="7369">
          <cell r="F7369" t="str">
            <v>INV-030425184525</v>
          </cell>
          <cell r="G7369" t="str">
            <v>Paid</v>
          </cell>
        </row>
        <row r="7370">
          <cell r="F7370" t="str">
            <v>INV-110425163005</v>
          </cell>
          <cell r="G7370" t="str">
            <v>Paid</v>
          </cell>
        </row>
        <row r="7371">
          <cell r="F7371" t="str">
            <v>INV-300824181629</v>
          </cell>
          <cell r="G7371" t="str">
            <v>Paid</v>
          </cell>
        </row>
        <row r="7372">
          <cell r="F7372" t="str">
            <v>INV-030125180553</v>
          </cell>
          <cell r="G7372" t="str">
            <v>Paid</v>
          </cell>
        </row>
        <row r="7373">
          <cell r="F7373" t="str">
            <v>INV-050225125845</v>
          </cell>
          <cell r="G7373" t="str">
            <v>Paid</v>
          </cell>
        </row>
        <row r="7374">
          <cell r="F7374" t="str">
            <v>INV-050325095226</v>
          </cell>
          <cell r="G7374" t="str">
            <v>Paid</v>
          </cell>
        </row>
        <row r="7375">
          <cell r="F7375" t="str">
            <v>INV-020425201320</v>
          </cell>
          <cell r="G7375" t="str">
            <v>Paid</v>
          </cell>
        </row>
        <row r="7376">
          <cell r="F7376" t="str">
            <v>INV-050525152349</v>
          </cell>
          <cell r="G7376" t="str">
            <v>Paid</v>
          </cell>
        </row>
        <row r="7377">
          <cell r="F7377" t="str">
            <v>INV-040625131446</v>
          </cell>
          <cell r="G7377" t="str">
            <v>Paid</v>
          </cell>
        </row>
        <row r="7378">
          <cell r="F7378" t="str">
            <v>INV-030725105825</v>
          </cell>
          <cell r="G7378" t="str">
            <v>Paid</v>
          </cell>
        </row>
        <row r="7379">
          <cell r="F7379" t="str">
            <v>INV-050825110915</v>
          </cell>
          <cell r="G7379" t="str">
            <v>Paid</v>
          </cell>
        </row>
        <row r="7380">
          <cell r="F7380" t="str">
            <v>INV-020925162520</v>
          </cell>
          <cell r="G7380" t="str">
            <v>Paid</v>
          </cell>
        </row>
        <row r="7381">
          <cell r="F7381" t="str">
            <v>INV-021025164321</v>
          </cell>
          <cell r="G7381" t="str">
            <v>Paid</v>
          </cell>
        </row>
        <row r="7382">
          <cell r="F7382" t="str">
            <v>INV-051125100011</v>
          </cell>
          <cell r="G7382" t="str">
            <v>Paid</v>
          </cell>
        </row>
        <row r="7383">
          <cell r="F7383" t="str">
            <v>INV-021225181139</v>
          </cell>
          <cell r="G7383" t="str">
            <v>Paid</v>
          </cell>
        </row>
        <row r="7384">
          <cell r="F7384" t="str">
            <v>INV-020226221846</v>
          </cell>
          <cell r="G7384" t="str">
            <v>Paid</v>
          </cell>
        </row>
        <row r="7385">
          <cell r="F7385" t="str">
            <v>INV-020326194750</v>
          </cell>
          <cell r="G7385" t="str">
            <v>Paid</v>
          </cell>
        </row>
        <row r="7386">
          <cell r="F7386" t="str">
            <v>INV-060125133439</v>
          </cell>
          <cell r="G7386" t="str">
            <v>Paid</v>
          </cell>
        </row>
        <row r="7387">
          <cell r="F7387" t="str">
            <v>INV-050225162023</v>
          </cell>
          <cell r="G7387" t="str">
            <v>Paid</v>
          </cell>
        </row>
        <row r="7388">
          <cell r="F7388" t="str">
            <v>INV-040325192119</v>
          </cell>
          <cell r="G7388" t="str">
            <v>Paid</v>
          </cell>
        </row>
        <row r="7389">
          <cell r="F7389" t="str">
            <v>INV-030425131619</v>
          </cell>
          <cell r="G7389" t="str">
            <v>Paid</v>
          </cell>
        </row>
        <row r="7390">
          <cell r="F7390" t="str">
            <v>INV-170425130539</v>
          </cell>
          <cell r="G7390" t="str">
            <v>Paid</v>
          </cell>
        </row>
        <row r="7391">
          <cell r="F7391" t="str">
            <v>INV-050525172128</v>
          </cell>
          <cell r="G7391" t="str">
            <v>Paid</v>
          </cell>
        </row>
        <row r="7392">
          <cell r="F7392" t="str">
            <v>INV-040625111735</v>
          </cell>
          <cell r="G7392" t="str">
            <v>Paid</v>
          </cell>
        </row>
        <row r="7393">
          <cell r="F7393" t="str">
            <v>INV-020725173902</v>
          </cell>
          <cell r="G7393" t="str">
            <v>Paid</v>
          </cell>
        </row>
        <row r="7394">
          <cell r="F7394" t="str">
            <v>INV-040825134130</v>
          </cell>
          <cell r="G7394" t="str">
            <v>Paid</v>
          </cell>
        </row>
        <row r="7395">
          <cell r="F7395" t="str">
            <v>INV-020925152407</v>
          </cell>
          <cell r="G7395" t="str">
            <v>Paid</v>
          </cell>
        </row>
        <row r="7396">
          <cell r="F7396" t="str">
            <v>INV-021025135644</v>
          </cell>
          <cell r="G7396" t="str">
            <v>Paid</v>
          </cell>
        </row>
        <row r="7397">
          <cell r="F7397" t="str">
            <v>INV-041125162504</v>
          </cell>
          <cell r="G7397" t="str">
            <v>Paid</v>
          </cell>
        </row>
        <row r="7398">
          <cell r="F7398" t="str">
            <v>INV-021225154117</v>
          </cell>
          <cell r="G7398" t="str">
            <v>Outstanding</v>
          </cell>
        </row>
        <row r="7399">
          <cell r="F7399" t="str">
            <v>INV-020126171358</v>
          </cell>
          <cell r="G7399" t="str">
            <v>Outstanding</v>
          </cell>
        </row>
        <row r="7400">
          <cell r="F7400" t="str">
            <v>INV-020226191052</v>
          </cell>
          <cell r="G7400" t="str">
            <v>Outstanding</v>
          </cell>
        </row>
        <row r="7401">
          <cell r="F7401" t="str">
            <v>INV-020326192002</v>
          </cell>
          <cell r="G7401" t="str">
            <v>Outstanding</v>
          </cell>
        </row>
        <row r="7402">
          <cell r="F7402" t="str">
            <v>INV-031024130015</v>
          </cell>
          <cell r="G7402" t="str">
            <v>Paid</v>
          </cell>
        </row>
        <row r="7403">
          <cell r="F7403" t="str">
            <v>INV-031224182433</v>
          </cell>
          <cell r="G7403" t="str">
            <v>Paid</v>
          </cell>
        </row>
        <row r="7404">
          <cell r="F7404" t="str">
            <v>INV-050924110606</v>
          </cell>
          <cell r="G7404" t="str">
            <v>Paid</v>
          </cell>
        </row>
        <row r="7405">
          <cell r="F7405" t="str">
            <v>INV-131124125333</v>
          </cell>
          <cell r="G7405" t="str">
            <v>Paid</v>
          </cell>
        </row>
        <row r="7406">
          <cell r="F7406" t="str">
            <v>INV-030125165714</v>
          </cell>
          <cell r="G7406" t="str">
            <v>Paid</v>
          </cell>
        </row>
        <row r="7407">
          <cell r="F7407" t="str">
            <v>INV-050225122000</v>
          </cell>
          <cell r="G7407" t="str">
            <v>Paid</v>
          </cell>
        </row>
        <row r="7408">
          <cell r="F7408" t="str">
            <v>INV-040325172017</v>
          </cell>
          <cell r="G7408" t="str">
            <v>Paid</v>
          </cell>
        </row>
        <row r="7409">
          <cell r="F7409" t="str">
            <v>INV-030425115426</v>
          </cell>
          <cell r="G7409" t="str">
            <v>Paid</v>
          </cell>
        </row>
        <row r="7410">
          <cell r="F7410" t="str">
            <v>INV-050525170034</v>
          </cell>
          <cell r="G7410" t="str">
            <v>Paid</v>
          </cell>
        </row>
        <row r="7411">
          <cell r="F7411" t="str">
            <v>INV-030625173247</v>
          </cell>
          <cell r="G7411" t="str">
            <v>Paid</v>
          </cell>
        </row>
        <row r="7412">
          <cell r="F7412" t="str">
            <v>INV-030725174030</v>
          </cell>
          <cell r="G7412" t="str">
            <v>Paid</v>
          </cell>
        </row>
        <row r="7413">
          <cell r="F7413" t="str">
            <v>INV-050825122429</v>
          </cell>
          <cell r="G7413" t="str">
            <v>Paid</v>
          </cell>
        </row>
        <row r="7414">
          <cell r="F7414" t="str">
            <v>INV-030925090551</v>
          </cell>
          <cell r="G7414" t="str">
            <v>Paid</v>
          </cell>
        </row>
        <row r="7415">
          <cell r="F7415" t="str">
            <v>INV-021025162106</v>
          </cell>
          <cell r="G7415" t="str">
            <v>Paid</v>
          </cell>
        </row>
        <row r="7416">
          <cell r="F7416" t="str">
            <v>INV-061125153249</v>
          </cell>
          <cell r="G7416" t="str">
            <v>Paid</v>
          </cell>
        </row>
        <row r="7417">
          <cell r="F7417" t="str">
            <v>INV-021225183415</v>
          </cell>
          <cell r="G7417" t="str">
            <v>Paid</v>
          </cell>
        </row>
        <row r="7418">
          <cell r="F7418" t="str">
            <v>INV-050126152156</v>
          </cell>
          <cell r="G7418" t="str">
            <v>Paid</v>
          </cell>
        </row>
        <row r="7419">
          <cell r="F7419" t="str">
            <v>INV-020226175351</v>
          </cell>
          <cell r="G7419" t="str">
            <v>Paid</v>
          </cell>
        </row>
        <row r="7420">
          <cell r="F7420" t="str">
            <v>INV-030326150329</v>
          </cell>
          <cell r="G7420" t="str">
            <v>Paid</v>
          </cell>
        </row>
        <row r="7421">
          <cell r="F7421" t="str">
            <v>INV-300924111758</v>
          </cell>
          <cell r="G7421" t="str">
            <v>Paid</v>
          </cell>
        </row>
        <row r="7422">
          <cell r="F7422" t="str">
            <v>INV-050225181235</v>
          </cell>
          <cell r="G7422" t="str">
            <v>Paid</v>
          </cell>
        </row>
        <row r="7423">
          <cell r="F7423" t="str">
            <v>INV-040325191041</v>
          </cell>
          <cell r="G7423" t="str">
            <v>Paid</v>
          </cell>
        </row>
        <row r="7424">
          <cell r="F7424" t="str">
            <v>INV-030425123914</v>
          </cell>
          <cell r="G7424" t="str">
            <v>Paid</v>
          </cell>
        </row>
        <row r="7425">
          <cell r="F7425" t="str">
            <v>INV-050525175352</v>
          </cell>
          <cell r="G7425" t="str">
            <v>Paid</v>
          </cell>
        </row>
        <row r="7426">
          <cell r="F7426" t="str">
            <v>INV-040625130810</v>
          </cell>
          <cell r="G7426" t="str">
            <v>Paid</v>
          </cell>
        </row>
        <row r="7427">
          <cell r="F7427" t="str">
            <v>INV-020725194147</v>
          </cell>
          <cell r="G7427" t="str">
            <v>Paid</v>
          </cell>
        </row>
        <row r="7428">
          <cell r="F7428" t="str">
            <v>INV-040825154931</v>
          </cell>
          <cell r="G7428" t="str">
            <v>Paid</v>
          </cell>
        </row>
        <row r="7429">
          <cell r="F7429" t="str">
            <v>INV-030925093254</v>
          </cell>
          <cell r="G7429" t="str">
            <v>Paid</v>
          </cell>
        </row>
        <row r="7430">
          <cell r="F7430" t="str">
            <v>INV-031025141602</v>
          </cell>
          <cell r="G7430" t="str">
            <v>Paid</v>
          </cell>
        </row>
        <row r="7431">
          <cell r="F7431" t="str">
            <v>INV-051125153010</v>
          </cell>
          <cell r="G7431" t="str">
            <v>Paid</v>
          </cell>
        </row>
        <row r="7432">
          <cell r="F7432" t="str">
            <v>INV-031225120809</v>
          </cell>
          <cell r="G7432" t="str">
            <v>Paid</v>
          </cell>
        </row>
        <row r="7433">
          <cell r="F7433" t="str">
            <v>INV-060126092635</v>
          </cell>
          <cell r="G7433" t="str">
            <v>Paid</v>
          </cell>
        </row>
        <row r="7434">
          <cell r="F7434" t="str">
            <v>INV-030226111338</v>
          </cell>
          <cell r="G7434" t="str">
            <v>Paid</v>
          </cell>
        </row>
        <row r="7435">
          <cell r="F7435" t="str">
            <v>INV-040326103800</v>
          </cell>
          <cell r="G7435" t="str">
            <v>Paid</v>
          </cell>
        </row>
        <row r="7436">
          <cell r="F7436" t="str">
            <v>INV-230223101328</v>
          </cell>
          <cell r="G7436" t="str">
            <v>Paid</v>
          </cell>
        </row>
        <row r="7437">
          <cell r="F7437" t="str">
            <v>INV-050923165139</v>
          </cell>
          <cell r="G7437" t="str">
            <v>Paid</v>
          </cell>
        </row>
        <row r="7438">
          <cell r="F7438" t="str">
            <v>INV-051023185140</v>
          </cell>
          <cell r="G7438" t="str">
            <v>Paid</v>
          </cell>
        </row>
        <row r="7439">
          <cell r="F7439" t="str">
            <v>INV-160623130512</v>
          </cell>
          <cell r="G7439" t="str">
            <v>Paid</v>
          </cell>
        </row>
        <row r="7440">
          <cell r="F7440" t="str">
            <v>INV-050723140732</v>
          </cell>
          <cell r="G7440" t="str">
            <v>Paid</v>
          </cell>
        </row>
        <row r="7441">
          <cell r="F7441" t="str">
            <v>INV-040823131602</v>
          </cell>
          <cell r="G7441" t="str">
            <v>Paid</v>
          </cell>
        </row>
        <row r="7442">
          <cell r="F7442" t="str">
            <v>INV-061123154141</v>
          </cell>
          <cell r="G7442" t="str">
            <v>Paid</v>
          </cell>
        </row>
        <row r="7443">
          <cell r="F7443" t="str">
            <v>INV-050923172015</v>
          </cell>
          <cell r="G7443" t="str">
            <v>Paid</v>
          </cell>
        </row>
        <row r="7444">
          <cell r="F7444" t="str">
            <v>INV-051023182421</v>
          </cell>
          <cell r="G7444" t="str">
            <v>Paid</v>
          </cell>
        </row>
        <row r="7445">
          <cell r="F7445" t="str">
            <v>INV-160623112306</v>
          </cell>
          <cell r="G7445" t="str">
            <v>Paid</v>
          </cell>
        </row>
        <row r="7446">
          <cell r="F7446" t="str">
            <v>INV-050723143354</v>
          </cell>
          <cell r="G7446" t="str">
            <v>Paid</v>
          </cell>
        </row>
        <row r="7447">
          <cell r="F7447" t="str">
            <v>INV-040823111331</v>
          </cell>
          <cell r="G7447" t="str">
            <v>Paid</v>
          </cell>
        </row>
        <row r="7448">
          <cell r="F7448" t="str">
            <v>INV-061123155704</v>
          </cell>
          <cell r="G7448" t="str">
            <v>Paid</v>
          </cell>
        </row>
        <row r="7449">
          <cell r="F7449" t="str">
            <v>INV-050923174304</v>
          </cell>
          <cell r="G7449" t="str">
            <v>Paid</v>
          </cell>
        </row>
        <row r="7450">
          <cell r="F7450" t="str">
            <v>INV-051023181223</v>
          </cell>
          <cell r="G7450" t="str">
            <v>Paid</v>
          </cell>
        </row>
        <row r="7451">
          <cell r="F7451" t="str">
            <v>INV-061123160324</v>
          </cell>
          <cell r="G7451" t="str">
            <v>Paid</v>
          </cell>
        </row>
        <row r="7452">
          <cell r="F7452" t="str">
            <v>INV-160623110158</v>
          </cell>
          <cell r="G7452" t="str">
            <v>Paid</v>
          </cell>
        </row>
        <row r="7453">
          <cell r="F7453" t="str">
            <v>INV-050723144958</v>
          </cell>
          <cell r="G7453" t="str">
            <v>Paid</v>
          </cell>
        </row>
        <row r="7454">
          <cell r="F7454" t="str">
            <v>INV-040823130608</v>
          </cell>
          <cell r="G7454" t="str">
            <v>Paid</v>
          </cell>
        </row>
        <row r="7455">
          <cell r="F7455" t="str">
            <v>INV-061123161430</v>
          </cell>
          <cell r="G7455" t="str">
            <v>Paid</v>
          </cell>
        </row>
        <row r="7456">
          <cell r="F7456" t="str">
            <v>INV-050923170902</v>
          </cell>
          <cell r="G7456" t="str">
            <v>Paid</v>
          </cell>
        </row>
        <row r="7457">
          <cell r="F7457" t="str">
            <v>INV-051023183709</v>
          </cell>
          <cell r="G7457" t="str">
            <v>Paid</v>
          </cell>
        </row>
        <row r="7458">
          <cell r="F7458" t="str">
            <v>INV-040823133455</v>
          </cell>
          <cell r="G7458" t="str">
            <v>Paid</v>
          </cell>
        </row>
        <row r="7459">
          <cell r="F7459" t="str">
            <v>INV-051125130433</v>
          </cell>
          <cell r="G7459" t="str">
            <v>Paid</v>
          </cell>
        </row>
        <row r="7460">
          <cell r="F7460" t="str">
            <v>INV-040625192401</v>
          </cell>
          <cell r="G7460" t="str">
            <v>Paid</v>
          </cell>
        </row>
        <row r="7461">
          <cell r="F7461" t="str">
            <v>INV-030725145844</v>
          </cell>
          <cell r="G7461" t="str">
            <v>Paid</v>
          </cell>
        </row>
        <row r="7462">
          <cell r="F7462" t="str">
            <v>INV-040825194237</v>
          </cell>
          <cell r="G7462" t="str">
            <v>Paid</v>
          </cell>
        </row>
        <row r="7463">
          <cell r="F7463" t="str">
            <v>INV-020925155514</v>
          </cell>
          <cell r="G7463" t="str">
            <v>Paid</v>
          </cell>
        </row>
        <row r="7464">
          <cell r="F7464" t="str">
            <v>INV-031025165151</v>
          </cell>
          <cell r="G7464" t="str">
            <v>Paid</v>
          </cell>
        </row>
        <row r="7465">
          <cell r="F7465" t="str">
            <v>INV-041125174920</v>
          </cell>
          <cell r="G7465" t="str">
            <v>Paid</v>
          </cell>
        </row>
        <row r="7466">
          <cell r="F7466" t="str">
            <v>INV-031225112803</v>
          </cell>
          <cell r="G7466" t="str">
            <v>Paid</v>
          </cell>
        </row>
        <row r="7467">
          <cell r="F7467" t="str">
            <v>INV-020126195315</v>
          </cell>
          <cell r="G7467" t="str">
            <v>Paid</v>
          </cell>
        </row>
        <row r="7468">
          <cell r="F7468" t="str">
            <v>INV-040226204605</v>
          </cell>
          <cell r="G7468" t="str">
            <v>Paid</v>
          </cell>
        </row>
        <row r="7469">
          <cell r="F7469" t="str">
            <v>INV-030326102913</v>
          </cell>
          <cell r="G7469" t="str">
            <v>Paid</v>
          </cell>
        </row>
        <row r="7470">
          <cell r="F7470" t="str">
            <v>HKCARDS0045</v>
          </cell>
          <cell r="G7470" t="str">
            <v>Waived Off</v>
          </cell>
        </row>
        <row r="7471">
          <cell r="F7471" t="str">
            <v>HKCARDS0055</v>
          </cell>
          <cell r="G7471" t="str">
            <v>Waived Off</v>
          </cell>
        </row>
        <row r="7472">
          <cell r="F7472" t="str">
            <v>HKCARDS0063</v>
          </cell>
          <cell r="G7472" t="str">
            <v>Waived Off</v>
          </cell>
        </row>
        <row r="7473">
          <cell r="F7473" t="str">
            <v>HKCARDS0072</v>
          </cell>
          <cell r="G7473" t="str">
            <v>Waived Off</v>
          </cell>
        </row>
        <row r="7474">
          <cell r="F7474" t="str">
            <v>HKCARDS0090</v>
          </cell>
          <cell r="G7474" t="str">
            <v>Waived Off</v>
          </cell>
        </row>
        <row r="7475">
          <cell r="F7475" t="str">
            <v>HKCARDS0104</v>
          </cell>
          <cell r="G7475" t="str">
            <v>Waived Off</v>
          </cell>
        </row>
        <row r="7476">
          <cell r="F7476" t="str">
            <v>INV-021122062803</v>
          </cell>
          <cell r="G7476" t="str">
            <v>Waived Off</v>
          </cell>
        </row>
        <row r="7477">
          <cell r="F7477" t="str">
            <v>INV-030123141224</v>
          </cell>
          <cell r="G7477" t="str">
            <v>Waived Off</v>
          </cell>
        </row>
        <row r="7478">
          <cell r="F7478" t="str">
            <v>INV-020323032842</v>
          </cell>
          <cell r="G7478" t="str">
            <v>Waived Off</v>
          </cell>
        </row>
        <row r="7479">
          <cell r="F7479" t="str">
            <v>INV-020523200805</v>
          </cell>
          <cell r="G7479" t="str">
            <v>Waived Off</v>
          </cell>
        </row>
        <row r="7480">
          <cell r="F7480" t="str">
            <v>INV-050923094715</v>
          </cell>
          <cell r="G7480" t="str">
            <v>Waived Off</v>
          </cell>
        </row>
        <row r="7481">
          <cell r="F7481" t="str">
            <v>INV-020623182843</v>
          </cell>
          <cell r="G7481" t="str">
            <v>Waived Off</v>
          </cell>
        </row>
        <row r="7482">
          <cell r="F7482" t="str">
            <v>INV-040723124213</v>
          </cell>
          <cell r="G7482" t="str">
            <v>Waived Off</v>
          </cell>
        </row>
        <row r="7483">
          <cell r="F7483" t="str">
            <v>INV-030823140629</v>
          </cell>
          <cell r="G7483" t="str">
            <v>Waived Off</v>
          </cell>
        </row>
        <row r="7484">
          <cell r="F7484" t="str">
            <v>INV-021222021104</v>
          </cell>
          <cell r="G7484" t="str">
            <v>Waived Off</v>
          </cell>
        </row>
        <row r="7485">
          <cell r="F7485" t="str">
            <v>CARDS0151</v>
          </cell>
          <cell r="G7485" t="str">
            <v>Paid</v>
          </cell>
        </row>
        <row r="7486">
          <cell r="F7486" t="str">
            <v>NV2022-HLF-001</v>
          </cell>
          <cell r="G7486" t="str">
            <v>Paid</v>
          </cell>
        </row>
        <row r="7487">
          <cell r="F7487" t="str">
            <v>CARDS0210</v>
          </cell>
          <cell r="G7487" t="str">
            <v>Paid</v>
          </cell>
        </row>
        <row r="7488">
          <cell r="F7488" t="str">
            <v>CARDS0263</v>
          </cell>
          <cell r="G7488" t="str">
            <v>Paid</v>
          </cell>
        </row>
        <row r="7489">
          <cell r="F7489" t="str">
            <v>INV2022-HLF-003</v>
          </cell>
          <cell r="G7489" t="str">
            <v>Paid</v>
          </cell>
        </row>
        <row r="7490">
          <cell r="F7490" t="str">
            <v>CARDS0281</v>
          </cell>
          <cell r="G7490" t="str">
            <v>Paid</v>
          </cell>
        </row>
        <row r="7491">
          <cell r="F7491" t="str">
            <v>CARDS0296</v>
          </cell>
          <cell r="G7491" t="str">
            <v>Paid</v>
          </cell>
        </row>
        <row r="7492">
          <cell r="F7492" t="str">
            <v>CNCARDS0022</v>
          </cell>
          <cell r="G7492" t="str">
            <v>Paid</v>
          </cell>
        </row>
        <row r="7493">
          <cell r="F7493" t="str">
            <v>DNCARDS0020</v>
          </cell>
          <cell r="G7493" t="str">
            <v>Paid</v>
          </cell>
        </row>
        <row r="7494">
          <cell r="F7494" t="str">
            <v>CARDS0313</v>
          </cell>
          <cell r="G7494" t="str">
            <v>Paid</v>
          </cell>
        </row>
        <row r="7495">
          <cell r="F7495" t="str">
            <v>CARDS0327</v>
          </cell>
          <cell r="G7495" t="str">
            <v>Paid</v>
          </cell>
        </row>
        <row r="7496">
          <cell r="F7496" t="str">
            <v>CARDS0340</v>
          </cell>
          <cell r="G7496" t="str">
            <v>Paid</v>
          </cell>
        </row>
        <row r="7497">
          <cell r="F7497" t="str">
            <v>INV-021122043058</v>
          </cell>
          <cell r="G7497" t="str">
            <v>Paid</v>
          </cell>
        </row>
        <row r="7498">
          <cell r="F7498" t="str">
            <v>INV-021222143714</v>
          </cell>
          <cell r="G7498" t="str">
            <v>Paid</v>
          </cell>
        </row>
        <row r="7499">
          <cell r="F7499" t="str">
            <v>CN30122022192635</v>
          </cell>
          <cell r="G7499" t="str">
            <v>Paid</v>
          </cell>
        </row>
        <row r="7500">
          <cell r="F7500" t="str">
            <v>INV-040123171308</v>
          </cell>
          <cell r="G7500" t="str">
            <v>Paid</v>
          </cell>
        </row>
        <row r="7501">
          <cell r="F7501" t="str">
            <v>CN-021122043058</v>
          </cell>
          <cell r="G7501" t="str">
            <v>Paid</v>
          </cell>
        </row>
        <row r="7502">
          <cell r="F7502" t="str">
            <v>DN-021222143714</v>
          </cell>
          <cell r="G7502" t="str">
            <v>Paid</v>
          </cell>
        </row>
        <row r="7503">
          <cell r="F7503" t="str">
            <v>CN-180123151022</v>
          </cell>
          <cell r="G7503" t="str">
            <v>Paid</v>
          </cell>
        </row>
        <row r="7504">
          <cell r="F7504" t="str">
            <v>INV-030223160924</v>
          </cell>
          <cell r="G7504" t="str">
            <v>Paid</v>
          </cell>
        </row>
        <row r="7505">
          <cell r="F7505" t="str">
            <v>CN-120423141052</v>
          </cell>
          <cell r="G7505" t="str">
            <v>Paid</v>
          </cell>
        </row>
        <row r="7506">
          <cell r="F7506" t="str">
            <v>CN-120423142931</v>
          </cell>
          <cell r="G7506" t="str">
            <v>Paid</v>
          </cell>
        </row>
        <row r="7507">
          <cell r="F7507" t="str">
            <v>CN-170523141011</v>
          </cell>
          <cell r="G7507" t="str">
            <v>Paid</v>
          </cell>
        </row>
        <row r="7508">
          <cell r="F7508" t="str">
            <v>INV-030523185011</v>
          </cell>
          <cell r="G7508" t="str">
            <v>Paid</v>
          </cell>
        </row>
        <row r="7509">
          <cell r="F7509" t="str">
            <v>INV-050923114042</v>
          </cell>
          <cell r="G7509" t="str">
            <v>Paid</v>
          </cell>
        </row>
        <row r="7510">
          <cell r="F7510" t="str">
            <v>CN-100523152237</v>
          </cell>
          <cell r="G7510" t="str">
            <v>Paid</v>
          </cell>
        </row>
        <row r="7511">
          <cell r="F7511" t="str">
            <v>CN-170523152332</v>
          </cell>
          <cell r="G7511" t="str">
            <v>Paid</v>
          </cell>
        </row>
        <row r="7512">
          <cell r="F7512" t="str">
            <v>INV-050623131731</v>
          </cell>
          <cell r="G7512" t="str">
            <v>Paid</v>
          </cell>
        </row>
        <row r="7513">
          <cell r="F7513" t="str">
            <v xml:space="preserve">INV-080623-CR-1852 </v>
          </cell>
          <cell r="G7513" t="str">
            <v>Paid</v>
          </cell>
        </row>
        <row r="7514">
          <cell r="F7514" t="str">
            <v>INV-061023122112</v>
          </cell>
          <cell r="G7514" t="str">
            <v>Paid</v>
          </cell>
        </row>
        <row r="7515">
          <cell r="F7515" t="str">
            <v>INV-061223091757</v>
          </cell>
          <cell r="G7515" t="str">
            <v>Paid</v>
          </cell>
        </row>
        <row r="7516">
          <cell r="F7516" t="str">
            <v>INV-070723-DFE</v>
          </cell>
          <cell r="G7516" t="str">
            <v>Paid</v>
          </cell>
        </row>
        <row r="7517">
          <cell r="F7517" t="str">
            <v>INV-030823115150</v>
          </cell>
          <cell r="G7517" t="str">
            <v>Paid</v>
          </cell>
        </row>
        <row r="7518">
          <cell r="F7518" t="str">
            <v>INV-090124091920</v>
          </cell>
          <cell r="G7518" t="str">
            <v>Paid</v>
          </cell>
        </row>
        <row r="7519">
          <cell r="F7519" t="str">
            <v>INV-061123172342</v>
          </cell>
          <cell r="G7519" t="str">
            <v>Paid</v>
          </cell>
        </row>
        <row r="7520">
          <cell r="F7520" t="str">
            <v>INV-020323192743</v>
          </cell>
          <cell r="G7520" t="str">
            <v>Paid</v>
          </cell>
        </row>
        <row r="7521">
          <cell r="F7521" t="str">
            <v>INV-040423012020</v>
          </cell>
          <cell r="G7521" t="str">
            <v>Paid</v>
          </cell>
        </row>
        <row r="7522">
          <cell r="F7522" t="str">
            <v>INV-040723164129</v>
          </cell>
          <cell r="G7522" t="str">
            <v>Paid</v>
          </cell>
        </row>
        <row r="7523">
          <cell r="F7523" t="str">
            <v>INV-090224092723</v>
          </cell>
          <cell r="G7523" t="str">
            <v>Paid</v>
          </cell>
        </row>
        <row r="7524">
          <cell r="F7524" t="str">
            <v>INV-160324103338</v>
          </cell>
          <cell r="G7524" t="str">
            <v>Paid</v>
          </cell>
        </row>
        <row r="7525">
          <cell r="F7525" t="str">
            <v>INV-060424151742</v>
          </cell>
          <cell r="G7525" t="str">
            <v>Paid</v>
          </cell>
        </row>
        <row r="7526">
          <cell r="F7526" t="str">
            <v>INV-100524122142</v>
          </cell>
          <cell r="G7526" t="str">
            <v>Paid</v>
          </cell>
        </row>
        <row r="7527">
          <cell r="F7527" t="str">
            <v>INV-060724131904</v>
          </cell>
          <cell r="G7527" t="str">
            <v>Paid</v>
          </cell>
        </row>
        <row r="7528">
          <cell r="F7528" t="str">
            <v>INV-110624092439</v>
          </cell>
          <cell r="G7528" t="str">
            <v>Paid</v>
          </cell>
        </row>
        <row r="7529">
          <cell r="F7529" t="str">
            <v>CN-INV-190624174810</v>
          </cell>
          <cell r="G7529" t="str">
            <v>Paid</v>
          </cell>
        </row>
        <row r="7530">
          <cell r="F7530" t="str">
            <v>INV-020323192743_R</v>
          </cell>
          <cell r="G7530" t="str">
            <v>Paid</v>
          </cell>
        </row>
        <row r="7531">
          <cell r="F7531" t="str">
            <v>INV-040423012020_R</v>
          </cell>
          <cell r="G7531" t="str">
            <v>Paid</v>
          </cell>
        </row>
        <row r="7532">
          <cell r="F7532" t="str">
            <v>INV-040723164129_R</v>
          </cell>
          <cell r="G7532" t="str">
            <v>Paid</v>
          </cell>
        </row>
        <row r="7533">
          <cell r="F7533" t="str">
            <v>INV-061123172342_R</v>
          </cell>
          <cell r="G7533" t="str">
            <v>Paid</v>
          </cell>
        </row>
        <row r="7534">
          <cell r="F7534" t="str">
            <v>INV-160324103338_R</v>
          </cell>
          <cell r="G7534" t="str">
            <v>Paid</v>
          </cell>
        </row>
        <row r="7535">
          <cell r="F7535" t="str">
            <v>INV-080824094030</v>
          </cell>
          <cell r="G7535" t="str">
            <v>Paid</v>
          </cell>
        </row>
        <row r="7536">
          <cell r="F7536" t="str">
            <v>INV-090924175949</v>
          </cell>
          <cell r="G7536" t="str">
            <v>Paid</v>
          </cell>
        </row>
        <row r="7537">
          <cell r="F7537" t="str">
            <v>INV-091024115301</v>
          </cell>
          <cell r="G7537" t="str">
            <v>Paid</v>
          </cell>
        </row>
        <row r="7538">
          <cell r="F7538" t="str">
            <v>INV-111024174735</v>
          </cell>
          <cell r="G7538" t="str">
            <v>Paid</v>
          </cell>
        </row>
        <row r="7539">
          <cell r="F7539" t="str">
            <v>INV-291024140500</v>
          </cell>
          <cell r="G7539" t="str">
            <v>Paid</v>
          </cell>
        </row>
        <row r="7540">
          <cell r="F7540" t="str">
            <v>INV-291024143100</v>
          </cell>
          <cell r="G7540" t="str">
            <v>Paid</v>
          </cell>
        </row>
        <row r="7541">
          <cell r="F7541" t="str">
            <v>INV-291024145400</v>
          </cell>
          <cell r="G7541" t="str">
            <v>Paid</v>
          </cell>
        </row>
        <row r="7542">
          <cell r="F7542" t="str">
            <v>INV-291024150400</v>
          </cell>
          <cell r="G7542" t="str">
            <v>Paid</v>
          </cell>
        </row>
        <row r="7543">
          <cell r="F7543" t="str">
            <v>INV-291024152100</v>
          </cell>
          <cell r="G7543" t="str">
            <v>Paid</v>
          </cell>
        </row>
        <row r="7544">
          <cell r="F7544" t="str">
            <v>INV-081124174031</v>
          </cell>
          <cell r="G7544" t="str">
            <v>Paid</v>
          </cell>
        </row>
        <row r="7545">
          <cell r="F7545" t="str">
            <v>INV-191124185536</v>
          </cell>
          <cell r="G7545" t="str">
            <v>Paid</v>
          </cell>
        </row>
        <row r="7546">
          <cell r="F7546" t="str">
            <v>INV-101224094537</v>
          </cell>
          <cell r="G7546" t="str">
            <v>Paid</v>
          </cell>
        </row>
        <row r="7547">
          <cell r="F7547" t="str">
            <v>INV-070125134003</v>
          </cell>
          <cell r="G7547" t="str">
            <v>Paid</v>
          </cell>
        </row>
        <row r="7548">
          <cell r="F7548" t="str">
            <v>HKCARDS0046</v>
          </cell>
          <cell r="G7548" t="str">
            <v>Waived Off</v>
          </cell>
        </row>
        <row r="7549">
          <cell r="F7549" t="str">
            <v>HKCARDS0064</v>
          </cell>
          <cell r="G7549" t="str">
            <v>Waived Off</v>
          </cell>
        </row>
        <row r="7550">
          <cell r="F7550" t="str">
            <v>HKCARDS0073</v>
          </cell>
          <cell r="G7550" t="str">
            <v>Waived Off</v>
          </cell>
        </row>
        <row r="7551">
          <cell r="F7551" t="str">
            <v>HKCARDS0091</v>
          </cell>
          <cell r="G7551" t="str">
            <v>Waived Off</v>
          </cell>
        </row>
        <row r="7552">
          <cell r="F7552" t="str">
            <v>INV-130226161341</v>
          </cell>
          <cell r="G7552" t="str">
            <v>Paid</v>
          </cell>
        </row>
        <row r="7553">
          <cell r="F7553" t="str">
            <v>HKCARDS0047</v>
          </cell>
          <cell r="G7553" t="str">
            <v>Waived Off</v>
          </cell>
        </row>
        <row r="7554">
          <cell r="F7554" t="str">
            <v>HKCARDS0056</v>
          </cell>
          <cell r="G7554" t="str">
            <v>Waived Off</v>
          </cell>
        </row>
        <row r="7555">
          <cell r="F7555" t="str">
            <v>HKCARDS0065</v>
          </cell>
          <cell r="G7555" t="str">
            <v>Waived Off</v>
          </cell>
        </row>
        <row r="7556">
          <cell r="F7556" t="str">
            <v>HKCARDS0074</v>
          </cell>
          <cell r="G7556" t="str">
            <v>Waived Off</v>
          </cell>
        </row>
        <row r="7557">
          <cell r="F7557" t="str">
            <v>HKCARDS0092</v>
          </cell>
          <cell r="G7557" t="str">
            <v>Waived Off</v>
          </cell>
        </row>
        <row r="7558">
          <cell r="F7558" t="str">
            <v>HKCARDS0105</v>
          </cell>
          <cell r="G7558" t="str">
            <v>Waived Off</v>
          </cell>
        </row>
        <row r="7559">
          <cell r="F7559" t="str">
            <v>INV-021122062947</v>
          </cell>
          <cell r="G7559" t="str">
            <v>Waived Off</v>
          </cell>
        </row>
        <row r="7560">
          <cell r="F7560" t="str">
            <v>INV-021222021755</v>
          </cell>
          <cell r="G7560" t="str">
            <v>Waived Off</v>
          </cell>
        </row>
        <row r="7561">
          <cell r="F7561" t="str">
            <v>INV-030123141944</v>
          </cell>
          <cell r="G7561" t="str">
            <v>Waived Off</v>
          </cell>
        </row>
        <row r="7562">
          <cell r="F7562" t="str">
            <v>INV-020223040955</v>
          </cell>
          <cell r="G7562" t="str">
            <v>Waived Off</v>
          </cell>
        </row>
        <row r="7563">
          <cell r="F7563" t="str">
            <v>INV-020323031652</v>
          </cell>
          <cell r="G7563" t="str">
            <v>Waived Off</v>
          </cell>
        </row>
        <row r="7564">
          <cell r="F7564" t="str">
            <v>INV-020423235946</v>
          </cell>
          <cell r="G7564" t="str">
            <v>Waived Off</v>
          </cell>
        </row>
        <row r="7565">
          <cell r="F7565" t="str">
            <v>INV-020523201519</v>
          </cell>
          <cell r="G7565" t="str">
            <v>Waived Off</v>
          </cell>
        </row>
        <row r="7566">
          <cell r="F7566" t="str">
            <v>INV-050923094410</v>
          </cell>
          <cell r="G7566" t="str">
            <v>Waived Off</v>
          </cell>
        </row>
        <row r="7567">
          <cell r="F7567" t="str">
            <v>INV-051023132557</v>
          </cell>
          <cell r="G7567" t="str">
            <v>Waived Off</v>
          </cell>
        </row>
        <row r="7568">
          <cell r="F7568" t="str">
            <v>INV-020623182846</v>
          </cell>
          <cell r="G7568" t="str">
            <v>Waived Off</v>
          </cell>
        </row>
        <row r="7569">
          <cell r="F7569" t="str">
            <v>INV-040723125039</v>
          </cell>
          <cell r="G7569" t="str">
            <v>Waived Off</v>
          </cell>
        </row>
        <row r="7570">
          <cell r="F7570" t="str">
            <v>INV-030823142037</v>
          </cell>
          <cell r="G7570" t="str">
            <v>Waived Off</v>
          </cell>
        </row>
        <row r="7571">
          <cell r="F7571" t="str">
            <v>INV-150923180218</v>
          </cell>
          <cell r="G7571" t="str">
            <v>Paid</v>
          </cell>
        </row>
        <row r="7572">
          <cell r="F7572" t="str">
            <v>CARDS0062</v>
          </cell>
          <cell r="G7572" t="str">
            <v>Paid</v>
          </cell>
        </row>
        <row r="7573">
          <cell r="F7573" t="str">
            <v>CNCARDS0004</v>
          </cell>
          <cell r="G7573" t="str">
            <v>Paid</v>
          </cell>
        </row>
        <row r="7574">
          <cell r="F7574" t="str">
            <v>CN-INV-120324102650</v>
          </cell>
          <cell r="G7574" t="str">
            <v>Paid</v>
          </cell>
        </row>
        <row r="7575">
          <cell r="F7575" t="str">
            <v>CN-INV-251024111650</v>
          </cell>
          <cell r="G7575" t="str">
            <v>Paid</v>
          </cell>
        </row>
        <row r="7576">
          <cell r="F7576" t="str">
            <v>CARDS0260</v>
          </cell>
          <cell r="G7576" t="str">
            <v>Paid</v>
          </cell>
        </row>
        <row r="7577">
          <cell r="F7577" t="str">
            <v xml:space="preserve">  INV2022-IAPPS-001</v>
          </cell>
          <cell r="G7577" t="str">
            <v>Paid</v>
          </cell>
        </row>
        <row r="7578">
          <cell r="F7578" t="str">
            <v>CARDS0350</v>
          </cell>
          <cell r="G7578" t="str">
            <v>Paid</v>
          </cell>
        </row>
        <row r="7579">
          <cell r="F7579" t="str">
            <v>INV2023-IAPPS-002</v>
          </cell>
          <cell r="G7579" t="str">
            <v>Paid</v>
          </cell>
        </row>
        <row r="7580">
          <cell r="F7580" t="str">
            <v>INV-050623105746</v>
          </cell>
          <cell r="G7580" t="str">
            <v>Paid</v>
          </cell>
        </row>
        <row r="7581">
          <cell r="F7581" t="str">
            <v>INV2023-IAPPS-003</v>
          </cell>
          <cell r="G7581" t="str">
            <v>Paid</v>
          </cell>
        </row>
        <row r="7582">
          <cell r="F7582" t="str">
            <v>INV2023-IAPPS-004</v>
          </cell>
          <cell r="G7582" t="str">
            <v>Paid</v>
          </cell>
        </row>
        <row r="7583">
          <cell r="F7583" t="str">
            <v>INV2023-IAPPS-005</v>
          </cell>
          <cell r="G7583" t="str">
            <v>Paid</v>
          </cell>
        </row>
        <row r="7584">
          <cell r="F7584" t="str">
            <v>INV2023-IAPPS-006</v>
          </cell>
          <cell r="G7584" t="str">
            <v>Paid</v>
          </cell>
        </row>
        <row r="7585">
          <cell r="F7585" t="str">
            <v>INV-230823131124</v>
          </cell>
          <cell r="G7585" t="str">
            <v>Waived Off</v>
          </cell>
        </row>
        <row r="7586">
          <cell r="F7586" t="str">
            <v>INV2023-IAPPS-007</v>
          </cell>
          <cell r="G7586" t="str">
            <v>Paid</v>
          </cell>
        </row>
        <row r="7587">
          <cell r="F7587" t="str">
            <v>INV2023-IAPPS-008</v>
          </cell>
          <cell r="G7587" t="str">
            <v>Paid</v>
          </cell>
        </row>
        <row r="7588">
          <cell r="F7588" t="str">
            <v>INV2023-IAPPS-009</v>
          </cell>
          <cell r="G7588" t="str">
            <v>Paid</v>
          </cell>
        </row>
        <row r="7589">
          <cell r="F7589" t="str">
            <v>INV2023-IAPPS-010</v>
          </cell>
          <cell r="G7589" t="str">
            <v>Paid</v>
          </cell>
        </row>
        <row r="7590">
          <cell r="F7590" t="str">
            <v>INV-280224144828</v>
          </cell>
          <cell r="G7590" t="str">
            <v>Paid</v>
          </cell>
        </row>
        <row r="7591">
          <cell r="F7591" t="str">
            <v>INV-090324180044</v>
          </cell>
          <cell r="G7591" t="str">
            <v>Paid</v>
          </cell>
        </row>
        <row r="7592">
          <cell r="F7592" t="str">
            <v>CR-INV-120424154404</v>
          </cell>
          <cell r="G7592" t="str">
            <v>Paid</v>
          </cell>
        </row>
        <row r="7593">
          <cell r="F7593" t="str">
            <v>INV-080524145757</v>
          </cell>
          <cell r="G7593" t="str">
            <v>Paid</v>
          </cell>
        </row>
        <row r="7594">
          <cell r="F7594" t="str">
            <v>INV-070624185037</v>
          </cell>
          <cell r="G7594" t="str">
            <v>Paid</v>
          </cell>
        </row>
        <row r="7595">
          <cell r="F7595" t="str">
            <v>INV-100724121243</v>
          </cell>
          <cell r="G7595" t="str">
            <v>Paid</v>
          </cell>
        </row>
        <row r="7596">
          <cell r="F7596" t="str">
            <v>INV-300724152221</v>
          </cell>
          <cell r="G7596" t="str">
            <v>Paid</v>
          </cell>
        </row>
        <row r="7597">
          <cell r="F7597" t="str">
            <v>CR-INV-070624185037</v>
          </cell>
          <cell r="G7597" t="str">
            <v>Paid</v>
          </cell>
        </row>
        <row r="7598">
          <cell r="F7598" t="str">
            <v>CR-INV-100724121243</v>
          </cell>
          <cell r="G7598" t="str">
            <v>Paid</v>
          </cell>
        </row>
        <row r="7599">
          <cell r="F7599" t="str">
            <v>INV-310724105241</v>
          </cell>
          <cell r="G7599" t="str">
            <v>Paid</v>
          </cell>
        </row>
        <row r="7600">
          <cell r="F7600" t="str">
            <v>INV-310724150152</v>
          </cell>
          <cell r="G7600" t="str">
            <v>Paid</v>
          </cell>
        </row>
        <row r="7601">
          <cell r="F7601" t="str">
            <v>INV-090824174553</v>
          </cell>
          <cell r="G7601" t="str">
            <v>Paid</v>
          </cell>
        </row>
        <row r="7602">
          <cell r="F7602" t="str">
            <v>CN-INV-16084160001</v>
          </cell>
          <cell r="G7602" t="str">
            <v>Paid</v>
          </cell>
        </row>
        <row r="7603">
          <cell r="F7603" t="str">
            <v>CN-INV-16084160002</v>
          </cell>
          <cell r="G7603" t="str">
            <v>Paid</v>
          </cell>
        </row>
        <row r="7604">
          <cell r="F7604" t="str">
            <v>INV-120924110510</v>
          </cell>
          <cell r="G7604" t="str">
            <v>Paid</v>
          </cell>
        </row>
        <row r="7605">
          <cell r="F7605" t="str">
            <v>INV-141024114636</v>
          </cell>
          <cell r="G7605" t="str">
            <v>Paid</v>
          </cell>
        </row>
        <row r="7606">
          <cell r="F7606" t="str">
            <v>INV-231024145700</v>
          </cell>
          <cell r="G7606" t="str">
            <v>Net Off</v>
          </cell>
        </row>
        <row r="7607">
          <cell r="F7607" t="str">
            <v>INV-231024151000</v>
          </cell>
          <cell r="G7607" t="str">
            <v>Net Off</v>
          </cell>
        </row>
        <row r="7608">
          <cell r="F7608" t="str">
            <v>CN-INV-291024141400</v>
          </cell>
          <cell r="G7608" t="str">
            <v>Net Off</v>
          </cell>
        </row>
        <row r="7609">
          <cell r="F7609" t="str">
            <v>INV-121124124801</v>
          </cell>
          <cell r="G7609" t="str">
            <v>Paid</v>
          </cell>
        </row>
        <row r="7610">
          <cell r="F7610" t="str">
            <v>INV-120424161421</v>
          </cell>
          <cell r="G7610" t="str">
            <v>Paid</v>
          </cell>
        </row>
        <row r="7611">
          <cell r="F7611" t="str">
            <v>INV-120424163202</v>
          </cell>
          <cell r="G7611" t="str">
            <v>Paid</v>
          </cell>
        </row>
        <row r="7612">
          <cell r="F7612" t="str">
            <v>INV-120424164446</v>
          </cell>
          <cell r="G7612" t="str">
            <v>Paid</v>
          </cell>
        </row>
        <row r="7613">
          <cell r="F7613" t="str">
            <v>INV-120424172714</v>
          </cell>
          <cell r="G7613" t="str">
            <v>Paid</v>
          </cell>
        </row>
        <row r="7614">
          <cell r="F7614" t="str">
            <v>INV-120424174630</v>
          </cell>
          <cell r="G7614" t="str">
            <v>Paid</v>
          </cell>
        </row>
        <row r="7615">
          <cell r="F7615" t="str">
            <v>INV-120424180152</v>
          </cell>
          <cell r="G7615" t="str">
            <v>Paid</v>
          </cell>
        </row>
        <row r="7616">
          <cell r="F7616" t="str">
            <v>INV-120424154404</v>
          </cell>
          <cell r="G7616" t="str">
            <v>Paid</v>
          </cell>
        </row>
        <row r="7617">
          <cell r="F7617" t="str">
            <v>INV-120424170633</v>
          </cell>
          <cell r="G7617" t="str">
            <v>Paid</v>
          </cell>
        </row>
        <row r="7618">
          <cell r="F7618" t="str">
            <v>INV-120424193254</v>
          </cell>
          <cell r="G7618" t="str">
            <v>Paid</v>
          </cell>
        </row>
        <row r="7619">
          <cell r="F7619" t="str">
            <v>INV-111224134826</v>
          </cell>
          <cell r="G7619" t="str">
            <v>Paid</v>
          </cell>
        </row>
        <row r="7620">
          <cell r="F7620" t="str">
            <v>INV-090125121228</v>
          </cell>
          <cell r="G7620" t="str">
            <v>Paid</v>
          </cell>
        </row>
        <row r="7621">
          <cell r="F7621" t="str">
            <v>INV-130225093131</v>
          </cell>
          <cell r="G7621" t="str">
            <v>Paid</v>
          </cell>
        </row>
        <row r="7622">
          <cell r="F7622" t="str">
            <v>INV-070325160404</v>
          </cell>
          <cell r="G7622" t="str">
            <v>Paid</v>
          </cell>
        </row>
        <row r="7623">
          <cell r="F7623" t="str">
            <v>INV-070425121057</v>
          </cell>
          <cell r="G7623" t="str">
            <v>Paid</v>
          </cell>
        </row>
        <row r="7624">
          <cell r="F7624" t="str">
            <v>CN-INV-060525100100</v>
          </cell>
          <cell r="G7624" t="str">
            <v>Net off</v>
          </cell>
        </row>
        <row r="7625">
          <cell r="F7625" t="str">
            <v>INV-070525121617</v>
          </cell>
          <cell r="G7625" t="str">
            <v>Paid</v>
          </cell>
        </row>
        <row r="7626">
          <cell r="F7626" t="str">
            <v>INV-060625155104</v>
          </cell>
          <cell r="G7626" t="str">
            <v>Paid</v>
          </cell>
        </row>
        <row r="7627">
          <cell r="F7627" t="str">
            <v>INV-070725095427</v>
          </cell>
          <cell r="G7627" t="str">
            <v>Paid</v>
          </cell>
        </row>
        <row r="7628">
          <cell r="F7628" t="str">
            <v>INV-070825124120</v>
          </cell>
          <cell r="G7628" t="str">
            <v>Paid</v>
          </cell>
        </row>
        <row r="7629">
          <cell r="F7629" t="str">
            <v>INV-090925122257</v>
          </cell>
          <cell r="G7629" t="str">
            <v>Paid</v>
          </cell>
        </row>
        <row r="7630">
          <cell r="F7630" t="str">
            <v>INV-1709251520000</v>
          </cell>
          <cell r="G7630" t="str">
            <v>Paid</v>
          </cell>
        </row>
        <row r="7631">
          <cell r="F7631" t="str">
            <v>INV-240624173800</v>
          </cell>
          <cell r="G7631" t="str">
            <v>Paid</v>
          </cell>
        </row>
        <row r="7632">
          <cell r="F7632" t="str">
            <v>CN-INV-240624173800</v>
          </cell>
          <cell r="G7632" t="str">
            <v>Paid</v>
          </cell>
        </row>
        <row r="7633">
          <cell r="F7633" t="str">
            <v>INV-060326112524</v>
          </cell>
          <cell r="G7633" t="str">
            <v>Outstanding</v>
          </cell>
        </row>
        <row r="7634">
          <cell r="F7634" t="str">
            <v>INV-300925184720</v>
          </cell>
          <cell r="G7634" t="str">
            <v>Paid</v>
          </cell>
        </row>
        <row r="7635">
          <cell r="F7635" t="str">
            <v>CARDS0056</v>
          </cell>
          <cell r="G7635" t="str">
            <v>Paid</v>
          </cell>
        </row>
        <row r="7636">
          <cell r="F7636" t="str">
            <v>CARDS0149</v>
          </cell>
          <cell r="G7636" t="str">
            <v>Paid</v>
          </cell>
        </row>
        <row r="7637">
          <cell r="F7637" t="str">
            <v>INV2022-IFAST-001</v>
          </cell>
          <cell r="G7637" t="str">
            <v>Paid</v>
          </cell>
        </row>
        <row r="7638">
          <cell r="F7638" t="str">
            <v>CARDS0346</v>
          </cell>
          <cell r="G7638" t="str">
            <v>Paid</v>
          </cell>
        </row>
        <row r="7639">
          <cell r="F7639" t="str">
            <v>INV-021122145717</v>
          </cell>
          <cell r="G7639" t="str">
            <v>Paid</v>
          </cell>
        </row>
        <row r="7640">
          <cell r="F7640" t="str">
            <v>INV2022-IFAST-002</v>
          </cell>
          <cell r="G7640" t="str">
            <v>Paid</v>
          </cell>
        </row>
        <row r="7641">
          <cell r="F7641" t="str">
            <v>INV-021222185636</v>
          </cell>
          <cell r="G7641" t="str">
            <v>Paid</v>
          </cell>
        </row>
        <row r="7642">
          <cell r="F7642" t="str">
            <v>INV-040123140404</v>
          </cell>
          <cell r="G7642" t="str">
            <v>Paid</v>
          </cell>
        </row>
        <row r="7643">
          <cell r="F7643" t="str">
            <v>INV-020223051442</v>
          </cell>
          <cell r="G7643" t="str">
            <v>Paid</v>
          </cell>
        </row>
        <row r="7644">
          <cell r="F7644" t="str">
            <v>INV-020323104522</v>
          </cell>
          <cell r="G7644" t="str">
            <v>Paid</v>
          </cell>
        </row>
        <row r="7645">
          <cell r="F7645" t="str">
            <v>INV-031123143446</v>
          </cell>
          <cell r="G7645" t="str">
            <v>Paid</v>
          </cell>
        </row>
        <row r="7646">
          <cell r="F7646" t="str">
            <v>INV-040423034922</v>
          </cell>
          <cell r="G7646" t="str">
            <v>Paid</v>
          </cell>
        </row>
        <row r="7647">
          <cell r="F7647" t="str">
            <v>INV-040923181042</v>
          </cell>
          <cell r="G7647" t="str">
            <v>Paid</v>
          </cell>
        </row>
        <row r="7648">
          <cell r="F7648" t="str">
            <v>INV-030523030516</v>
          </cell>
          <cell r="G7648" t="str">
            <v>Paid</v>
          </cell>
        </row>
        <row r="7649">
          <cell r="F7649" t="str">
            <v>INV-051023120254</v>
          </cell>
          <cell r="G7649" t="str">
            <v>Paid</v>
          </cell>
        </row>
        <row r="7650">
          <cell r="F7650" t="str">
            <v>INV-050623110538</v>
          </cell>
          <cell r="G7650" t="str">
            <v>Paid</v>
          </cell>
        </row>
        <row r="7651">
          <cell r="F7651" t="str">
            <v>INV2023-IFAST-003</v>
          </cell>
          <cell r="G7651" t="str">
            <v>Paid</v>
          </cell>
        </row>
        <row r="7652">
          <cell r="F7652" t="str">
            <v>INV-061223115906</v>
          </cell>
          <cell r="G7652" t="str">
            <v>Paid</v>
          </cell>
        </row>
        <row r="7653">
          <cell r="F7653" t="str">
            <v>INV-030723171931</v>
          </cell>
          <cell r="G7653" t="str">
            <v>Paid</v>
          </cell>
        </row>
        <row r="7654">
          <cell r="F7654" t="str">
            <v>INV-020823143543</v>
          </cell>
          <cell r="G7654" t="str">
            <v>Paid</v>
          </cell>
        </row>
        <row r="7655">
          <cell r="F7655" t="str">
            <v>INV2023-IFAST-004</v>
          </cell>
          <cell r="G7655" t="str">
            <v>Paid</v>
          </cell>
        </row>
        <row r="7656">
          <cell r="F7656" t="str">
            <v>INV2023-IFAST-005</v>
          </cell>
          <cell r="G7656" t="str">
            <v>Paid</v>
          </cell>
        </row>
        <row r="7657">
          <cell r="F7657" t="str">
            <v>CN-IFAST-301023</v>
          </cell>
          <cell r="G7657" t="str">
            <v>Paid</v>
          </cell>
        </row>
        <row r="7658">
          <cell r="F7658" t="str">
            <v>INV-110124175501</v>
          </cell>
          <cell r="G7658" t="str">
            <v>Paid</v>
          </cell>
        </row>
        <row r="7659">
          <cell r="F7659" t="str">
            <v>INV-050124142030</v>
          </cell>
          <cell r="G7659" t="str">
            <v>Paid</v>
          </cell>
        </row>
        <row r="7660">
          <cell r="F7660" t="str">
            <v>INV-080224204500</v>
          </cell>
          <cell r="G7660" t="str">
            <v>Paid</v>
          </cell>
        </row>
        <row r="7661">
          <cell r="F7661" t="str">
            <v>INV-050324114000</v>
          </cell>
          <cell r="G7661" t="str">
            <v>Paid</v>
          </cell>
        </row>
        <row r="7662">
          <cell r="F7662" t="str">
            <v>INV-070324132355</v>
          </cell>
          <cell r="G7662" t="str">
            <v>Paid</v>
          </cell>
        </row>
        <row r="7663">
          <cell r="F7663" t="str">
            <v>INV-070324133432</v>
          </cell>
          <cell r="G7663" t="str">
            <v>Paid</v>
          </cell>
        </row>
        <row r="7664">
          <cell r="F7664" t="str">
            <v>INV-010424112600</v>
          </cell>
          <cell r="G7664" t="str">
            <v>Paid</v>
          </cell>
        </row>
        <row r="7665">
          <cell r="F7665" t="str">
            <v>INV-050424180019</v>
          </cell>
          <cell r="G7665" t="str">
            <v>Paid</v>
          </cell>
        </row>
        <row r="7666">
          <cell r="F7666" t="str">
            <v>INV-060524183420</v>
          </cell>
          <cell r="G7666" t="str">
            <v>Paid</v>
          </cell>
        </row>
        <row r="7667">
          <cell r="F7667" t="str">
            <v>INV-060524150700_1</v>
          </cell>
          <cell r="G7667" t="str">
            <v>Paid</v>
          </cell>
        </row>
        <row r="7668">
          <cell r="F7668" t="str">
            <v>INV-140524102800</v>
          </cell>
          <cell r="G7668" t="str">
            <v>Paid</v>
          </cell>
        </row>
        <row r="7669">
          <cell r="F7669" t="str">
            <v>INV-140524103300</v>
          </cell>
          <cell r="G7669" t="str">
            <v>Paid</v>
          </cell>
        </row>
        <row r="7670">
          <cell r="F7670" t="str">
            <v>INV-140524103500</v>
          </cell>
          <cell r="G7670" t="str">
            <v>Paid</v>
          </cell>
        </row>
        <row r="7671">
          <cell r="F7671" t="str">
            <v>INV-140524103600</v>
          </cell>
          <cell r="G7671" t="str">
            <v>Paid</v>
          </cell>
        </row>
        <row r="7672">
          <cell r="F7672" t="str">
            <v>INV-050624150100</v>
          </cell>
          <cell r="G7672" t="str">
            <v>Paid</v>
          </cell>
        </row>
        <row r="7673">
          <cell r="F7673" t="str">
            <v>INV-050624150200</v>
          </cell>
          <cell r="G7673" t="str">
            <v>Paid</v>
          </cell>
        </row>
        <row r="7674">
          <cell r="F7674" t="str">
            <v>INV-050624150300</v>
          </cell>
          <cell r="G7674" t="str">
            <v>Paid</v>
          </cell>
        </row>
        <row r="7675">
          <cell r="F7675" t="str">
            <v>INV-070624110814</v>
          </cell>
          <cell r="G7675" t="str">
            <v>Paid</v>
          </cell>
        </row>
        <row r="7676">
          <cell r="F7676" t="str">
            <v>INV-060724114531</v>
          </cell>
          <cell r="G7676" t="str">
            <v>Paid</v>
          </cell>
        </row>
        <row r="7677">
          <cell r="F7677" t="str">
            <v>INV-100624093000</v>
          </cell>
          <cell r="G7677" t="str">
            <v>Paid</v>
          </cell>
        </row>
        <row r="7678">
          <cell r="F7678" t="str">
            <v>INV-070824151931</v>
          </cell>
          <cell r="G7678" t="str">
            <v>Paid</v>
          </cell>
        </row>
        <row r="7679">
          <cell r="F7679" t="str">
            <v>INV-260724093000</v>
          </cell>
          <cell r="G7679" t="str">
            <v>Paid</v>
          </cell>
        </row>
        <row r="7680">
          <cell r="F7680" t="str">
            <v>INV-081124141026</v>
          </cell>
          <cell r="G7680" t="str">
            <v>Paid</v>
          </cell>
        </row>
        <row r="7681">
          <cell r="F7681" t="str">
            <v>INV-060924174220</v>
          </cell>
          <cell r="G7681" t="str">
            <v>Paid</v>
          </cell>
        </row>
        <row r="7682">
          <cell r="F7682" t="str">
            <v>INV-240924102000</v>
          </cell>
          <cell r="G7682" t="str">
            <v>Paid</v>
          </cell>
        </row>
        <row r="7683">
          <cell r="F7683" t="str">
            <v>INV-240924133000</v>
          </cell>
          <cell r="G7683" t="str">
            <v>Paid</v>
          </cell>
        </row>
        <row r="7684">
          <cell r="F7684" t="str">
            <v>INV-240924140500</v>
          </cell>
          <cell r="G7684" t="str">
            <v>Paid</v>
          </cell>
        </row>
        <row r="7685">
          <cell r="F7685" t="str">
            <v>INV-011024164000</v>
          </cell>
          <cell r="G7685" t="str">
            <v>Paid</v>
          </cell>
        </row>
        <row r="7686">
          <cell r="F7686" t="str">
            <v>INV-081024111500</v>
          </cell>
          <cell r="G7686" t="str">
            <v>Paid</v>
          </cell>
        </row>
        <row r="7687">
          <cell r="F7687" t="str">
            <v>INV-081024113000</v>
          </cell>
          <cell r="G7687" t="str">
            <v>Paid</v>
          </cell>
        </row>
        <row r="7688">
          <cell r="F7688" t="str">
            <v>INV-101024150401</v>
          </cell>
          <cell r="G7688" t="str">
            <v>Paid</v>
          </cell>
        </row>
        <row r="7689">
          <cell r="F7689" t="str">
            <v>INV-181124094000</v>
          </cell>
          <cell r="G7689" t="str">
            <v>Paid</v>
          </cell>
        </row>
        <row r="7690">
          <cell r="F7690" t="str">
            <v>INV-181124093000</v>
          </cell>
          <cell r="G7690" t="str">
            <v>Paid</v>
          </cell>
        </row>
        <row r="7691">
          <cell r="F7691" t="str">
            <v>INV-181124095000</v>
          </cell>
          <cell r="G7691" t="str">
            <v>Paid</v>
          </cell>
        </row>
        <row r="7692">
          <cell r="F7692" t="str">
            <v>INV-111224133019</v>
          </cell>
          <cell r="G7692" t="str">
            <v>Paid</v>
          </cell>
        </row>
        <row r="7693">
          <cell r="F7693" t="str">
            <v>INV-080125155555</v>
          </cell>
          <cell r="G7693" t="str">
            <v>Paid</v>
          </cell>
        </row>
        <row r="7694">
          <cell r="F7694" t="str">
            <v>INV-270125090000</v>
          </cell>
          <cell r="G7694" t="str">
            <v>Paid</v>
          </cell>
        </row>
        <row r="7695">
          <cell r="F7695" t="str">
            <v>INV-270125155000</v>
          </cell>
          <cell r="G7695" t="str">
            <v>Paid</v>
          </cell>
        </row>
        <row r="7696">
          <cell r="F7696" t="str">
            <v>INV-100225132642</v>
          </cell>
          <cell r="G7696" t="str">
            <v>Paid</v>
          </cell>
        </row>
        <row r="7697">
          <cell r="F7697" t="str">
            <v>INV-060325160412</v>
          </cell>
          <cell r="G7697" t="str">
            <v>Paid</v>
          </cell>
        </row>
        <row r="7698">
          <cell r="F7698" t="str">
            <v>INV-040425140000</v>
          </cell>
          <cell r="G7698" t="str">
            <v>Paid</v>
          </cell>
        </row>
        <row r="7699">
          <cell r="F7699" t="str">
            <v>INV-040425093000</v>
          </cell>
          <cell r="G7699" t="str">
            <v>Paid</v>
          </cell>
        </row>
        <row r="7700">
          <cell r="F7700" t="str">
            <v>INV-040425103000</v>
          </cell>
          <cell r="G7700" t="str">
            <v>Paid</v>
          </cell>
        </row>
        <row r="7701">
          <cell r="F7701" t="str">
            <v>INV-070425153921</v>
          </cell>
          <cell r="G7701" t="str">
            <v>Paid</v>
          </cell>
        </row>
        <row r="7702">
          <cell r="F7702" t="str">
            <v>INV-070525121922</v>
          </cell>
          <cell r="G7702" t="str">
            <v>Paid</v>
          </cell>
        </row>
        <row r="7703">
          <cell r="F7703" t="str">
            <v>INV-120525130000</v>
          </cell>
          <cell r="G7703" t="str">
            <v>Paid</v>
          </cell>
        </row>
        <row r="7704">
          <cell r="F7704" t="str">
            <v>INV-120525140000</v>
          </cell>
          <cell r="G7704" t="str">
            <v>Paid</v>
          </cell>
        </row>
        <row r="7705">
          <cell r="F7705" t="str">
            <v>INV-120525150000</v>
          </cell>
          <cell r="G7705" t="str">
            <v>Paid</v>
          </cell>
        </row>
        <row r="7706">
          <cell r="F7706" t="str">
            <v>INV-060625171350</v>
          </cell>
          <cell r="G7706" t="str">
            <v>Paid</v>
          </cell>
        </row>
        <row r="7707">
          <cell r="F7707" t="str">
            <v>INV-070725173639</v>
          </cell>
          <cell r="G7707" t="str">
            <v>Paid</v>
          </cell>
        </row>
        <row r="7708">
          <cell r="F7708" t="str">
            <v>INV-080725190000</v>
          </cell>
          <cell r="G7708" t="str">
            <v>Paid</v>
          </cell>
        </row>
        <row r="7709">
          <cell r="F7709" t="str">
            <v>INV-160725135000</v>
          </cell>
          <cell r="G7709" t="str">
            <v>Paid</v>
          </cell>
        </row>
        <row r="7710">
          <cell r="F7710" t="str">
            <v>INV-160725185000</v>
          </cell>
          <cell r="G7710" t="str">
            <v>Paid</v>
          </cell>
        </row>
        <row r="7711">
          <cell r="F7711" t="str">
            <v>INV-070825121258</v>
          </cell>
          <cell r="G7711" t="str">
            <v>Paid</v>
          </cell>
        </row>
        <row r="7712">
          <cell r="F7712" t="str">
            <v>INV-050925145108</v>
          </cell>
          <cell r="G7712" t="str">
            <v>Paid</v>
          </cell>
        </row>
        <row r="7713">
          <cell r="F7713" t="str">
            <v>INV-160925190000</v>
          </cell>
          <cell r="G7713" t="str">
            <v>Paid</v>
          </cell>
        </row>
        <row r="7714">
          <cell r="F7714" t="str">
            <v>INV-160925145000</v>
          </cell>
          <cell r="G7714" t="str">
            <v>Paid</v>
          </cell>
        </row>
        <row r="7715">
          <cell r="F7715" t="str">
            <v>INV-160925150000</v>
          </cell>
          <cell r="G7715" t="str">
            <v>Paid</v>
          </cell>
        </row>
        <row r="7716">
          <cell r="F7716" t="str">
            <v>INV-071025122117</v>
          </cell>
          <cell r="G7716" t="str">
            <v>Paid</v>
          </cell>
        </row>
        <row r="7717">
          <cell r="F7717" t="str">
            <v>INV-071125151633</v>
          </cell>
          <cell r="G7717" t="str">
            <v>Paid</v>
          </cell>
        </row>
        <row r="7718">
          <cell r="F7718" t="str">
            <v>INV-171125191000</v>
          </cell>
          <cell r="G7718" t="str">
            <v>Paid</v>
          </cell>
        </row>
        <row r="7719">
          <cell r="F7719" t="str">
            <v>INV-171125145000</v>
          </cell>
          <cell r="G7719" t="str">
            <v>Paid</v>
          </cell>
        </row>
        <row r="7720">
          <cell r="F7720" t="str">
            <v>INV-171125146000</v>
          </cell>
          <cell r="G7720" t="str">
            <v>Paid</v>
          </cell>
        </row>
        <row r="7721">
          <cell r="F7721" t="str">
            <v>INV-051225122457</v>
          </cell>
          <cell r="G7721" t="str">
            <v>Paid</v>
          </cell>
        </row>
        <row r="7722">
          <cell r="F7722" t="str">
            <v>INV-070126152638</v>
          </cell>
          <cell r="G7722" t="str">
            <v>Paid</v>
          </cell>
        </row>
        <row r="7723">
          <cell r="F7723" t="str">
            <v>INV-090226113449</v>
          </cell>
          <cell r="G7723" t="str">
            <v>Paid</v>
          </cell>
        </row>
        <row r="7724">
          <cell r="F7724" t="str">
            <v>INV-230126146000</v>
          </cell>
          <cell r="G7724" t="str">
            <v>Paid</v>
          </cell>
        </row>
        <row r="7725">
          <cell r="F7725" t="str">
            <v>INV-230126181000</v>
          </cell>
          <cell r="G7725" t="str">
            <v>Paid</v>
          </cell>
        </row>
        <row r="7726">
          <cell r="F7726" t="str">
            <v>INV-230126196000</v>
          </cell>
          <cell r="G7726" t="str">
            <v>Paid</v>
          </cell>
        </row>
        <row r="7727">
          <cell r="F7727" t="str">
            <v>INV-060326122710</v>
          </cell>
          <cell r="G7727" t="str">
            <v>Paid</v>
          </cell>
        </row>
        <row r="7728">
          <cell r="F7728" t="str">
            <v>INV-230326181000</v>
          </cell>
          <cell r="G7728" t="str">
            <v>Invoice Sent</v>
          </cell>
        </row>
        <row r="7729">
          <cell r="F7729" t="str">
            <v>INV-230326196000</v>
          </cell>
          <cell r="G7729" t="str">
            <v>Invoice Sent</v>
          </cell>
        </row>
        <row r="7730">
          <cell r="F7730" t="str">
            <v>INV-230326197000</v>
          </cell>
          <cell r="G7730" t="str">
            <v>Invoice Sent</v>
          </cell>
        </row>
        <row r="7731">
          <cell r="F7731" t="str">
            <v>INV2021-ITT-001</v>
          </cell>
          <cell r="G7731" t="str">
            <v>Paid</v>
          </cell>
        </row>
        <row r="7732">
          <cell r="F7732" t="str">
            <v>CNHKCARDS0001</v>
          </cell>
          <cell r="G7732" t="str">
            <v>Paid</v>
          </cell>
        </row>
        <row r="7733">
          <cell r="F7733" t="str">
            <v>INV2021-ICD-001</v>
          </cell>
          <cell r="G7733" t="str">
            <v>Paid</v>
          </cell>
        </row>
        <row r="7734">
          <cell r="F7734" t="str">
            <v>INV2021-ICD-002</v>
          </cell>
          <cell r="G7734" t="str">
            <v>Paid</v>
          </cell>
        </row>
        <row r="7735">
          <cell r="F7735" t="str">
            <v>INV-050825120819</v>
          </cell>
          <cell r="G7735" t="str">
            <v>Paid</v>
          </cell>
        </row>
        <row r="7736">
          <cell r="F7736" t="str">
            <v>INV-031025171612</v>
          </cell>
          <cell r="G7736" t="str">
            <v>Paid</v>
          </cell>
        </row>
        <row r="7737">
          <cell r="F7737" t="str">
            <v>INV-041125170811</v>
          </cell>
          <cell r="G7737" t="str">
            <v>Paid</v>
          </cell>
        </row>
        <row r="7738">
          <cell r="F7738" t="str">
            <v>INV-021225190800</v>
          </cell>
          <cell r="G7738" t="str">
            <v>Paid</v>
          </cell>
        </row>
        <row r="7739">
          <cell r="F7739" t="str">
            <v>INV-050126182028</v>
          </cell>
          <cell r="G7739" t="str">
            <v>Paid</v>
          </cell>
        </row>
        <row r="7740">
          <cell r="F7740" t="str">
            <v>INV-040226210124</v>
          </cell>
          <cell r="G7740" t="str">
            <v>Paid</v>
          </cell>
        </row>
        <row r="7741">
          <cell r="F7741" t="str">
            <v>INV-030326184550</v>
          </cell>
          <cell r="G7741" t="str">
            <v>Paid</v>
          </cell>
        </row>
        <row r="7742">
          <cell r="F7742" t="str">
            <v>INV-181125183215</v>
          </cell>
          <cell r="G7742" t="str">
            <v>Paid</v>
          </cell>
        </row>
        <row r="7743">
          <cell r="F7743" t="str">
            <v>INV-011225094728</v>
          </cell>
          <cell r="G7743" t="str">
            <v>Paid</v>
          </cell>
        </row>
        <row r="7744">
          <cell r="F7744" t="str">
            <v>INV-060126114015</v>
          </cell>
          <cell r="G7744" t="str">
            <v>Outstanding</v>
          </cell>
        </row>
        <row r="7745">
          <cell r="F7745" t="str">
            <v>INV-040226161408</v>
          </cell>
          <cell r="G7745" t="str">
            <v>Paid</v>
          </cell>
        </row>
        <row r="7746">
          <cell r="F7746" t="str">
            <v>INV-040326102534</v>
          </cell>
          <cell r="G7746" t="str">
            <v>Paid</v>
          </cell>
        </row>
        <row r="7747">
          <cell r="F7747" t="str">
            <v>INV-110324155919</v>
          </cell>
          <cell r="G7747" t="str">
            <v>Paid</v>
          </cell>
        </row>
        <row r="7748">
          <cell r="F7748" t="str">
            <v>INV-031224185808</v>
          </cell>
          <cell r="G7748" t="str">
            <v>Paid</v>
          </cell>
        </row>
        <row r="7749">
          <cell r="F7749" t="str">
            <v>INV-061124155425</v>
          </cell>
          <cell r="G7749" t="str">
            <v>Paid</v>
          </cell>
        </row>
        <row r="7750">
          <cell r="F7750" t="str">
            <v>INV-030125171619</v>
          </cell>
          <cell r="G7750" t="str">
            <v>Paid</v>
          </cell>
        </row>
        <row r="7751">
          <cell r="F7751" t="str">
            <v>INV-040225163655</v>
          </cell>
          <cell r="G7751" t="str">
            <v>Paid</v>
          </cell>
        </row>
        <row r="7752">
          <cell r="F7752" t="str">
            <v>INV-040325173610</v>
          </cell>
          <cell r="G7752" t="str">
            <v>Paid</v>
          </cell>
        </row>
        <row r="7753">
          <cell r="F7753" t="str">
            <v>INV-030425095433</v>
          </cell>
          <cell r="G7753" t="str">
            <v>Paid</v>
          </cell>
        </row>
        <row r="7754">
          <cell r="F7754" t="str">
            <v>INV-050525103237</v>
          </cell>
          <cell r="G7754" t="str">
            <v>Paid</v>
          </cell>
        </row>
        <row r="7755">
          <cell r="F7755" t="str">
            <v>INV-030625175022</v>
          </cell>
          <cell r="G7755" t="str">
            <v>Paid</v>
          </cell>
        </row>
        <row r="7756">
          <cell r="F7756" t="str">
            <v>INV-020725192552</v>
          </cell>
          <cell r="G7756" t="str">
            <v>Paid</v>
          </cell>
        </row>
        <row r="7757">
          <cell r="F7757" t="str">
            <v>INV-050825135749</v>
          </cell>
          <cell r="G7757" t="str">
            <v>Paid</v>
          </cell>
        </row>
        <row r="7758">
          <cell r="F7758" t="str">
            <v>INV-041125145134</v>
          </cell>
          <cell r="G7758" t="str">
            <v>Paid</v>
          </cell>
        </row>
        <row r="7759">
          <cell r="F7759" t="str">
            <v>INV-021225185612</v>
          </cell>
          <cell r="G7759" t="str">
            <v>Partially Paid</v>
          </cell>
        </row>
        <row r="7760">
          <cell r="F7760" t="str">
            <v>INV-050126150313</v>
          </cell>
          <cell r="G7760" t="str">
            <v>Force Settlement</v>
          </cell>
        </row>
        <row r="7761">
          <cell r="F7761" t="str">
            <v>INV-020226182425</v>
          </cell>
          <cell r="G7761" t="str">
            <v>Force Settlement</v>
          </cell>
        </row>
        <row r="7762">
          <cell r="F7762" t="str">
            <v>INV-020326191014</v>
          </cell>
          <cell r="G7762" t="str">
            <v>Force Settlement</v>
          </cell>
        </row>
        <row r="7763">
          <cell r="F7763" t="str">
            <v>INV-120525160319</v>
          </cell>
          <cell r="G7763" t="str">
            <v>Paid</v>
          </cell>
        </row>
        <row r="7764">
          <cell r="F7764" t="str">
            <v>CARDS0004</v>
          </cell>
          <cell r="G7764" t="str">
            <v>Paid</v>
          </cell>
        </row>
        <row r="7765">
          <cell r="F7765" t="str">
            <v>CARDS0026</v>
          </cell>
          <cell r="G7765" t="str">
            <v>Paid</v>
          </cell>
        </row>
        <row r="7766">
          <cell r="F7766" t="str">
            <v>INV-061025171407</v>
          </cell>
          <cell r="G7766" t="str">
            <v>Paid</v>
          </cell>
        </row>
        <row r="7767">
          <cell r="F7767" t="str">
            <v>INV-051125174218</v>
          </cell>
          <cell r="G7767" t="str">
            <v>Partially Paid</v>
          </cell>
        </row>
        <row r="7768">
          <cell r="F7768" t="str">
            <v>INV-031225135349</v>
          </cell>
          <cell r="G7768" t="str">
            <v>Paid</v>
          </cell>
        </row>
        <row r="7769">
          <cell r="F7769" t="str">
            <v>INV-050126184308</v>
          </cell>
          <cell r="G7769" t="str">
            <v>Outstanding</v>
          </cell>
        </row>
        <row r="7770">
          <cell r="F7770" t="str">
            <v>INV-040226140355</v>
          </cell>
          <cell r="G7770" t="str">
            <v>Paid</v>
          </cell>
        </row>
        <row r="7771">
          <cell r="F7771" t="str">
            <v>INV-040326132449</v>
          </cell>
          <cell r="G7771" t="str">
            <v>Outstanding</v>
          </cell>
        </row>
        <row r="7772">
          <cell r="F7772" t="str">
            <v>INV-161224100203</v>
          </cell>
          <cell r="G7772" t="str">
            <v>Net Off</v>
          </cell>
        </row>
        <row r="7773">
          <cell r="F7773" t="str">
            <v>CR-INV-310325190855</v>
          </cell>
          <cell r="G7773" t="str">
            <v>Net Off</v>
          </cell>
        </row>
        <row r="7774">
          <cell r="F7774" t="str">
            <v>CARDS0024</v>
          </cell>
          <cell r="G7774" t="str">
            <v>Paid</v>
          </cell>
        </row>
        <row r="7775">
          <cell r="F7775" t="str">
            <v>CARDS0063</v>
          </cell>
          <cell r="G7775" t="str">
            <v>Paid</v>
          </cell>
        </row>
        <row r="7776">
          <cell r="F7776" t="str">
            <v>CARDS0092</v>
          </cell>
          <cell r="G7776" t="str">
            <v>Paid</v>
          </cell>
        </row>
        <row r="7777">
          <cell r="F7777" t="str">
            <v>CARDS0109</v>
          </cell>
          <cell r="G7777" t="str">
            <v>Paid</v>
          </cell>
        </row>
        <row r="7778">
          <cell r="F7778" t="str">
            <v>CARDS0128</v>
          </cell>
          <cell r="G7778" t="str">
            <v>Paid</v>
          </cell>
        </row>
        <row r="7779">
          <cell r="F7779" t="str">
            <v>CARDS0145</v>
          </cell>
          <cell r="G7779" t="str">
            <v>Paid</v>
          </cell>
        </row>
        <row r="7780">
          <cell r="F7780" t="str">
            <v>CARDS0164</v>
          </cell>
          <cell r="G7780" t="str">
            <v>Paid</v>
          </cell>
        </row>
        <row r="7781">
          <cell r="F7781" t="str">
            <v>CARDS0181</v>
          </cell>
          <cell r="G7781" t="str">
            <v>Paid</v>
          </cell>
        </row>
        <row r="7782">
          <cell r="F7782" t="str">
            <v>CARDS0202</v>
          </cell>
          <cell r="G7782" t="str">
            <v>Paid</v>
          </cell>
        </row>
        <row r="7783">
          <cell r="F7783" t="str">
            <v>CARDS0223</v>
          </cell>
          <cell r="G7783" t="str">
            <v>Paid</v>
          </cell>
        </row>
        <row r="7784">
          <cell r="F7784" t="str">
            <v>CARDS0239</v>
          </cell>
          <cell r="G7784" t="str">
            <v>Paid</v>
          </cell>
        </row>
        <row r="7785">
          <cell r="F7785" t="str">
            <v>CARDS0256</v>
          </cell>
          <cell r="G7785" t="str">
            <v>Paid</v>
          </cell>
        </row>
        <row r="7786">
          <cell r="F7786" t="str">
            <v>CARDS0278</v>
          </cell>
          <cell r="G7786" t="str">
            <v>Paid</v>
          </cell>
        </row>
        <row r="7787">
          <cell r="F7787" t="str">
            <v>CARDS0297</v>
          </cell>
          <cell r="G7787" t="str">
            <v>Paid</v>
          </cell>
        </row>
        <row r="7788">
          <cell r="F7788" t="str">
            <v>CARDS0314</v>
          </cell>
          <cell r="G7788" t="str">
            <v>Paid</v>
          </cell>
        </row>
        <row r="7789">
          <cell r="F7789" t="str">
            <v>INV2021-KKM-001</v>
          </cell>
          <cell r="G7789" t="str">
            <v>Waived Off</v>
          </cell>
        </row>
        <row r="7790">
          <cell r="F7790" t="str">
            <v>INV-100225201139</v>
          </cell>
          <cell r="G7790" t="str">
            <v>Paid</v>
          </cell>
        </row>
        <row r="7791">
          <cell r="F7791" t="str">
            <v>INV-050525160151</v>
          </cell>
          <cell r="G7791" t="str">
            <v>Paid</v>
          </cell>
        </row>
        <row r="7792">
          <cell r="F7792" t="str">
            <v>INV-040625122721</v>
          </cell>
          <cell r="G7792" t="str">
            <v>Paid</v>
          </cell>
        </row>
        <row r="7793">
          <cell r="F7793" t="str">
            <v>INV-030725181309</v>
          </cell>
          <cell r="G7793" t="str">
            <v>Paid</v>
          </cell>
        </row>
        <row r="7794">
          <cell r="F7794" t="str">
            <v>INV-050825131751</v>
          </cell>
          <cell r="G7794" t="str">
            <v>Paid</v>
          </cell>
        </row>
        <row r="7795">
          <cell r="F7795" t="str">
            <v>INV-020925154413</v>
          </cell>
          <cell r="G7795" t="str">
            <v>Paid</v>
          </cell>
        </row>
        <row r="7796">
          <cell r="F7796" t="str">
            <v>INV-031025123651</v>
          </cell>
          <cell r="G7796" t="str">
            <v>Paid</v>
          </cell>
        </row>
        <row r="7797">
          <cell r="F7797" t="str">
            <v>INV-061125125528</v>
          </cell>
          <cell r="G7797" t="str">
            <v>Paid</v>
          </cell>
        </row>
        <row r="7798">
          <cell r="F7798" t="str">
            <v>INV-031225104412</v>
          </cell>
          <cell r="G7798" t="str">
            <v>Paid</v>
          </cell>
        </row>
        <row r="7799">
          <cell r="F7799" t="str">
            <v>INV-030126110019</v>
          </cell>
          <cell r="G7799" t="str">
            <v>Paid</v>
          </cell>
        </row>
        <row r="7800">
          <cell r="F7800" t="str">
            <v>INV-050226123513</v>
          </cell>
          <cell r="G7800" t="str">
            <v>Paid</v>
          </cell>
        </row>
        <row r="7801">
          <cell r="F7801" t="str">
            <v>INV-030326190814</v>
          </cell>
          <cell r="G7801" t="str">
            <v>Paid</v>
          </cell>
        </row>
        <row r="7802">
          <cell r="F7802" t="str">
            <v>INV-040625125754</v>
          </cell>
          <cell r="G7802" t="str">
            <v>Paid</v>
          </cell>
        </row>
        <row r="7803">
          <cell r="F7803" t="str">
            <v>INV-040725102659</v>
          </cell>
          <cell r="G7803" t="str">
            <v>Paid</v>
          </cell>
        </row>
        <row r="7804">
          <cell r="F7804" t="str">
            <v>INV-050825103405</v>
          </cell>
          <cell r="G7804" t="str">
            <v>Paid</v>
          </cell>
        </row>
        <row r="7805">
          <cell r="F7805" t="str">
            <v>INV-031025181834</v>
          </cell>
          <cell r="G7805" t="str">
            <v>Paid</v>
          </cell>
        </row>
        <row r="7806">
          <cell r="F7806" t="str">
            <v>INV-041125190329</v>
          </cell>
          <cell r="G7806" t="str">
            <v>Paid</v>
          </cell>
        </row>
        <row r="7807">
          <cell r="F7807" t="str">
            <v>INV-031225103628</v>
          </cell>
          <cell r="G7807" t="str">
            <v>Paid</v>
          </cell>
        </row>
        <row r="7808">
          <cell r="F7808" t="str">
            <v>INV-050126121320</v>
          </cell>
          <cell r="G7808" t="str">
            <v>Paid</v>
          </cell>
        </row>
        <row r="7809">
          <cell r="F7809" t="str">
            <v>INV-050226013546</v>
          </cell>
          <cell r="G7809" t="str">
            <v>Paid</v>
          </cell>
        </row>
        <row r="7810">
          <cell r="F7810" t="str">
            <v>INV-030326183405</v>
          </cell>
          <cell r="G7810" t="str">
            <v>Paid</v>
          </cell>
        </row>
        <row r="7811">
          <cell r="F7811" t="str">
            <v>INV-020824190856</v>
          </cell>
          <cell r="G7811" t="str">
            <v>Paid</v>
          </cell>
        </row>
        <row r="7812">
          <cell r="F7812" t="str">
            <v>INV-040724120701</v>
          </cell>
          <cell r="G7812" t="str">
            <v>Paid</v>
          </cell>
        </row>
        <row r="7813">
          <cell r="F7813" t="str">
            <v>INV-050924101940</v>
          </cell>
          <cell r="G7813" t="str">
            <v>Paid</v>
          </cell>
        </row>
        <row r="7814">
          <cell r="F7814" t="str">
            <v>CN-INV-040724120701</v>
          </cell>
          <cell r="G7814" t="str">
            <v>Paid</v>
          </cell>
        </row>
        <row r="7815">
          <cell r="F7815" t="str">
            <v>INV-031024122744</v>
          </cell>
          <cell r="G7815" t="str">
            <v>Paid</v>
          </cell>
        </row>
        <row r="7816">
          <cell r="F7816" t="str">
            <v>INV-061124170407</v>
          </cell>
          <cell r="G7816" t="str">
            <v>Paid</v>
          </cell>
        </row>
        <row r="7817">
          <cell r="F7817" t="str">
            <v>INV-031224183717</v>
          </cell>
          <cell r="G7817" t="str">
            <v>Paid</v>
          </cell>
        </row>
        <row r="7818">
          <cell r="F7818" t="str">
            <v>INV-030125153928</v>
          </cell>
          <cell r="G7818" t="str">
            <v>Paid</v>
          </cell>
        </row>
        <row r="7819">
          <cell r="F7819" t="str">
            <v>INV-050225111053</v>
          </cell>
          <cell r="G7819" t="str">
            <v>Paid</v>
          </cell>
        </row>
        <row r="7820">
          <cell r="F7820" t="str">
            <v>INV-040325175440</v>
          </cell>
          <cell r="G7820" t="str">
            <v>Paid</v>
          </cell>
        </row>
        <row r="7821">
          <cell r="F7821" t="str">
            <v>INV-030425095916</v>
          </cell>
          <cell r="G7821" t="str">
            <v>Paid</v>
          </cell>
        </row>
        <row r="7822">
          <cell r="F7822" t="str">
            <v>INV-020525200825</v>
          </cell>
          <cell r="G7822" t="str">
            <v>Paid</v>
          </cell>
        </row>
        <row r="7823">
          <cell r="F7823" t="str">
            <v>INV-030625164341</v>
          </cell>
          <cell r="G7823" t="str">
            <v>Paid</v>
          </cell>
        </row>
        <row r="7824">
          <cell r="F7824" t="str">
            <v>INV-020725191543</v>
          </cell>
          <cell r="G7824" t="str">
            <v>Paid</v>
          </cell>
        </row>
        <row r="7825">
          <cell r="F7825" t="str">
            <v>INV-050825121420</v>
          </cell>
          <cell r="G7825" t="str">
            <v>Paid</v>
          </cell>
        </row>
        <row r="7826">
          <cell r="F7826" t="str">
            <v>INV-020925183058</v>
          </cell>
          <cell r="G7826" t="str">
            <v>Paid</v>
          </cell>
        </row>
        <row r="7827">
          <cell r="F7827" t="str">
            <v>INV-021025132655</v>
          </cell>
          <cell r="G7827" t="str">
            <v>Paid</v>
          </cell>
        </row>
        <row r="7828">
          <cell r="F7828" t="str">
            <v>INV-041125135302</v>
          </cell>
          <cell r="G7828" t="str">
            <v>Paid</v>
          </cell>
        </row>
        <row r="7829">
          <cell r="F7829" t="str">
            <v>INV-021225154550</v>
          </cell>
          <cell r="G7829" t="str">
            <v>Paid</v>
          </cell>
        </row>
        <row r="7830">
          <cell r="F7830" t="str">
            <v>INV-021225160826</v>
          </cell>
          <cell r="G7830" t="str">
            <v>Paid</v>
          </cell>
        </row>
        <row r="7831">
          <cell r="F7831" t="str">
            <v>INV21-KVB-001</v>
          </cell>
          <cell r="G7831" t="str">
            <v>Paid</v>
          </cell>
        </row>
        <row r="7832">
          <cell r="F7832" t="str">
            <v>AUCARDS0025</v>
          </cell>
          <cell r="G7832" t="str">
            <v>Paid</v>
          </cell>
        </row>
        <row r="7833">
          <cell r="F7833" t="str">
            <v>AUCARDS0048</v>
          </cell>
          <cell r="G7833" t="str">
            <v>Paid</v>
          </cell>
        </row>
        <row r="7834">
          <cell r="F7834" t="str">
            <v>AUCARDS0054</v>
          </cell>
          <cell r="G7834" t="str">
            <v>Paid</v>
          </cell>
        </row>
        <row r="7835">
          <cell r="F7835" t="str">
            <v>AUCARDS0060</v>
          </cell>
          <cell r="G7835" t="str">
            <v>Paid</v>
          </cell>
        </row>
        <row r="7836">
          <cell r="F7836" t="str">
            <v>INV-021122052729</v>
          </cell>
          <cell r="G7836" t="str">
            <v>Paid</v>
          </cell>
        </row>
        <row r="7837">
          <cell r="F7837" t="str">
            <v>INV-021222105758</v>
          </cell>
          <cell r="G7837" t="str">
            <v>Paid</v>
          </cell>
        </row>
        <row r="7838">
          <cell r="F7838" t="str">
            <v>INV-040123132544</v>
          </cell>
          <cell r="G7838" t="str">
            <v>Paid</v>
          </cell>
        </row>
        <row r="7839">
          <cell r="F7839" t="str">
            <v>INV-020223031545</v>
          </cell>
          <cell r="G7839" t="str">
            <v>Paid</v>
          </cell>
        </row>
        <row r="7840">
          <cell r="F7840" t="str">
            <v>INV-020323021418</v>
          </cell>
          <cell r="G7840" t="str">
            <v>Paid</v>
          </cell>
        </row>
        <row r="7841">
          <cell r="F7841" t="str">
            <v>INV-040423002032</v>
          </cell>
          <cell r="G7841" t="str">
            <v>Paid</v>
          </cell>
        </row>
        <row r="7842">
          <cell r="F7842" t="str">
            <v>INV-020523231024</v>
          </cell>
          <cell r="G7842" t="str">
            <v>Paid</v>
          </cell>
        </row>
        <row r="7843">
          <cell r="F7843" t="str">
            <v>INV-020623143144</v>
          </cell>
          <cell r="G7843" t="str">
            <v>Paid</v>
          </cell>
        </row>
        <row r="7844">
          <cell r="F7844" t="str">
            <v>INV-030723134536</v>
          </cell>
          <cell r="G7844" t="str">
            <v>Paid</v>
          </cell>
        </row>
        <row r="7845">
          <cell r="F7845" t="str">
            <v>INV-020823134402</v>
          </cell>
          <cell r="G7845" t="str">
            <v>Paid</v>
          </cell>
        </row>
        <row r="7846">
          <cell r="F7846" t="str">
            <v>CARDS0190</v>
          </cell>
          <cell r="G7846" t="str">
            <v>Paid</v>
          </cell>
        </row>
        <row r="7847">
          <cell r="F7847" t="str">
            <v>INV-041223153241</v>
          </cell>
          <cell r="G7847" t="str">
            <v>Paid</v>
          </cell>
        </row>
        <row r="7848">
          <cell r="F7848" t="str">
            <v>INV-050923185336</v>
          </cell>
          <cell r="G7848" t="str">
            <v>Paid</v>
          </cell>
        </row>
        <row r="7849">
          <cell r="F7849" t="str">
            <v>INV-061023122003</v>
          </cell>
          <cell r="G7849" t="str">
            <v>Paid</v>
          </cell>
        </row>
        <row r="7850">
          <cell r="F7850" t="str">
            <v>INV-060723180240</v>
          </cell>
          <cell r="G7850" t="str">
            <v>Paid</v>
          </cell>
        </row>
        <row r="7851">
          <cell r="F7851" t="str">
            <v>INV-061123094737</v>
          </cell>
          <cell r="G7851" t="str">
            <v>Paid</v>
          </cell>
        </row>
        <row r="7852">
          <cell r="F7852" t="str">
            <v>INV-190324171650</v>
          </cell>
          <cell r="G7852" t="str">
            <v>Paid</v>
          </cell>
        </row>
        <row r="7853">
          <cell r="F7853" t="str">
            <v>INV-050424071529</v>
          </cell>
          <cell r="G7853" t="str">
            <v>Paid</v>
          </cell>
        </row>
        <row r="7854">
          <cell r="F7854" t="str">
            <v>INV-040724193123</v>
          </cell>
          <cell r="G7854" t="str">
            <v>Paid</v>
          </cell>
        </row>
        <row r="7855">
          <cell r="F7855" t="str">
            <v>INV-041024140840</v>
          </cell>
          <cell r="G7855" t="str">
            <v>Paid</v>
          </cell>
        </row>
        <row r="7856">
          <cell r="F7856" t="str">
            <v>INV-060524143405</v>
          </cell>
          <cell r="G7856" t="str">
            <v>Paid</v>
          </cell>
        </row>
        <row r="7857">
          <cell r="F7857" t="str">
            <v>INV-050924171518</v>
          </cell>
          <cell r="G7857" t="str">
            <v>Paid</v>
          </cell>
        </row>
        <row r="7858">
          <cell r="F7858" t="str">
            <v>INV-110624151554</v>
          </cell>
          <cell r="G7858" t="str">
            <v>Paid</v>
          </cell>
        </row>
        <row r="7859">
          <cell r="F7859" t="str">
            <v>INV-281124152151</v>
          </cell>
          <cell r="G7859" t="str">
            <v>Paid</v>
          </cell>
        </row>
        <row r="7860">
          <cell r="F7860" t="str">
            <v>CN-INV-281124143511</v>
          </cell>
          <cell r="G7860" t="str">
            <v>Paid</v>
          </cell>
        </row>
        <row r="7861">
          <cell r="F7861" t="str">
            <v>INV-041224141936</v>
          </cell>
          <cell r="G7861" t="str">
            <v>Paid</v>
          </cell>
        </row>
        <row r="7862">
          <cell r="F7862" t="str">
            <v>INV-060125152942</v>
          </cell>
          <cell r="G7862" t="str">
            <v>Paid</v>
          </cell>
        </row>
        <row r="7863">
          <cell r="F7863" t="str">
            <v>INV-050225102919</v>
          </cell>
          <cell r="G7863" t="str">
            <v>Net Off</v>
          </cell>
        </row>
        <row r="7864">
          <cell r="F7864" t="str">
            <v>INV-040124175745</v>
          </cell>
          <cell r="G7864" t="str">
            <v>Paid</v>
          </cell>
        </row>
        <row r="7865">
          <cell r="F7865" t="str">
            <v>INV-050224164220</v>
          </cell>
          <cell r="G7865" t="str">
            <v>Paid</v>
          </cell>
        </row>
        <row r="7866">
          <cell r="F7866" t="str">
            <v>INV-080824091603</v>
          </cell>
          <cell r="G7866" t="str">
            <v>Paid</v>
          </cell>
        </row>
        <row r="7867">
          <cell r="F7867" t="str">
            <v>INV-130224171634</v>
          </cell>
          <cell r="G7867" t="str">
            <v>Paid</v>
          </cell>
        </row>
        <row r="7868">
          <cell r="F7868" t="str">
            <v>HKCARDS0018</v>
          </cell>
          <cell r="G7868" t="str">
            <v>Paid</v>
          </cell>
        </row>
        <row r="7869">
          <cell r="F7869" t="str">
            <v>HKCARDS0033</v>
          </cell>
          <cell r="G7869" t="str">
            <v>Paid</v>
          </cell>
        </row>
        <row r="7870">
          <cell r="F7870" t="str">
            <v>HKCARDS0077</v>
          </cell>
          <cell r="G7870" t="str">
            <v>Paid</v>
          </cell>
        </row>
        <row r="7871">
          <cell r="F7871" t="str">
            <v>HKCARDS0051</v>
          </cell>
          <cell r="G7871" t="str">
            <v>Waived Off</v>
          </cell>
        </row>
        <row r="7872">
          <cell r="F7872" t="str">
            <v>HKCARDS0059</v>
          </cell>
          <cell r="G7872" t="str">
            <v>Waived Off</v>
          </cell>
        </row>
        <row r="7873">
          <cell r="F7873" t="str">
            <v>HKCARDS0068</v>
          </cell>
          <cell r="G7873" t="str">
            <v>Waived Off</v>
          </cell>
        </row>
        <row r="7874">
          <cell r="F7874" t="str">
            <v>HKCARDS0095</v>
          </cell>
          <cell r="G7874" t="str">
            <v>Paid</v>
          </cell>
        </row>
        <row r="7875">
          <cell r="F7875" t="str">
            <v>HKCARDS0109</v>
          </cell>
          <cell r="G7875" t="str">
            <v>Paid</v>
          </cell>
        </row>
        <row r="7876">
          <cell r="F7876" t="str">
            <v>INV-021122063235</v>
          </cell>
          <cell r="G7876" t="str">
            <v>Paid</v>
          </cell>
        </row>
        <row r="7877">
          <cell r="F7877" t="str">
            <v>INV-021222022629</v>
          </cell>
          <cell r="G7877" t="str">
            <v>Paid</v>
          </cell>
        </row>
        <row r="7878">
          <cell r="F7878" t="str">
            <v>INV-030123143203</v>
          </cell>
          <cell r="G7878" t="str">
            <v>Paid</v>
          </cell>
        </row>
        <row r="7879">
          <cell r="F7879" t="str">
            <v>INV-020223041327</v>
          </cell>
          <cell r="G7879" t="str">
            <v>Paid</v>
          </cell>
        </row>
        <row r="7880">
          <cell r="F7880" t="str">
            <v>INV-020323032035</v>
          </cell>
          <cell r="G7880" t="str">
            <v>Paid</v>
          </cell>
        </row>
        <row r="7881">
          <cell r="F7881" t="str">
            <v>INV-031123174316</v>
          </cell>
          <cell r="G7881" t="str">
            <v>Paid</v>
          </cell>
        </row>
        <row r="7882">
          <cell r="F7882" t="str">
            <v>INV-020423233015</v>
          </cell>
          <cell r="G7882" t="str">
            <v>Paid</v>
          </cell>
        </row>
        <row r="7883">
          <cell r="F7883" t="str">
            <v>DN-260423181034</v>
          </cell>
          <cell r="G7883" t="str">
            <v>Paid</v>
          </cell>
        </row>
        <row r="7884">
          <cell r="F7884" t="str">
            <v>INV-020523215359</v>
          </cell>
          <cell r="G7884" t="str">
            <v>Paid</v>
          </cell>
        </row>
        <row r="7885">
          <cell r="F7885" t="str">
            <v>INV-050923105104</v>
          </cell>
          <cell r="G7885" t="str">
            <v>Paid</v>
          </cell>
        </row>
        <row r="7886">
          <cell r="F7886" t="str">
            <v>INV-051023132850</v>
          </cell>
          <cell r="G7886" t="str">
            <v>Paid</v>
          </cell>
        </row>
        <row r="7887">
          <cell r="F7887" t="str">
            <v>INV-051223125340</v>
          </cell>
          <cell r="G7887" t="str">
            <v>Paid</v>
          </cell>
        </row>
        <row r="7888">
          <cell r="F7888" t="str">
            <v>INV-160623173227</v>
          </cell>
          <cell r="G7888" t="str">
            <v>Paid</v>
          </cell>
        </row>
        <row r="7889">
          <cell r="F7889" t="str">
            <v>INV-040723121606</v>
          </cell>
          <cell r="G7889" t="str">
            <v>Paid</v>
          </cell>
        </row>
        <row r="7890">
          <cell r="F7890" t="str">
            <v>INV-030823143024</v>
          </cell>
          <cell r="G7890" t="str">
            <v>Paid</v>
          </cell>
        </row>
        <row r="7891">
          <cell r="F7891" t="str">
            <v>INV-050124131840</v>
          </cell>
          <cell r="G7891" t="str">
            <v>Paid</v>
          </cell>
        </row>
        <row r="7892">
          <cell r="F7892" t="str">
            <v>INV-060224173612</v>
          </cell>
          <cell r="G7892" t="str">
            <v>Paid</v>
          </cell>
        </row>
        <row r="7893">
          <cell r="F7893" t="str">
            <v>INV-060324113419</v>
          </cell>
          <cell r="G7893" t="str">
            <v>Paid</v>
          </cell>
        </row>
        <row r="7894">
          <cell r="F7894" t="str">
            <v>INV-040424164008</v>
          </cell>
          <cell r="G7894" t="str">
            <v>Paid</v>
          </cell>
        </row>
        <row r="7895">
          <cell r="F7895" t="str">
            <v>INV-040624175943</v>
          </cell>
          <cell r="G7895" t="str">
            <v>Paid</v>
          </cell>
        </row>
        <row r="7896">
          <cell r="F7896" t="str">
            <v>INV-040724184437</v>
          </cell>
          <cell r="G7896" t="str">
            <v>Paid</v>
          </cell>
        </row>
        <row r="7897">
          <cell r="F7897" t="str">
            <v>INV-060524161704</v>
          </cell>
          <cell r="G7897" t="str">
            <v>Paid</v>
          </cell>
        </row>
        <row r="7898">
          <cell r="F7898" t="str">
            <v>INV-060824173250</v>
          </cell>
          <cell r="G7898" t="str">
            <v>Paid</v>
          </cell>
        </row>
        <row r="7899">
          <cell r="F7899" t="str">
            <v>INV-061224163900</v>
          </cell>
          <cell r="G7899" t="str">
            <v>Paid</v>
          </cell>
        </row>
        <row r="7900">
          <cell r="F7900" t="str">
            <v>INV-071024144824</v>
          </cell>
          <cell r="G7900" t="str">
            <v>Paid</v>
          </cell>
        </row>
        <row r="7901">
          <cell r="F7901" t="str">
            <v>CN-INV-DN-260423181034</v>
          </cell>
          <cell r="G7901" t="str">
            <v>Paid</v>
          </cell>
        </row>
        <row r="7902">
          <cell r="F7902" t="str">
            <v>INV-050924154927</v>
          </cell>
          <cell r="G7902" t="str">
            <v>Paid</v>
          </cell>
        </row>
        <row r="7903">
          <cell r="F7903" t="str">
            <v>INV-071124134319</v>
          </cell>
          <cell r="G7903" t="str">
            <v>Paid</v>
          </cell>
        </row>
        <row r="7904">
          <cell r="F7904" t="str">
            <v>INV-070125150607</v>
          </cell>
          <cell r="G7904" t="str">
            <v>Paid</v>
          </cell>
        </row>
        <row r="7905">
          <cell r="F7905" t="str">
            <v>INV-060225161633</v>
          </cell>
          <cell r="G7905" t="str">
            <v>Paid</v>
          </cell>
        </row>
        <row r="7906">
          <cell r="F7906" t="str">
            <v>INV-050325164028</v>
          </cell>
          <cell r="G7906" t="str">
            <v>Paid</v>
          </cell>
        </row>
        <row r="7907">
          <cell r="F7907" t="str">
            <v>INV-030425190541</v>
          </cell>
          <cell r="G7907" t="str">
            <v>Paid</v>
          </cell>
        </row>
        <row r="7908">
          <cell r="F7908" t="str">
            <v>INV-060525114931</v>
          </cell>
          <cell r="G7908" t="str">
            <v>Paid</v>
          </cell>
        </row>
        <row r="7909">
          <cell r="F7909" t="str">
            <v>INV-050625144907</v>
          </cell>
          <cell r="G7909" t="str">
            <v>Paid</v>
          </cell>
        </row>
        <row r="7910">
          <cell r="F7910" t="str">
            <v>INV-070725102825</v>
          </cell>
          <cell r="G7910" t="str">
            <v>Paid</v>
          </cell>
        </row>
        <row r="7911">
          <cell r="F7911" t="str">
            <v>INV-060825115756</v>
          </cell>
          <cell r="G7911" t="str">
            <v>Paid</v>
          </cell>
        </row>
        <row r="7912">
          <cell r="F7912" t="str">
            <v>INV-040925144044</v>
          </cell>
          <cell r="G7912" t="str">
            <v>Paid</v>
          </cell>
        </row>
        <row r="7913">
          <cell r="F7913" t="str">
            <v>INV-061025145514</v>
          </cell>
          <cell r="G7913" t="str">
            <v>Paid</v>
          </cell>
        </row>
        <row r="7914">
          <cell r="F7914" t="str">
            <v>INV-061125130433</v>
          </cell>
          <cell r="G7914" t="str">
            <v>Paid</v>
          </cell>
        </row>
        <row r="7915">
          <cell r="F7915" t="str">
            <v>INV-041225184100</v>
          </cell>
          <cell r="G7915" t="str">
            <v>Paid</v>
          </cell>
        </row>
        <row r="7916">
          <cell r="F7916" t="str">
            <v>INV-050126122532</v>
          </cell>
          <cell r="G7916" t="str">
            <v>Paid</v>
          </cell>
        </row>
        <row r="7917">
          <cell r="F7917" t="str">
            <v>INV-210125094046</v>
          </cell>
          <cell r="G7917" t="str">
            <v>Paid</v>
          </cell>
        </row>
        <row r="7918">
          <cell r="F7918" t="str">
            <v>INV-030725133334</v>
          </cell>
          <cell r="G7918" t="str">
            <v>Paid</v>
          </cell>
        </row>
        <row r="7919">
          <cell r="F7919" t="str">
            <v>INV-050825115818</v>
          </cell>
          <cell r="G7919" t="str">
            <v>Outstanding</v>
          </cell>
        </row>
        <row r="7920">
          <cell r="F7920" t="str">
            <v>INV-020925171323</v>
          </cell>
          <cell r="G7920" t="str">
            <v>Outstanding</v>
          </cell>
        </row>
        <row r="7921">
          <cell r="F7921" t="str">
            <v>INV-021025184847</v>
          </cell>
          <cell r="G7921" t="str">
            <v>Outstanding</v>
          </cell>
        </row>
        <row r="7922">
          <cell r="F7922" t="str">
            <v>INV-051125173213</v>
          </cell>
          <cell r="G7922" t="str">
            <v>Outstanding</v>
          </cell>
        </row>
        <row r="7923">
          <cell r="F7923" t="str">
            <v>INV-021225201549</v>
          </cell>
          <cell r="G7923" t="str">
            <v>Outstanding</v>
          </cell>
        </row>
        <row r="7924">
          <cell r="F7924" t="str">
            <v>INV-050126153219</v>
          </cell>
          <cell r="G7924" t="str">
            <v>Outstanding</v>
          </cell>
        </row>
        <row r="7925">
          <cell r="F7925" t="str">
            <v>INV-030226233006</v>
          </cell>
          <cell r="G7925" t="str">
            <v>Outstanding</v>
          </cell>
        </row>
        <row r="7926">
          <cell r="F7926" t="str">
            <v>INV-030326144903</v>
          </cell>
          <cell r="G7926" t="str">
            <v>Outstanding</v>
          </cell>
        </row>
        <row r="7927">
          <cell r="F7927" t="str">
            <v>INV-040326183525</v>
          </cell>
          <cell r="G7927" t="str">
            <v>Outstanding</v>
          </cell>
        </row>
        <row r="7928">
          <cell r="F7928" t="str">
            <v>INV-041223162019</v>
          </cell>
          <cell r="G7928" t="str">
            <v>Paid</v>
          </cell>
        </row>
        <row r="7929">
          <cell r="F7929" t="str">
            <v>INV-061023092812</v>
          </cell>
          <cell r="G7929" t="str">
            <v>Paid</v>
          </cell>
        </row>
        <row r="7930">
          <cell r="F7930" t="str">
            <v>INV-200923114653</v>
          </cell>
          <cell r="G7930" t="str">
            <v>Paid</v>
          </cell>
        </row>
        <row r="7931">
          <cell r="F7931" t="str">
            <v>INV-061123102034</v>
          </cell>
          <cell r="G7931" t="str">
            <v>Paid</v>
          </cell>
        </row>
        <row r="7932">
          <cell r="F7932" t="str">
            <v>INV-040124160152</v>
          </cell>
          <cell r="G7932" t="str">
            <v>Paid</v>
          </cell>
        </row>
        <row r="7933">
          <cell r="F7933" t="str">
            <v>INV-050224172727</v>
          </cell>
          <cell r="G7933" t="str">
            <v>Paid</v>
          </cell>
        </row>
        <row r="7934">
          <cell r="F7934" t="str">
            <v>INV-020824164524</v>
          </cell>
          <cell r="G7934" t="str">
            <v>Paid</v>
          </cell>
        </row>
        <row r="7935">
          <cell r="F7935" t="str">
            <v>INV-030424173137</v>
          </cell>
          <cell r="G7935" t="str">
            <v>Paid</v>
          </cell>
        </row>
        <row r="7936">
          <cell r="F7936" t="str">
            <v>INV-030524110153</v>
          </cell>
          <cell r="G7936" t="str">
            <v>Paid</v>
          </cell>
        </row>
        <row r="7937">
          <cell r="F7937" t="str">
            <v>INV-060324163133</v>
          </cell>
          <cell r="G7937" t="str">
            <v>Paid</v>
          </cell>
        </row>
        <row r="7938">
          <cell r="F7938" t="str">
            <v>INV-030724152113</v>
          </cell>
          <cell r="G7938" t="str">
            <v>Paid</v>
          </cell>
        </row>
        <row r="7939">
          <cell r="F7939" t="str">
            <v>INV-031224170901</v>
          </cell>
          <cell r="G7939" t="str">
            <v>Paid</v>
          </cell>
        </row>
        <row r="7940">
          <cell r="F7940" t="str">
            <v>INV-040624114210</v>
          </cell>
          <cell r="G7940" t="str">
            <v>Paid</v>
          </cell>
        </row>
        <row r="7941">
          <cell r="F7941" t="str">
            <v>INV-040924115424</v>
          </cell>
          <cell r="G7941" t="str">
            <v>Paid</v>
          </cell>
        </row>
        <row r="7942">
          <cell r="F7942" t="str">
            <v>INV-270824125340</v>
          </cell>
          <cell r="G7942" t="str">
            <v>Paid</v>
          </cell>
        </row>
        <row r="7943">
          <cell r="F7943" t="str">
            <v>INV-021024161815</v>
          </cell>
          <cell r="G7943" t="str">
            <v>Paid</v>
          </cell>
        </row>
        <row r="7944">
          <cell r="F7944" t="str">
            <v>CN-INV-021024164210</v>
          </cell>
          <cell r="G7944" t="str">
            <v>Paid</v>
          </cell>
        </row>
        <row r="7945">
          <cell r="F7945" t="str">
            <v>INV-061124122118</v>
          </cell>
          <cell r="G7945" t="str">
            <v>Paid</v>
          </cell>
        </row>
        <row r="7946">
          <cell r="F7946" t="str">
            <v>INV-040125112200</v>
          </cell>
          <cell r="G7946" t="str">
            <v>Paid</v>
          </cell>
        </row>
        <row r="7947">
          <cell r="F7947" t="str">
            <v>INV-040225180710</v>
          </cell>
          <cell r="G7947" t="str">
            <v>Paid</v>
          </cell>
        </row>
        <row r="7948">
          <cell r="F7948" t="str">
            <v>INV-040325160955</v>
          </cell>
          <cell r="G7948" t="str">
            <v>Paid</v>
          </cell>
        </row>
        <row r="7949">
          <cell r="F7949" t="str">
            <v>INV-020425173738</v>
          </cell>
          <cell r="G7949" t="str">
            <v>Paid</v>
          </cell>
        </row>
        <row r="7950">
          <cell r="F7950" t="str">
            <v>INV-020525183148</v>
          </cell>
          <cell r="G7950" t="str">
            <v>Paid</v>
          </cell>
        </row>
        <row r="7951">
          <cell r="F7951" t="str">
            <v>INV-030625153826</v>
          </cell>
          <cell r="G7951" t="str">
            <v>Paid</v>
          </cell>
        </row>
        <row r="7952">
          <cell r="F7952" t="str">
            <v>INV-020725170525</v>
          </cell>
          <cell r="G7952" t="str">
            <v>Paid</v>
          </cell>
        </row>
        <row r="7953">
          <cell r="F7953" t="str">
            <v>INV-040825155148</v>
          </cell>
          <cell r="G7953" t="str">
            <v>Paid</v>
          </cell>
        </row>
        <row r="7954">
          <cell r="F7954" t="str">
            <v>INV-030925103633</v>
          </cell>
          <cell r="G7954" t="str">
            <v>Paid</v>
          </cell>
        </row>
        <row r="7955">
          <cell r="F7955" t="str">
            <v>INV-021025130105</v>
          </cell>
          <cell r="G7955" t="str">
            <v>Paid</v>
          </cell>
        </row>
        <row r="7956">
          <cell r="F7956" t="str">
            <v>INV-061125155809</v>
          </cell>
          <cell r="G7956" t="str">
            <v>Paid</v>
          </cell>
        </row>
        <row r="7957">
          <cell r="F7957" t="str">
            <v>INV-021225150637</v>
          </cell>
          <cell r="G7957" t="str">
            <v>Paid</v>
          </cell>
        </row>
        <row r="7958">
          <cell r="F7958" t="str">
            <v>INV-030126112748</v>
          </cell>
          <cell r="G7958" t="str">
            <v>Paid</v>
          </cell>
        </row>
        <row r="7959">
          <cell r="F7959" t="str">
            <v>INV-030226091512</v>
          </cell>
          <cell r="G7959" t="str">
            <v>Paid</v>
          </cell>
        </row>
        <row r="7960">
          <cell r="F7960" t="str">
            <v>INV-020326184116</v>
          </cell>
          <cell r="G7960" t="str">
            <v>Outstanding</v>
          </cell>
        </row>
        <row r="7961">
          <cell r="F7961" t="str">
            <v>CARDS0264</v>
          </cell>
          <cell r="G7961" t="str">
            <v>Paid</v>
          </cell>
        </row>
        <row r="7962">
          <cell r="F7962" t="str">
            <v>INV-170724163648</v>
          </cell>
          <cell r="G7962" t="str">
            <v>Paid</v>
          </cell>
        </row>
        <row r="7963">
          <cell r="F7963" t="str">
            <v>INV-101024132034</v>
          </cell>
          <cell r="G7963" t="str">
            <v>Paid</v>
          </cell>
        </row>
        <row r="7964">
          <cell r="F7964" t="str">
            <v>INV-111124121058</v>
          </cell>
          <cell r="G7964" t="str">
            <v>Paid</v>
          </cell>
        </row>
        <row r="7965">
          <cell r="F7965" t="str">
            <v>INV-131124100800</v>
          </cell>
          <cell r="G7965" t="str">
            <v>Paid</v>
          </cell>
        </row>
        <row r="7966">
          <cell r="F7966" t="str">
            <v>INV-111224093231</v>
          </cell>
          <cell r="G7966" t="str">
            <v>Paid</v>
          </cell>
        </row>
        <row r="7967">
          <cell r="F7967" t="str">
            <v>INV-070125155808</v>
          </cell>
          <cell r="G7967" t="str">
            <v>Paid</v>
          </cell>
        </row>
        <row r="7968">
          <cell r="F7968" t="str">
            <v>INV-070225114529</v>
          </cell>
          <cell r="G7968" t="str">
            <v>Paid</v>
          </cell>
        </row>
        <row r="7969">
          <cell r="F7969" t="str">
            <v>INV-060325105917</v>
          </cell>
          <cell r="G7969" t="str">
            <v>Paid</v>
          </cell>
        </row>
        <row r="7970">
          <cell r="F7970" t="str">
            <v>INV-040425110106</v>
          </cell>
          <cell r="G7970" t="str">
            <v>Paid</v>
          </cell>
        </row>
        <row r="7971">
          <cell r="F7971" t="str">
            <v>INV-060525131138</v>
          </cell>
          <cell r="G7971" t="str">
            <v>Paid</v>
          </cell>
        </row>
        <row r="7972">
          <cell r="F7972" t="str">
            <v>INV-050625160211</v>
          </cell>
          <cell r="G7972" t="str">
            <v>Paid</v>
          </cell>
        </row>
        <row r="7973">
          <cell r="F7973" t="str">
            <v>INV-040725164309</v>
          </cell>
          <cell r="G7973" t="str">
            <v>Paid</v>
          </cell>
        </row>
        <row r="7974">
          <cell r="F7974" t="str">
            <v>INV-060825155524</v>
          </cell>
          <cell r="G7974" t="str">
            <v>Paid</v>
          </cell>
        </row>
        <row r="7975">
          <cell r="F7975" t="str">
            <v>INV-040925124800</v>
          </cell>
          <cell r="G7975" t="str">
            <v>Paid</v>
          </cell>
        </row>
        <row r="7976">
          <cell r="F7976" t="str">
            <v>INV-061025164622</v>
          </cell>
          <cell r="G7976" t="str">
            <v>Paid</v>
          </cell>
        </row>
        <row r="7977">
          <cell r="F7977" t="str">
            <v>INV-061125181938</v>
          </cell>
          <cell r="G7977" t="str">
            <v>Paid</v>
          </cell>
        </row>
        <row r="7978">
          <cell r="F7978" t="str">
            <v>INV-041225184027</v>
          </cell>
          <cell r="G7978" t="str">
            <v>Paid</v>
          </cell>
        </row>
        <row r="7979">
          <cell r="F7979" t="str">
            <v>INV-060126155035</v>
          </cell>
          <cell r="G7979" t="str">
            <v>Paid</v>
          </cell>
        </row>
        <row r="7980">
          <cell r="F7980" t="str">
            <v>INV-090226194222</v>
          </cell>
          <cell r="G7980" t="str">
            <v>Paid</v>
          </cell>
        </row>
        <row r="7981">
          <cell r="F7981" t="str">
            <v>INV-050326093731</v>
          </cell>
          <cell r="G7981" t="str">
            <v>Paid</v>
          </cell>
        </row>
        <row r="7982">
          <cell r="F7982" t="str">
            <v>INV-131023154801</v>
          </cell>
          <cell r="G7982" t="str">
            <v>Paid</v>
          </cell>
        </row>
        <row r="7983">
          <cell r="F7983" t="str">
            <v>INV-061123175908</v>
          </cell>
          <cell r="G7983" t="str">
            <v>Paid</v>
          </cell>
        </row>
        <row r="7984">
          <cell r="F7984" t="str">
            <v>INV-121023183132</v>
          </cell>
          <cell r="G7984" t="str">
            <v>Paid</v>
          </cell>
        </row>
        <row r="7985">
          <cell r="F7985" t="str">
            <v>INV-080124124732</v>
          </cell>
          <cell r="G7985" t="str">
            <v>Paid</v>
          </cell>
        </row>
        <row r="7986">
          <cell r="F7986" t="str">
            <v>INV-100124114432</v>
          </cell>
          <cell r="G7986" t="str">
            <v>Paid</v>
          </cell>
        </row>
        <row r="7987">
          <cell r="F7987" t="str">
            <v>INV-080224131243</v>
          </cell>
          <cell r="G7987" t="str">
            <v>Paid</v>
          </cell>
        </row>
        <row r="7988">
          <cell r="F7988" t="str">
            <v>INV-120324173036</v>
          </cell>
          <cell r="G7988" t="str">
            <v>Paid</v>
          </cell>
        </row>
        <row r="7989">
          <cell r="F7989" t="str">
            <v>INV-060424121403</v>
          </cell>
          <cell r="G7989" t="str">
            <v>Paid</v>
          </cell>
        </row>
        <row r="7990">
          <cell r="F7990" t="str">
            <v>INV-050724180841</v>
          </cell>
          <cell r="G7990" t="str">
            <v>Paid</v>
          </cell>
        </row>
        <row r="7991">
          <cell r="F7991" t="str">
            <v>INV-090524180212</v>
          </cell>
          <cell r="G7991" t="str">
            <v>Paid</v>
          </cell>
        </row>
        <row r="7992">
          <cell r="F7992" t="str">
            <v>INV-070624131748</v>
          </cell>
          <cell r="G7992" t="str">
            <v>Paid</v>
          </cell>
        </row>
        <row r="7993">
          <cell r="F7993" t="str">
            <v>INV-070824121815</v>
          </cell>
          <cell r="G7993" t="str">
            <v>Paid</v>
          </cell>
        </row>
        <row r="7994">
          <cell r="F7994" t="str">
            <v>INV-100924102939</v>
          </cell>
          <cell r="G7994" t="str">
            <v>Paid</v>
          </cell>
        </row>
        <row r="7995">
          <cell r="F7995" t="str">
            <v>INV-091024162730</v>
          </cell>
          <cell r="G7995" t="str">
            <v>Paid</v>
          </cell>
        </row>
        <row r="7996">
          <cell r="F7996" t="str">
            <v>INV-111124135413</v>
          </cell>
          <cell r="G7996" t="str">
            <v>Paid</v>
          </cell>
        </row>
        <row r="7997">
          <cell r="F7997" t="str">
            <v>INV-101224130839</v>
          </cell>
          <cell r="G7997" t="str">
            <v>Paid</v>
          </cell>
        </row>
        <row r="7998">
          <cell r="F7998" t="str">
            <v>INV-080125091112</v>
          </cell>
          <cell r="G7998" t="str">
            <v>Paid</v>
          </cell>
        </row>
        <row r="7999">
          <cell r="F7999" t="str">
            <v>INV-070225134255</v>
          </cell>
          <cell r="G7999" t="str">
            <v>Paid</v>
          </cell>
        </row>
        <row r="8000">
          <cell r="F8000" t="str">
            <v>INV-060325162130</v>
          </cell>
          <cell r="G8000" t="str">
            <v>Paid</v>
          </cell>
        </row>
        <row r="8001">
          <cell r="F8001" t="str">
            <v>INV-040425150553</v>
          </cell>
          <cell r="G8001" t="str">
            <v>Paid</v>
          </cell>
        </row>
        <row r="8002">
          <cell r="F8002" t="str">
            <v>INV-060525151221</v>
          </cell>
          <cell r="G8002" t="str">
            <v>Paid</v>
          </cell>
        </row>
        <row r="8003">
          <cell r="F8003" t="str">
            <v>INV-050625165152</v>
          </cell>
          <cell r="G8003" t="str">
            <v>Paid</v>
          </cell>
        </row>
        <row r="8004">
          <cell r="F8004" t="str">
            <v>INV-040725174732</v>
          </cell>
          <cell r="G8004" t="str">
            <v>Paid</v>
          </cell>
        </row>
        <row r="8005">
          <cell r="F8005" t="str">
            <v>INV-060825174112</v>
          </cell>
          <cell r="G8005" t="str">
            <v>Paid</v>
          </cell>
        </row>
        <row r="8006">
          <cell r="F8006" t="str">
            <v>INV-050925123644</v>
          </cell>
          <cell r="G8006" t="str">
            <v>Paid</v>
          </cell>
        </row>
        <row r="8007">
          <cell r="F8007" t="str">
            <v>INV-061025203727</v>
          </cell>
          <cell r="G8007" t="str">
            <v>Paid</v>
          </cell>
        </row>
        <row r="8008">
          <cell r="F8008" t="str">
            <v>INV-061125190214</v>
          </cell>
          <cell r="G8008" t="str">
            <v>Paid</v>
          </cell>
        </row>
        <row r="8009">
          <cell r="F8009" t="str">
            <v>INV-041225195921</v>
          </cell>
          <cell r="G8009" t="str">
            <v>Paid</v>
          </cell>
        </row>
        <row r="8010">
          <cell r="F8010" t="str">
            <v>INV-060126174346</v>
          </cell>
          <cell r="G8010" t="str">
            <v>Paid</v>
          </cell>
        </row>
        <row r="8011">
          <cell r="F8011" t="str">
            <v>INV-090226180636</v>
          </cell>
          <cell r="G8011" t="str">
            <v>Paid</v>
          </cell>
        </row>
        <row r="8012">
          <cell r="F8012" t="str">
            <v>INV-050326102046</v>
          </cell>
          <cell r="G8012" t="str">
            <v>Paid</v>
          </cell>
        </row>
        <row r="8013">
          <cell r="F8013" t="str">
            <v>INV2024-MSH-003</v>
          </cell>
          <cell r="G8013" t="str">
            <v>Paid</v>
          </cell>
        </row>
        <row r="8014">
          <cell r="F8014" t="str">
            <v>INV2024-MSH-005</v>
          </cell>
          <cell r="G8014" t="str">
            <v>Paid</v>
          </cell>
        </row>
        <row r="8015">
          <cell r="F8015" t="str">
            <v>INV2024-MSH-009</v>
          </cell>
          <cell r="G8015" t="str">
            <v>Paid</v>
          </cell>
        </row>
        <row r="8016">
          <cell r="F8016" t="str">
            <v>INV2024-MSH-011</v>
          </cell>
          <cell r="G8016" t="str">
            <v>Paid</v>
          </cell>
        </row>
        <row r="8017">
          <cell r="F8017" t="str">
            <v>INV2024-MSH-013</v>
          </cell>
          <cell r="G8017" t="str">
            <v>Paid</v>
          </cell>
        </row>
        <row r="8018">
          <cell r="F8018" t="str">
            <v>INV2025-MSH-001</v>
          </cell>
          <cell r="G8018" t="str">
            <v>Paid</v>
          </cell>
        </row>
        <row r="8019">
          <cell r="F8019" t="str">
            <v>INV2025-MSH-003</v>
          </cell>
          <cell r="G8019" t="str">
            <v>Paid</v>
          </cell>
        </row>
        <row r="8020">
          <cell r="F8020" t="str">
            <v>INV2025-MSH-002_1</v>
          </cell>
          <cell r="G8020" t="str">
            <v>Paid</v>
          </cell>
        </row>
        <row r="8021">
          <cell r="F8021" t="str">
            <v>INV2025-MSH-0032</v>
          </cell>
          <cell r="G8021" t="str">
            <v>Paid</v>
          </cell>
        </row>
        <row r="8022">
          <cell r="F8022" t="str">
            <v>INV2025-MSH-0004</v>
          </cell>
          <cell r="G8022" t="str">
            <v>Paid</v>
          </cell>
        </row>
        <row r="8023">
          <cell r="F8023" t="str">
            <v>INV2025-MSH-009</v>
          </cell>
          <cell r="G8023" t="str">
            <v>Paid</v>
          </cell>
        </row>
        <row r="8024">
          <cell r="F8024" t="str">
            <v>INV2025-MSH-008</v>
          </cell>
          <cell r="G8024" t="str">
            <v>Paid</v>
          </cell>
        </row>
        <row r="8025">
          <cell r="F8025" t="str">
            <v>INV2025-MSH-011</v>
          </cell>
          <cell r="G8025" t="str">
            <v>Outstanding</v>
          </cell>
        </row>
        <row r="8026">
          <cell r="F8026" t="str">
            <v>INV2023-MESH-001</v>
          </cell>
          <cell r="G8026" t="str">
            <v>Paid</v>
          </cell>
        </row>
        <row r="8027">
          <cell r="F8027" t="str">
            <v>INV2023-MESH-002</v>
          </cell>
          <cell r="G8027" t="str">
            <v>Paid</v>
          </cell>
        </row>
        <row r="8028">
          <cell r="F8028" t="str">
            <v>INV-131023151110</v>
          </cell>
          <cell r="G8028" t="str">
            <v>Paid</v>
          </cell>
        </row>
        <row r="8029">
          <cell r="F8029" t="str">
            <v>INV-061123173305</v>
          </cell>
          <cell r="G8029" t="str">
            <v>Paid</v>
          </cell>
        </row>
        <row r="8030">
          <cell r="F8030" t="str">
            <v>INV-121023170346</v>
          </cell>
          <cell r="G8030" t="str">
            <v>Paid</v>
          </cell>
        </row>
        <row r="8031">
          <cell r="F8031" t="str">
            <v>INV-100124092122</v>
          </cell>
          <cell r="G8031" t="str">
            <v>Paid</v>
          </cell>
        </row>
        <row r="8032">
          <cell r="F8032" t="str">
            <v>INV-100124111607</v>
          </cell>
          <cell r="G8032" t="str">
            <v>Paid</v>
          </cell>
        </row>
        <row r="8033">
          <cell r="F8033" t="str">
            <v>INV-080224135801</v>
          </cell>
          <cell r="G8033" t="str">
            <v>Paid</v>
          </cell>
        </row>
        <row r="8034">
          <cell r="F8034" t="str">
            <v>INV-120324175052</v>
          </cell>
          <cell r="G8034" t="str">
            <v>Paid</v>
          </cell>
        </row>
        <row r="8035">
          <cell r="F8035" t="str">
            <v>INV-060424125737</v>
          </cell>
          <cell r="G8035" t="str">
            <v>Paid</v>
          </cell>
        </row>
        <row r="8036">
          <cell r="F8036" t="str">
            <v>INV-050724193236</v>
          </cell>
          <cell r="G8036" t="str">
            <v>Paid</v>
          </cell>
        </row>
        <row r="8037">
          <cell r="F8037" t="str">
            <v>INV-090524183118</v>
          </cell>
          <cell r="G8037" t="str">
            <v>Paid</v>
          </cell>
        </row>
        <row r="8038">
          <cell r="F8038" t="str">
            <v>INV-070624134642</v>
          </cell>
          <cell r="G8038" t="str">
            <v>Paid</v>
          </cell>
        </row>
        <row r="8039">
          <cell r="F8039" t="str">
            <v>INV-070824141645</v>
          </cell>
          <cell r="G8039" t="str">
            <v>Paid</v>
          </cell>
        </row>
        <row r="8040">
          <cell r="F8040" t="str">
            <v>INV-100924123053</v>
          </cell>
          <cell r="G8040" t="str">
            <v>Paid</v>
          </cell>
        </row>
        <row r="8041">
          <cell r="F8041" t="str">
            <v>INV-091024181151</v>
          </cell>
          <cell r="G8041" t="str">
            <v>Paid</v>
          </cell>
        </row>
        <row r="8042">
          <cell r="F8042" t="str">
            <v>INV-111124125851</v>
          </cell>
          <cell r="G8042" t="str">
            <v>Paid</v>
          </cell>
        </row>
        <row r="8043">
          <cell r="F8043" t="str">
            <v>INV-281124102000</v>
          </cell>
          <cell r="G8043" t="str">
            <v>Paid</v>
          </cell>
        </row>
        <row r="8044">
          <cell r="F8044" t="str">
            <v xml:space="preserve">INV-281124105500 </v>
          </cell>
          <cell r="G8044" t="str">
            <v>Paid</v>
          </cell>
        </row>
        <row r="8045">
          <cell r="F8045" t="str">
            <v>INV-101224154054</v>
          </cell>
          <cell r="G8045" t="str">
            <v>Paid</v>
          </cell>
        </row>
        <row r="8046">
          <cell r="F8046" t="str">
            <v>INV-080125092955</v>
          </cell>
          <cell r="G8046" t="str">
            <v>Paid</v>
          </cell>
        </row>
        <row r="8047">
          <cell r="F8047" t="str">
            <v>INV-070225152414</v>
          </cell>
          <cell r="G8047" t="str">
            <v>Paid</v>
          </cell>
        </row>
        <row r="8048">
          <cell r="F8048" t="str">
            <v>INV-060325111358</v>
          </cell>
          <cell r="G8048" t="str">
            <v>Paid</v>
          </cell>
        </row>
        <row r="8049">
          <cell r="F8049" t="str">
            <v>INV-040425121248</v>
          </cell>
          <cell r="G8049" t="str">
            <v>Paid</v>
          </cell>
        </row>
        <row r="8050">
          <cell r="F8050" t="str">
            <v>INV-060525154620</v>
          </cell>
          <cell r="G8050" t="str">
            <v>Paid</v>
          </cell>
        </row>
        <row r="8051">
          <cell r="F8051" t="str">
            <v>INV-050625173052</v>
          </cell>
          <cell r="G8051" t="str">
            <v>Paid</v>
          </cell>
        </row>
        <row r="8052">
          <cell r="F8052" t="str">
            <v>INV-040725184548</v>
          </cell>
          <cell r="G8052" t="str">
            <v>Paid</v>
          </cell>
        </row>
        <row r="8053">
          <cell r="F8053" t="str">
            <v>INV-060825172550</v>
          </cell>
          <cell r="G8053" t="str">
            <v>Paid</v>
          </cell>
        </row>
        <row r="8054">
          <cell r="F8054" t="str">
            <v>INV-040925132249</v>
          </cell>
          <cell r="G8054" t="str">
            <v>Paid</v>
          </cell>
        </row>
        <row r="8055">
          <cell r="F8055" t="str">
            <v>INV-061025183359</v>
          </cell>
          <cell r="G8055" t="str">
            <v>Paid</v>
          </cell>
        </row>
        <row r="8056">
          <cell r="F8056" t="str">
            <v>INV-071125094233</v>
          </cell>
          <cell r="G8056" t="str">
            <v>Paid</v>
          </cell>
        </row>
        <row r="8057">
          <cell r="F8057" t="str">
            <v>INV-041225191917</v>
          </cell>
          <cell r="G8057" t="str">
            <v>Paid</v>
          </cell>
        </row>
        <row r="8058">
          <cell r="F8058" t="str">
            <v>INV-060126163207</v>
          </cell>
          <cell r="G8058" t="str">
            <v>Paid</v>
          </cell>
        </row>
        <row r="8059">
          <cell r="F8059" t="str">
            <v>INV-090226165028</v>
          </cell>
          <cell r="G8059" t="str">
            <v>Paid</v>
          </cell>
        </row>
        <row r="8060">
          <cell r="F8060" t="str">
            <v>INV-050326113715</v>
          </cell>
          <cell r="G8060" t="str">
            <v>Paid</v>
          </cell>
        </row>
        <row r="8061">
          <cell r="F8061" t="str">
            <v>INV2023-MSH-001</v>
          </cell>
          <cell r="G8061" t="str">
            <v>Paid</v>
          </cell>
        </row>
        <row r="8062">
          <cell r="F8062" t="str">
            <v>INV-131023153651</v>
          </cell>
          <cell r="G8062" t="str">
            <v>Paid</v>
          </cell>
        </row>
        <row r="8063">
          <cell r="F8063" t="str">
            <v>INV-061123181538</v>
          </cell>
          <cell r="G8063" t="str">
            <v>Paid</v>
          </cell>
        </row>
        <row r="8064">
          <cell r="F8064" t="str">
            <v>INV-121023173017</v>
          </cell>
          <cell r="G8064" t="str">
            <v>Paid</v>
          </cell>
        </row>
        <row r="8065">
          <cell r="F8065" t="str">
            <v>INV-080224105113</v>
          </cell>
          <cell r="G8065" t="str">
            <v>Paid</v>
          </cell>
        </row>
        <row r="8066">
          <cell r="F8066" t="str">
            <v>INV-120324165823</v>
          </cell>
          <cell r="G8066" t="str">
            <v>Paid</v>
          </cell>
        </row>
        <row r="8067">
          <cell r="F8067" t="str">
            <v>INV-060424123559</v>
          </cell>
          <cell r="G8067" t="str">
            <v>Paid</v>
          </cell>
        </row>
        <row r="8068">
          <cell r="F8068" t="str">
            <v>INV-050724190507</v>
          </cell>
          <cell r="G8068" t="str">
            <v>Paid</v>
          </cell>
        </row>
        <row r="8069">
          <cell r="F8069" t="str">
            <v>INV-090524173645</v>
          </cell>
          <cell r="G8069" t="str">
            <v>Paid</v>
          </cell>
        </row>
        <row r="8070">
          <cell r="F8070" t="str">
            <v>INV-070624121351</v>
          </cell>
          <cell r="G8070" t="str">
            <v>Paid</v>
          </cell>
        </row>
        <row r="8071">
          <cell r="F8071" t="str">
            <v>INV-070824134629</v>
          </cell>
          <cell r="G8071" t="str">
            <v>Paid</v>
          </cell>
        </row>
        <row r="8072">
          <cell r="F8072" t="str">
            <v>CN-INV-300724110110</v>
          </cell>
          <cell r="G8072" t="str">
            <v>Paid</v>
          </cell>
        </row>
        <row r="8073">
          <cell r="F8073" t="str">
            <v>INV-091024175741</v>
          </cell>
          <cell r="G8073" t="str">
            <v>Paid</v>
          </cell>
        </row>
        <row r="8074">
          <cell r="F8074" t="str">
            <v>INV-100924114808</v>
          </cell>
          <cell r="G8074" t="str">
            <v>Paid</v>
          </cell>
        </row>
        <row r="8075">
          <cell r="F8075" t="str">
            <v>INV-111124132901</v>
          </cell>
          <cell r="G8075" t="str">
            <v>Paid</v>
          </cell>
        </row>
        <row r="8076">
          <cell r="F8076" t="str">
            <v>INV-101224115759</v>
          </cell>
          <cell r="G8076" t="str">
            <v>Paid</v>
          </cell>
        </row>
        <row r="8077">
          <cell r="F8077" t="str">
            <v>INV-070125173643</v>
          </cell>
          <cell r="G8077" t="str">
            <v>Paid</v>
          </cell>
        </row>
        <row r="8078">
          <cell r="F8078" t="str">
            <v>INV-070225121205</v>
          </cell>
          <cell r="G8078" t="str">
            <v>Paid</v>
          </cell>
        </row>
        <row r="8079">
          <cell r="F8079" t="str">
            <v>INV-060325160400</v>
          </cell>
          <cell r="G8079" t="str">
            <v>Paid</v>
          </cell>
        </row>
        <row r="8080">
          <cell r="F8080" t="str">
            <v>INV-040425133429</v>
          </cell>
          <cell r="G8080" t="str">
            <v>Paid</v>
          </cell>
        </row>
        <row r="8081">
          <cell r="F8081" t="str">
            <v>INV-060525133013</v>
          </cell>
          <cell r="G8081" t="str">
            <v>Paid</v>
          </cell>
        </row>
        <row r="8082">
          <cell r="F8082" t="str">
            <v>INV-050625163538</v>
          </cell>
          <cell r="G8082" t="str">
            <v>Paid</v>
          </cell>
        </row>
        <row r="8083">
          <cell r="F8083" t="str">
            <v>INV-040725171408</v>
          </cell>
          <cell r="G8083" t="str">
            <v>Paid</v>
          </cell>
        </row>
        <row r="8084">
          <cell r="F8084" t="str">
            <v>INV-060825162412</v>
          </cell>
          <cell r="G8084" t="str">
            <v>Paid</v>
          </cell>
        </row>
        <row r="8085">
          <cell r="F8085" t="str">
            <v>INV-050925115924</v>
          </cell>
          <cell r="G8085" t="str">
            <v>Paid</v>
          </cell>
        </row>
        <row r="8086">
          <cell r="F8086" t="str">
            <v>INV-061025175548</v>
          </cell>
          <cell r="G8086" t="str">
            <v>Paid</v>
          </cell>
        </row>
        <row r="8087">
          <cell r="F8087" t="str">
            <v>INV-061125184155</v>
          </cell>
          <cell r="G8087" t="str">
            <v>Paid</v>
          </cell>
        </row>
        <row r="8088">
          <cell r="F8088" t="str">
            <v>INV-041225193919</v>
          </cell>
          <cell r="G8088" t="str">
            <v>Paid</v>
          </cell>
        </row>
        <row r="8089">
          <cell r="F8089" t="str">
            <v>INV-060126175432</v>
          </cell>
          <cell r="G8089" t="str">
            <v>Paid</v>
          </cell>
        </row>
        <row r="8090">
          <cell r="F8090" t="str">
            <v>INV-090226191124</v>
          </cell>
          <cell r="G8090" t="str">
            <v>Paid</v>
          </cell>
        </row>
        <row r="8091">
          <cell r="F8091" t="str">
            <v>INV-050326095906</v>
          </cell>
          <cell r="G8091" t="str">
            <v>Paid</v>
          </cell>
        </row>
        <row r="8092">
          <cell r="F8092" t="str">
            <v>INV2025-MSH-002</v>
          </cell>
          <cell r="G8092" t="str">
            <v>Paid</v>
          </cell>
        </row>
        <row r="8093">
          <cell r="F8093" t="str">
            <v>INV2023-MSH-002</v>
          </cell>
          <cell r="G8093" t="str">
            <v>Paid</v>
          </cell>
        </row>
        <row r="8094">
          <cell r="F8094" t="str">
            <v>INV2024-MSH-002</v>
          </cell>
          <cell r="G8094" t="str">
            <v>Paid</v>
          </cell>
        </row>
        <row r="8095">
          <cell r="F8095" t="str">
            <v>INV2024-MSH-004</v>
          </cell>
          <cell r="G8095" t="str">
            <v>Paid</v>
          </cell>
        </row>
        <row r="8096">
          <cell r="F8096" t="str">
            <v>INV2024-MSH-006</v>
          </cell>
          <cell r="G8096" t="str">
            <v>Paid</v>
          </cell>
        </row>
        <row r="8097">
          <cell r="F8097" t="str">
            <v>INV2024-MSH-007</v>
          </cell>
          <cell r="G8097" t="str">
            <v>Paid</v>
          </cell>
        </row>
        <row r="8098">
          <cell r="F8098" t="str">
            <v>INV2024-MSH-008</v>
          </cell>
          <cell r="G8098" t="str">
            <v>Paid</v>
          </cell>
        </row>
        <row r="8099">
          <cell r="F8099" t="str">
            <v>INV2024-MSH-010</v>
          </cell>
          <cell r="G8099" t="str">
            <v>Paid</v>
          </cell>
        </row>
        <row r="8100">
          <cell r="F8100" t="str">
            <v>INV2024-MSH-012</v>
          </cell>
          <cell r="G8100" t="str">
            <v>Paid</v>
          </cell>
        </row>
        <row r="8101">
          <cell r="F8101" t="str">
            <v>NV2025-MSH-003</v>
          </cell>
          <cell r="G8101" t="str">
            <v>Paid</v>
          </cell>
        </row>
        <row r="8102">
          <cell r="F8102" t="str">
            <v>INV2025-MSH-004</v>
          </cell>
          <cell r="G8102" t="str">
            <v>Paid</v>
          </cell>
        </row>
        <row r="8103">
          <cell r="F8103" t="str">
            <v>INV2025-MSH-005</v>
          </cell>
          <cell r="G8103" t="str">
            <v>Paid</v>
          </cell>
        </row>
        <row r="8104">
          <cell r="F8104" t="str">
            <v>INV2025-MSH-006</v>
          </cell>
          <cell r="G8104" t="str">
            <v>Paid</v>
          </cell>
        </row>
        <row r="8105">
          <cell r="F8105" t="str">
            <v>INV2025-MSH-007</v>
          </cell>
          <cell r="G8105" t="str">
            <v>Paid</v>
          </cell>
        </row>
        <row r="8106">
          <cell r="F8106" t="str">
            <v>INV-270525093252</v>
          </cell>
          <cell r="G8106" t="str">
            <v>Paid</v>
          </cell>
        </row>
        <row r="8107">
          <cell r="F8107" t="str">
            <v>INV-061125130710</v>
          </cell>
          <cell r="G8107" t="str">
            <v>Paid</v>
          </cell>
        </row>
        <row r="8108">
          <cell r="F8108" t="str">
            <v>INV-041225100652</v>
          </cell>
          <cell r="G8108" t="str">
            <v>Paid</v>
          </cell>
        </row>
        <row r="8109">
          <cell r="F8109" t="str">
            <v>INV-050126175243</v>
          </cell>
          <cell r="G8109" t="str">
            <v>Paid</v>
          </cell>
        </row>
        <row r="8110">
          <cell r="F8110" t="str">
            <v>INV-060226094811</v>
          </cell>
          <cell r="G8110" t="str">
            <v>Paid</v>
          </cell>
        </row>
        <row r="8111">
          <cell r="F8111" t="str">
            <v>INV-030326155332</v>
          </cell>
          <cell r="G8111" t="str">
            <v>Paid</v>
          </cell>
        </row>
        <row r="8112">
          <cell r="F8112" t="str">
            <v>INV-030326175829</v>
          </cell>
          <cell r="G8112" t="str">
            <v>Paid</v>
          </cell>
        </row>
        <row r="8113">
          <cell r="F8113" t="str">
            <v>INV2021-MTF-001</v>
          </cell>
          <cell r="G8113" t="str">
            <v>Paid</v>
          </cell>
        </row>
        <row r="8114">
          <cell r="F8114" t="str">
            <v>UKCARDS0006</v>
          </cell>
          <cell r="G8114" t="str">
            <v>Paid</v>
          </cell>
        </row>
        <row r="8115">
          <cell r="F8115" t="str">
            <v>EUCARDS0007</v>
          </cell>
          <cell r="G8115" t="str">
            <v>Paid</v>
          </cell>
        </row>
        <row r="8116">
          <cell r="F8116" t="str">
            <v>INV-050824114512</v>
          </cell>
          <cell r="G8116" t="str">
            <v>Paid</v>
          </cell>
        </row>
        <row r="8117">
          <cell r="F8117" t="str">
            <v>INV-050924102609</v>
          </cell>
          <cell r="G8117" t="str">
            <v>Paid</v>
          </cell>
        </row>
        <row r="8118">
          <cell r="F8118" t="str">
            <v>INV_270624132444</v>
          </cell>
          <cell r="G8118" t="str">
            <v>Paid</v>
          </cell>
        </row>
        <row r="8119">
          <cell r="F8119" t="str">
            <v>INV-031024120022</v>
          </cell>
          <cell r="G8119" t="str">
            <v>Paid</v>
          </cell>
        </row>
        <row r="8120">
          <cell r="F8120" t="str">
            <v>INV-061124185404</v>
          </cell>
          <cell r="G8120" t="str">
            <v>Paid</v>
          </cell>
        </row>
        <row r="8121">
          <cell r="F8121" t="str">
            <v>INV-041224132355</v>
          </cell>
          <cell r="G8121" t="str">
            <v>Paid</v>
          </cell>
        </row>
        <row r="8122">
          <cell r="F8122" t="str">
            <v>INV-030125162358</v>
          </cell>
          <cell r="G8122" t="str">
            <v>Paid</v>
          </cell>
        </row>
        <row r="8123">
          <cell r="F8123" t="str">
            <v>INV-050225093742</v>
          </cell>
          <cell r="G8123" t="str">
            <v>Paid</v>
          </cell>
        </row>
        <row r="8124">
          <cell r="F8124" t="str">
            <v>INV-040325190038</v>
          </cell>
          <cell r="G8124" t="str">
            <v>Paid</v>
          </cell>
        </row>
        <row r="8125">
          <cell r="F8125" t="str">
            <v>INV-030425094528</v>
          </cell>
          <cell r="G8125" t="str">
            <v>Paid</v>
          </cell>
        </row>
        <row r="8126">
          <cell r="F8126" t="str">
            <v>INV-050525132045</v>
          </cell>
          <cell r="G8126" t="str">
            <v>Paid</v>
          </cell>
        </row>
        <row r="8127">
          <cell r="F8127" t="str">
            <v>INV-040625105048</v>
          </cell>
          <cell r="G8127" t="str">
            <v>Paid</v>
          </cell>
        </row>
        <row r="8128">
          <cell r="F8128" t="str">
            <v>INV-020725175922</v>
          </cell>
          <cell r="G8128" t="str">
            <v>Paid</v>
          </cell>
        </row>
        <row r="8129">
          <cell r="F8129" t="str">
            <v>INV-051125161416</v>
          </cell>
          <cell r="G8129" t="str">
            <v>Partially Paid</v>
          </cell>
        </row>
        <row r="8130">
          <cell r="F8130" t="str">
            <v>INV-031225170417</v>
          </cell>
          <cell r="G8130" t="str">
            <v>Outstanding</v>
          </cell>
        </row>
        <row r="8131">
          <cell r="F8131" t="str">
            <v>INV-050126154823</v>
          </cell>
          <cell r="G8131" t="str">
            <v>Outstanding</v>
          </cell>
        </row>
        <row r="8132">
          <cell r="F8132" t="str">
            <v>INV-050226133127</v>
          </cell>
          <cell r="G8132" t="str">
            <v>Outstanding</v>
          </cell>
        </row>
        <row r="8133">
          <cell r="F8133" t="str">
            <v>INV-030326180323</v>
          </cell>
          <cell r="G8133" t="str">
            <v>Outstanding</v>
          </cell>
        </row>
        <row r="8134">
          <cell r="F8134" t="str">
            <v>INV-030226181855</v>
          </cell>
          <cell r="G8134" t="str">
            <v>Outstanding</v>
          </cell>
        </row>
        <row r="8135">
          <cell r="F8135" t="str">
            <v>INV-040326160006</v>
          </cell>
          <cell r="G8135" t="str">
            <v>Outstanding</v>
          </cell>
        </row>
        <row r="8136">
          <cell r="F8136" t="str">
            <v>INV-040226185603</v>
          </cell>
          <cell r="G8136" t="str">
            <v>Outstanding</v>
          </cell>
        </row>
        <row r="8137">
          <cell r="F8137" t="str">
            <v>INV-040326095350</v>
          </cell>
          <cell r="G8137" t="str">
            <v>Outstanding</v>
          </cell>
        </row>
        <row r="8138">
          <cell r="F8138" t="str">
            <v>CARDS0189</v>
          </cell>
          <cell r="G8138" t="str">
            <v>Waived Off</v>
          </cell>
        </row>
        <row r="8139">
          <cell r="F8139" t="str">
            <v>INV-051224170546</v>
          </cell>
          <cell r="G8139" t="str">
            <v>Paid</v>
          </cell>
        </row>
        <row r="8140">
          <cell r="F8140" t="str">
            <v>INV-030625193526</v>
          </cell>
          <cell r="G8140" t="str">
            <v>Paid</v>
          </cell>
        </row>
        <row r="8141">
          <cell r="F8141" t="str">
            <v>INV-300824191754</v>
          </cell>
          <cell r="G8141" t="str">
            <v>Paid</v>
          </cell>
        </row>
        <row r="8142">
          <cell r="F8142" t="str">
            <v>INV-041224155942</v>
          </cell>
          <cell r="G8142" t="str">
            <v>Paid</v>
          </cell>
        </row>
        <row r="8143">
          <cell r="F8143" t="str">
            <v>INV-040325183448</v>
          </cell>
          <cell r="G8143" t="str">
            <v>Paid</v>
          </cell>
        </row>
        <row r="8144">
          <cell r="F8144" t="str">
            <v>INV-020425185924</v>
          </cell>
          <cell r="G8144" t="str">
            <v>Paid</v>
          </cell>
        </row>
        <row r="8145">
          <cell r="F8145" t="str">
            <v>INV-041125195230</v>
          </cell>
          <cell r="G8145" t="str">
            <v>Paid</v>
          </cell>
        </row>
        <row r="8146">
          <cell r="F8146" t="str">
            <v>CARDS0187</v>
          </cell>
          <cell r="G8146" t="str">
            <v>Paid</v>
          </cell>
        </row>
        <row r="8147">
          <cell r="F8147" t="str">
            <v>CARDS0222</v>
          </cell>
          <cell r="G8147" t="str">
            <v>Paid</v>
          </cell>
        </row>
        <row r="8148">
          <cell r="F8148" t="str">
            <v>CARDS0262</v>
          </cell>
          <cell r="G8148" t="str">
            <v>Waived Off</v>
          </cell>
        </row>
        <row r="8149">
          <cell r="F8149" t="str">
            <v>INV-091122162631</v>
          </cell>
          <cell r="G8149" t="str">
            <v>Waived Off</v>
          </cell>
        </row>
        <row r="8150">
          <cell r="F8150" t="str">
            <v>INV-170223182033</v>
          </cell>
          <cell r="G8150" t="str">
            <v>Paid</v>
          </cell>
        </row>
        <row r="8151">
          <cell r="F8151" t="str">
            <v>CARDS0186</v>
          </cell>
          <cell r="G8151" t="str">
            <v>Waived Off</v>
          </cell>
        </row>
        <row r="8152">
          <cell r="F8152" t="str">
            <v>INV-020824190729</v>
          </cell>
          <cell r="G8152" t="str">
            <v>Paid</v>
          </cell>
        </row>
        <row r="8153">
          <cell r="F8153" t="str">
            <v>INV-030724174109</v>
          </cell>
          <cell r="G8153" t="str">
            <v>Paid</v>
          </cell>
        </row>
        <row r="8154">
          <cell r="F8154" t="str">
            <v>INV-031024173938</v>
          </cell>
          <cell r="G8154" t="str">
            <v>Paid</v>
          </cell>
        </row>
        <row r="8155">
          <cell r="F8155" t="str">
            <v>INV-031224175315</v>
          </cell>
          <cell r="G8155" t="str">
            <v>Paid</v>
          </cell>
        </row>
        <row r="8156">
          <cell r="F8156" t="str">
            <v>INV-040624164653</v>
          </cell>
          <cell r="G8156" t="str">
            <v>Paid</v>
          </cell>
        </row>
        <row r="8157">
          <cell r="F8157" t="str">
            <v>INV-040924152011</v>
          </cell>
          <cell r="G8157" t="str">
            <v>Paid</v>
          </cell>
        </row>
        <row r="8158">
          <cell r="F8158" t="str">
            <v>INV-030125152735</v>
          </cell>
          <cell r="G8158" t="str">
            <v>Paid</v>
          </cell>
        </row>
        <row r="8159">
          <cell r="F8159" t="str">
            <v>INV-040225173104</v>
          </cell>
          <cell r="G8159" t="str">
            <v>Paid</v>
          </cell>
        </row>
        <row r="8160">
          <cell r="F8160" t="str">
            <v>INV-040325164749</v>
          </cell>
          <cell r="G8160" t="str">
            <v>Paid</v>
          </cell>
        </row>
        <row r="8161">
          <cell r="F8161" t="str">
            <v>INV-020425175719</v>
          </cell>
          <cell r="G8161" t="str">
            <v>Paid</v>
          </cell>
        </row>
        <row r="8162">
          <cell r="F8162" t="str">
            <v>INV-020525193646</v>
          </cell>
          <cell r="G8162" t="str">
            <v>Paid</v>
          </cell>
        </row>
        <row r="8163">
          <cell r="F8163" t="str">
            <v>INV-040825164235</v>
          </cell>
          <cell r="G8163" t="str">
            <v>Paid</v>
          </cell>
        </row>
        <row r="8164">
          <cell r="F8164" t="str">
            <v>INV-020925140337</v>
          </cell>
          <cell r="G8164" t="str">
            <v>Paid</v>
          </cell>
        </row>
        <row r="8165">
          <cell r="F8165" t="str">
            <v>INV-051125165840</v>
          </cell>
          <cell r="G8165" t="str">
            <v>Paid</v>
          </cell>
        </row>
        <row r="8166">
          <cell r="F8166" t="str">
            <v>INV-021225145116</v>
          </cell>
          <cell r="G8166" t="str">
            <v>Paid</v>
          </cell>
        </row>
        <row r="8167">
          <cell r="F8167" t="str">
            <v>INV-050126171134</v>
          </cell>
          <cell r="G8167" t="str">
            <v>Paid</v>
          </cell>
        </row>
        <row r="8168">
          <cell r="F8168" t="str">
            <v>INV-050226183011</v>
          </cell>
          <cell r="G8168" t="str">
            <v>Outstanding</v>
          </cell>
        </row>
        <row r="8169">
          <cell r="F8169" t="str">
            <v>INV-030326185123</v>
          </cell>
          <cell r="G8169" t="str">
            <v>Outstanding</v>
          </cell>
        </row>
        <row r="8170">
          <cell r="F8170" t="str">
            <v>INV-061025124436</v>
          </cell>
          <cell r="G8170" t="str">
            <v>Paid</v>
          </cell>
        </row>
        <row r="8171">
          <cell r="F8171" t="str">
            <v>INV-051125172248</v>
          </cell>
          <cell r="G8171" t="str">
            <v>Paid</v>
          </cell>
        </row>
        <row r="8172">
          <cell r="F8172" t="str">
            <v>INV-021225151107</v>
          </cell>
          <cell r="G8172" t="str">
            <v>Paid</v>
          </cell>
        </row>
        <row r="8173">
          <cell r="F8173" t="str">
            <v>INV-050126173246</v>
          </cell>
          <cell r="G8173" t="str">
            <v>Paid</v>
          </cell>
        </row>
        <row r="8174">
          <cell r="F8174" t="str">
            <v>INV-050226185948</v>
          </cell>
          <cell r="G8174" t="str">
            <v>Outstanding</v>
          </cell>
        </row>
        <row r="8175">
          <cell r="F8175" t="str">
            <v>INV-030326191735</v>
          </cell>
          <cell r="G8175" t="str">
            <v>Outstanding</v>
          </cell>
        </row>
        <row r="8176">
          <cell r="F8176" t="str">
            <v>INV-290725180211</v>
          </cell>
          <cell r="G8176" t="str">
            <v>Paid</v>
          </cell>
        </row>
        <row r="8177">
          <cell r="F8177" t="str">
            <v>INV-031225181126</v>
          </cell>
          <cell r="G8177" t="str">
            <v>Net Off</v>
          </cell>
        </row>
        <row r="8178">
          <cell r="F8178" t="str">
            <v>INV-050126125120</v>
          </cell>
          <cell r="G8178" t="str">
            <v>Net Off</v>
          </cell>
        </row>
        <row r="8179">
          <cell r="F8179" t="str">
            <v>INV-050226141818</v>
          </cell>
          <cell r="G8179" t="str">
            <v>Net Off</v>
          </cell>
        </row>
        <row r="8180">
          <cell r="F8180" t="str">
            <v>CN-INV-050226141818</v>
          </cell>
          <cell r="G8180" t="str">
            <v>Net Off</v>
          </cell>
        </row>
        <row r="8181">
          <cell r="F8181" t="str">
            <v>INV-090125201011</v>
          </cell>
          <cell r="G8181" t="str">
            <v>Paid</v>
          </cell>
        </row>
        <row r="8182">
          <cell r="F8182" t="str">
            <v>INV-030425121044</v>
          </cell>
          <cell r="G8182" t="str">
            <v>Paid</v>
          </cell>
        </row>
        <row r="8183">
          <cell r="F8183" t="str">
            <v>INV2021-OMT-001</v>
          </cell>
          <cell r="G8183" t="str">
            <v>Paid</v>
          </cell>
        </row>
        <row r="8184">
          <cell r="F8184" t="str">
            <v>INV2022-OMT-002</v>
          </cell>
          <cell r="G8184" t="str">
            <v>Waived Off</v>
          </cell>
        </row>
        <row r="8185">
          <cell r="F8185" t="str">
            <v>INV2022-OMT-003</v>
          </cell>
          <cell r="G8185" t="str">
            <v>Waived Off</v>
          </cell>
        </row>
        <row r="8186">
          <cell r="F8186" t="str">
            <v>CARDS0061</v>
          </cell>
          <cell r="G8186" t="str">
            <v>Paid</v>
          </cell>
        </row>
        <row r="8187">
          <cell r="F8187" t="str">
            <v>AUCARDS0027</v>
          </cell>
          <cell r="G8187" t="str">
            <v>Paid</v>
          </cell>
        </row>
        <row r="8188">
          <cell r="F8188" t="str">
            <v>AUCARDS0028</v>
          </cell>
          <cell r="G8188" t="str">
            <v>Waived Off</v>
          </cell>
        </row>
        <row r="8189">
          <cell r="F8189" t="str">
            <v>AUCARDS0029</v>
          </cell>
          <cell r="G8189" t="str">
            <v>Waived Off</v>
          </cell>
        </row>
        <row r="8190">
          <cell r="F8190" t="str">
            <v>INV-141123142609</v>
          </cell>
          <cell r="G8190" t="str">
            <v>Paid</v>
          </cell>
        </row>
        <row r="8191">
          <cell r="F8191" t="str">
            <v>INV-110324150746</v>
          </cell>
          <cell r="G8191" t="str">
            <v>Paid</v>
          </cell>
        </row>
        <row r="8192">
          <cell r="F8192" t="str">
            <v>INV-300124144111</v>
          </cell>
          <cell r="G8192" t="str">
            <v>Paid</v>
          </cell>
        </row>
        <row r="8193">
          <cell r="F8193" t="str">
            <v>INV2021-OTS-001</v>
          </cell>
          <cell r="G8193" t="str">
            <v>Paid</v>
          </cell>
        </row>
        <row r="8194">
          <cell r="F8194" t="str">
            <v>HKCARDS0006</v>
          </cell>
          <cell r="G8194" t="str">
            <v>Paid</v>
          </cell>
        </row>
        <row r="8195">
          <cell r="F8195" t="str">
            <v>HKCARDS0012</v>
          </cell>
          <cell r="G8195" t="str">
            <v>Waived Off</v>
          </cell>
        </row>
        <row r="8196">
          <cell r="F8196" t="str">
            <v>HKCARDS0016</v>
          </cell>
          <cell r="G8196" t="str">
            <v>Paid</v>
          </cell>
        </row>
        <row r="8197">
          <cell r="F8197" t="str">
            <v>HKCARDS0022</v>
          </cell>
          <cell r="G8197" t="str">
            <v>Waived Off</v>
          </cell>
        </row>
        <row r="8198">
          <cell r="F8198" t="str">
            <v>HKCARDS0027</v>
          </cell>
          <cell r="G8198" t="str">
            <v>Waived Off</v>
          </cell>
        </row>
        <row r="8199">
          <cell r="F8199" t="str">
            <v>HKCARDS0031</v>
          </cell>
          <cell r="G8199" t="str">
            <v>Paid</v>
          </cell>
        </row>
        <row r="8200">
          <cell r="F8200" t="str">
            <v>HKCARDS0036</v>
          </cell>
          <cell r="G8200" t="str">
            <v>Waived Off</v>
          </cell>
        </row>
        <row r="8201">
          <cell r="F8201" t="str">
            <v>HKCARDS0041</v>
          </cell>
          <cell r="G8201" t="str">
            <v>Waived Off</v>
          </cell>
        </row>
        <row r="8202">
          <cell r="F8202" t="str">
            <v>HKCARDS0082</v>
          </cell>
          <cell r="G8202" t="str">
            <v>Waived Off</v>
          </cell>
        </row>
        <row r="8203">
          <cell r="F8203" t="str">
            <v>HKCARDS0087</v>
          </cell>
          <cell r="G8203" t="str">
            <v>Waived Off</v>
          </cell>
        </row>
        <row r="8204">
          <cell r="F8204" t="str">
            <v>HKCARDS0101</v>
          </cell>
          <cell r="G8204" t="str">
            <v>Waived Off</v>
          </cell>
        </row>
        <row r="8205">
          <cell r="F8205" t="str">
            <v>INV-021122115604</v>
          </cell>
          <cell r="G8205" t="str">
            <v>Waived Off</v>
          </cell>
        </row>
        <row r="8206">
          <cell r="F8206" t="str">
            <v>INV-021222033045</v>
          </cell>
          <cell r="G8206" t="str">
            <v>Waived Off</v>
          </cell>
        </row>
        <row r="8207">
          <cell r="F8207" t="str">
            <v>INV-040123004813</v>
          </cell>
          <cell r="G8207" t="str">
            <v>Waived Off</v>
          </cell>
        </row>
        <row r="8208">
          <cell r="F8208" t="str">
            <v>INV-020223024719</v>
          </cell>
          <cell r="G8208" t="str">
            <v>Waived Off</v>
          </cell>
        </row>
        <row r="8209">
          <cell r="F8209" t="str">
            <v>INV-020323012323</v>
          </cell>
          <cell r="G8209" t="str">
            <v>Waived Off</v>
          </cell>
        </row>
        <row r="8210">
          <cell r="F8210" t="str">
            <v>INV-030423231453</v>
          </cell>
          <cell r="G8210" t="str">
            <v>Waived Off</v>
          </cell>
        </row>
        <row r="8211">
          <cell r="F8211" t="str">
            <v>INV-020523185503</v>
          </cell>
          <cell r="G8211" t="str">
            <v>Waived Off</v>
          </cell>
        </row>
        <row r="8212">
          <cell r="F8212" t="str">
            <v>INV-020623191322</v>
          </cell>
          <cell r="G8212" t="str">
            <v>Waived Off</v>
          </cell>
        </row>
        <row r="8213">
          <cell r="F8213" t="str">
            <v>INV-050923165945</v>
          </cell>
          <cell r="G8213" t="str">
            <v>Paid</v>
          </cell>
        </row>
        <row r="8214">
          <cell r="F8214" t="str">
            <v>INV-051023162321</v>
          </cell>
          <cell r="G8214" t="str">
            <v>Paid</v>
          </cell>
        </row>
        <row r="8215">
          <cell r="F8215" t="str">
            <v>INV-050224162739</v>
          </cell>
          <cell r="G8215" t="str">
            <v>Paid</v>
          </cell>
        </row>
        <row r="8216">
          <cell r="F8216" t="str">
            <v>INV-020824172338</v>
          </cell>
          <cell r="G8216" t="str">
            <v>Paid</v>
          </cell>
        </row>
        <row r="8217">
          <cell r="F8217" t="str">
            <v>INV-030424165144</v>
          </cell>
          <cell r="G8217" t="str">
            <v>Paid</v>
          </cell>
        </row>
        <row r="8218">
          <cell r="F8218" t="str">
            <v>INV-050324120223</v>
          </cell>
          <cell r="G8218" t="str">
            <v>Paid</v>
          </cell>
        </row>
        <row r="8219">
          <cell r="F8219" t="str">
            <v>INV-030524105442</v>
          </cell>
          <cell r="G8219" t="str">
            <v>Paid</v>
          </cell>
        </row>
        <row r="8220">
          <cell r="F8220" t="str">
            <v>INV-030724132914</v>
          </cell>
          <cell r="G8220" t="str">
            <v>Paid</v>
          </cell>
        </row>
        <row r="8221">
          <cell r="F8221" t="str">
            <v>INV-031024122231</v>
          </cell>
          <cell r="G8221" t="str">
            <v>Paid</v>
          </cell>
        </row>
        <row r="8222">
          <cell r="F8222" t="str">
            <v>INV-031224162803</v>
          </cell>
          <cell r="G8222" t="str">
            <v>Paid</v>
          </cell>
        </row>
        <row r="8223">
          <cell r="F8223" t="str">
            <v>INV-040624110833</v>
          </cell>
          <cell r="G8223" t="str">
            <v>Paid</v>
          </cell>
        </row>
        <row r="8224">
          <cell r="F8224" t="str">
            <v>INV-040924102915</v>
          </cell>
          <cell r="G8224" t="str">
            <v>Paid</v>
          </cell>
        </row>
        <row r="8225">
          <cell r="F8225" t="str">
            <v>INV-051124174553</v>
          </cell>
          <cell r="G8225" t="str">
            <v>Paid</v>
          </cell>
        </row>
        <row r="8226">
          <cell r="F8226" t="str">
            <v>INV-060125102916</v>
          </cell>
          <cell r="G8226" t="str">
            <v>Paid</v>
          </cell>
        </row>
        <row r="8227">
          <cell r="F8227" t="str">
            <v>INV-040225150417</v>
          </cell>
          <cell r="G8227" t="str">
            <v>Paid</v>
          </cell>
        </row>
        <row r="8228">
          <cell r="F8228" t="str">
            <v>INV-040325140346</v>
          </cell>
          <cell r="G8228" t="str">
            <v>Paid</v>
          </cell>
        </row>
        <row r="8229">
          <cell r="F8229" t="str">
            <v>INV-020425155216</v>
          </cell>
          <cell r="G8229" t="str">
            <v>Paid</v>
          </cell>
        </row>
        <row r="8230">
          <cell r="F8230" t="str">
            <v>INV-020525180322</v>
          </cell>
          <cell r="G8230" t="str">
            <v>Paid</v>
          </cell>
        </row>
        <row r="8231">
          <cell r="F8231" t="str">
            <v>INV-030625133343</v>
          </cell>
          <cell r="G8231" t="str">
            <v>Paid</v>
          </cell>
        </row>
        <row r="8232">
          <cell r="F8232" t="str">
            <v>INV-020725162356</v>
          </cell>
          <cell r="G8232" t="str">
            <v>Paid</v>
          </cell>
        </row>
        <row r="8233">
          <cell r="F8233" t="str">
            <v>INV-040825122824</v>
          </cell>
          <cell r="G8233" t="str">
            <v>Paid</v>
          </cell>
        </row>
        <row r="8234">
          <cell r="F8234" t="str">
            <v>INV-020925114122</v>
          </cell>
          <cell r="G8234" t="str">
            <v>Paid</v>
          </cell>
        </row>
        <row r="8235">
          <cell r="F8235" t="str">
            <v>INV-021025111433</v>
          </cell>
          <cell r="G8235" t="str">
            <v>Paid</v>
          </cell>
        </row>
        <row r="8236">
          <cell r="F8236" t="str">
            <v>INV-031125162800</v>
          </cell>
          <cell r="G8236" t="str">
            <v>Paid</v>
          </cell>
        </row>
        <row r="8237">
          <cell r="F8237" t="str">
            <v>INV-021225123812</v>
          </cell>
          <cell r="G8237" t="str">
            <v>Paid</v>
          </cell>
        </row>
        <row r="8238">
          <cell r="F8238" t="str">
            <v>INV-050126094311</v>
          </cell>
          <cell r="G8238" t="str">
            <v>Paid</v>
          </cell>
        </row>
        <row r="8239">
          <cell r="F8239" t="str">
            <v>INV-031123163901</v>
          </cell>
          <cell r="G8239" t="str">
            <v>Paid</v>
          </cell>
        </row>
        <row r="8240">
          <cell r="F8240" t="str">
            <v>INV-041223154430</v>
          </cell>
          <cell r="G8240" t="str">
            <v>Paid</v>
          </cell>
        </row>
        <row r="8241">
          <cell r="F8241" t="str">
            <v>INV-040124144950</v>
          </cell>
          <cell r="G8241" t="str">
            <v>Paid</v>
          </cell>
        </row>
        <row r="8242">
          <cell r="F8242" t="str">
            <v>INV-130325121439</v>
          </cell>
          <cell r="G8242" t="str">
            <v>Paid</v>
          </cell>
        </row>
        <row r="8243">
          <cell r="F8243" t="str">
            <v>INV-020925195759</v>
          </cell>
          <cell r="G8243" t="str">
            <v>Paid</v>
          </cell>
        </row>
        <row r="8244">
          <cell r="F8244" t="str">
            <v>INV-051125121854</v>
          </cell>
          <cell r="G8244" t="str">
            <v>Paid</v>
          </cell>
        </row>
        <row r="8245">
          <cell r="F8245" t="str">
            <v>INV-031225101547</v>
          </cell>
          <cell r="G8245" t="str">
            <v>Paid</v>
          </cell>
        </row>
        <row r="8246">
          <cell r="F8246" t="str">
            <v>INV-020126191644</v>
          </cell>
          <cell r="G8246" t="str">
            <v>Paid</v>
          </cell>
        </row>
        <row r="8247">
          <cell r="F8247" t="str">
            <v>INV-040226193524</v>
          </cell>
          <cell r="G8247" t="str">
            <v>Paid</v>
          </cell>
        </row>
        <row r="8248">
          <cell r="F8248" t="str">
            <v>INV-030326173023</v>
          </cell>
          <cell r="G8248" t="str">
            <v>Paid</v>
          </cell>
        </row>
        <row r="8249">
          <cell r="F8249" t="str">
            <v>INV-031025153843</v>
          </cell>
          <cell r="G8249" t="str">
            <v>Paid</v>
          </cell>
        </row>
        <row r="8250">
          <cell r="F8250" t="str">
            <v>INV2021-OFS-001</v>
          </cell>
          <cell r="G8250" t="str">
            <v>Paid</v>
          </cell>
        </row>
        <row r="8251">
          <cell r="F8251" t="str">
            <v>INV-050325155140</v>
          </cell>
          <cell r="G8251" t="str">
            <v>Paid</v>
          </cell>
        </row>
        <row r="8252">
          <cell r="F8252" t="str">
            <v>INV-030425172428</v>
          </cell>
          <cell r="G8252" t="str">
            <v>Paid</v>
          </cell>
        </row>
        <row r="8253">
          <cell r="F8253" t="str">
            <v>INV-060525133429</v>
          </cell>
          <cell r="G8253" t="str">
            <v>Paid</v>
          </cell>
        </row>
        <row r="8254">
          <cell r="F8254" t="str">
            <v>INV-040625124629</v>
          </cell>
          <cell r="G8254" t="str">
            <v>Paid</v>
          </cell>
        </row>
        <row r="8255">
          <cell r="F8255" t="str">
            <v>INV-040725130449</v>
          </cell>
          <cell r="G8255" t="str">
            <v>Paid</v>
          </cell>
        </row>
        <row r="8256">
          <cell r="F8256" t="str">
            <v>INV-040825181331</v>
          </cell>
          <cell r="G8256" t="str">
            <v>Paid</v>
          </cell>
        </row>
        <row r="8257">
          <cell r="F8257" t="str">
            <v>INV-020925180037</v>
          </cell>
          <cell r="G8257" t="str">
            <v>Paid</v>
          </cell>
        </row>
        <row r="8258">
          <cell r="F8258" t="str">
            <v>INV-031025150547</v>
          </cell>
          <cell r="G8258" t="str">
            <v>Paid</v>
          </cell>
        </row>
        <row r="8259">
          <cell r="F8259" t="str">
            <v>INV-051125115126</v>
          </cell>
          <cell r="G8259" t="str">
            <v>Paid</v>
          </cell>
        </row>
        <row r="8260">
          <cell r="F8260" t="str">
            <v>INV-021225200950</v>
          </cell>
          <cell r="G8260" t="str">
            <v>Paid</v>
          </cell>
        </row>
        <row r="8261">
          <cell r="F8261" t="str">
            <v>INV-020126170419</v>
          </cell>
          <cell r="G8261" t="str">
            <v>Paid</v>
          </cell>
        </row>
        <row r="8262">
          <cell r="F8262" t="str">
            <v>INV-040226182833</v>
          </cell>
          <cell r="G8262" t="str">
            <v>Paid</v>
          </cell>
        </row>
        <row r="8263">
          <cell r="F8263" t="str">
            <v>INV-040326121311</v>
          </cell>
          <cell r="G8263" t="str">
            <v>Paid</v>
          </cell>
        </row>
        <row r="8264">
          <cell r="F8264" t="str">
            <v>INV-051023190101</v>
          </cell>
          <cell r="G8264" t="str">
            <v>Paid</v>
          </cell>
        </row>
        <row r="8265">
          <cell r="F8265" t="str">
            <v>INV-200923101852</v>
          </cell>
          <cell r="G8265" t="str">
            <v>Paid</v>
          </cell>
        </row>
        <row r="8266">
          <cell r="F8266" t="str">
            <v>INV-061123111856</v>
          </cell>
          <cell r="G8266" t="str">
            <v>Paid</v>
          </cell>
        </row>
        <row r="8267">
          <cell r="F8267" t="str">
            <v>CR-INV-051023190101</v>
          </cell>
          <cell r="G8267" t="str">
            <v>Paid</v>
          </cell>
        </row>
        <row r="8268">
          <cell r="F8268" t="str">
            <v>CR-INV-061123111856</v>
          </cell>
          <cell r="G8268" t="str">
            <v>Paid</v>
          </cell>
        </row>
        <row r="8269">
          <cell r="F8269" t="str">
            <v>CR-INV-150124121427</v>
          </cell>
          <cell r="G8269" t="str">
            <v>Paid</v>
          </cell>
        </row>
        <row r="8270">
          <cell r="F8270" t="str">
            <v>CR-INV-150124150521</v>
          </cell>
          <cell r="G8270" t="str">
            <v>Paid</v>
          </cell>
        </row>
        <row r="8271">
          <cell r="F8271" t="str">
            <v>CR-INV-150124151521</v>
          </cell>
          <cell r="G8271" t="str">
            <v>Paid</v>
          </cell>
        </row>
        <row r="8272">
          <cell r="F8272" t="str">
            <v>CR-INV-150124155001</v>
          </cell>
          <cell r="G8272" t="str">
            <v>Paid</v>
          </cell>
        </row>
        <row r="8273">
          <cell r="F8273" t="str">
            <v>CR-INV-150124505301</v>
          </cell>
          <cell r="G8273" t="str">
            <v>Paid</v>
          </cell>
        </row>
        <row r="8274">
          <cell r="F8274" t="str">
            <v>INV-050224180659</v>
          </cell>
          <cell r="G8274" t="str">
            <v>Paid</v>
          </cell>
        </row>
        <row r="8275">
          <cell r="F8275" t="str">
            <v>CR-INV-050224180659</v>
          </cell>
          <cell r="G8275" t="str">
            <v>Paid</v>
          </cell>
        </row>
        <row r="8276">
          <cell r="F8276" t="str">
            <v>CR-SG-OWLPAY-05/2023</v>
          </cell>
          <cell r="G8276" t="str">
            <v>Paid</v>
          </cell>
        </row>
        <row r="8277">
          <cell r="F8277" t="str">
            <v>INV-050324175221</v>
          </cell>
          <cell r="G8277" t="str">
            <v>Paid</v>
          </cell>
        </row>
        <row r="8278">
          <cell r="F8278" t="str">
            <v>INV-030524175645</v>
          </cell>
          <cell r="G8278" t="str">
            <v>Paid</v>
          </cell>
        </row>
        <row r="8279">
          <cell r="F8279" t="str">
            <v>INV-030824123452</v>
          </cell>
          <cell r="G8279" t="str">
            <v>Paid</v>
          </cell>
        </row>
        <row r="8280">
          <cell r="F8280" t="str">
            <v>INV-031024170832</v>
          </cell>
          <cell r="G8280" t="str">
            <v>Paid</v>
          </cell>
        </row>
        <row r="8281">
          <cell r="F8281" t="str">
            <v>INV-040424152503</v>
          </cell>
          <cell r="G8281" t="str">
            <v>Paid</v>
          </cell>
        </row>
        <row r="8282">
          <cell r="F8282" t="str">
            <v>INV-040624130505</v>
          </cell>
          <cell r="G8282" t="str">
            <v>Paid</v>
          </cell>
        </row>
        <row r="8283">
          <cell r="F8283" t="str">
            <v>INV-040724140052</v>
          </cell>
          <cell r="G8283" t="str">
            <v>Paid</v>
          </cell>
        </row>
        <row r="8284">
          <cell r="F8284" t="str">
            <v>INV-040924155927</v>
          </cell>
          <cell r="G8284" t="str">
            <v>Paid</v>
          </cell>
        </row>
        <row r="8285">
          <cell r="F8285" t="str">
            <v>CR-INV-040624130505</v>
          </cell>
          <cell r="G8285" t="str">
            <v>Paid</v>
          </cell>
        </row>
        <row r="8286">
          <cell r="F8286" t="str">
            <v>INV-061124124812</v>
          </cell>
          <cell r="G8286" t="str">
            <v>Paid</v>
          </cell>
        </row>
        <row r="8287">
          <cell r="F8287" t="str">
            <v>CR-INV-091224110414</v>
          </cell>
          <cell r="G8287" t="str">
            <v>Paid</v>
          </cell>
        </row>
        <row r="8288">
          <cell r="F8288" t="str">
            <v>INV-091224110414</v>
          </cell>
          <cell r="G8288" t="str">
            <v>Paid</v>
          </cell>
        </row>
        <row r="8289">
          <cell r="F8289" t="str">
            <v>CR-INV-040125115901</v>
          </cell>
          <cell r="G8289" t="str">
            <v>Paid</v>
          </cell>
        </row>
        <row r="8290">
          <cell r="F8290" t="str">
            <v>INV-040125115901</v>
          </cell>
          <cell r="G8290" t="str">
            <v>Paid</v>
          </cell>
        </row>
        <row r="8291">
          <cell r="F8291" t="str">
            <v>INV-050225151340</v>
          </cell>
          <cell r="G8291" t="str">
            <v>Paid</v>
          </cell>
        </row>
        <row r="8292">
          <cell r="F8292" t="str">
            <v>CR-INV-050225151340</v>
          </cell>
          <cell r="G8292" t="str">
            <v>Paid</v>
          </cell>
        </row>
        <row r="8293">
          <cell r="F8293" t="str">
            <v>INV-050325120318</v>
          </cell>
          <cell r="G8293" t="str">
            <v>Paid</v>
          </cell>
        </row>
        <row r="8294">
          <cell r="F8294" t="str">
            <v>CR-INV-050325120318</v>
          </cell>
          <cell r="G8294" t="str">
            <v>Paid</v>
          </cell>
        </row>
        <row r="8295">
          <cell r="F8295" t="str">
            <v>INV-030425170433</v>
          </cell>
          <cell r="G8295" t="str">
            <v>Paid</v>
          </cell>
        </row>
        <row r="8296">
          <cell r="F8296" t="str">
            <v>CR-INV-030425170433</v>
          </cell>
          <cell r="G8296" t="str">
            <v>Paid</v>
          </cell>
        </row>
        <row r="8297">
          <cell r="F8297" t="str">
            <v>INV-050525194422</v>
          </cell>
          <cell r="G8297" t="str">
            <v>Paid</v>
          </cell>
        </row>
        <row r="8298">
          <cell r="F8298" t="str">
            <v>CR-INV-040625154146</v>
          </cell>
          <cell r="G8298" t="str">
            <v>Paid</v>
          </cell>
        </row>
        <row r="8299">
          <cell r="F8299" t="str">
            <v>INV-040625154146</v>
          </cell>
          <cell r="G8299" t="str">
            <v>Paid</v>
          </cell>
        </row>
        <row r="8300">
          <cell r="F8300" t="str">
            <v>CR-INV-040725123613</v>
          </cell>
          <cell r="G8300" t="str">
            <v>Paid</v>
          </cell>
        </row>
        <row r="8301">
          <cell r="F8301" t="str">
            <v>INV-040725123613</v>
          </cell>
          <cell r="G8301" t="str">
            <v>Paid</v>
          </cell>
        </row>
        <row r="8302">
          <cell r="F8302" t="str">
            <v>CR-INV-050825185346</v>
          </cell>
          <cell r="G8302" t="str">
            <v>Paid</v>
          </cell>
        </row>
        <row r="8303">
          <cell r="F8303" t="str">
            <v>INV-050825185346</v>
          </cell>
          <cell r="G8303" t="str">
            <v>Paid</v>
          </cell>
        </row>
        <row r="8304">
          <cell r="F8304" t="str">
            <v>INV-030925111417</v>
          </cell>
          <cell r="G8304" t="str">
            <v>Paid</v>
          </cell>
        </row>
        <row r="8305">
          <cell r="F8305" t="str">
            <v>CR-INV-021025185214</v>
          </cell>
          <cell r="G8305" t="str">
            <v>Paid</v>
          </cell>
        </row>
        <row r="8306">
          <cell r="F8306" t="str">
            <v>INV-021025185214</v>
          </cell>
          <cell r="G8306" t="str">
            <v>Paid</v>
          </cell>
        </row>
        <row r="8307">
          <cell r="F8307" t="str">
            <v>CR-INV-061125173257</v>
          </cell>
          <cell r="G8307" t="str">
            <v>Paid</v>
          </cell>
        </row>
        <row r="8308">
          <cell r="F8308" t="str">
            <v>INV-061125173257</v>
          </cell>
          <cell r="G8308" t="str">
            <v>Paid</v>
          </cell>
        </row>
        <row r="8309">
          <cell r="F8309" t="str">
            <v>CR-INV-021225194905</v>
          </cell>
          <cell r="G8309" t="str">
            <v>Paid</v>
          </cell>
        </row>
        <row r="8310">
          <cell r="F8310" t="str">
            <v>INV-021225194905</v>
          </cell>
          <cell r="G8310" t="str">
            <v>Paid</v>
          </cell>
        </row>
        <row r="8311">
          <cell r="F8311" t="str">
            <v>CR-INV-050126173313</v>
          </cell>
          <cell r="G8311" t="str">
            <v>Paid</v>
          </cell>
        </row>
        <row r="8312">
          <cell r="F8312" t="str">
            <v>INV-050126173313</v>
          </cell>
          <cell r="G8312" t="str">
            <v>Paid</v>
          </cell>
        </row>
        <row r="8313">
          <cell r="F8313" t="str">
            <v>CR-INV-040226130240</v>
          </cell>
          <cell r="G8313" t="str">
            <v>Paid</v>
          </cell>
        </row>
        <row r="8314">
          <cell r="F8314" t="str">
            <v>INV-040226130240</v>
          </cell>
          <cell r="G8314" t="str">
            <v>Paid</v>
          </cell>
        </row>
        <row r="8315">
          <cell r="F8315" t="str">
            <v>CR-INV-050326102047</v>
          </cell>
          <cell r="G8315" t="str">
            <v>Paid</v>
          </cell>
        </row>
        <row r="8316">
          <cell r="F8316" t="str">
            <v>INV-050326102047</v>
          </cell>
          <cell r="G8316" t="str">
            <v>Paid</v>
          </cell>
        </row>
        <row r="8317">
          <cell r="F8317" t="str">
            <v>INV-150124121427</v>
          </cell>
          <cell r="G8317" t="str">
            <v>Paid</v>
          </cell>
        </row>
        <row r="8318">
          <cell r="F8318" t="str">
            <v>INV-150124150521</v>
          </cell>
          <cell r="G8318" t="str">
            <v>Paid</v>
          </cell>
        </row>
        <row r="8319">
          <cell r="F8319" t="str">
            <v>INV-150124151521</v>
          </cell>
          <cell r="G8319" t="str">
            <v>Paid</v>
          </cell>
        </row>
        <row r="8320">
          <cell r="F8320" t="str">
            <v>CR-INV-050324175221</v>
          </cell>
          <cell r="G8320" t="str">
            <v>Paid</v>
          </cell>
        </row>
        <row r="8321">
          <cell r="F8321" t="str">
            <v>CR-INV-040424152503</v>
          </cell>
          <cell r="G8321" t="str">
            <v>Paid</v>
          </cell>
        </row>
        <row r="8322">
          <cell r="F8322" t="str">
            <v>CR-INV-030524175645</v>
          </cell>
          <cell r="G8322" t="str">
            <v>Paid</v>
          </cell>
        </row>
        <row r="8323">
          <cell r="F8323" t="str">
            <v>CR-INV-040724140052</v>
          </cell>
          <cell r="G8323" t="str">
            <v>Paid</v>
          </cell>
        </row>
        <row r="8324">
          <cell r="F8324" t="str">
            <v>CR-INV-030824123452</v>
          </cell>
          <cell r="G8324" t="str">
            <v>Paid</v>
          </cell>
        </row>
        <row r="8325">
          <cell r="F8325" t="str">
            <v>CR-INV-040924155927</v>
          </cell>
          <cell r="G8325" t="str">
            <v>Paid</v>
          </cell>
        </row>
        <row r="8326">
          <cell r="F8326" t="str">
            <v>CR-INV-031024170832</v>
          </cell>
          <cell r="G8326" t="str">
            <v>Paid</v>
          </cell>
        </row>
        <row r="8327">
          <cell r="F8327" t="str">
            <v>CR-INV-061124124812</v>
          </cell>
          <cell r="G8327" t="str">
            <v>Paid</v>
          </cell>
        </row>
        <row r="8328">
          <cell r="F8328" t="str">
            <v>CR-INV-050525194422</v>
          </cell>
          <cell r="G8328" t="str">
            <v>Paid</v>
          </cell>
        </row>
        <row r="8329">
          <cell r="F8329" t="str">
            <v>CR-INV-030925111417</v>
          </cell>
          <cell r="G8329" t="str">
            <v>Paid</v>
          </cell>
        </row>
        <row r="8330">
          <cell r="F8330" t="str">
            <v>INV-310325174618</v>
          </cell>
          <cell r="G8330" t="str">
            <v>Paid</v>
          </cell>
        </row>
        <row r="8331">
          <cell r="F8331" t="str">
            <v>INV-030725182921</v>
          </cell>
          <cell r="G8331" t="str">
            <v>Paid</v>
          </cell>
        </row>
        <row r="8332">
          <cell r="F8332" t="str">
            <v>CN-INV-110724162541</v>
          </cell>
          <cell r="G8332" t="str">
            <v>Paid</v>
          </cell>
        </row>
        <row r="8333">
          <cell r="F8333" t="str">
            <v>CARDS0055</v>
          </cell>
          <cell r="G8333" t="str">
            <v>Paid</v>
          </cell>
        </row>
        <row r="8334">
          <cell r="F8334" t="str">
            <v>CNCARDS0002</v>
          </cell>
          <cell r="G8334" t="str">
            <v>Paid</v>
          </cell>
        </row>
        <row r="8335">
          <cell r="F8335" t="str">
            <v>CARDS0208</v>
          </cell>
          <cell r="G8335" t="str">
            <v>Paid</v>
          </cell>
        </row>
        <row r="8336">
          <cell r="F8336" t="str">
            <v>CARDS0242</v>
          </cell>
          <cell r="G8336" t="str">
            <v>Paid</v>
          </cell>
        </row>
        <row r="8337">
          <cell r="F8337" t="str">
            <v>CARDS0255</v>
          </cell>
          <cell r="G8337" t="str">
            <v>Paid</v>
          </cell>
        </row>
        <row r="8338">
          <cell r="F8338" t="str">
            <v>CARDS0277</v>
          </cell>
          <cell r="G8338" t="str">
            <v>Paid</v>
          </cell>
        </row>
        <row r="8339">
          <cell r="F8339" t="str">
            <v>CARDS0295</v>
          </cell>
          <cell r="G8339" t="str">
            <v>Paid</v>
          </cell>
        </row>
        <row r="8340">
          <cell r="F8340" t="str">
            <v>CARDS0312</v>
          </cell>
          <cell r="G8340" t="str">
            <v>Paid</v>
          </cell>
        </row>
        <row r="8341">
          <cell r="F8341" t="str">
            <v>CARDS0326</v>
          </cell>
          <cell r="G8341" t="str">
            <v>Paid</v>
          </cell>
        </row>
        <row r="8342">
          <cell r="F8342" t="str">
            <v>CARDS0339</v>
          </cell>
          <cell r="G8342" t="str">
            <v>Paid</v>
          </cell>
        </row>
        <row r="8343">
          <cell r="F8343" t="str">
            <v>INV-021122044022</v>
          </cell>
          <cell r="G8343" t="str">
            <v>Paid</v>
          </cell>
        </row>
        <row r="8344">
          <cell r="F8344" t="str">
            <v>INV-021222000623</v>
          </cell>
          <cell r="G8344" t="str">
            <v>Paid</v>
          </cell>
        </row>
        <row r="8345">
          <cell r="F8345" t="str">
            <v>INV-030123222042</v>
          </cell>
          <cell r="G8345" t="str">
            <v>Paid</v>
          </cell>
        </row>
        <row r="8346">
          <cell r="F8346" t="str">
            <v>INV-020223015907</v>
          </cell>
          <cell r="G8346" t="str">
            <v>Paid</v>
          </cell>
        </row>
        <row r="8347">
          <cell r="F8347" t="str">
            <v>INV-020323004759</v>
          </cell>
          <cell r="G8347" t="str">
            <v>Paid</v>
          </cell>
        </row>
        <row r="8348">
          <cell r="F8348" t="str">
            <v>INV-030423162424</v>
          </cell>
          <cell r="G8348" t="str">
            <v>Paid</v>
          </cell>
        </row>
        <row r="8349">
          <cell r="F8349" t="str">
            <v>INV-040923143306</v>
          </cell>
          <cell r="G8349" t="str">
            <v>Paid</v>
          </cell>
        </row>
        <row r="8350">
          <cell r="F8350" t="str">
            <v>INV-050523184711</v>
          </cell>
          <cell r="G8350" t="str">
            <v>Paid</v>
          </cell>
        </row>
        <row r="8351">
          <cell r="F8351" t="str">
            <v>INV-051023100429</v>
          </cell>
          <cell r="G8351" t="str">
            <v>Paid</v>
          </cell>
        </row>
        <row r="8352">
          <cell r="F8352" t="str">
            <v>INV-050623103828</v>
          </cell>
          <cell r="G8352" t="str">
            <v>Paid</v>
          </cell>
        </row>
        <row r="8353">
          <cell r="F8353" t="str">
            <v>INV-030723181549</v>
          </cell>
          <cell r="G8353" t="str">
            <v>Paid</v>
          </cell>
        </row>
        <row r="8354">
          <cell r="F8354" t="str">
            <v>INV-020823145230</v>
          </cell>
          <cell r="G8354" t="str">
            <v>Paid</v>
          </cell>
        </row>
        <row r="8355">
          <cell r="F8355" t="str">
            <v>UKCARDS0007</v>
          </cell>
          <cell r="G8355" t="str">
            <v>Paid</v>
          </cell>
        </row>
        <row r="8356">
          <cell r="F8356" t="str">
            <v>UKCARDS0008</v>
          </cell>
          <cell r="G8356" t="str">
            <v>Waived Off</v>
          </cell>
        </row>
        <row r="8357">
          <cell r="F8357" t="str">
            <v>EUCARDS0004</v>
          </cell>
          <cell r="G8357" t="str">
            <v>Paid</v>
          </cell>
        </row>
        <row r="8358">
          <cell r="F8358" t="str">
            <v>EUCARDS0008</v>
          </cell>
          <cell r="G8358" t="str">
            <v>Paid</v>
          </cell>
        </row>
        <row r="8359">
          <cell r="F8359" t="str">
            <v>EUCARDS0012</v>
          </cell>
          <cell r="G8359" t="str">
            <v>Waived Off</v>
          </cell>
        </row>
        <row r="8360">
          <cell r="F8360" t="str">
            <v>INV-020323233333</v>
          </cell>
          <cell r="G8360" t="str">
            <v>Paid</v>
          </cell>
        </row>
        <row r="8361">
          <cell r="F8361" t="str">
            <v>INV-040423011524</v>
          </cell>
          <cell r="G8361" t="str">
            <v>Paid</v>
          </cell>
        </row>
        <row r="8362">
          <cell r="F8362" t="str">
            <v>INV-040923163350</v>
          </cell>
          <cell r="G8362" t="str">
            <v>Waived Off</v>
          </cell>
        </row>
        <row r="8363">
          <cell r="F8363" t="str">
            <v>INV030523032335</v>
          </cell>
          <cell r="G8363" t="str">
            <v>Paid</v>
          </cell>
        </row>
        <row r="8364">
          <cell r="F8364" t="str">
            <v>INV-050623175025</v>
          </cell>
          <cell r="G8364" t="str">
            <v>Paid</v>
          </cell>
        </row>
        <row r="8365">
          <cell r="F8365" t="str">
            <v>INV-030723182619</v>
          </cell>
          <cell r="G8365" t="str">
            <v>Waived Off</v>
          </cell>
        </row>
        <row r="8366">
          <cell r="F8366" t="str">
            <v>INV-020823154744</v>
          </cell>
          <cell r="G8366" t="str">
            <v>Waived Off</v>
          </cell>
        </row>
        <row r="8367">
          <cell r="F8367" t="str">
            <v>INV-270226135603</v>
          </cell>
          <cell r="G8367" t="str">
            <v>Paid</v>
          </cell>
        </row>
        <row r="8368">
          <cell r="F8368" t="str">
            <v>INV-150324162545</v>
          </cell>
          <cell r="G8368" t="str">
            <v>Paid</v>
          </cell>
        </row>
        <row r="8369">
          <cell r="F8369" t="str">
            <v>INV-040424122943</v>
          </cell>
          <cell r="G8369" t="str">
            <v>Paid</v>
          </cell>
        </row>
        <row r="8370">
          <cell r="F8370" t="str">
            <v>INV-040624141049</v>
          </cell>
          <cell r="G8370" t="str">
            <v>Paid</v>
          </cell>
        </row>
        <row r="8371">
          <cell r="F8371" t="str">
            <v>INV-060524182854</v>
          </cell>
          <cell r="G8371" t="str">
            <v>Paid</v>
          </cell>
        </row>
        <row r="8372">
          <cell r="F8372" t="str">
            <v>CN-INV-220524172647</v>
          </cell>
          <cell r="G8372" t="str">
            <v>Paid</v>
          </cell>
        </row>
        <row r="8373">
          <cell r="F8373" t="str">
            <v>CN-INV-040624141049</v>
          </cell>
          <cell r="G8373" t="str">
            <v>Paid</v>
          </cell>
        </row>
        <row r="8374">
          <cell r="F8374" t="str">
            <v>INV-070425194334</v>
          </cell>
          <cell r="G8374" t="str">
            <v>Paid</v>
          </cell>
        </row>
        <row r="8375">
          <cell r="F8375" t="str">
            <v>INV-050825164714</v>
          </cell>
          <cell r="G8375" t="str">
            <v>Paid</v>
          </cell>
        </row>
        <row r="8376">
          <cell r="F8376" t="str">
            <v>INV-030925120440</v>
          </cell>
          <cell r="G8376" t="str">
            <v>Paid</v>
          </cell>
        </row>
        <row r="8377">
          <cell r="F8377" t="str">
            <v>INV-031025112203</v>
          </cell>
          <cell r="G8377" t="str">
            <v>Paid</v>
          </cell>
        </row>
        <row r="8378">
          <cell r="F8378" t="str">
            <v>INV-041125183447</v>
          </cell>
          <cell r="G8378" t="str">
            <v>Paid</v>
          </cell>
        </row>
        <row r="8379">
          <cell r="F8379" t="str">
            <v>INV-031225165505</v>
          </cell>
          <cell r="G8379" t="str">
            <v>Paid</v>
          </cell>
        </row>
        <row r="8380">
          <cell r="F8380" t="str">
            <v>INV-050126121628</v>
          </cell>
          <cell r="G8380" t="str">
            <v>Paid</v>
          </cell>
        </row>
        <row r="8381">
          <cell r="F8381" t="str">
            <v>INV-030326190042</v>
          </cell>
          <cell r="G8381" t="str">
            <v>Paid</v>
          </cell>
        </row>
        <row r="8382">
          <cell r="F8382" t="str">
            <v>EUCARDS0001</v>
          </cell>
          <cell r="G8382" t="str">
            <v>Waived Off</v>
          </cell>
        </row>
        <row r="8383">
          <cell r="F8383" t="str">
            <v>CARDS0010</v>
          </cell>
          <cell r="G8383" t="str">
            <v>Paid</v>
          </cell>
        </row>
        <row r="8384">
          <cell r="F8384" t="str">
            <v>CARDS0021</v>
          </cell>
          <cell r="G8384" t="str">
            <v>Paid</v>
          </cell>
        </row>
        <row r="8385">
          <cell r="F8385" t="str">
            <v>CARDS0035</v>
          </cell>
          <cell r="G8385" t="str">
            <v>Paid</v>
          </cell>
        </row>
        <row r="8386">
          <cell r="F8386" t="str">
            <v>CARDS0051</v>
          </cell>
          <cell r="G8386" t="str">
            <v>Paid</v>
          </cell>
        </row>
        <row r="8387">
          <cell r="F8387" t="str">
            <v>CARDS0073</v>
          </cell>
          <cell r="G8387" t="str">
            <v>Paid</v>
          </cell>
        </row>
        <row r="8388">
          <cell r="F8388" t="str">
            <v>CARDS0086</v>
          </cell>
          <cell r="G8388" t="str">
            <v>Paid</v>
          </cell>
        </row>
        <row r="8389">
          <cell r="F8389" t="str">
            <v>CARDS0103</v>
          </cell>
          <cell r="G8389" t="str">
            <v>Paid</v>
          </cell>
        </row>
        <row r="8390">
          <cell r="F8390" t="str">
            <v>CARDS0122</v>
          </cell>
          <cell r="G8390" t="str">
            <v>Paid</v>
          </cell>
        </row>
        <row r="8391">
          <cell r="F8391" t="str">
            <v>CARDS0140</v>
          </cell>
          <cell r="G8391" t="str">
            <v>Paid</v>
          </cell>
        </row>
        <row r="8392">
          <cell r="F8392" t="str">
            <v>CARDS0159</v>
          </cell>
          <cell r="G8392" t="str">
            <v>Paid</v>
          </cell>
        </row>
        <row r="8393">
          <cell r="F8393" t="str">
            <v>CARDS0176</v>
          </cell>
          <cell r="G8393" t="str">
            <v>Paid</v>
          </cell>
        </row>
        <row r="8394">
          <cell r="F8394" t="str">
            <v>CARDS0209</v>
          </cell>
          <cell r="G8394" t="str">
            <v>Paid</v>
          </cell>
        </row>
        <row r="8395">
          <cell r="F8395" t="str">
            <v>AUCARDS0001</v>
          </cell>
          <cell r="G8395" t="str">
            <v>Paid</v>
          </cell>
        </row>
        <row r="8396">
          <cell r="F8396" t="str">
            <v>INV-041023133014</v>
          </cell>
          <cell r="G8396" t="str">
            <v>Paid</v>
          </cell>
        </row>
        <row r="8397">
          <cell r="F8397" t="str">
            <v>INV-061223115551</v>
          </cell>
          <cell r="G8397" t="str">
            <v>Waived Off</v>
          </cell>
        </row>
        <row r="8398">
          <cell r="F8398" t="str">
            <v>INV-040124183012</v>
          </cell>
          <cell r="G8398" t="str">
            <v>Paid</v>
          </cell>
        </row>
        <row r="8399">
          <cell r="F8399" t="str">
            <v>INV-300124092822</v>
          </cell>
          <cell r="G8399" t="str">
            <v>Paid</v>
          </cell>
        </row>
        <row r="8400">
          <cell r="F8400" t="str">
            <v>INV-050224171657</v>
          </cell>
          <cell r="G8400" t="str">
            <v>Paid</v>
          </cell>
        </row>
        <row r="8401">
          <cell r="F8401" t="str">
            <v>INV-120324154125</v>
          </cell>
          <cell r="G8401" t="str">
            <v>Paid</v>
          </cell>
        </row>
        <row r="8402">
          <cell r="F8402" t="str">
            <v>INV-060424133349</v>
          </cell>
          <cell r="G8402" t="str">
            <v>Paid</v>
          </cell>
        </row>
        <row r="8403">
          <cell r="F8403" t="str">
            <v>INV-090524185816</v>
          </cell>
          <cell r="G8403" t="str">
            <v>Paid</v>
          </cell>
        </row>
        <row r="8404">
          <cell r="F8404" t="str">
            <v>INV-070624104002</v>
          </cell>
          <cell r="G8404" t="str">
            <v>Paid</v>
          </cell>
        </row>
        <row r="8405">
          <cell r="F8405" t="str">
            <v>INV-060824173749</v>
          </cell>
          <cell r="G8405" t="str">
            <v>Paid</v>
          </cell>
        </row>
        <row r="8406">
          <cell r="F8406" t="str">
            <v>INV-250624171902</v>
          </cell>
          <cell r="G8406" t="str">
            <v>Paid</v>
          </cell>
        </row>
        <row r="8407">
          <cell r="F8407" t="str">
            <v>INV-290724124534</v>
          </cell>
          <cell r="G8407" t="str">
            <v>Paid</v>
          </cell>
        </row>
        <row r="8408">
          <cell r="F8408" t="str">
            <v>INV-090924162634</v>
          </cell>
          <cell r="G8408" t="str">
            <v>Paid</v>
          </cell>
        </row>
        <row r="8409">
          <cell r="F8409" t="str">
            <v>INV-081024115546</v>
          </cell>
          <cell r="G8409" t="str">
            <v>Paid</v>
          </cell>
        </row>
        <row r="8410">
          <cell r="F8410" t="str">
            <v>INV-081124160850</v>
          </cell>
          <cell r="G8410" t="str">
            <v>Paid</v>
          </cell>
        </row>
        <row r="8411">
          <cell r="F8411" t="str">
            <v>INV-091224152151</v>
          </cell>
          <cell r="G8411" t="str">
            <v>Paid</v>
          </cell>
        </row>
        <row r="8412">
          <cell r="F8412" t="str">
            <v>INV-080125130705</v>
          </cell>
          <cell r="G8412" t="str">
            <v>Paid</v>
          </cell>
        </row>
        <row r="8413">
          <cell r="F8413" t="str">
            <v>INV-070225155800</v>
          </cell>
          <cell r="G8413" t="str">
            <v>Paid</v>
          </cell>
        </row>
        <row r="8414">
          <cell r="F8414" t="str">
            <v>INV-070325104733</v>
          </cell>
          <cell r="G8414" t="str">
            <v>Paid</v>
          </cell>
        </row>
        <row r="8415">
          <cell r="F8415" t="str">
            <v>INV-040425172344</v>
          </cell>
          <cell r="G8415" t="str">
            <v>Paid</v>
          </cell>
        </row>
        <row r="8416">
          <cell r="F8416" t="str">
            <v>INV-070525103043</v>
          </cell>
          <cell r="G8416" t="str">
            <v>Paid</v>
          </cell>
        </row>
        <row r="8417">
          <cell r="F8417" t="str">
            <v>INV-050625184838</v>
          </cell>
          <cell r="G8417" t="str">
            <v>Paid</v>
          </cell>
        </row>
        <row r="8418">
          <cell r="F8418" t="str">
            <v>INV-050725111642</v>
          </cell>
          <cell r="G8418" t="str">
            <v>Paid</v>
          </cell>
        </row>
        <row r="8419">
          <cell r="F8419" t="str">
            <v>INV-070825092129</v>
          </cell>
          <cell r="G8419" t="str">
            <v>Paid</v>
          </cell>
        </row>
        <row r="8420">
          <cell r="F8420" t="str">
            <v>INV-050925122333</v>
          </cell>
          <cell r="G8420" t="str">
            <v>Paid</v>
          </cell>
        </row>
        <row r="8421">
          <cell r="F8421" t="str">
            <v>INV-061025194047</v>
          </cell>
          <cell r="G8421" t="str">
            <v>Paid</v>
          </cell>
        </row>
        <row r="8422">
          <cell r="F8422" t="str">
            <v>INV-061125163553</v>
          </cell>
          <cell r="G8422" t="str">
            <v>Paid</v>
          </cell>
        </row>
        <row r="8423">
          <cell r="F8423" t="str">
            <v>INV-041225154809</v>
          </cell>
          <cell r="G8423" t="str">
            <v>Paid</v>
          </cell>
        </row>
        <row r="8424">
          <cell r="F8424" t="str">
            <v>INV-070126101904</v>
          </cell>
          <cell r="G8424" t="str">
            <v>Paid</v>
          </cell>
        </row>
        <row r="8425">
          <cell r="F8425" t="str">
            <v>INV-050226105608</v>
          </cell>
          <cell r="G8425" t="str">
            <v>Paid</v>
          </cell>
        </row>
        <row r="8426">
          <cell r="F8426" t="str">
            <v>INV-080226174049</v>
          </cell>
          <cell r="G8426" t="str">
            <v>Paid</v>
          </cell>
        </row>
        <row r="8427">
          <cell r="F8427" t="str">
            <v>INV-050326175856</v>
          </cell>
          <cell r="G8427" t="str">
            <v>Paid</v>
          </cell>
        </row>
        <row r="8428">
          <cell r="F8428" t="str">
            <v>CN-INV-240724104002</v>
          </cell>
          <cell r="G8428" t="str">
            <v>Paid</v>
          </cell>
        </row>
        <row r="8429">
          <cell r="F8429" t="str">
            <v>HKCARDS0019</v>
          </cell>
          <cell r="G8429" t="str">
            <v>Paid</v>
          </cell>
        </row>
        <row r="8430">
          <cell r="F8430" t="str">
            <v>INV2022-Pecutus-001</v>
          </cell>
          <cell r="G8430" t="str">
            <v>Paid</v>
          </cell>
        </row>
        <row r="8431">
          <cell r="F8431" t="str">
            <v>INV-191222103428</v>
          </cell>
          <cell r="G8431" t="str">
            <v>Waived Off</v>
          </cell>
        </row>
        <row r="8432">
          <cell r="F8432" t="str">
            <v>INV-040123195033</v>
          </cell>
          <cell r="G8432" t="str">
            <v>Waived Off</v>
          </cell>
        </row>
        <row r="8433">
          <cell r="F8433" t="str">
            <v>INV-030223133133</v>
          </cell>
          <cell r="G8433" t="str">
            <v>Waived Off</v>
          </cell>
        </row>
        <row r="8434">
          <cell r="F8434" t="str">
            <v>INV-020323160533</v>
          </cell>
          <cell r="G8434" t="str">
            <v>Waived Off</v>
          </cell>
        </row>
        <row r="8435">
          <cell r="F8435" t="str">
            <v>INV-020824193035</v>
          </cell>
          <cell r="G8435" t="str">
            <v>Net Off</v>
          </cell>
        </row>
        <row r="8436">
          <cell r="F8436" t="str">
            <v>INV-040724111712</v>
          </cell>
          <cell r="G8436" t="str">
            <v>Net Off</v>
          </cell>
        </row>
        <row r="8437">
          <cell r="F8437" t="str">
            <v>INV-040924164151</v>
          </cell>
          <cell r="G8437" t="str">
            <v>Net Off</v>
          </cell>
        </row>
        <row r="8438">
          <cell r="F8438" t="str">
            <v>INV-071124144514</v>
          </cell>
          <cell r="G8438" t="str">
            <v>Net Off</v>
          </cell>
        </row>
        <row r="8439">
          <cell r="F8439" t="str">
            <v>INV-031024151158</v>
          </cell>
          <cell r="G8439" t="str">
            <v>Net Off</v>
          </cell>
        </row>
        <row r="8440">
          <cell r="F8440" t="str">
            <v>INV-031224174607</v>
          </cell>
          <cell r="G8440" t="str">
            <v>Net Off</v>
          </cell>
        </row>
        <row r="8441">
          <cell r="F8441" t="str">
            <v>INV-030125153318</v>
          </cell>
          <cell r="G8441" t="str">
            <v>Net Off</v>
          </cell>
        </row>
        <row r="8442">
          <cell r="F8442" t="str">
            <v>CN-INV-140225132348</v>
          </cell>
          <cell r="G8442" t="str">
            <v>Net Off</v>
          </cell>
        </row>
        <row r="8443">
          <cell r="F8443" t="str">
            <v>INV2021-PHL-001</v>
          </cell>
          <cell r="G8443" t="str">
            <v>Paid</v>
          </cell>
        </row>
        <row r="8444">
          <cell r="F8444" t="str">
            <v>INV2021-PEL-001</v>
          </cell>
          <cell r="G8444" t="str">
            <v>Paid</v>
          </cell>
        </row>
        <row r="8445">
          <cell r="F8445" t="str">
            <v>INV2021-PEL-002</v>
          </cell>
          <cell r="G8445" t="str">
            <v>Paid</v>
          </cell>
        </row>
        <row r="8446">
          <cell r="F8446" t="str">
            <v>INV2021-PEL-003</v>
          </cell>
          <cell r="G8446" t="str">
            <v>Paid</v>
          </cell>
        </row>
        <row r="8447">
          <cell r="F8447" t="str">
            <v>AUCARDS0014</v>
          </cell>
          <cell r="G8447" t="str">
            <v>Paid</v>
          </cell>
        </row>
        <row r="8448">
          <cell r="F8448" t="str">
            <v>INV2022-PEL-004</v>
          </cell>
          <cell r="G8448" t="str">
            <v>Paid</v>
          </cell>
        </row>
        <row r="8449">
          <cell r="F8449" t="str">
            <v>INV2022-PEL-005</v>
          </cell>
          <cell r="G8449" t="str">
            <v>Paid</v>
          </cell>
        </row>
        <row r="8450">
          <cell r="F8450" t="str">
            <v>AUCARDS0020</v>
          </cell>
          <cell r="G8450" t="str">
            <v>Paid</v>
          </cell>
        </row>
        <row r="8451">
          <cell r="F8451" t="str">
            <v>AUCARDS0023</v>
          </cell>
          <cell r="G8451" t="str">
            <v>Paid</v>
          </cell>
        </row>
        <row r="8452">
          <cell r="F8452" t="str">
            <v>AUCARDS0033</v>
          </cell>
          <cell r="G8452" t="str">
            <v>Paid</v>
          </cell>
        </row>
        <row r="8453">
          <cell r="F8453" t="str">
            <v>AUCARDS0038</v>
          </cell>
          <cell r="G8453" t="str">
            <v>Paid</v>
          </cell>
        </row>
        <row r="8454">
          <cell r="F8454" t="str">
            <v>AUCARDS0044</v>
          </cell>
          <cell r="G8454" t="str">
            <v>Paid</v>
          </cell>
        </row>
        <row r="8455">
          <cell r="F8455" t="str">
            <v>AUCARDS0051</v>
          </cell>
          <cell r="G8455" t="str">
            <v>Paid</v>
          </cell>
        </row>
        <row r="8456">
          <cell r="F8456" t="str">
            <v>INV2022-PEL-006</v>
          </cell>
          <cell r="G8456" t="str">
            <v>Paid</v>
          </cell>
        </row>
        <row r="8457">
          <cell r="F8457" t="str">
            <v>AUCARDS0057</v>
          </cell>
          <cell r="G8457" t="str">
            <v>Paid</v>
          </cell>
        </row>
        <row r="8458">
          <cell r="F8458" t="str">
            <v>INV-021122051511</v>
          </cell>
          <cell r="G8458" t="str">
            <v>Paid</v>
          </cell>
        </row>
        <row r="8459">
          <cell r="F8459" t="str">
            <v>INV-021222121850</v>
          </cell>
          <cell r="G8459" t="str">
            <v>Paid</v>
          </cell>
        </row>
        <row r="8460">
          <cell r="F8460" t="str">
            <v>INV-040123044215</v>
          </cell>
          <cell r="G8460" t="str">
            <v>Paid</v>
          </cell>
        </row>
        <row r="8461">
          <cell r="F8461" t="str">
            <v>INV-020223172936</v>
          </cell>
          <cell r="G8461" t="str">
            <v>Paid</v>
          </cell>
        </row>
        <row r="8462">
          <cell r="F8462" t="str">
            <v>DN-230223112942</v>
          </cell>
          <cell r="G8462" t="str">
            <v>Paid</v>
          </cell>
        </row>
        <row r="8463">
          <cell r="F8463" t="str">
            <v>INV-020323141740</v>
          </cell>
          <cell r="G8463" t="str">
            <v>Paid</v>
          </cell>
        </row>
        <row r="8464">
          <cell r="F8464" t="str">
            <v>INV-031123125003</v>
          </cell>
          <cell r="G8464" t="str">
            <v>Paid</v>
          </cell>
        </row>
        <row r="8465">
          <cell r="F8465" t="str">
            <v>INV-030423235848</v>
          </cell>
          <cell r="G8465" t="str">
            <v>Paid</v>
          </cell>
        </row>
        <row r="8466">
          <cell r="F8466" t="str">
            <v>INV-030523012236</v>
          </cell>
          <cell r="G8466" t="str">
            <v>Paid</v>
          </cell>
        </row>
        <row r="8467">
          <cell r="F8467" t="str">
            <v>INV-051023091057</v>
          </cell>
          <cell r="G8467" t="str">
            <v>Paid</v>
          </cell>
        </row>
        <row r="8468">
          <cell r="F8468" t="str">
            <v>INV-051223174500</v>
          </cell>
          <cell r="G8468" t="str">
            <v>Paid</v>
          </cell>
        </row>
        <row r="8469">
          <cell r="F8469" t="str">
            <v>INV-020623142719</v>
          </cell>
          <cell r="G8469" t="str">
            <v>Paid</v>
          </cell>
        </row>
        <row r="8470">
          <cell r="F8470" t="str">
            <v>INV-030723145122</v>
          </cell>
          <cell r="G8470" t="str">
            <v>Paid</v>
          </cell>
        </row>
        <row r="8471">
          <cell r="F8471" t="str">
            <v>INV-120923131317</v>
          </cell>
          <cell r="G8471" t="str">
            <v>Paid</v>
          </cell>
        </row>
        <row r="8472">
          <cell r="F8472" t="str">
            <v>INV-130923092412</v>
          </cell>
          <cell r="G8472" t="str">
            <v>Paid</v>
          </cell>
        </row>
        <row r="8473">
          <cell r="F8473" t="str">
            <v>INV-050124110853</v>
          </cell>
          <cell r="G8473" t="str">
            <v>Paid</v>
          </cell>
        </row>
        <row r="8474">
          <cell r="F8474" t="str">
            <v>INV-060224144102</v>
          </cell>
          <cell r="G8474" t="str">
            <v>Paid</v>
          </cell>
        </row>
        <row r="8475">
          <cell r="F8475" t="str">
            <v>INV-070324135615</v>
          </cell>
          <cell r="G8475" t="str">
            <v>Paid</v>
          </cell>
        </row>
        <row r="8476">
          <cell r="F8476" t="str">
            <v>INV-060424140636</v>
          </cell>
          <cell r="G8476" t="str">
            <v>Paid</v>
          </cell>
        </row>
        <row r="8477">
          <cell r="F8477" t="str">
            <v>INV-070524170858</v>
          </cell>
          <cell r="G8477" t="str">
            <v>Paid</v>
          </cell>
        </row>
        <row r="8478">
          <cell r="F8478" t="str">
            <v>INV-060624161810</v>
          </cell>
          <cell r="G8478" t="str">
            <v>Paid</v>
          </cell>
        </row>
        <row r="8479">
          <cell r="F8479" t="str">
            <v>INV-060724130405</v>
          </cell>
          <cell r="G8479" t="str">
            <v>Paid</v>
          </cell>
        </row>
        <row r="8480">
          <cell r="F8480" t="str">
            <v>INV-060824164059</v>
          </cell>
          <cell r="G8480" t="str">
            <v>Paid</v>
          </cell>
        </row>
        <row r="8481">
          <cell r="F8481" t="str">
            <v>INV-061224180612</v>
          </cell>
          <cell r="G8481" t="str">
            <v>Net Off</v>
          </cell>
        </row>
        <row r="8482">
          <cell r="F8482" t="str">
            <v>INV-071124125254</v>
          </cell>
          <cell r="G8482" t="str">
            <v>Net Off</v>
          </cell>
        </row>
        <row r="8483">
          <cell r="F8483" t="str">
            <v>INV-100924103356</v>
          </cell>
          <cell r="G8483" t="str">
            <v>Paid</v>
          </cell>
        </row>
        <row r="8484">
          <cell r="F8484" t="str">
            <v>CN-INV-170924171810</v>
          </cell>
          <cell r="G8484" t="str">
            <v>Paid</v>
          </cell>
        </row>
        <row r="8485">
          <cell r="F8485" t="str">
            <v>INV-081024133610</v>
          </cell>
          <cell r="G8485" t="str">
            <v>Paid</v>
          </cell>
        </row>
        <row r="8486">
          <cell r="F8486" t="str">
            <v>INV-070125112906</v>
          </cell>
          <cell r="G8486" t="str">
            <v>Net Off</v>
          </cell>
        </row>
        <row r="8487">
          <cell r="F8487" t="str">
            <v>INV-060225121909</v>
          </cell>
          <cell r="G8487" t="str">
            <v>Net Off</v>
          </cell>
        </row>
        <row r="8488">
          <cell r="F8488" t="str">
            <v>INV-050325155103</v>
          </cell>
          <cell r="G8488" t="str">
            <v>Paid</v>
          </cell>
        </row>
        <row r="8489">
          <cell r="F8489" t="str">
            <v>INV-140225103000</v>
          </cell>
          <cell r="G8489" t="str">
            <v>Net Off</v>
          </cell>
        </row>
        <row r="8490">
          <cell r="F8490" t="str">
            <v>INV-250325141500</v>
          </cell>
          <cell r="G8490" t="str">
            <v>Paid</v>
          </cell>
        </row>
        <row r="8491">
          <cell r="F8491" t="str">
            <v>INV-200125150000</v>
          </cell>
          <cell r="G8491" t="str">
            <v>Net Off</v>
          </cell>
        </row>
        <row r="8492">
          <cell r="F8492" t="str">
            <v>INV-200125151000</v>
          </cell>
          <cell r="G8492" t="str">
            <v>Net Off</v>
          </cell>
        </row>
        <row r="8493">
          <cell r="F8493" t="str">
            <v>INV-200125152000</v>
          </cell>
          <cell r="G8493" t="str">
            <v>Net Off</v>
          </cell>
        </row>
        <row r="8494">
          <cell r="F8494" t="str">
            <v>INV-200125153000</v>
          </cell>
          <cell r="G8494" t="str">
            <v>Net Off</v>
          </cell>
        </row>
        <row r="8495">
          <cell r="F8495" t="str">
            <v>INV-210425110000</v>
          </cell>
          <cell r="G8495" t="str">
            <v>Paid</v>
          </cell>
        </row>
        <row r="8496">
          <cell r="F8496" t="str">
            <v>INV-12052514000</v>
          </cell>
          <cell r="G8496" t="str">
            <v>Paid</v>
          </cell>
        </row>
        <row r="8497">
          <cell r="F8497" t="str">
            <v>CN-INV-230126121920</v>
          </cell>
          <cell r="G8497" t="str">
            <v>Net Off</v>
          </cell>
        </row>
        <row r="8498">
          <cell r="F8498" t="str">
            <v>INV-030425182046</v>
          </cell>
          <cell r="G8498" t="str">
            <v>Paid</v>
          </cell>
        </row>
        <row r="8499">
          <cell r="F8499" t="str">
            <v>INV-060525101323</v>
          </cell>
          <cell r="G8499" t="str">
            <v>Paid</v>
          </cell>
        </row>
        <row r="8500">
          <cell r="F8500" t="str">
            <v>INV-040625162613</v>
          </cell>
          <cell r="G8500" t="str">
            <v>Paid</v>
          </cell>
        </row>
        <row r="8501">
          <cell r="F8501" t="str">
            <v>INV-040725133450</v>
          </cell>
          <cell r="G8501" t="str">
            <v>Paid</v>
          </cell>
        </row>
        <row r="8502">
          <cell r="F8502" t="str">
            <v>INV-060825093119</v>
          </cell>
          <cell r="G8502" t="str">
            <v>Net Off</v>
          </cell>
        </row>
        <row r="8503">
          <cell r="F8503" t="str">
            <v>CN-INV-040625162613</v>
          </cell>
          <cell r="G8503" t="str">
            <v>Paid</v>
          </cell>
        </row>
        <row r="8504">
          <cell r="F8504" t="str">
            <v>INV-030925151159</v>
          </cell>
          <cell r="G8504" t="str">
            <v>Net Off</v>
          </cell>
        </row>
        <row r="8505">
          <cell r="F8505" t="str">
            <v>INV-061025131045</v>
          </cell>
          <cell r="G8505" t="str">
            <v>Net Off</v>
          </cell>
        </row>
        <row r="8506">
          <cell r="F8506" t="str">
            <v>INV-061125103937</v>
          </cell>
          <cell r="G8506" t="str">
            <v>Net Off</v>
          </cell>
        </row>
        <row r="8507">
          <cell r="F8507" t="str">
            <v>INV-041225145150</v>
          </cell>
          <cell r="G8507" t="str">
            <v>Net Off</v>
          </cell>
        </row>
        <row r="8508">
          <cell r="F8508" t="str">
            <v>INV-060126121251</v>
          </cell>
          <cell r="G8508" t="str">
            <v>Net Off</v>
          </cell>
        </row>
        <row r="8509">
          <cell r="F8509" t="str">
            <v>CN-INV-230126120113</v>
          </cell>
          <cell r="G8509" t="str">
            <v>Net Off</v>
          </cell>
        </row>
        <row r="8510">
          <cell r="F8510" t="str">
            <v>INV-060226194701</v>
          </cell>
          <cell r="G8510" t="str">
            <v>Outstanding</v>
          </cell>
        </row>
        <row r="8511">
          <cell r="F8511" t="str">
            <v>INV-160625140000</v>
          </cell>
          <cell r="G8511" t="str">
            <v>Net Off</v>
          </cell>
        </row>
        <row r="8512">
          <cell r="F8512" t="str">
            <v>INV-080725140000</v>
          </cell>
          <cell r="G8512" t="str">
            <v>Paid</v>
          </cell>
        </row>
        <row r="8513">
          <cell r="F8513" t="str">
            <v>INV-190825140000</v>
          </cell>
          <cell r="G8513" t="str">
            <v>Net Off</v>
          </cell>
        </row>
        <row r="8514">
          <cell r="F8514" t="str">
            <v>INV-160925140000</v>
          </cell>
          <cell r="G8514" t="str">
            <v>Net Off</v>
          </cell>
        </row>
        <row r="8515">
          <cell r="F8515" t="str">
            <v>INV-281025140000</v>
          </cell>
          <cell r="G8515" t="str">
            <v>Net Off</v>
          </cell>
        </row>
        <row r="8516">
          <cell r="F8516" t="str">
            <v>INV-171125143000</v>
          </cell>
          <cell r="G8516" t="str">
            <v>Net Off</v>
          </cell>
        </row>
        <row r="8517">
          <cell r="F8517" t="str">
            <v>INV-151225143000</v>
          </cell>
          <cell r="G8517" t="str">
            <v>Net Off</v>
          </cell>
        </row>
        <row r="8518">
          <cell r="F8518" t="str">
            <v>INV-230126143000</v>
          </cell>
          <cell r="G8518" t="str">
            <v>Outstanding</v>
          </cell>
        </row>
        <row r="8519">
          <cell r="F8519" t="str">
            <v>CARDS0112</v>
          </cell>
          <cell r="G8519" t="str">
            <v>Waived Off</v>
          </cell>
        </row>
        <row r="8520">
          <cell r="F8520" t="str">
            <v>CARDS0131</v>
          </cell>
          <cell r="G8520" t="str">
            <v>Waived Off</v>
          </cell>
        </row>
        <row r="8521">
          <cell r="F8521" t="str">
            <v>CARDS0148</v>
          </cell>
          <cell r="G8521" t="str">
            <v>Waived Off</v>
          </cell>
        </row>
        <row r="8522">
          <cell r="F8522" t="str">
            <v>CARDS0167</v>
          </cell>
          <cell r="G8522" t="str">
            <v>Waived Off</v>
          </cell>
        </row>
        <row r="8523">
          <cell r="F8523" t="str">
            <v>CNCARDS0010</v>
          </cell>
          <cell r="G8523" t="str">
            <v>Waived Off</v>
          </cell>
        </row>
        <row r="8524">
          <cell r="F8524" t="str">
            <v>CARDS0184</v>
          </cell>
          <cell r="G8524" t="str">
            <v>Waived Off</v>
          </cell>
        </row>
        <row r="8525">
          <cell r="F8525" t="str">
            <v>CARDS0205</v>
          </cell>
          <cell r="G8525" t="str">
            <v>Waived Off</v>
          </cell>
        </row>
        <row r="8526">
          <cell r="F8526" t="str">
            <v>CARDS0226</v>
          </cell>
          <cell r="G8526" t="str">
            <v>Waived Off</v>
          </cell>
        </row>
        <row r="8527">
          <cell r="F8527" t="str">
            <v>CARDS0241</v>
          </cell>
          <cell r="G8527" t="str">
            <v>Waived Off</v>
          </cell>
        </row>
        <row r="8528">
          <cell r="F8528" t="str">
            <v>CARDS0258</v>
          </cell>
          <cell r="G8528" t="str">
            <v>Waived Off</v>
          </cell>
        </row>
        <row r="8529">
          <cell r="F8529" t="str">
            <v>CARDS0280</v>
          </cell>
          <cell r="G8529" t="str">
            <v>Waived Off</v>
          </cell>
        </row>
        <row r="8530">
          <cell r="F8530" t="str">
            <v>CARDS0342</v>
          </cell>
          <cell r="G8530" t="str">
            <v>Waived Off</v>
          </cell>
        </row>
        <row r="8531">
          <cell r="F8531" t="str">
            <v>INV-021122180934</v>
          </cell>
          <cell r="G8531" t="str">
            <v>Waived Off</v>
          </cell>
        </row>
        <row r="8532">
          <cell r="F8532" t="str">
            <v>INV-021222193227</v>
          </cell>
          <cell r="G8532" t="str">
            <v>Waived Off</v>
          </cell>
        </row>
        <row r="8533">
          <cell r="F8533" t="str">
            <v>INV-040123160412</v>
          </cell>
          <cell r="G8533" t="str">
            <v>Paid</v>
          </cell>
        </row>
        <row r="8534">
          <cell r="F8534" t="str">
            <v>CN-310123013527</v>
          </cell>
          <cell r="G8534" t="str">
            <v>Paid</v>
          </cell>
        </row>
        <row r="8535">
          <cell r="F8535" t="str">
            <v>CN-310123014333</v>
          </cell>
          <cell r="G8535" t="str">
            <v>Paid</v>
          </cell>
        </row>
        <row r="8536">
          <cell r="F8536" t="str">
            <v>INV-020223114314</v>
          </cell>
          <cell r="G8536" t="str">
            <v>Paid</v>
          </cell>
        </row>
        <row r="8537">
          <cell r="F8537" t="str">
            <v>INV-020323123204</v>
          </cell>
          <cell r="G8537" t="str">
            <v>Paid</v>
          </cell>
        </row>
        <row r="8538">
          <cell r="F8538" t="str">
            <v>INV-040423034127</v>
          </cell>
          <cell r="G8538" t="str">
            <v>Paid</v>
          </cell>
        </row>
        <row r="8539">
          <cell r="F8539" t="str">
            <v>INV-030523024822</v>
          </cell>
          <cell r="G8539" t="str">
            <v>Paid</v>
          </cell>
        </row>
        <row r="8540">
          <cell r="F8540" t="str">
            <v>INV-050923132932</v>
          </cell>
          <cell r="G8540" t="str">
            <v>Paid</v>
          </cell>
        </row>
        <row r="8541">
          <cell r="F8541" t="str">
            <v>INV-050623135138</v>
          </cell>
          <cell r="G8541" t="str">
            <v>Paid</v>
          </cell>
        </row>
        <row r="8542">
          <cell r="F8542" t="str">
            <v>INV-040723114018</v>
          </cell>
          <cell r="G8542" t="str">
            <v>Paid</v>
          </cell>
        </row>
        <row r="8543">
          <cell r="F8543" t="str">
            <v>INV-030823115202</v>
          </cell>
          <cell r="G8543" t="str">
            <v>Paid</v>
          </cell>
        </row>
        <row r="8544">
          <cell r="F8544" t="str">
            <v>HKCARDS0071</v>
          </cell>
          <cell r="G8544" t="str">
            <v>Paid</v>
          </cell>
        </row>
        <row r="8545">
          <cell r="F8545" t="str">
            <v>HKCARDS0062</v>
          </cell>
          <cell r="G8545" t="str">
            <v>Waived Off</v>
          </cell>
        </row>
        <row r="8546">
          <cell r="F8546" t="str">
            <v>HKCARDS0044</v>
          </cell>
          <cell r="G8546" t="str">
            <v>Waived Off</v>
          </cell>
        </row>
        <row r="8547">
          <cell r="F8547" t="str">
            <v>HKCARDS0054</v>
          </cell>
          <cell r="G8547" t="str">
            <v>Waived Off</v>
          </cell>
        </row>
        <row r="8548">
          <cell r="F8548" t="str">
            <v>HKCARDS0089</v>
          </cell>
          <cell r="G8548" t="str">
            <v>Paid</v>
          </cell>
        </row>
        <row r="8549">
          <cell r="F8549" t="str">
            <v>HKCARDS0103</v>
          </cell>
          <cell r="G8549" t="str">
            <v>Paid</v>
          </cell>
        </row>
        <row r="8550">
          <cell r="F8550" t="str">
            <v>DNHKCARDS0004</v>
          </cell>
          <cell r="G8550" t="str">
            <v>Paid</v>
          </cell>
        </row>
        <row r="8551">
          <cell r="F8551" t="str">
            <v>INV-021122062654</v>
          </cell>
          <cell r="G8551" t="str">
            <v>Paid</v>
          </cell>
        </row>
        <row r="8552">
          <cell r="F8552" t="str">
            <v>INV-021222012538</v>
          </cell>
          <cell r="G8552" t="str">
            <v>Paid</v>
          </cell>
        </row>
        <row r="8553">
          <cell r="F8553" t="str">
            <v>INV-030123135437</v>
          </cell>
          <cell r="G8553" t="str">
            <v>Paid</v>
          </cell>
        </row>
        <row r="8554">
          <cell r="F8554" t="str">
            <v>CN-2301241533</v>
          </cell>
          <cell r="G8554" t="str">
            <v>Paid</v>
          </cell>
        </row>
        <row r="8555">
          <cell r="F8555" t="str">
            <v>INV-020223033946</v>
          </cell>
          <cell r="G8555" t="str">
            <v>Paid</v>
          </cell>
        </row>
        <row r="8556">
          <cell r="F8556" t="str">
            <v>INV-020323024513</v>
          </cell>
          <cell r="G8556" t="str">
            <v>Paid</v>
          </cell>
        </row>
        <row r="8557">
          <cell r="F8557" t="str">
            <v>INV-031123175349</v>
          </cell>
          <cell r="G8557" t="str">
            <v>Paid</v>
          </cell>
        </row>
        <row r="8558">
          <cell r="F8558" t="str">
            <v>INV-020423224816</v>
          </cell>
          <cell r="G8558" t="str">
            <v>Paid</v>
          </cell>
        </row>
        <row r="8559">
          <cell r="F8559" t="str">
            <v>CN-180423122934</v>
          </cell>
          <cell r="G8559" t="str">
            <v>Paid</v>
          </cell>
        </row>
        <row r="8560">
          <cell r="F8560" t="str">
            <v>INV-020523220437</v>
          </cell>
          <cell r="G8560" t="str">
            <v>Paid</v>
          </cell>
        </row>
        <row r="8561">
          <cell r="F8561" t="str">
            <v>INV-050923095836</v>
          </cell>
          <cell r="G8561" t="str">
            <v>Paid</v>
          </cell>
        </row>
        <row r="8562">
          <cell r="F8562" t="str">
            <v>INV-051023142738</v>
          </cell>
          <cell r="G8562" t="str">
            <v>Paid</v>
          </cell>
        </row>
        <row r="8563">
          <cell r="F8563" t="str">
            <v>INV-051223104427</v>
          </cell>
          <cell r="G8563" t="str">
            <v>Paid</v>
          </cell>
        </row>
        <row r="8564">
          <cell r="F8564" t="str">
            <v>INV-020623195507</v>
          </cell>
          <cell r="G8564" t="str">
            <v>Paid</v>
          </cell>
        </row>
        <row r="8565">
          <cell r="F8565" t="str">
            <v>INV-040723183934</v>
          </cell>
          <cell r="G8565" t="str">
            <v>Paid</v>
          </cell>
        </row>
        <row r="8566">
          <cell r="F8566" t="str">
            <v>INV-030823144406</v>
          </cell>
          <cell r="G8566" t="str">
            <v>Paid</v>
          </cell>
        </row>
        <row r="8567">
          <cell r="F8567" t="str">
            <v>INV-050124124931</v>
          </cell>
          <cell r="G8567" t="str">
            <v>Paid</v>
          </cell>
        </row>
        <row r="8568">
          <cell r="F8568" t="str">
            <v>INV-070224113006</v>
          </cell>
          <cell r="G8568" t="str">
            <v>Paid</v>
          </cell>
        </row>
        <row r="8569">
          <cell r="F8569" t="str">
            <v>INV-060324114926</v>
          </cell>
          <cell r="G8569" t="str">
            <v>Paid</v>
          </cell>
        </row>
        <row r="8570">
          <cell r="F8570" t="str">
            <v>INV-080424092722</v>
          </cell>
          <cell r="G8570" t="str">
            <v>Paid</v>
          </cell>
        </row>
        <row r="8571">
          <cell r="F8571" t="str">
            <v>INV-050624123339</v>
          </cell>
          <cell r="G8571" t="str">
            <v>Paid</v>
          </cell>
        </row>
        <row r="8572">
          <cell r="F8572" t="str">
            <v>INV-070524155304</v>
          </cell>
          <cell r="G8572" t="str">
            <v>Paid</v>
          </cell>
        </row>
        <row r="8573">
          <cell r="F8573" t="str">
            <v>INV-050724174422</v>
          </cell>
          <cell r="G8573" t="str">
            <v>Paid</v>
          </cell>
        </row>
        <row r="8574">
          <cell r="F8574" t="str">
            <v>INV-050924162126</v>
          </cell>
          <cell r="G8574" t="str">
            <v>Paid</v>
          </cell>
        </row>
        <row r="8575">
          <cell r="F8575" t="str">
            <v>CN-INV-210524114552</v>
          </cell>
          <cell r="G8575" t="str">
            <v>Paid</v>
          </cell>
        </row>
        <row r="8576">
          <cell r="F8576" t="str">
            <v>INV-060824151639</v>
          </cell>
          <cell r="G8576" t="str">
            <v>Paid</v>
          </cell>
        </row>
        <row r="8577">
          <cell r="F8577" t="str">
            <v>INV-071024201636</v>
          </cell>
          <cell r="G8577" t="str">
            <v>Paid</v>
          </cell>
        </row>
        <row r="8578">
          <cell r="F8578" t="str">
            <v>INV-071124103746</v>
          </cell>
          <cell r="G8578" t="str">
            <v>Paid</v>
          </cell>
        </row>
        <row r="8579">
          <cell r="F8579" t="str">
            <v>CN-INV-240125160310</v>
          </cell>
          <cell r="G8579" t="str">
            <v>Net Off</v>
          </cell>
        </row>
        <row r="8580">
          <cell r="F8580" t="str">
            <v>CARDS0078</v>
          </cell>
          <cell r="G8580" t="str">
            <v>Paid</v>
          </cell>
        </row>
        <row r="8581">
          <cell r="F8581" t="str">
            <v>INV-040825191210</v>
          </cell>
          <cell r="G8581" t="str">
            <v>Paid</v>
          </cell>
        </row>
        <row r="8582">
          <cell r="F8582" t="str">
            <v>INV-020925170654</v>
          </cell>
          <cell r="G8582" t="str">
            <v>Paid</v>
          </cell>
        </row>
        <row r="8583">
          <cell r="F8583" t="str">
            <v>INV-021025140714</v>
          </cell>
          <cell r="G8583" t="str">
            <v>Paid</v>
          </cell>
        </row>
        <row r="8584">
          <cell r="F8584" t="str">
            <v>INV-051125144828</v>
          </cell>
          <cell r="G8584" t="str">
            <v>Paid</v>
          </cell>
        </row>
        <row r="8585">
          <cell r="F8585" t="str">
            <v>INV-031225150633</v>
          </cell>
          <cell r="G8585" t="str">
            <v>Paid</v>
          </cell>
        </row>
        <row r="8586">
          <cell r="F8586" t="str">
            <v>INV-030126134941</v>
          </cell>
          <cell r="G8586" t="str">
            <v>Paid</v>
          </cell>
        </row>
        <row r="8587">
          <cell r="F8587" t="str">
            <v>INV-050226004542</v>
          </cell>
          <cell r="G8587" t="str">
            <v>Paid</v>
          </cell>
        </row>
        <row r="8588">
          <cell r="F8588" t="str">
            <v>INV-030326192009</v>
          </cell>
          <cell r="G8588" t="str">
            <v>Paid</v>
          </cell>
        </row>
        <row r="8589">
          <cell r="F8589" t="str">
            <v>INV-041223164956</v>
          </cell>
          <cell r="G8589" t="str">
            <v>Paid</v>
          </cell>
        </row>
        <row r="8590">
          <cell r="F8590" t="str">
            <v>INV-061023114501</v>
          </cell>
          <cell r="G8590" t="str">
            <v>Paid</v>
          </cell>
        </row>
        <row r="8591">
          <cell r="F8591" t="str">
            <v>INV-061123093831</v>
          </cell>
          <cell r="G8591" t="str">
            <v>Paid</v>
          </cell>
        </row>
        <row r="8592">
          <cell r="F8592" t="str">
            <v>INV-040124151340</v>
          </cell>
          <cell r="G8592" t="str">
            <v>Paid</v>
          </cell>
        </row>
        <row r="8593">
          <cell r="F8593" t="str">
            <v>INV-050224170034</v>
          </cell>
          <cell r="G8593" t="str">
            <v>Paid</v>
          </cell>
        </row>
        <row r="8594">
          <cell r="F8594" t="str">
            <v>INV-020824173829</v>
          </cell>
          <cell r="G8594" t="str">
            <v>Paid</v>
          </cell>
        </row>
        <row r="8595">
          <cell r="F8595" t="str">
            <v>INV-030424175053</v>
          </cell>
          <cell r="G8595" t="str">
            <v>Paid</v>
          </cell>
        </row>
        <row r="8596">
          <cell r="F8596" t="str">
            <v>INV-050324123649</v>
          </cell>
          <cell r="G8596" t="str">
            <v>Paid</v>
          </cell>
        </row>
        <row r="8597">
          <cell r="F8597" t="str">
            <v>INV-030524134926</v>
          </cell>
          <cell r="G8597" t="str">
            <v>Paid</v>
          </cell>
        </row>
        <row r="8598">
          <cell r="F8598" t="str">
            <v>INV-030724154217</v>
          </cell>
          <cell r="G8598" t="str">
            <v>Paid</v>
          </cell>
        </row>
        <row r="8599">
          <cell r="F8599" t="str">
            <v>INV-040624111656</v>
          </cell>
          <cell r="G8599" t="str">
            <v>Paid</v>
          </cell>
        </row>
        <row r="8600">
          <cell r="F8600" t="str">
            <v>INV-040924103939</v>
          </cell>
          <cell r="G8600" t="str">
            <v>Paid</v>
          </cell>
        </row>
        <row r="8601">
          <cell r="F8601" t="str">
            <v>INV-041223161231</v>
          </cell>
          <cell r="G8601" t="str">
            <v>Paid</v>
          </cell>
        </row>
        <row r="8602">
          <cell r="F8602" t="str">
            <v>INV-051023172729</v>
          </cell>
          <cell r="G8602" t="str">
            <v>Paid</v>
          </cell>
        </row>
        <row r="8603">
          <cell r="F8603" t="str">
            <v>INV-040124152909</v>
          </cell>
          <cell r="G8603" t="str">
            <v>Paid</v>
          </cell>
        </row>
        <row r="8604">
          <cell r="F8604" t="str">
            <v>INV-050224164603</v>
          </cell>
          <cell r="G8604" t="str">
            <v>Paid</v>
          </cell>
        </row>
        <row r="8605">
          <cell r="F8605" t="str">
            <v>INV-020824175016</v>
          </cell>
          <cell r="G8605" t="str">
            <v>Paid</v>
          </cell>
        </row>
        <row r="8606">
          <cell r="F8606" t="str">
            <v>INV-030424172236</v>
          </cell>
          <cell r="G8606" t="str">
            <v>Paid</v>
          </cell>
        </row>
        <row r="8607">
          <cell r="F8607" t="str">
            <v>INV-050324122215</v>
          </cell>
          <cell r="G8607" t="str">
            <v>Paid</v>
          </cell>
        </row>
        <row r="8608">
          <cell r="F8608" t="str">
            <v>INV-030524111403</v>
          </cell>
          <cell r="G8608" t="str">
            <v>Paid</v>
          </cell>
        </row>
        <row r="8609">
          <cell r="F8609" t="str">
            <v>INV-030724133849</v>
          </cell>
          <cell r="G8609" t="str">
            <v>Paid</v>
          </cell>
        </row>
        <row r="8610">
          <cell r="F8610" t="str">
            <v>INV-031224170218</v>
          </cell>
          <cell r="G8610" t="str">
            <v>Paid</v>
          </cell>
        </row>
        <row r="8611">
          <cell r="F8611" t="str">
            <v>INV-040624112542</v>
          </cell>
          <cell r="G8611" t="str">
            <v>Paid</v>
          </cell>
        </row>
        <row r="8612">
          <cell r="F8612" t="str">
            <v>INV-040924104830</v>
          </cell>
          <cell r="G8612" t="str">
            <v>Paid</v>
          </cell>
        </row>
        <row r="8613">
          <cell r="F8613" t="str">
            <v>INV-021024152944</v>
          </cell>
          <cell r="G8613" t="str">
            <v>Paid</v>
          </cell>
        </row>
        <row r="8614">
          <cell r="F8614" t="str">
            <v>INV-061124101451</v>
          </cell>
          <cell r="G8614" t="str">
            <v>Paid</v>
          </cell>
        </row>
        <row r="8615">
          <cell r="F8615" t="str">
            <v>INV-060125103845</v>
          </cell>
          <cell r="G8615" t="str">
            <v>Paid</v>
          </cell>
        </row>
        <row r="8616">
          <cell r="F8616" t="str">
            <v>INV-040225151446</v>
          </cell>
          <cell r="G8616" t="str">
            <v>Paid</v>
          </cell>
        </row>
        <row r="8617">
          <cell r="F8617" t="str">
            <v>INV-040325153030</v>
          </cell>
          <cell r="G8617" t="str">
            <v>Paid</v>
          </cell>
        </row>
        <row r="8618">
          <cell r="F8618" t="str">
            <v>INV-020425160557</v>
          </cell>
          <cell r="G8618" t="str">
            <v>Paid</v>
          </cell>
        </row>
        <row r="8619">
          <cell r="F8619" t="str">
            <v>INV-020525181059</v>
          </cell>
          <cell r="G8619" t="str">
            <v>Paid</v>
          </cell>
        </row>
        <row r="8620">
          <cell r="F8620" t="str">
            <v>INV-030625145313</v>
          </cell>
          <cell r="G8620" t="str">
            <v>Paid</v>
          </cell>
        </row>
        <row r="8621">
          <cell r="F8621" t="str">
            <v>INV-020725164337</v>
          </cell>
          <cell r="G8621" t="str">
            <v>Paid</v>
          </cell>
        </row>
        <row r="8622">
          <cell r="F8622" t="str">
            <v>INV-040825132412</v>
          </cell>
          <cell r="G8622" t="str">
            <v>Paid</v>
          </cell>
        </row>
        <row r="8623">
          <cell r="F8623" t="str">
            <v>INV-020925121312</v>
          </cell>
          <cell r="G8623" t="str">
            <v>Paid</v>
          </cell>
        </row>
        <row r="8624">
          <cell r="F8624" t="str">
            <v>INV-021025122633</v>
          </cell>
          <cell r="G8624" t="str">
            <v>Paid</v>
          </cell>
        </row>
        <row r="8625">
          <cell r="F8625" t="str">
            <v>INV-071125114633</v>
          </cell>
          <cell r="G8625" t="str">
            <v>Paid</v>
          </cell>
        </row>
        <row r="8626">
          <cell r="F8626" t="str">
            <v>INV-021225182040</v>
          </cell>
          <cell r="G8626" t="str">
            <v>Paid</v>
          </cell>
        </row>
        <row r="8627">
          <cell r="F8627" t="str">
            <v>INV-020126133426</v>
          </cell>
          <cell r="G8627" t="str">
            <v>Paid</v>
          </cell>
        </row>
        <row r="8628">
          <cell r="F8628" t="str">
            <v>INV-020226143736</v>
          </cell>
          <cell r="G8628" t="str">
            <v>Paid</v>
          </cell>
        </row>
        <row r="8629">
          <cell r="F8629" t="str">
            <v>INV-020326181553</v>
          </cell>
          <cell r="G8629" t="str">
            <v>Paid</v>
          </cell>
        </row>
        <row r="8630">
          <cell r="F8630" t="str">
            <v>UKCARDS0002</v>
          </cell>
          <cell r="G8630" t="str">
            <v>Waived Off</v>
          </cell>
        </row>
        <row r="8631">
          <cell r="F8631" t="str">
            <v>INV-041225131701</v>
          </cell>
          <cell r="G8631" t="str">
            <v>Paid</v>
          </cell>
        </row>
        <row r="8632">
          <cell r="F8632" t="str">
            <v>INV-020126185811</v>
          </cell>
          <cell r="G8632" t="str">
            <v>Paid</v>
          </cell>
        </row>
        <row r="8633">
          <cell r="F8633" t="str">
            <v>INV-020226163657</v>
          </cell>
          <cell r="G8633" t="str">
            <v>Paid</v>
          </cell>
        </row>
        <row r="8634">
          <cell r="F8634" t="str">
            <v>INV-030326135919</v>
          </cell>
          <cell r="G8634" t="str">
            <v>Outstanding</v>
          </cell>
        </row>
        <row r="8635">
          <cell r="F8635" t="str">
            <v>INV-030326143845</v>
          </cell>
          <cell r="G8635" t="str">
            <v>Outstanding</v>
          </cell>
        </row>
        <row r="8636">
          <cell r="F8636" t="str">
            <v>INV-230625164749</v>
          </cell>
          <cell r="G8636" t="str">
            <v>Paid</v>
          </cell>
        </row>
        <row r="8637">
          <cell r="F8637" t="str">
            <v>CARDS0113</v>
          </cell>
          <cell r="G8637" t="str">
            <v>Paid</v>
          </cell>
        </row>
        <row r="8638">
          <cell r="F8638" t="str">
            <v>CN-310323163011</v>
          </cell>
          <cell r="G8638" t="str">
            <v>Paid</v>
          </cell>
        </row>
        <row r="8639">
          <cell r="F8639" t="str">
            <v>INV-030724165331</v>
          </cell>
          <cell r="G8639" t="str">
            <v>Paid</v>
          </cell>
        </row>
        <row r="8640">
          <cell r="F8640" t="str">
            <v>INV-031024154029</v>
          </cell>
          <cell r="G8640" t="str">
            <v>Paid</v>
          </cell>
        </row>
        <row r="8641">
          <cell r="F8641" t="str">
            <v>INV-040624170013</v>
          </cell>
          <cell r="G8641" t="str">
            <v>Paid</v>
          </cell>
        </row>
        <row r="8642">
          <cell r="F8642" t="str">
            <v>INV-040924165215</v>
          </cell>
          <cell r="G8642" t="str">
            <v>Paid</v>
          </cell>
        </row>
        <row r="8643">
          <cell r="F8643" t="str">
            <v>INV-050824140451</v>
          </cell>
          <cell r="G8643" t="str">
            <v>Paid</v>
          </cell>
        </row>
        <row r="8644">
          <cell r="F8644" t="str">
            <v>INV-061124135530</v>
          </cell>
          <cell r="G8644" t="str">
            <v>Paid</v>
          </cell>
        </row>
        <row r="8645">
          <cell r="F8645" t="str">
            <v>INV-031224180631</v>
          </cell>
          <cell r="G8645" t="str">
            <v>Paid</v>
          </cell>
        </row>
        <row r="8646">
          <cell r="F8646" t="str">
            <v>INV-060125121612</v>
          </cell>
          <cell r="G8646" t="str">
            <v>Paid</v>
          </cell>
        </row>
        <row r="8647">
          <cell r="F8647" t="str">
            <v>INV-060225095026</v>
          </cell>
          <cell r="G8647" t="str">
            <v>Paid</v>
          </cell>
        </row>
        <row r="8648">
          <cell r="F8648" t="str">
            <v>INV-040325165325</v>
          </cell>
          <cell r="G8648" t="str">
            <v>Paid</v>
          </cell>
        </row>
        <row r="8649">
          <cell r="F8649" t="str">
            <v>INV-020425180249</v>
          </cell>
          <cell r="G8649" t="str">
            <v>Paid</v>
          </cell>
        </row>
        <row r="8650">
          <cell r="F8650" t="str">
            <v>INV-050525101811</v>
          </cell>
          <cell r="G8650" t="str">
            <v>Paid</v>
          </cell>
        </row>
        <row r="8651">
          <cell r="F8651" t="str">
            <v>INV-030625162831</v>
          </cell>
          <cell r="G8651" t="str">
            <v>Paid</v>
          </cell>
        </row>
        <row r="8652">
          <cell r="F8652" t="str">
            <v>INV-020725190628</v>
          </cell>
          <cell r="G8652" t="str">
            <v>Paid</v>
          </cell>
        </row>
        <row r="8653">
          <cell r="F8653" t="str">
            <v>INV-040825181057</v>
          </cell>
          <cell r="G8653" t="str">
            <v>Paid</v>
          </cell>
        </row>
        <row r="8654">
          <cell r="F8654" t="str">
            <v>INV-020925190837</v>
          </cell>
          <cell r="G8654" t="str">
            <v>Paid</v>
          </cell>
        </row>
        <row r="8655">
          <cell r="F8655" t="str">
            <v>INV-021025125845</v>
          </cell>
          <cell r="G8655" t="str">
            <v>Paid</v>
          </cell>
        </row>
        <row r="8656">
          <cell r="F8656" t="str">
            <v>INV-031125232520</v>
          </cell>
          <cell r="G8656" t="str">
            <v>Paid</v>
          </cell>
        </row>
        <row r="8657">
          <cell r="F8657" t="str">
            <v>INV-021225132937</v>
          </cell>
          <cell r="G8657" t="str">
            <v>Paid</v>
          </cell>
        </row>
        <row r="8658">
          <cell r="F8658" t="str">
            <v>INV-020126160816</v>
          </cell>
          <cell r="G8658" t="str">
            <v>Paid</v>
          </cell>
        </row>
        <row r="8659">
          <cell r="F8659" t="str">
            <v>INV-020226174118</v>
          </cell>
          <cell r="G8659" t="str">
            <v>Paid</v>
          </cell>
        </row>
        <row r="8660">
          <cell r="F8660" t="str">
            <v>INV-020326184237</v>
          </cell>
          <cell r="G8660" t="str">
            <v>Paid</v>
          </cell>
        </row>
        <row r="8661">
          <cell r="F8661" t="str">
            <v>INV-040625094220</v>
          </cell>
          <cell r="G8661" t="str">
            <v>Paid</v>
          </cell>
        </row>
        <row r="8662">
          <cell r="F8662" t="str">
            <v>INV-020725202324</v>
          </cell>
          <cell r="G8662" t="str">
            <v>Paid</v>
          </cell>
        </row>
        <row r="8663">
          <cell r="F8663" t="str">
            <v>INV-040825132536</v>
          </cell>
          <cell r="G8663" t="str">
            <v>Paid</v>
          </cell>
        </row>
        <row r="8664">
          <cell r="F8664" t="str">
            <v>INV-020925160957</v>
          </cell>
          <cell r="G8664" t="str">
            <v>Paid</v>
          </cell>
        </row>
        <row r="8665">
          <cell r="F8665" t="str">
            <v>INV-021025154626</v>
          </cell>
          <cell r="G8665" t="str">
            <v>Paid</v>
          </cell>
        </row>
        <row r="8666">
          <cell r="F8666" t="str">
            <v>INV-041125100741</v>
          </cell>
          <cell r="G8666" t="str">
            <v>Paid</v>
          </cell>
        </row>
        <row r="8667">
          <cell r="F8667" t="str">
            <v>INV-021225161321</v>
          </cell>
          <cell r="G8667" t="str">
            <v>Paid</v>
          </cell>
        </row>
        <row r="8668">
          <cell r="F8668" t="str">
            <v>INV-050126143825</v>
          </cell>
          <cell r="G8668" t="str">
            <v>Paid</v>
          </cell>
        </row>
        <row r="8669">
          <cell r="F8669" t="str">
            <v>INV-020226212438</v>
          </cell>
          <cell r="G8669" t="str">
            <v>Paid</v>
          </cell>
        </row>
        <row r="8670">
          <cell r="F8670" t="str">
            <v>INV-030326112026</v>
          </cell>
          <cell r="G8670" t="str">
            <v>Paid</v>
          </cell>
        </row>
        <row r="8671">
          <cell r="F8671" t="str">
            <v>INV-020824161322</v>
          </cell>
          <cell r="G8671" t="str">
            <v>Paid</v>
          </cell>
        </row>
        <row r="8672">
          <cell r="F8672" t="str">
            <v>INV-031224185103</v>
          </cell>
          <cell r="G8672" t="str">
            <v>Paid</v>
          </cell>
        </row>
        <row r="8673">
          <cell r="F8673" t="str">
            <v>INV-060125113338</v>
          </cell>
          <cell r="G8673" t="str">
            <v>Paid</v>
          </cell>
        </row>
        <row r="8674">
          <cell r="F8674" t="str">
            <v>INV-050225095456</v>
          </cell>
          <cell r="G8674" t="str">
            <v>Paid</v>
          </cell>
        </row>
        <row r="8675">
          <cell r="F8675" t="str">
            <v>INV-050325093344</v>
          </cell>
          <cell r="G8675" t="str">
            <v>Paid</v>
          </cell>
        </row>
        <row r="8676">
          <cell r="F8676" t="str">
            <v>INV-020425185420</v>
          </cell>
          <cell r="G8676" t="str">
            <v>Paid</v>
          </cell>
        </row>
        <row r="8677">
          <cell r="F8677" t="str">
            <v>INV-050525174529</v>
          </cell>
          <cell r="G8677" t="str">
            <v>Paid</v>
          </cell>
        </row>
        <row r="8678">
          <cell r="F8678" t="str">
            <v>INV-260624112710</v>
          </cell>
          <cell r="G8678" t="str">
            <v>Paid</v>
          </cell>
        </row>
        <row r="8679">
          <cell r="F8679" t="str">
            <v>INV-170325172536</v>
          </cell>
          <cell r="G8679" t="str">
            <v>Paid</v>
          </cell>
        </row>
        <row r="8680">
          <cell r="F8680" t="str">
            <v>INV-161224111951</v>
          </cell>
          <cell r="G8680" t="str">
            <v>Paid</v>
          </cell>
        </row>
        <row r="8681">
          <cell r="F8681" t="str">
            <v>INV-220925103638</v>
          </cell>
          <cell r="G8681" t="str">
            <v>Paid</v>
          </cell>
        </row>
        <row r="8682">
          <cell r="F8682" t="str">
            <v>INV-110326113159</v>
          </cell>
          <cell r="G8682" t="str">
            <v>Paid</v>
          </cell>
        </row>
        <row r="8683">
          <cell r="F8683" t="str">
            <v>INV-060126175157</v>
          </cell>
          <cell r="G8683" t="str">
            <v>Paid</v>
          </cell>
        </row>
        <row r="8684">
          <cell r="F8684" t="str">
            <v>INV-040226161341</v>
          </cell>
          <cell r="G8684" t="str">
            <v>Paid</v>
          </cell>
        </row>
        <row r="8685">
          <cell r="F8685" t="str">
            <v>INV-050326152047</v>
          </cell>
          <cell r="G8685" t="str">
            <v>Outstanding</v>
          </cell>
        </row>
        <row r="8686">
          <cell r="F8686" t="str">
            <v>CARDS0091</v>
          </cell>
          <cell r="G8686" t="str">
            <v>Paid</v>
          </cell>
        </row>
        <row r="8687">
          <cell r="F8687" t="str">
            <v>CARDS0108</v>
          </cell>
          <cell r="G8687" t="str">
            <v>Paid</v>
          </cell>
        </row>
        <row r="8688">
          <cell r="F8688" t="str">
            <v>CARDS0127</v>
          </cell>
          <cell r="G8688" t="str">
            <v>Paid</v>
          </cell>
        </row>
        <row r="8689">
          <cell r="F8689" t="str">
            <v>CARDS0144</v>
          </cell>
          <cell r="G8689" t="str">
            <v>Paid</v>
          </cell>
        </row>
        <row r="8690">
          <cell r="F8690" t="str">
            <v>CARDS0163</v>
          </cell>
          <cell r="G8690" t="str">
            <v>Waived Off</v>
          </cell>
        </row>
        <row r="8691">
          <cell r="F8691" t="str">
            <v>CARDS0180</v>
          </cell>
          <cell r="G8691" t="str">
            <v>Paid</v>
          </cell>
        </row>
        <row r="8692">
          <cell r="F8692" t="str">
            <v>CARDS0200</v>
          </cell>
          <cell r="G8692" t="str">
            <v>Paid</v>
          </cell>
        </row>
        <row r="8693">
          <cell r="F8693" t="str">
            <v>CARDS0221</v>
          </cell>
          <cell r="G8693" t="str">
            <v>Paid</v>
          </cell>
        </row>
        <row r="8694">
          <cell r="F8694" t="str">
            <v>CARDS0237</v>
          </cell>
          <cell r="G8694" t="str">
            <v>Waived Off</v>
          </cell>
        </row>
        <row r="8695">
          <cell r="F8695" t="str">
            <v>CARDS0254</v>
          </cell>
          <cell r="G8695" t="str">
            <v>Waived Off</v>
          </cell>
        </row>
        <row r="8696">
          <cell r="F8696" t="str">
            <v>CARDS0275</v>
          </cell>
          <cell r="G8696" t="str">
            <v>Waived Off</v>
          </cell>
        </row>
        <row r="8697">
          <cell r="F8697" t="str">
            <v>DNCARDS0015</v>
          </cell>
          <cell r="G8697" t="str">
            <v>Waived Off</v>
          </cell>
        </row>
        <row r="8698">
          <cell r="F8698" t="str">
            <v>CARDS0293</v>
          </cell>
          <cell r="G8698" t="str">
            <v>Waived Off</v>
          </cell>
        </row>
        <row r="8699">
          <cell r="F8699" t="str">
            <v>CARDS0311</v>
          </cell>
          <cell r="G8699" t="str">
            <v>Waived Off</v>
          </cell>
        </row>
        <row r="8700">
          <cell r="F8700" t="str">
            <v>CARDS0324</v>
          </cell>
          <cell r="G8700" t="str">
            <v>Waived Off</v>
          </cell>
        </row>
        <row r="8701">
          <cell r="F8701" t="str">
            <v>CARDS0337</v>
          </cell>
          <cell r="G8701" t="str">
            <v>Waived Off</v>
          </cell>
        </row>
        <row r="8702">
          <cell r="F8702" t="str">
            <v>INV-021122012000</v>
          </cell>
          <cell r="G8702" t="str">
            <v>Waived Off</v>
          </cell>
        </row>
        <row r="8703">
          <cell r="F8703" t="str">
            <v>INV-021222000336</v>
          </cell>
          <cell r="G8703" t="str">
            <v>Waived Off</v>
          </cell>
        </row>
        <row r="8704">
          <cell r="F8704" t="str">
            <v>INV-151222173838</v>
          </cell>
          <cell r="G8704" t="str">
            <v>Waived Off</v>
          </cell>
        </row>
        <row r="8705">
          <cell r="F8705" t="str">
            <v>INV-040123135037</v>
          </cell>
          <cell r="G8705" t="str">
            <v>Waived Off</v>
          </cell>
        </row>
        <row r="8706">
          <cell r="F8706" t="str">
            <v>DN-021122012000</v>
          </cell>
          <cell r="G8706" t="str">
            <v>Waived Off</v>
          </cell>
        </row>
        <row r="8707">
          <cell r="F8707" t="str">
            <v>DN-021222000336</v>
          </cell>
          <cell r="G8707" t="str">
            <v>Waived Off</v>
          </cell>
        </row>
        <row r="8708">
          <cell r="F8708" t="str">
            <v>DN-040123135037</v>
          </cell>
          <cell r="G8708" t="str">
            <v>Waived Off</v>
          </cell>
        </row>
        <row r="8709">
          <cell r="F8709" t="str">
            <v>DNCARDS0337</v>
          </cell>
          <cell r="G8709" t="str">
            <v>Waived Off</v>
          </cell>
        </row>
        <row r="8710">
          <cell r="F8710" t="str">
            <v>INV-020223014315</v>
          </cell>
          <cell r="G8710" t="str">
            <v>Waived Off</v>
          </cell>
        </row>
        <row r="8711">
          <cell r="F8711" t="str">
            <v>INV-020323004256</v>
          </cell>
          <cell r="G8711" t="str">
            <v>Waived Off</v>
          </cell>
        </row>
        <row r="8712">
          <cell r="F8712" t="str">
            <v>INV-030423155707</v>
          </cell>
          <cell r="G8712" t="str">
            <v>Waived Off</v>
          </cell>
        </row>
        <row r="8713">
          <cell r="F8713" t="str">
            <v>INV-020523182549</v>
          </cell>
          <cell r="G8713" t="str">
            <v>Waived Off</v>
          </cell>
        </row>
        <row r="8714">
          <cell r="F8714" t="str">
            <v>INV-190324160718</v>
          </cell>
          <cell r="G8714" t="str">
            <v>Paid</v>
          </cell>
        </row>
        <row r="8715">
          <cell r="F8715" t="str">
            <v>INV-040724182355</v>
          </cell>
          <cell r="G8715" t="str">
            <v>Paid</v>
          </cell>
        </row>
        <row r="8716">
          <cell r="F8716" t="str">
            <v>INV-041024153015</v>
          </cell>
          <cell r="G8716" t="str">
            <v>Paid</v>
          </cell>
        </row>
        <row r="8717">
          <cell r="F8717" t="str">
            <v>INV-050824173124</v>
          </cell>
          <cell r="G8717" t="str">
            <v>Paid</v>
          </cell>
        </row>
        <row r="8718">
          <cell r="F8718" t="str">
            <v>INV-050924115521</v>
          </cell>
          <cell r="G8718" t="str">
            <v>Paid</v>
          </cell>
        </row>
        <row r="8719">
          <cell r="F8719" t="str">
            <v>INV-061124133733</v>
          </cell>
          <cell r="G8719" t="str">
            <v>Paid</v>
          </cell>
        </row>
        <row r="8720">
          <cell r="F8720" t="str">
            <v>INV-041224164351</v>
          </cell>
          <cell r="G8720" t="str">
            <v>Paid</v>
          </cell>
        </row>
        <row r="8721">
          <cell r="F8721" t="str">
            <v>INV-060125155854</v>
          </cell>
          <cell r="G8721" t="str">
            <v>Paid</v>
          </cell>
        </row>
        <row r="8722">
          <cell r="F8722" t="str">
            <v>INV-050225165328</v>
          </cell>
          <cell r="G8722" t="str">
            <v>Paid</v>
          </cell>
        </row>
        <row r="8723">
          <cell r="F8723" t="str">
            <v>INV-050325113252</v>
          </cell>
          <cell r="G8723" t="str">
            <v>Paid</v>
          </cell>
        </row>
        <row r="8724">
          <cell r="F8724" t="str">
            <v>INV-030425174650</v>
          </cell>
          <cell r="G8724" t="str">
            <v>Paid</v>
          </cell>
        </row>
        <row r="8725">
          <cell r="F8725" t="str">
            <v>INV-050525163404</v>
          </cell>
          <cell r="G8725" t="str">
            <v>Paid</v>
          </cell>
        </row>
        <row r="8726">
          <cell r="F8726" t="str">
            <v>INV-040625181316</v>
          </cell>
          <cell r="G8726" t="str">
            <v>Paid</v>
          </cell>
        </row>
        <row r="8727">
          <cell r="F8727" t="str">
            <v>INV-030725184812</v>
          </cell>
          <cell r="G8727" t="str">
            <v>Paid</v>
          </cell>
        </row>
        <row r="8728">
          <cell r="F8728" t="str">
            <v>INV-050825110406</v>
          </cell>
          <cell r="G8728" t="str">
            <v>Paid</v>
          </cell>
        </row>
        <row r="8729">
          <cell r="F8729" t="str">
            <v>INV-020925174946</v>
          </cell>
          <cell r="G8729" t="str">
            <v>Paid</v>
          </cell>
        </row>
        <row r="8730">
          <cell r="F8730" t="str">
            <v>INV-021025162338</v>
          </cell>
          <cell r="G8730" t="str">
            <v>Paid</v>
          </cell>
        </row>
        <row r="8731">
          <cell r="F8731" t="str">
            <v>INV-071125112105</v>
          </cell>
          <cell r="G8731" t="str">
            <v>Paid</v>
          </cell>
        </row>
        <row r="8732">
          <cell r="F8732" t="str">
            <v>INV-031225110812</v>
          </cell>
          <cell r="G8732" t="str">
            <v>Paid</v>
          </cell>
        </row>
        <row r="8733">
          <cell r="F8733" t="str">
            <v>INV-060126113158</v>
          </cell>
          <cell r="G8733" t="str">
            <v>Paid</v>
          </cell>
        </row>
        <row r="8734">
          <cell r="F8734" t="str">
            <v>INV-040226151356</v>
          </cell>
          <cell r="G8734" t="str">
            <v>Paid</v>
          </cell>
        </row>
        <row r="8735">
          <cell r="F8735" t="str">
            <v>INV-040326163824</v>
          </cell>
          <cell r="G8735" t="str">
            <v>Outstanding</v>
          </cell>
        </row>
        <row r="8736">
          <cell r="F8736" t="str">
            <v>INV-031224180024</v>
          </cell>
          <cell r="G8736" t="str">
            <v>Paid</v>
          </cell>
        </row>
        <row r="8737">
          <cell r="F8737" t="str">
            <v>INV-040624161801</v>
          </cell>
          <cell r="G8737" t="str">
            <v>Paid</v>
          </cell>
        </row>
        <row r="8738">
          <cell r="F8738" t="str">
            <v>INV-040724134256</v>
          </cell>
          <cell r="G8738" t="str">
            <v>Paid</v>
          </cell>
        </row>
        <row r="8739">
          <cell r="F8739" t="str">
            <v>INV-040924165340</v>
          </cell>
          <cell r="G8739" t="str">
            <v>Paid</v>
          </cell>
        </row>
        <row r="8740">
          <cell r="F8740" t="str">
            <v>INV-060524123759</v>
          </cell>
          <cell r="G8740" t="str">
            <v>Paid</v>
          </cell>
        </row>
        <row r="8741">
          <cell r="F8741" t="str">
            <v>INV-050824105747</v>
          </cell>
          <cell r="G8741" t="str">
            <v>Paid</v>
          </cell>
        </row>
        <row r="8742">
          <cell r="F8742" t="str">
            <v>INV-061124171626</v>
          </cell>
          <cell r="G8742" t="str">
            <v>Paid</v>
          </cell>
        </row>
        <row r="8743">
          <cell r="F8743" t="str">
            <v>INV-071024122906</v>
          </cell>
          <cell r="G8743" t="str">
            <v>Paid</v>
          </cell>
        </row>
        <row r="8744">
          <cell r="F8744" t="str">
            <v>INV-060125110304</v>
          </cell>
          <cell r="G8744" t="str">
            <v>Paid</v>
          </cell>
        </row>
        <row r="8745">
          <cell r="F8745" t="str">
            <v>INV-050225105620</v>
          </cell>
          <cell r="G8745" t="str">
            <v>Paid</v>
          </cell>
        </row>
        <row r="8746">
          <cell r="F8746" t="str">
            <v>INV-040325163948</v>
          </cell>
          <cell r="G8746" t="str">
            <v>Paid</v>
          </cell>
        </row>
        <row r="8747">
          <cell r="F8747" t="str">
            <v>INV-020425181704</v>
          </cell>
          <cell r="G8747" t="str">
            <v>Paid</v>
          </cell>
        </row>
        <row r="8748">
          <cell r="F8748" t="str">
            <v>INV-050525134348</v>
          </cell>
          <cell r="G8748" t="str">
            <v>Paid</v>
          </cell>
        </row>
        <row r="8749">
          <cell r="F8749" t="str">
            <v>INV-040625174717</v>
          </cell>
          <cell r="G8749" t="str">
            <v>Paid</v>
          </cell>
        </row>
        <row r="8750">
          <cell r="F8750" t="str">
            <v>INV-030725142243</v>
          </cell>
          <cell r="G8750" t="str">
            <v>Paid</v>
          </cell>
        </row>
        <row r="8751">
          <cell r="F8751" t="str">
            <v>INV-040825125806</v>
          </cell>
          <cell r="G8751" t="str">
            <v>Paid</v>
          </cell>
        </row>
        <row r="8752">
          <cell r="F8752" t="str">
            <v>INV-020925134114</v>
          </cell>
          <cell r="G8752" t="str">
            <v>Paid</v>
          </cell>
        </row>
        <row r="8753">
          <cell r="F8753" t="str">
            <v>INV-021025123512</v>
          </cell>
          <cell r="G8753" t="str">
            <v>Paid</v>
          </cell>
        </row>
        <row r="8754">
          <cell r="F8754" t="str">
            <v>INV-031125194937</v>
          </cell>
          <cell r="G8754" t="str">
            <v>Paid</v>
          </cell>
        </row>
        <row r="8755">
          <cell r="F8755" t="str">
            <v>INV-021225135836</v>
          </cell>
          <cell r="G8755" t="str">
            <v>Paid</v>
          </cell>
        </row>
        <row r="8756">
          <cell r="F8756" t="str">
            <v>INV-020126130939</v>
          </cell>
          <cell r="G8756" t="str">
            <v>Paid</v>
          </cell>
        </row>
        <row r="8757">
          <cell r="F8757" t="str">
            <v>INV-020226172609</v>
          </cell>
          <cell r="G8757" t="str">
            <v>Paid</v>
          </cell>
        </row>
        <row r="8758">
          <cell r="F8758" t="str">
            <v>INV-020326182617</v>
          </cell>
          <cell r="G8758" t="str">
            <v>Paid</v>
          </cell>
        </row>
        <row r="8759">
          <cell r="F8759" t="str">
            <v>UKCARDS0004</v>
          </cell>
          <cell r="G8759" t="str">
            <v>Paid</v>
          </cell>
        </row>
        <row r="8760">
          <cell r="F8760" t="str">
            <v>EUCARDS0011</v>
          </cell>
          <cell r="G8760" t="str">
            <v>Waived Off</v>
          </cell>
        </row>
        <row r="8761">
          <cell r="F8761" t="str">
            <v>INV-050325125018</v>
          </cell>
          <cell r="G8761" t="str">
            <v>Paid</v>
          </cell>
        </row>
        <row r="8762">
          <cell r="F8762" t="str">
            <v>INV-020725181758</v>
          </cell>
          <cell r="G8762" t="str">
            <v>Paid</v>
          </cell>
        </row>
        <row r="8763">
          <cell r="F8763" t="str">
            <v>INV-110225103429</v>
          </cell>
          <cell r="G8763" t="str">
            <v>Paid</v>
          </cell>
        </row>
        <row r="8764">
          <cell r="F8764" t="str">
            <v>INV-110225110224</v>
          </cell>
          <cell r="G8764" t="str">
            <v>Paid</v>
          </cell>
        </row>
        <row r="8765">
          <cell r="F8765" t="str">
            <v>INV-050325123622</v>
          </cell>
          <cell r="G8765" t="str">
            <v>Paid</v>
          </cell>
        </row>
        <row r="8766">
          <cell r="F8766" t="str">
            <v>INV-110225104404</v>
          </cell>
          <cell r="G8766" t="str">
            <v>Paid</v>
          </cell>
        </row>
        <row r="8767">
          <cell r="F8767" t="str">
            <v>HKCARDS0048</v>
          </cell>
          <cell r="G8767" t="str">
            <v>Waived Off</v>
          </cell>
        </row>
        <row r="8768">
          <cell r="F8768" t="str">
            <v>HKCARDS0057</v>
          </cell>
          <cell r="G8768" t="str">
            <v>Waived Off</v>
          </cell>
        </row>
        <row r="8769">
          <cell r="F8769" t="str">
            <v>HKCARDS0066</v>
          </cell>
          <cell r="G8769" t="str">
            <v>Waived Off</v>
          </cell>
        </row>
        <row r="8770">
          <cell r="F8770" t="str">
            <v>HKCARDS0075</v>
          </cell>
          <cell r="G8770" t="str">
            <v>Waived Off</v>
          </cell>
        </row>
        <row r="8771">
          <cell r="F8771" t="str">
            <v>HKCARDS0093</v>
          </cell>
          <cell r="G8771" t="str">
            <v>Waived Off</v>
          </cell>
        </row>
        <row r="8772">
          <cell r="F8772" t="str">
            <v>HKCARDS0106</v>
          </cell>
          <cell r="G8772" t="str">
            <v>Waived Off</v>
          </cell>
        </row>
        <row r="8773">
          <cell r="F8773" t="str">
            <v>INV-030423001924</v>
          </cell>
          <cell r="G8773" t="str">
            <v>Waived Off</v>
          </cell>
        </row>
        <row r="8774">
          <cell r="F8774" t="str">
            <v>INV-170625170820</v>
          </cell>
          <cell r="G8774" t="str">
            <v>Paid</v>
          </cell>
        </row>
        <row r="8775">
          <cell r="F8775" t="str">
            <v>INV-060825130632</v>
          </cell>
          <cell r="G8775" t="str">
            <v>Paid</v>
          </cell>
        </row>
        <row r="8776">
          <cell r="F8776" t="str">
            <v>INV-030925160748</v>
          </cell>
          <cell r="G8776" t="str">
            <v>Paid</v>
          </cell>
        </row>
        <row r="8777">
          <cell r="F8777" t="str">
            <v>CN-INV-061025093259</v>
          </cell>
          <cell r="G8777" t="str">
            <v>Outstanding</v>
          </cell>
        </row>
        <row r="8778">
          <cell r="F8778" t="str">
            <v>CN-INV-051125105233</v>
          </cell>
          <cell r="G8778" t="str">
            <v>Outstanding</v>
          </cell>
        </row>
        <row r="8779">
          <cell r="F8779" t="str">
            <v>CN-INV-031225192101</v>
          </cell>
          <cell r="G8779" t="str">
            <v>Outstanding</v>
          </cell>
        </row>
        <row r="8780">
          <cell r="F8780" t="str">
            <v>CN-INV-050126163126</v>
          </cell>
          <cell r="G8780" t="str">
            <v>Outstanding</v>
          </cell>
        </row>
        <row r="8781">
          <cell r="F8781" t="str">
            <v>INV-060226200521</v>
          </cell>
          <cell r="G8781" t="str">
            <v>Outstanding</v>
          </cell>
        </row>
        <row r="8782">
          <cell r="F8782" t="str">
            <v>INV-060326180209</v>
          </cell>
          <cell r="G8782" t="str">
            <v>Outstanding</v>
          </cell>
        </row>
        <row r="8783">
          <cell r="F8783" t="str">
            <v>INV-160824134259</v>
          </cell>
          <cell r="G8783" t="str">
            <v>Paid</v>
          </cell>
        </row>
        <row r="8784">
          <cell r="F8784" t="str">
            <v>CARDS0040</v>
          </cell>
          <cell r="G8784" t="str">
            <v>Void</v>
          </cell>
        </row>
        <row r="8785">
          <cell r="F8785" t="str">
            <v>CARDS0132</v>
          </cell>
          <cell r="G8785" t="str">
            <v>Waived Off</v>
          </cell>
        </row>
        <row r="8786">
          <cell r="F8786" t="str">
            <v>HKCARDS0002</v>
          </cell>
          <cell r="G8786" t="str">
            <v>Paid</v>
          </cell>
        </row>
        <row r="8787">
          <cell r="F8787" t="str">
            <v>HKCARDS0005</v>
          </cell>
          <cell r="G8787" t="str">
            <v>Paid</v>
          </cell>
        </row>
        <row r="8788">
          <cell r="F8788" t="str">
            <v>HKCARDS0004</v>
          </cell>
          <cell r="G8788" t="str">
            <v>Paid</v>
          </cell>
        </row>
        <row r="8789">
          <cell r="F8789" t="str">
            <v>HKCARDS0003</v>
          </cell>
          <cell r="G8789" t="str">
            <v>Paid</v>
          </cell>
        </row>
        <row r="8790">
          <cell r="F8790" t="str">
            <v>INV2021-SSL-001</v>
          </cell>
          <cell r="G8790" t="str">
            <v>Waived Off</v>
          </cell>
        </row>
        <row r="8791">
          <cell r="F8791" t="str">
            <v>CARDS0025</v>
          </cell>
          <cell r="G8791" t="str">
            <v>Waived Off</v>
          </cell>
        </row>
        <row r="8792">
          <cell r="F8792" t="str">
            <v>CARDS0041</v>
          </cell>
          <cell r="G8792" t="str">
            <v>Waived Off</v>
          </cell>
        </row>
        <row r="8793">
          <cell r="F8793" t="str">
            <v>CARDS0001</v>
          </cell>
          <cell r="G8793" t="str">
            <v>Paid</v>
          </cell>
        </row>
        <row r="8794">
          <cell r="F8794" t="str">
            <v>CARDS0011</v>
          </cell>
          <cell r="G8794" t="str">
            <v>Paid</v>
          </cell>
        </row>
        <row r="8795">
          <cell r="F8795" t="str">
            <v>CARDS0013</v>
          </cell>
          <cell r="G8795" t="str">
            <v>Paid</v>
          </cell>
        </row>
        <row r="8796">
          <cell r="F8796" t="str">
            <v>CARDS0027</v>
          </cell>
          <cell r="G8796" t="str">
            <v>Paid</v>
          </cell>
        </row>
        <row r="8797">
          <cell r="F8797" t="str">
            <v>CARDS0042</v>
          </cell>
          <cell r="G8797" t="str">
            <v>Paid</v>
          </cell>
        </row>
        <row r="8798">
          <cell r="F8798" t="str">
            <v>CARDS0066</v>
          </cell>
          <cell r="G8798" t="str">
            <v>Paid</v>
          </cell>
        </row>
        <row r="8799">
          <cell r="F8799" t="str">
            <v>CARDS0079</v>
          </cell>
          <cell r="G8799" t="str">
            <v>Paid</v>
          </cell>
        </row>
        <row r="8800">
          <cell r="F8800" t="str">
            <v>CARDS0096</v>
          </cell>
          <cell r="G8800" t="str">
            <v>Paid</v>
          </cell>
        </row>
        <row r="8801">
          <cell r="F8801" t="str">
            <v>CARDS0115</v>
          </cell>
          <cell r="G8801" t="str">
            <v>Paid</v>
          </cell>
        </row>
        <row r="8802">
          <cell r="F8802" t="str">
            <v>CARDS0133</v>
          </cell>
          <cell r="G8802" t="str">
            <v>Paid</v>
          </cell>
        </row>
        <row r="8803">
          <cell r="F8803" t="str">
            <v>CARDS0153</v>
          </cell>
          <cell r="G8803" t="str">
            <v>Paid</v>
          </cell>
        </row>
        <row r="8804">
          <cell r="F8804" t="str">
            <v>CARDS0169</v>
          </cell>
          <cell r="G8804" t="str">
            <v>Paid</v>
          </cell>
        </row>
        <row r="8805">
          <cell r="F8805" t="str">
            <v>CARDS0191</v>
          </cell>
          <cell r="G8805" t="str">
            <v>Paid</v>
          </cell>
        </row>
        <row r="8806">
          <cell r="F8806" t="str">
            <v>CARDS0211</v>
          </cell>
          <cell r="G8806" t="str">
            <v>Paid</v>
          </cell>
        </row>
        <row r="8807">
          <cell r="F8807" t="str">
            <v>CARDS0228</v>
          </cell>
          <cell r="G8807" t="str">
            <v>Paid</v>
          </cell>
        </row>
        <row r="8808">
          <cell r="F8808" t="str">
            <v>CARDS0245</v>
          </cell>
          <cell r="G8808" t="str">
            <v>Paid</v>
          </cell>
        </row>
        <row r="8809">
          <cell r="F8809" t="str">
            <v>CARDS0266</v>
          </cell>
          <cell r="G8809" t="str">
            <v>Paid</v>
          </cell>
        </row>
        <row r="8810">
          <cell r="F8810" t="str">
            <v>CARDS0284</v>
          </cell>
          <cell r="G8810" t="str">
            <v>Paid</v>
          </cell>
        </row>
        <row r="8811">
          <cell r="F8811" t="str">
            <v>CARDS0302</v>
          </cell>
          <cell r="G8811" t="str">
            <v>Paid</v>
          </cell>
        </row>
        <row r="8812">
          <cell r="F8812" t="str">
            <v>CARDS0316</v>
          </cell>
          <cell r="G8812" t="str">
            <v>Paid</v>
          </cell>
        </row>
        <row r="8813">
          <cell r="F8813" t="str">
            <v>CARDS00328</v>
          </cell>
          <cell r="G8813" t="str">
            <v>Paid</v>
          </cell>
        </row>
        <row r="8814">
          <cell r="F8814" t="str">
            <v>CARDS0341</v>
          </cell>
          <cell r="G8814" t="str">
            <v>Paid</v>
          </cell>
        </row>
        <row r="8815">
          <cell r="F8815" t="str">
            <v>INV-081122135209</v>
          </cell>
          <cell r="G8815" t="str">
            <v>Paid</v>
          </cell>
        </row>
        <row r="8816">
          <cell r="F8816" t="str">
            <v>CN-081122135209</v>
          </cell>
          <cell r="G8816" t="str">
            <v>Paid</v>
          </cell>
        </row>
        <row r="8817">
          <cell r="F8817" t="str">
            <v>INV-071222231109</v>
          </cell>
          <cell r="G8817" t="str">
            <v>Paid</v>
          </cell>
        </row>
        <row r="8818">
          <cell r="F8818" t="str">
            <v>INV-060123174923</v>
          </cell>
          <cell r="G8818" t="str">
            <v>Paid</v>
          </cell>
        </row>
        <row r="8819">
          <cell r="F8819" t="str">
            <v>INV-060223155329</v>
          </cell>
          <cell r="G8819" t="str">
            <v>Paid</v>
          </cell>
        </row>
        <row r="8820">
          <cell r="F8820" t="str">
            <v>INV-070323180242</v>
          </cell>
          <cell r="G8820" t="str">
            <v>Paid</v>
          </cell>
        </row>
        <row r="8821">
          <cell r="F8821" t="str">
            <v>INV-060423175625</v>
          </cell>
          <cell r="G8821" t="str">
            <v>Paid</v>
          </cell>
        </row>
        <row r="8822">
          <cell r="F8822" t="str">
            <v>INV-040523160159</v>
          </cell>
          <cell r="G8822" t="str">
            <v>Paid</v>
          </cell>
        </row>
        <row r="8823">
          <cell r="F8823" t="str">
            <v>INV-051023152827</v>
          </cell>
          <cell r="G8823" t="str">
            <v>Paid</v>
          </cell>
        </row>
        <row r="8824">
          <cell r="F8824" t="str">
            <v>INV-060623150803</v>
          </cell>
          <cell r="G8824" t="str">
            <v>Paid</v>
          </cell>
        </row>
        <row r="8825">
          <cell r="F8825" t="str">
            <v>INV-060923125520</v>
          </cell>
          <cell r="G8825" t="str">
            <v>Paid</v>
          </cell>
        </row>
        <row r="8826">
          <cell r="F8826" t="str">
            <v>INV-060723154152</v>
          </cell>
          <cell r="G8826" t="str">
            <v>Paid</v>
          </cell>
        </row>
        <row r="8827">
          <cell r="F8827" t="str">
            <v>INV-040823170718</v>
          </cell>
          <cell r="G8827" t="str">
            <v>Paid</v>
          </cell>
        </row>
        <row r="8828">
          <cell r="F8828" t="str">
            <v>INV-081223142159</v>
          </cell>
          <cell r="G8828" t="str">
            <v>Paid</v>
          </cell>
        </row>
        <row r="8829">
          <cell r="F8829" t="str">
            <v>INV-101123093542</v>
          </cell>
          <cell r="G8829" t="str">
            <v>Paid</v>
          </cell>
        </row>
        <row r="8830">
          <cell r="F8830" t="str">
            <v>INV-050124192800</v>
          </cell>
          <cell r="G8830" t="str">
            <v>Paid</v>
          </cell>
        </row>
        <row r="8831">
          <cell r="F8831" t="str">
            <v>INV-090224130015</v>
          </cell>
          <cell r="G8831" t="str">
            <v>Paid</v>
          </cell>
        </row>
        <row r="8832">
          <cell r="F8832" t="str">
            <v>INV-070324174259</v>
          </cell>
          <cell r="G8832" t="str">
            <v>Paid</v>
          </cell>
        </row>
        <row r="8833">
          <cell r="F8833" t="str">
            <v>INV-050424194725</v>
          </cell>
          <cell r="G8833" t="str">
            <v>Paid</v>
          </cell>
        </row>
        <row r="8834">
          <cell r="F8834" t="str">
            <v>INV-070524102550</v>
          </cell>
          <cell r="G8834" t="str">
            <v>Paid</v>
          </cell>
        </row>
        <row r="8835">
          <cell r="F8835" t="str">
            <v>INV-050724140857</v>
          </cell>
          <cell r="G8835" t="str">
            <v>Paid</v>
          </cell>
        </row>
        <row r="8836">
          <cell r="F8836" t="str">
            <v>INV-060624175032</v>
          </cell>
          <cell r="G8836" t="str">
            <v>Paid</v>
          </cell>
        </row>
        <row r="8837">
          <cell r="F8837" t="str">
            <v>INV-070824110024</v>
          </cell>
          <cell r="G8837" t="str">
            <v>Paid</v>
          </cell>
        </row>
        <row r="8838">
          <cell r="F8838" t="str">
            <v>INV-090924160513</v>
          </cell>
          <cell r="G8838" t="str">
            <v>Paid</v>
          </cell>
        </row>
        <row r="8839">
          <cell r="F8839" t="str">
            <v>INV-091024155707</v>
          </cell>
          <cell r="G8839" t="str">
            <v>Paid</v>
          </cell>
        </row>
        <row r="8840">
          <cell r="F8840" t="str">
            <v>INV-111124151803</v>
          </cell>
          <cell r="G8840" t="str">
            <v>Paid</v>
          </cell>
        </row>
        <row r="8841">
          <cell r="F8841" t="str">
            <v>INV-111224114605</v>
          </cell>
          <cell r="G8841" t="str">
            <v>Paid</v>
          </cell>
        </row>
        <row r="8842">
          <cell r="F8842" t="str">
            <v>INV-080125174254</v>
          </cell>
          <cell r="G8842" t="str">
            <v>Paid</v>
          </cell>
        </row>
        <row r="8843">
          <cell r="F8843" t="str">
            <v>INV-100225104824</v>
          </cell>
          <cell r="G8843" t="str">
            <v>Paid</v>
          </cell>
        </row>
        <row r="8844">
          <cell r="F8844" t="str">
            <v>INV-060325153443</v>
          </cell>
          <cell r="G8844" t="str">
            <v>Paid</v>
          </cell>
        </row>
        <row r="8845">
          <cell r="F8845" t="str">
            <v>INV-040425180950</v>
          </cell>
          <cell r="G8845" t="str">
            <v>Paid</v>
          </cell>
        </row>
        <row r="8846">
          <cell r="F8846" t="str">
            <v>INV-060525162437</v>
          </cell>
          <cell r="G8846" t="str">
            <v>Paid</v>
          </cell>
        </row>
        <row r="8847">
          <cell r="F8847" t="str">
            <v>INV-060625113053</v>
          </cell>
          <cell r="G8847" t="str">
            <v>Paid</v>
          </cell>
        </row>
        <row r="8848">
          <cell r="F8848" t="str">
            <v>INV-070725171606</v>
          </cell>
          <cell r="G8848" t="str">
            <v>Paid</v>
          </cell>
        </row>
        <row r="8849">
          <cell r="F8849" t="str">
            <v>INV-060825151006</v>
          </cell>
          <cell r="G8849" t="str">
            <v>Paid</v>
          </cell>
        </row>
        <row r="8850">
          <cell r="F8850" t="str">
            <v>INV-050925150833</v>
          </cell>
          <cell r="G8850" t="str">
            <v>Paid</v>
          </cell>
        </row>
        <row r="8851">
          <cell r="F8851" t="str">
            <v>INV-071025094901</v>
          </cell>
          <cell r="G8851" t="str">
            <v>Paid</v>
          </cell>
        </row>
        <row r="8852">
          <cell r="F8852" t="str">
            <v>INV-071125125643</v>
          </cell>
          <cell r="G8852" t="str">
            <v>Paid</v>
          </cell>
        </row>
        <row r="8853">
          <cell r="F8853" t="str">
            <v>INV-051225105547</v>
          </cell>
          <cell r="G8853" t="str">
            <v>Paid</v>
          </cell>
        </row>
        <row r="8854">
          <cell r="F8854" t="str">
            <v>INV-070126100548</v>
          </cell>
          <cell r="G8854" t="str">
            <v>Paid</v>
          </cell>
        </row>
        <row r="8855">
          <cell r="F8855" t="str">
            <v>INV-090226133228</v>
          </cell>
          <cell r="G8855" t="str">
            <v>Paid</v>
          </cell>
        </row>
        <row r="8856">
          <cell r="F8856" t="str">
            <v>INV-050326125758</v>
          </cell>
          <cell r="G8856" t="str">
            <v>Paid</v>
          </cell>
        </row>
        <row r="8857">
          <cell r="F8857" t="str">
            <v>CARDS0152</v>
          </cell>
          <cell r="G8857" t="str">
            <v>Paid</v>
          </cell>
        </row>
        <row r="8858">
          <cell r="F8858" t="str">
            <v>CARDS0343</v>
          </cell>
          <cell r="G8858" t="str">
            <v>Paid</v>
          </cell>
        </row>
        <row r="8859">
          <cell r="F8859" t="str">
            <v>INV-021122175341</v>
          </cell>
          <cell r="G8859" t="str">
            <v>Paid</v>
          </cell>
        </row>
        <row r="8860">
          <cell r="F8860" t="str">
            <v xml:space="preserve">INV-021222192111 </v>
          </cell>
          <cell r="G8860" t="str">
            <v>Paid</v>
          </cell>
        </row>
        <row r="8861">
          <cell r="F8861" t="str">
            <v>INV-040123133627</v>
          </cell>
          <cell r="G8861" t="str">
            <v>Paid</v>
          </cell>
        </row>
        <row r="8862">
          <cell r="F8862" t="str">
            <v>INV-020223033415</v>
          </cell>
          <cell r="G8862" t="str">
            <v>Paid</v>
          </cell>
        </row>
        <row r="8863">
          <cell r="F8863" t="str">
            <v>INV-020323023626</v>
          </cell>
          <cell r="G8863" t="str">
            <v>Paid</v>
          </cell>
        </row>
        <row r="8864">
          <cell r="F8864" t="str">
            <v>INV-031123145101</v>
          </cell>
          <cell r="G8864" t="str">
            <v>Paid</v>
          </cell>
        </row>
        <row r="8865">
          <cell r="F8865" t="str">
            <v>INV-020423213715</v>
          </cell>
          <cell r="G8865" t="str">
            <v>Paid</v>
          </cell>
        </row>
        <row r="8866">
          <cell r="F8866" t="str">
            <v>INV-040923161244</v>
          </cell>
          <cell r="G8866" t="str">
            <v>Paid</v>
          </cell>
        </row>
        <row r="8867">
          <cell r="F8867" t="str">
            <v>INV-041223150632</v>
          </cell>
          <cell r="G8867" t="str">
            <v>Paid</v>
          </cell>
        </row>
        <row r="8868">
          <cell r="F8868" t="str">
            <v>INV-030523031344</v>
          </cell>
          <cell r="G8868" t="str">
            <v>Paid</v>
          </cell>
        </row>
        <row r="8869">
          <cell r="F8869" t="str">
            <v>INV-051023105542</v>
          </cell>
          <cell r="G8869" t="str">
            <v>Paid</v>
          </cell>
        </row>
        <row r="8870">
          <cell r="F8870" t="str">
            <v>INV-050623173322</v>
          </cell>
          <cell r="G8870" t="str">
            <v>Paid</v>
          </cell>
        </row>
        <row r="8871">
          <cell r="F8871" t="str">
            <v>INV-030723173225</v>
          </cell>
          <cell r="G8871" t="str">
            <v>Paid</v>
          </cell>
        </row>
        <row r="8872">
          <cell r="F8872" t="str">
            <v>INV-020823144941</v>
          </cell>
          <cell r="G8872" t="str">
            <v>Paid</v>
          </cell>
        </row>
        <row r="8873">
          <cell r="F8873" t="str">
            <v>INV-040124161613</v>
          </cell>
          <cell r="G8873" t="str">
            <v>Paid</v>
          </cell>
        </row>
        <row r="8874">
          <cell r="F8874" t="str">
            <v>INV-050224174844</v>
          </cell>
          <cell r="G8874" t="str">
            <v>Paid</v>
          </cell>
        </row>
        <row r="8875">
          <cell r="F8875" t="str">
            <v>INV-050324122632</v>
          </cell>
          <cell r="G8875" t="str">
            <v>Paid</v>
          </cell>
        </row>
        <row r="8876">
          <cell r="F8876" t="str">
            <v>INV-030524164601</v>
          </cell>
          <cell r="G8876" t="str">
            <v>Paid</v>
          </cell>
        </row>
        <row r="8877">
          <cell r="F8877" t="str">
            <v>INV-040424154342</v>
          </cell>
          <cell r="G8877" t="str">
            <v>Paid</v>
          </cell>
        </row>
        <row r="8878">
          <cell r="F8878" t="str">
            <v>INV-040624172547</v>
          </cell>
          <cell r="G8878" t="str">
            <v>Paid</v>
          </cell>
        </row>
        <row r="8879">
          <cell r="F8879" t="str">
            <v>INV-040724175622</v>
          </cell>
          <cell r="G8879" t="str">
            <v>Paid</v>
          </cell>
        </row>
        <row r="8880">
          <cell r="F8880" t="str">
            <v>INV-050824133132</v>
          </cell>
          <cell r="G8880" t="str">
            <v>Paid</v>
          </cell>
        </row>
        <row r="8881">
          <cell r="F8881" t="str">
            <v>INV-050924160431</v>
          </cell>
          <cell r="G8881" t="str">
            <v>Paid</v>
          </cell>
        </row>
        <row r="8882">
          <cell r="F8882" t="str">
            <v>INV-071124093829</v>
          </cell>
          <cell r="G8882" t="str">
            <v>Paid</v>
          </cell>
        </row>
        <row r="8883">
          <cell r="F8883" t="str">
            <v>INV-081024093331</v>
          </cell>
          <cell r="G8883" t="str">
            <v>Paid</v>
          </cell>
        </row>
        <row r="8884">
          <cell r="F8884" t="str">
            <v>INV-061224104210</v>
          </cell>
          <cell r="G8884" t="str">
            <v>Paid</v>
          </cell>
        </row>
        <row r="8885">
          <cell r="F8885" t="str">
            <v>INV-070125120750</v>
          </cell>
          <cell r="G8885" t="str">
            <v>Paid</v>
          </cell>
        </row>
        <row r="8886">
          <cell r="F8886" t="str">
            <v>INV-060225130028</v>
          </cell>
          <cell r="G8886" t="str">
            <v>Paid</v>
          </cell>
        </row>
        <row r="8887">
          <cell r="F8887" t="str">
            <v>INV-050325163657</v>
          </cell>
          <cell r="G8887" t="str">
            <v>Paid</v>
          </cell>
        </row>
        <row r="8888">
          <cell r="F8888" t="str">
            <v>INV-030425175354</v>
          </cell>
          <cell r="G8888" t="str">
            <v>Paid</v>
          </cell>
        </row>
        <row r="8889">
          <cell r="F8889" t="str">
            <v>INV-060525095720</v>
          </cell>
          <cell r="G8889" t="str">
            <v>Paid</v>
          </cell>
        </row>
        <row r="8890">
          <cell r="F8890" t="str">
            <v>INV-060625115531</v>
          </cell>
          <cell r="G8890" t="str">
            <v>Paid</v>
          </cell>
        </row>
        <row r="8891">
          <cell r="F8891" t="str">
            <v>INV-040725125246</v>
          </cell>
          <cell r="G8891" t="str">
            <v>Paid</v>
          </cell>
        </row>
        <row r="8892">
          <cell r="F8892" t="str">
            <v>INV-060825111516</v>
          </cell>
          <cell r="G8892" t="str">
            <v>Paid</v>
          </cell>
        </row>
        <row r="8893">
          <cell r="F8893" t="str">
            <v>INV-030925170853</v>
          </cell>
          <cell r="G8893" t="str">
            <v>Paid</v>
          </cell>
        </row>
        <row r="8894">
          <cell r="F8894" t="str">
            <v>INV-061025141147</v>
          </cell>
          <cell r="G8894" t="str">
            <v>Paid</v>
          </cell>
        </row>
        <row r="8895">
          <cell r="F8895" t="str">
            <v>INV-061125105826</v>
          </cell>
          <cell r="G8895" t="str">
            <v>Paid</v>
          </cell>
        </row>
        <row r="8896">
          <cell r="F8896" t="str">
            <v>INV-041225145853</v>
          </cell>
          <cell r="G8896" t="str">
            <v>Paid</v>
          </cell>
        </row>
        <row r="8897">
          <cell r="F8897" t="str">
            <v>INV-060126161432</v>
          </cell>
          <cell r="G8897" t="str">
            <v>Paid</v>
          </cell>
        </row>
        <row r="8898">
          <cell r="F8898" t="str">
            <v>INV-060226182959</v>
          </cell>
          <cell r="G8898" t="str">
            <v>Paid</v>
          </cell>
        </row>
        <row r="8899">
          <cell r="F8899" t="str">
            <v>INV-050326122415</v>
          </cell>
          <cell r="G8899" t="str">
            <v>Paid</v>
          </cell>
        </row>
        <row r="8900">
          <cell r="F8900" t="str">
            <v>CARDS0060</v>
          </cell>
          <cell r="G8900" t="str">
            <v>Waived Off</v>
          </cell>
        </row>
        <row r="8901">
          <cell r="F8901" t="str">
            <v>INV-170823170000</v>
          </cell>
          <cell r="G8901" t="str">
            <v>Paid</v>
          </cell>
        </row>
        <row r="8902">
          <cell r="F8902" t="str">
            <v>INV-090124114826</v>
          </cell>
          <cell r="G8902" t="str">
            <v>Paid</v>
          </cell>
        </row>
        <row r="8903">
          <cell r="F8903" t="str">
            <v>INV-070224154503</v>
          </cell>
          <cell r="G8903" t="str">
            <v>Paid</v>
          </cell>
        </row>
        <row r="8904">
          <cell r="F8904" t="str">
            <v>INV-120324183340</v>
          </cell>
          <cell r="G8904" t="str">
            <v>Paid</v>
          </cell>
        </row>
        <row r="8905">
          <cell r="F8905" t="str">
            <v>INV-080424081634</v>
          </cell>
          <cell r="G8905" t="str">
            <v>Paid</v>
          </cell>
        </row>
        <row r="8906">
          <cell r="F8906" t="str">
            <v>INV-050724154913</v>
          </cell>
          <cell r="G8906" t="str">
            <v>Paid</v>
          </cell>
        </row>
        <row r="8907">
          <cell r="F8907" t="str">
            <v>INV-080524091543</v>
          </cell>
          <cell r="G8907" t="str">
            <v>Paid</v>
          </cell>
        </row>
        <row r="8908">
          <cell r="F8908" t="str">
            <v>INV-060624170150</v>
          </cell>
          <cell r="G8908" t="str">
            <v>Paid</v>
          </cell>
        </row>
        <row r="8909">
          <cell r="F8909" t="str">
            <v>INV-070824112940</v>
          </cell>
          <cell r="G8909" t="str">
            <v>Paid</v>
          </cell>
        </row>
        <row r="8910">
          <cell r="F8910" t="str">
            <v>INV-090924174952</v>
          </cell>
          <cell r="G8910" t="str">
            <v>Paid</v>
          </cell>
        </row>
        <row r="8911">
          <cell r="F8911" t="str">
            <v>INV-091224170809</v>
          </cell>
          <cell r="G8911" t="str">
            <v>Paid</v>
          </cell>
        </row>
        <row r="8912">
          <cell r="F8912" t="str">
            <v>INV-091024133116</v>
          </cell>
          <cell r="G8912" t="str">
            <v>Paid</v>
          </cell>
        </row>
        <row r="8913">
          <cell r="F8913" t="str">
            <v>INV-111124140625</v>
          </cell>
          <cell r="G8913" t="str">
            <v>Paid</v>
          </cell>
        </row>
        <row r="8914">
          <cell r="F8914" t="str">
            <v>INV-090125123230</v>
          </cell>
          <cell r="G8914" t="str">
            <v>Paid</v>
          </cell>
        </row>
        <row r="8915">
          <cell r="F8915" t="str">
            <v>INV-070225170951</v>
          </cell>
          <cell r="G8915" t="str">
            <v>Paid</v>
          </cell>
        </row>
        <row r="8916">
          <cell r="F8916" t="str">
            <v>INV-070325135336</v>
          </cell>
          <cell r="G8916" t="str">
            <v>Paid</v>
          </cell>
        </row>
        <row r="8917">
          <cell r="F8917" t="str">
            <v>INV-040425185112</v>
          </cell>
          <cell r="G8917" t="str">
            <v>Paid</v>
          </cell>
        </row>
        <row r="8918">
          <cell r="F8918" t="str">
            <v>INV-070525103818</v>
          </cell>
          <cell r="G8918" t="str">
            <v>Paid</v>
          </cell>
        </row>
        <row r="8919">
          <cell r="F8919" t="str">
            <v>INV-050625203119</v>
          </cell>
          <cell r="G8919" t="str">
            <v>Paid</v>
          </cell>
        </row>
        <row r="8920">
          <cell r="F8920" t="str">
            <v>INV-060625122050</v>
          </cell>
          <cell r="G8920" t="str">
            <v>Paid</v>
          </cell>
        </row>
        <row r="8921">
          <cell r="F8921" t="str">
            <v>INV-070725132423</v>
          </cell>
          <cell r="G8921" t="str">
            <v>Paid</v>
          </cell>
        </row>
        <row r="8922">
          <cell r="F8922" t="str">
            <v>INV-060825184022</v>
          </cell>
          <cell r="G8922" t="str">
            <v>Paid</v>
          </cell>
        </row>
        <row r="8923">
          <cell r="F8923" t="str">
            <v>INV-050925121725</v>
          </cell>
          <cell r="G8923" t="str">
            <v>Paid</v>
          </cell>
        </row>
        <row r="8924">
          <cell r="F8924" t="str">
            <v>INV-061025172709</v>
          </cell>
          <cell r="G8924" t="str">
            <v>Paid</v>
          </cell>
        </row>
        <row r="8925">
          <cell r="F8925" t="str">
            <v>INV-071125121835</v>
          </cell>
          <cell r="G8925" t="str">
            <v>Paid</v>
          </cell>
        </row>
        <row r="8926">
          <cell r="F8926" t="str">
            <v>INV-051225105751</v>
          </cell>
          <cell r="G8926" t="str">
            <v>Paid</v>
          </cell>
        </row>
        <row r="8927">
          <cell r="F8927" t="str">
            <v>INV-070126115916</v>
          </cell>
          <cell r="G8927" t="str">
            <v>Paid</v>
          </cell>
        </row>
        <row r="8928">
          <cell r="F8928" t="str">
            <v>INV-070226215935</v>
          </cell>
          <cell r="G8928" t="str">
            <v>Paid</v>
          </cell>
        </row>
        <row r="8929">
          <cell r="F8929" t="str">
            <v>INV-060326131619</v>
          </cell>
          <cell r="G8929" t="str">
            <v>Paid</v>
          </cell>
        </row>
        <row r="8930">
          <cell r="F8930" t="str">
            <v>INV-071025104423</v>
          </cell>
          <cell r="G8930" t="str">
            <v>Paid</v>
          </cell>
        </row>
        <row r="8931">
          <cell r="F8931" t="str">
            <v>INV-071125151821</v>
          </cell>
          <cell r="G8931" t="str">
            <v>Paid</v>
          </cell>
        </row>
        <row r="8932">
          <cell r="F8932" t="str">
            <v>INV-051225113426</v>
          </cell>
          <cell r="G8932" t="str">
            <v>Paid</v>
          </cell>
        </row>
        <row r="8933">
          <cell r="F8933" t="str">
            <v>INV-070126151406</v>
          </cell>
          <cell r="G8933" t="str">
            <v>Paid</v>
          </cell>
        </row>
        <row r="8934">
          <cell r="F8934" t="str">
            <v>INV-100226170854</v>
          </cell>
          <cell r="G8934" t="str">
            <v>Outstanding</v>
          </cell>
        </row>
        <row r="8935">
          <cell r="F8935" t="str">
            <v>AUCARDS0010</v>
          </cell>
          <cell r="G8935" t="str">
            <v>Paid</v>
          </cell>
        </row>
        <row r="8936">
          <cell r="F8936" t="str">
            <v>INV2022-SORBET-001</v>
          </cell>
          <cell r="G8936" t="str">
            <v>Paid</v>
          </cell>
        </row>
        <row r="8937">
          <cell r="F8937" t="str">
            <v>INV2022-SORBET-002</v>
          </cell>
          <cell r="G8937" t="str">
            <v>Paid</v>
          </cell>
        </row>
        <row r="8938">
          <cell r="F8938" t="str">
            <v>AUCARDS0035</v>
          </cell>
          <cell r="G8938" t="str">
            <v>Waived Off</v>
          </cell>
        </row>
        <row r="8939">
          <cell r="F8939" t="str">
            <v>AUCARDS0040</v>
          </cell>
          <cell r="G8939" t="str">
            <v>Waived Off</v>
          </cell>
        </row>
        <row r="8940">
          <cell r="F8940" t="str">
            <v>INV2023-SPNF-001</v>
          </cell>
          <cell r="G8940" t="str">
            <v>Paid</v>
          </cell>
        </row>
        <row r="8941">
          <cell r="F8941" t="str">
            <v>INV2023-SPNF-002</v>
          </cell>
          <cell r="G8941" t="str">
            <v>Paid</v>
          </cell>
        </row>
        <row r="8942">
          <cell r="F8942" t="str">
            <v>CN-INV2023-SPNF-002</v>
          </cell>
          <cell r="G8942" t="str">
            <v>Paid</v>
          </cell>
        </row>
        <row r="8943">
          <cell r="F8943" t="str">
            <v>INV2021-SPD-001</v>
          </cell>
          <cell r="G8943" t="str">
            <v>Paid</v>
          </cell>
        </row>
        <row r="8944">
          <cell r="F8944" t="str">
            <v>INV-031123155741</v>
          </cell>
          <cell r="G8944" t="str">
            <v>Paid</v>
          </cell>
        </row>
        <row r="8945">
          <cell r="F8945" t="str">
            <v>INV-041223131522</v>
          </cell>
          <cell r="G8945" t="str">
            <v>Paid</v>
          </cell>
        </row>
        <row r="8946">
          <cell r="F8946" t="str">
            <v>INV-050923154832</v>
          </cell>
          <cell r="G8946" t="str">
            <v>Paid</v>
          </cell>
        </row>
        <row r="8947">
          <cell r="F8947" t="str">
            <v>INV-051023161248</v>
          </cell>
          <cell r="G8947" t="str">
            <v>Paid</v>
          </cell>
        </row>
        <row r="8948">
          <cell r="F8948" t="str">
            <v>INV-040823140326</v>
          </cell>
          <cell r="G8948" t="str">
            <v>Paid</v>
          </cell>
        </row>
        <row r="8949">
          <cell r="F8949" t="str">
            <v>INV-040124130744</v>
          </cell>
          <cell r="G8949" t="str">
            <v>Paid</v>
          </cell>
        </row>
        <row r="8950">
          <cell r="F8950" t="str">
            <v>INV-050224154847</v>
          </cell>
          <cell r="G8950" t="str">
            <v>Paid</v>
          </cell>
        </row>
        <row r="8951">
          <cell r="F8951" t="str">
            <v>INV-020824171522</v>
          </cell>
          <cell r="G8951" t="str">
            <v>Paid</v>
          </cell>
        </row>
        <row r="8952">
          <cell r="F8952" t="str">
            <v>INV-030424163550</v>
          </cell>
          <cell r="G8952" t="str">
            <v>Paid</v>
          </cell>
        </row>
        <row r="8953">
          <cell r="F8953" t="str">
            <v>INV-050324111446</v>
          </cell>
          <cell r="G8953" t="str">
            <v>Paid</v>
          </cell>
        </row>
        <row r="8954">
          <cell r="F8954" t="str">
            <v>INV-030524102832</v>
          </cell>
          <cell r="G8954" t="str">
            <v>Paid</v>
          </cell>
        </row>
        <row r="8955">
          <cell r="F8955" t="str">
            <v>INV-030724125109</v>
          </cell>
          <cell r="G8955" t="str">
            <v>Paid</v>
          </cell>
        </row>
        <row r="8956">
          <cell r="F8956" t="str">
            <v>INV-031224161925</v>
          </cell>
          <cell r="G8956" t="str">
            <v>Paid</v>
          </cell>
        </row>
        <row r="8957">
          <cell r="F8957" t="str">
            <v>INV-040624105347</v>
          </cell>
          <cell r="G8957" t="str">
            <v>Paid</v>
          </cell>
        </row>
        <row r="8958">
          <cell r="F8958" t="str">
            <v>INV-040924103330</v>
          </cell>
          <cell r="G8958" t="str">
            <v>Paid</v>
          </cell>
        </row>
        <row r="8959">
          <cell r="F8959" t="str">
            <v>INV-021024151734</v>
          </cell>
          <cell r="G8959" t="str">
            <v>Paid</v>
          </cell>
        </row>
        <row r="8960">
          <cell r="F8960" t="str">
            <v>INV-051124165217</v>
          </cell>
          <cell r="G8960" t="str">
            <v>Paid</v>
          </cell>
        </row>
        <row r="8961">
          <cell r="F8961" t="str">
            <v>INV-060125095224</v>
          </cell>
          <cell r="G8961" t="str">
            <v>Paid</v>
          </cell>
        </row>
        <row r="8962">
          <cell r="F8962" t="str">
            <v>INV-040225140349</v>
          </cell>
          <cell r="G8962" t="str">
            <v>Paid</v>
          </cell>
        </row>
        <row r="8963">
          <cell r="F8963" t="str">
            <v>INV-040325135525</v>
          </cell>
          <cell r="G8963" t="str">
            <v>Paid</v>
          </cell>
        </row>
        <row r="8964">
          <cell r="F8964" t="str">
            <v>INV-020425154514</v>
          </cell>
          <cell r="G8964" t="str">
            <v>Paid</v>
          </cell>
        </row>
        <row r="8965">
          <cell r="F8965" t="str">
            <v>INV-020525175410</v>
          </cell>
          <cell r="G8965" t="str">
            <v>Paid</v>
          </cell>
        </row>
        <row r="8966">
          <cell r="F8966" t="str">
            <v>INV-030625132601</v>
          </cell>
          <cell r="G8966" t="str">
            <v>Paid</v>
          </cell>
        </row>
        <row r="8967">
          <cell r="F8967" t="str">
            <v>INV-020725161546</v>
          </cell>
          <cell r="G8967" t="str">
            <v>Paid</v>
          </cell>
        </row>
        <row r="8968">
          <cell r="F8968" t="str">
            <v>INV-040825121114</v>
          </cell>
          <cell r="G8968" t="str">
            <v>Paid</v>
          </cell>
        </row>
        <row r="8969">
          <cell r="F8969" t="str">
            <v>INV-020925113403</v>
          </cell>
          <cell r="G8969" t="str">
            <v>Paid</v>
          </cell>
        </row>
        <row r="8970">
          <cell r="F8970" t="str">
            <v>INV-021025104543</v>
          </cell>
          <cell r="G8970" t="str">
            <v>Paid</v>
          </cell>
        </row>
        <row r="8971">
          <cell r="F8971" t="str">
            <v>INV-031125180647</v>
          </cell>
          <cell r="G8971" t="str">
            <v>Paid</v>
          </cell>
        </row>
        <row r="8972">
          <cell r="F8972" t="str">
            <v>INV-021225115925</v>
          </cell>
          <cell r="G8972" t="str">
            <v>Paid</v>
          </cell>
        </row>
        <row r="8973">
          <cell r="F8973" t="str">
            <v>INV-020126122437</v>
          </cell>
          <cell r="G8973" t="str">
            <v>Paid</v>
          </cell>
        </row>
        <row r="8974">
          <cell r="F8974" t="str">
            <v>INV-020226140001</v>
          </cell>
          <cell r="G8974" t="str">
            <v>Paid</v>
          </cell>
        </row>
        <row r="8975">
          <cell r="F8975" t="str">
            <v>INV-020326173822</v>
          </cell>
          <cell r="G8975" t="str">
            <v>Paid</v>
          </cell>
        </row>
        <row r="8976">
          <cell r="F8976" t="str">
            <v>INV-270224121717</v>
          </cell>
          <cell r="G8976" t="str">
            <v>Paid</v>
          </cell>
        </row>
        <row r="8977">
          <cell r="F8977" t="str">
            <v>INV-270224145816</v>
          </cell>
          <cell r="G8977" t="str">
            <v>Paid</v>
          </cell>
        </row>
        <row r="8978">
          <cell r="F8978" t="str">
            <v>INV-270224162800</v>
          </cell>
          <cell r="G8978" t="str">
            <v>Paid</v>
          </cell>
        </row>
        <row r="8979">
          <cell r="F8979" t="str">
            <v>INV-270224163501</v>
          </cell>
          <cell r="G8979" t="str">
            <v>Paid</v>
          </cell>
        </row>
        <row r="8980">
          <cell r="F8980" t="str">
            <v>INV-090324172139</v>
          </cell>
          <cell r="G8980" t="str">
            <v>Paid</v>
          </cell>
        </row>
        <row r="8981">
          <cell r="F8981" t="str">
            <v>INV-080424171400</v>
          </cell>
          <cell r="G8981" t="str">
            <v>Paid</v>
          </cell>
        </row>
        <row r="8982">
          <cell r="F8982" t="str">
            <v>INV-080524155609</v>
          </cell>
          <cell r="G8982" t="str">
            <v>Paid</v>
          </cell>
        </row>
        <row r="8983">
          <cell r="F8983" t="str">
            <v>DN-INV-300524130840</v>
          </cell>
          <cell r="G8983" t="str">
            <v>Paid</v>
          </cell>
        </row>
        <row r="8984">
          <cell r="F8984" t="str">
            <v>INV-070624183233</v>
          </cell>
          <cell r="G8984" t="str">
            <v>Paid</v>
          </cell>
        </row>
        <row r="8985">
          <cell r="F8985" t="str">
            <v>INV-100724111919</v>
          </cell>
          <cell r="G8985" t="str">
            <v>Paid</v>
          </cell>
        </row>
        <row r="8986">
          <cell r="F8986" t="str">
            <v>INV-090824165540</v>
          </cell>
          <cell r="G8986" t="str">
            <v>Paid</v>
          </cell>
        </row>
        <row r="8987">
          <cell r="F8987" t="str">
            <v>INV-110924152214</v>
          </cell>
          <cell r="G8987" t="str">
            <v>Paid</v>
          </cell>
        </row>
        <row r="8988">
          <cell r="F8988" t="str">
            <v>DN-INV-250924153540</v>
          </cell>
          <cell r="G8988" t="str">
            <v>Paid</v>
          </cell>
        </row>
        <row r="8989">
          <cell r="F8989" t="str">
            <v>INV-141024094411</v>
          </cell>
          <cell r="G8989" t="str">
            <v>Paid</v>
          </cell>
        </row>
        <row r="8990">
          <cell r="F8990" t="str">
            <v>INV-121124114649</v>
          </cell>
          <cell r="G8990" t="str">
            <v>Paid</v>
          </cell>
        </row>
        <row r="8991">
          <cell r="F8991" t="str">
            <v>INV-111224123228</v>
          </cell>
          <cell r="G8991" t="str">
            <v>Paid</v>
          </cell>
        </row>
        <row r="8992">
          <cell r="F8992" t="str">
            <v>INV-080125160504</v>
          </cell>
          <cell r="G8992" t="str">
            <v>Paid</v>
          </cell>
        </row>
        <row r="8993">
          <cell r="F8993" t="str">
            <v>INV-070225181118</v>
          </cell>
          <cell r="G8993" t="str">
            <v>Paid</v>
          </cell>
        </row>
        <row r="8994">
          <cell r="F8994" t="str">
            <v>INV-070325131117</v>
          </cell>
          <cell r="G8994" t="str">
            <v>Paid</v>
          </cell>
        </row>
        <row r="8995">
          <cell r="F8995" t="str">
            <v>INV-040425184329</v>
          </cell>
          <cell r="G8995" t="str">
            <v>Paid</v>
          </cell>
        </row>
        <row r="8996">
          <cell r="F8996" t="str">
            <v>INV-070525105511</v>
          </cell>
          <cell r="G8996" t="str">
            <v>Paid</v>
          </cell>
        </row>
        <row r="8997">
          <cell r="F8997" t="str">
            <v>INV-060625123005</v>
          </cell>
          <cell r="G8997" t="str">
            <v>Paid</v>
          </cell>
        </row>
        <row r="8998">
          <cell r="F8998" t="str">
            <v>INV-050725132132</v>
          </cell>
          <cell r="G8998" t="str">
            <v>Paid</v>
          </cell>
        </row>
        <row r="8999">
          <cell r="F8999" t="str">
            <v>INV-070825104903</v>
          </cell>
          <cell r="G8999" t="str">
            <v>Paid</v>
          </cell>
        </row>
        <row r="9000">
          <cell r="F9000" t="str">
            <v>INV-050925105911</v>
          </cell>
          <cell r="G9000" t="str">
            <v>Paid</v>
          </cell>
        </row>
        <row r="9001">
          <cell r="F9001" t="str">
            <v>INV-061025210952</v>
          </cell>
          <cell r="G9001" t="str">
            <v>Paid</v>
          </cell>
        </row>
        <row r="9002">
          <cell r="F9002" t="str">
            <v>INV-061125175920</v>
          </cell>
          <cell r="G9002" t="str">
            <v>Paid</v>
          </cell>
        </row>
        <row r="9003">
          <cell r="F9003" t="str">
            <v>INV-041225161100</v>
          </cell>
          <cell r="G9003" t="str">
            <v>Paid</v>
          </cell>
        </row>
        <row r="9004">
          <cell r="F9004" t="str">
            <v>INV-060126153201</v>
          </cell>
          <cell r="G9004" t="str">
            <v>Paid</v>
          </cell>
        </row>
        <row r="9005">
          <cell r="F9005" t="str">
            <v>CARDS0207</v>
          </cell>
          <cell r="G9005" t="str">
            <v>Waived Off</v>
          </cell>
        </row>
        <row r="9006">
          <cell r="F9006" t="str">
            <v>CARDS0282</v>
          </cell>
          <cell r="G9006" t="str">
            <v>Waived Off</v>
          </cell>
        </row>
        <row r="9007">
          <cell r="F9007" t="str">
            <v>CARDS0005</v>
          </cell>
          <cell r="G9007" t="str">
            <v>Paid</v>
          </cell>
        </row>
        <row r="9008">
          <cell r="F9008" t="str">
            <v>CARDS0017</v>
          </cell>
          <cell r="G9008" t="str">
            <v>Paid</v>
          </cell>
        </row>
        <row r="9009">
          <cell r="F9009" t="str">
            <v>CARDS0031</v>
          </cell>
          <cell r="G9009" t="str">
            <v>Paid</v>
          </cell>
        </row>
        <row r="9010">
          <cell r="F9010" t="str">
            <v>CARDS0046</v>
          </cell>
          <cell r="G9010" t="str">
            <v>Paid</v>
          </cell>
        </row>
        <row r="9011">
          <cell r="F9011" t="str">
            <v>DNCARDS0004</v>
          </cell>
          <cell r="G9011" t="str">
            <v>Paid</v>
          </cell>
        </row>
        <row r="9012">
          <cell r="F9012" t="str">
            <v>CARDS0069</v>
          </cell>
          <cell r="G9012" t="str">
            <v>Paid</v>
          </cell>
        </row>
        <row r="9013">
          <cell r="F9013" t="str">
            <v>CARDS0082</v>
          </cell>
          <cell r="G9013" t="str">
            <v>Paid</v>
          </cell>
        </row>
        <row r="9014">
          <cell r="F9014" t="str">
            <v>CARDS0099</v>
          </cell>
          <cell r="G9014" t="str">
            <v>Paid</v>
          </cell>
        </row>
        <row r="9015">
          <cell r="F9015" t="str">
            <v>CARDS0118</v>
          </cell>
          <cell r="G9015" t="str">
            <v>Paid</v>
          </cell>
        </row>
        <row r="9016">
          <cell r="F9016" t="str">
            <v>CARDS0136</v>
          </cell>
          <cell r="G9016" t="str">
            <v>Paid</v>
          </cell>
        </row>
        <row r="9017">
          <cell r="F9017" t="str">
            <v>CARDS0156</v>
          </cell>
          <cell r="G9017" t="str">
            <v>Paid</v>
          </cell>
        </row>
        <row r="9018">
          <cell r="F9018" t="str">
            <v>DNCARDS0008</v>
          </cell>
          <cell r="G9018" t="str">
            <v>Paid</v>
          </cell>
        </row>
        <row r="9019">
          <cell r="F9019" t="str">
            <v>DNCARDS0009</v>
          </cell>
          <cell r="G9019" t="str">
            <v>Paid</v>
          </cell>
        </row>
        <row r="9020">
          <cell r="F9020" t="str">
            <v>INV2021- STY-002</v>
          </cell>
          <cell r="G9020" t="str">
            <v>Paid</v>
          </cell>
        </row>
        <row r="9021">
          <cell r="F9021" t="str">
            <v>CARDS0172</v>
          </cell>
          <cell r="G9021" t="str">
            <v>Paid</v>
          </cell>
        </row>
        <row r="9022">
          <cell r="F9022" t="str">
            <v>CNCARDS0012</v>
          </cell>
          <cell r="G9022" t="str">
            <v>Paid</v>
          </cell>
        </row>
        <row r="9023">
          <cell r="F9023" t="str">
            <v>CARDS0194</v>
          </cell>
          <cell r="G9023" t="str">
            <v>Paid</v>
          </cell>
        </row>
        <row r="9024">
          <cell r="F9024" t="str">
            <v>CARDS0214</v>
          </cell>
          <cell r="G9024" t="str">
            <v>Paid</v>
          </cell>
        </row>
        <row r="9025">
          <cell r="F9025" t="str">
            <v>CARDS0231</v>
          </cell>
          <cell r="G9025" t="str">
            <v>Paid</v>
          </cell>
        </row>
        <row r="9026">
          <cell r="F9026" t="str">
            <v>CNCARDS0015</v>
          </cell>
          <cell r="G9026" t="str">
            <v>Paid</v>
          </cell>
        </row>
        <row r="9027">
          <cell r="F9027" t="str">
            <v>CARDS0248</v>
          </cell>
          <cell r="G9027" t="str">
            <v>Paid</v>
          </cell>
        </row>
        <row r="9028">
          <cell r="F9028" t="str">
            <v>CARDS0269</v>
          </cell>
          <cell r="G9028" t="str">
            <v>Paid</v>
          </cell>
        </row>
        <row r="9029">
          <cell r="F9029" t="str">
            <v>DNCARDS0011</v>
          </cell>
          <cell r="G9029" t="str">
            <v>Paid</v>
          </cell>
        </row>
        <row r="9030">
          <cell r="F9030" t="str">
            <v>CARDS0287</v>
          </cell>
          <cell r="G9030" t="str">
            <v>Paid</v>
          </cell>
        </row>
        <row r="9031">
          <cell r="F9031" t="str">
            <v>CARDS0305</v>
          </cell>
          <cell r="G9031" t="str">
            <v>Paid</v>
          </cell>
        </row>
        <row r="9032">
          <cell r="F9032" t="str">
            <v>CARDS0318</v>
          </cell>
          <cell r="G9032" t="str">
            <v>Paid</v>
          </cell>
        </row>
        <row r="9033">
          <cell r="F9033" t="str">
            <v>CARDS0332</v>
          </cell>
          <cell r="G9033" t="str">
            <v>Paid</v>
          </cell>
        </row>
        <row r="9034">
          <cell r="F9034" t="str">
            <v>INV-021122012821</v>
          </cell>
          <cell r="G9034" t="str">
            <v>Paid</v>
          </cell>
        </row>
        <row r="9035">
          <cell r="F9035" t="str">
            <v>INV-011222231656</v>
          </cell>
          <cell r="G9035" t="str">
            <v>Paid</v>
          </cell>
        </row>
        <row r="9036">
          <cell r="F9036" t="str">
            <v>INV-030123165100</v>
          </cell>
          <cell r="G9036" t="str">
            <v>Paid</v>
          </cell>
        </row>
        <row r="9037">
          <cell r="F9037" t="str">
            <v>INV-020223010257</v>
          </cell>
          <cell r="G9037" t="str">
            <v>Waived Off</v>
          </cell>
        </row>
        <row r="9038">
          <cell r="F9038" t="str">
            <v>INV-020323002854</v>
          </cell>
          <cell r="G9038" t="str">
            <v>Waived Off</v>
          </cell>
        </row>
        <row r="9039">
          <cell r="F9039" t="str">
            <v>INV-030423154016</v>
          </cell>
          <cell r="G9039" t="str">
            <v>Waived Off</v>
          </cell>
        </row>
        <row r="9040">
          <cell r="F9040" t="str">
            <v>INV-020523173017</v>
          </cell>
          <cell r="G9040" t="str">
            <v>Waived Off</v>
          </cell>
        </row>
        <row r="9041">
          <cell r="F9041" t="str">
            <v>INV-050623111930</v>
          </cell>
          <cell r="G9041" t="str">
            <v>Waived Off</v>
          </cell>
        </row>
        <row r="9042">
          <cell r="F9042" t="str">
            <v>INV-030723175249</v>
          </cell>
          <cell r="G9042" t="str">
            <v>Waived Off</v>
          </cell>
        </row>
        <row r="9043">
          <cell r="F9043" t="str">
            <v>INV-130624124700</v>
          </cell>
          <cell r="G9043" t="str">
            <v>Paid</v>
          </cell>
        </row>
        <row r="9044">
          <cell r="F9044" t="str">
            <v>HKCARDS0043</v>
          </cell>
          <cell r="G9044" t="str">
            <v>Paid</v>
          </cell>
        </row>
        <row r="9045">
          <cell r="F9045" t="str">
            <v>INV-310323182946</v>
          </cell>
          <cell r="G9045" t="str">
            <v>Paid</v>
          </cell>
        </row>
        <row r="9046">
          <cell r="F9046" t="str">
            <v>CN-280423131732</v>
          </cell>
          <cell r="G9046" t="str">
            <v>Paid</v>
          </cell>
        </row>
        <row r="9047">
          <cell r="F9047" t="str">
            <v>INV-071223105155</v>
          </cell>
          <cell r="G9047" t="str">
            <v>Paid</v>
          </cell>
        </row>
        <row r="9048">
          <cell r="F9048" t="str">
            <v>INV-141223151943</v>
          </cell>
          <cell r="G9048" t="str">
            <v>Paid</v>
          </cell>
        </row>
        <row r="9049">
          <cell r="F9049" t="str">
            <v>INV-080124141258</v>
          </cell>
          <cell r="G9049" t="str">
            <v>Paid</v>
          </cell>
        </row>
        <row r="9050">
          <cell r="F9050" t="str">
            <v>INV-050224174102</v>
          </cell>
          <cell r="G9050" t="str">
            <v>Waived Off</v>
          </cell>
        </row>
        <row r="9051">
          <cell r="F9051" t="str">
            <v>INV-020824195409</v>
          </cell>
          <cell r="G9051" t="str">
            <v>Paid</v>
          </cell>
        </row>
        <row r="9052">
          <cell r="F9052" t="str">
            <v>INV-030524155033</v>
          </cell>
          <cell r="G9052" t="str">
            <v>Paid</v>
          </cell>
        </row>
        <row r="9053">
          <cell r="F9053" t="str">
            <v>INV-050324130645</v>
          </cell>
          <cell r="G9053" t="str">
            <v>Waived Off</v>
          </cell>
        </row>
        <row r="9054">
          <cell r="F9054" t="str">
            <v>INV-030724165659</v>
          </cell>
          <cell r="G9054" t="str">
            <v>Paid</v>
          </cell>
        </row>
        <row r="9055">
          <cell r="F9055" t="str">
            <v>INV-031024124100</v>
          </cell>
          <cell r="G9055" t="str">
            <v>Paid</v>
          </cell>
        </row>
        <row r="9056">
          <cell r="F9056" t="str">
            <v>INV-040624164222</v>
          </cell>
          <cell r="G9056" t="str">
            <v>Paid</v>
          </cell>
        </row>
        <row r="9057">
          <cell r="F9057" t="str">
            <v>INV-110424140000</v>
          </cell>
          <cell r="G9057" t="str">
            <v>Paid</v>
          </cell>
        </row>
        <row r="9058">
          <cell r="F9058" t="str">
            <v>INV-040924123612</v>
          </cell>
          <cell r="G9058" t="str">
            <v>Paid</v>
          </cell>
        </row>
        <row r="9059">
          <cell r="F9059" t="str">
            <v>INV-041224105640</v>
          </cell>
          <cell r="G9059" t="str">
            <v>Outstanding</v>
          </cell>
        </row>
        <row r="9060">
          <cell r="F9060" t="str">
            <v>INV-181124153544</v>
          </cell>
          <cell r="G9060" t="str">
            <v>Paid</v>
          </cell>
        </row>
        <row r="9061">
          <cell r="F9061" t="str">
            <v>INV-060125160531</v>
          </cell>
          <cell r="G9061" t="str">
            <v>Paid</v>
          </cell>
        </row>
        <row r="9062">
          <cell r="F9062" t="str">
            <v>INV-050225183406</v>
          </cell>
          <cell r="G9062" t="str">
            <v>Outstanding</v>
          </cell>
        </row>
        <row r="9063">
          <cell r="F9063" t="str">
            <v>INV-050325103203</v>
          </cell>
          <cell r="G9063" t="str">
            <v>Outstanding</v>
          </cell>
        </row>
        <row r="9064">
          <cell r="F9064" t="str">
            <v>INV-020425174717</v>
          </cell>
          <cell r="G9064" t="str">
            <v>Outstanding</v>
          </cell>
        </row>
        <row r="9065">
          <cell r="F9065" t="str">
            <v>INV-050525114818</v>
          </cell>
          <cell r="G9065" t="str">
            <v>Outstanding</v>
          </cell>
        </row>
        <row r="9066">
          <cell r="F9066" t="str">
            <v>INV-040625165635</v>
          </cell>
          <cell r="G9066" t="str">
            <v>Outstanding</v>
          </cell>
        </row>
        <row r="9067">
          <cell r="F9067" t="str">
            <v>INV-090125200141</v>
          </cell>
          <cell r="G9067" t="str">
            <v>Paid</v>
          </cell>
        </row>
        <row r="9068">
          <cell r="F9068" t="str">
            <v>INV-031224192828</v>
          </cell>
          <cell r="G9068" t="str">
            <v>Paid</v>
          </cell>
        </row>
        <row r="9069">
          <cell r="F9069" t="str">
            <v>INV-031024105631</v>
          </cell>
          <cell r="G9069" t="str">
            <v>Paid</v>
          </cell>
        </row>
        <row r="9070">
          <cell r="F9070" t="str">
            <v>INV-061124184515</v>
          </cell>
          <cell r="G9070" t="str">
            <v>Paid</v>
          </cell>
        </row>
        <row r="9071">
          <cell r="F9071" t="str">
            <v>INV-030125164039</v>
          </cell>
          <cell r="G9071" t="str">
            <v>Paid</v>
          </cell>
        </row>
        <row r="9072">
          <cell r="F9072" t="str">
            <v>INV-050225112931</v>
          </cell>
          <cell r="G9072" t="str">
            <v>Paid</v>
          </cell>
        </row>
        <row r="9073">
          <cell r="F9073" t="str">
            <v>INV-100325155556</v>
          </cell>
          <cell r="G9073" t="str">
            <v>Paid</v>
          </cell>
        </row>
        <row r="9074">
          <cell r="F9074" t="str">
            <v>INV-020425182833</v>
          </cell>
          <cell r="G9074" t="str">
            <v>Paid</v>
          </cell>
        </row>
        <row r="9075">
          <cell r="F9075" t="str">
            <v>INV-020525195505</v>
          </cell>
          <cell r="G9075" t="str">
            <v>Paid</v>
          </cell>
        </row>
        <row r="9076">
          <cell r="F9076" t="str">
            <v>INV-021025143039</v>
          </cell>
          <cell r="G9076" t="str">
            <v>Paid</v>
          </cell>
        </row>
        <row r="9077">
          <cell r="F9077" t="str">
            <v>INV-021225155618</v>
          </cell>
          <cell r="G9077" t="str">
            <v>Paid</v>
          </cell>
        </row>
        <row r="9078">
          <cell r="F9078" t="str">
            <v>INV-020126182509</v>
          </cell>
          <cell r="G9078" t="str">
            <v>Paid</v>
          </cell>
        </row>
        <row r="9079">
          <cell r="F9079" t="str">
            <v>INV-020226193209</v>
          </cell>
          <cell r="G9079" t="str">
            <v>Paid</v>
          </cell>
        </row>
        <row r="9080">
          <cell r="F9080" t="str">
            <v>INV-020326192400</v>
          </cell>
          <cell r="G9080" t="str">
            <v>Paid</v>
          </cell>
        </row>
        <row r="9081">
          <cell r="F9081" t="str">
            <v>INV-060625173624</v>
          </cell>
          <cell r="G9081" t="str">
            <v>Paid</v>
          </cell>
        </row>
        <row r="9082">
          <cell r="F9082" t="str">
            <v>INV-040825165440</v>
          </cell>
          <cell r="G9082" t="str">
            <v>Paid</v>
          </cell>
        </row>
        <row r="9083">
          <cell r="F9083" t="str">
            <v>INV-030925122908</v>
          </cell>
          <cell r="G9083" t="str">
            <v>Paid</v>
          </cell>
        </row>
        <row r="9084">
          <cell r="F9084" t="str">
            <v>INV-061025091839</v>
          </cell>
          <cell r="G9084" t="str">
            <v>Paid</v>
          </cell>
        </row>
        <row r="9085">
          <cell r="F9085" t="str">
            <v>INV-051125104319</v>
          </cell>
          <cell r="G9085" t="str">
            <v>Paid</v>
          </cell>
        </row>
        <row r="9086">
          <cell r="F9086" t="str">
            <v>INV-031225165702</v>
          </cell>
          <cell r="G9086" t="str">
            <v>Paid</v>
          </cell>
        </row>
        <row r="9087">
          <cell r="F9087" t="str">
            <v>INV-050126160014</v>
          </cell>
          <cell r="G9087" t="str">
            <v>Paid</v>
          </cell>
        </row>
        <row r="9088">
          <cell r="F9088" t="str">
            <v>INV-050226020928</v>
          </cell>
          <cell r="G9088" t="str">
            <v>Paid</v>
          </cell>
        </row>
        <row r="9089">
          <cell r="F9089" t="str">
            <v>INV-030326181311</v>
          </cell>
          <cell r="G9089" t="str">
            <v>Paid</v>
          </cell>
        </row>
        <row r="9090">
          <cell r="F9090" t="str">
            <v>INV-031224191833</v>
          </cell>
          <cell r="G9090" t="str">
            <v>Paid</v>
          </cell>
        </row>
        <row r="9091">
          <cell r="F9091" t="str">
            <v>INV-040924175900</v>
          </cell>
          <cell r="G9091" t="str">
            <v>Paid</v>
          </cell>
        </row>
        <row r="9092">
          <cell r="F9092" t="str">
            <v>INV-100624130745</v>
          </cell>
          <cell r="G9092" t="str">
            <v>Paid</v>
          </cell>
        </row>
        <row r="9093">
          <cell r="F9093" t="str">
            <v>INV-080824093034</v>
          </cell>
          <cell r="G9093" t="str">
            <v>Paid</v>
          </cell>
        </row>
        <row r="9094">
          <cell r="F9094" t="str">
            <v>INV-061124193359</v>
          </cell>
          <cell r="G9094" t="str">
            <v>Paid</v>
          </cell>
        </row>
        <row r="9095">
          <cell r="F9095" t="str">
            <v>INV-030125160833</v>
          </cell>
          <cell r="G9095" t="str">
            <v>Paid</v>
          </cell>
        </row>
        <row r="9096">
          <cell r="F9096" t="str">
            <v>INV-050225091523</v>
          </cell>
          <cell r="G9096" t="str">
            <v>Paid</v>
          </cell>
        </row>
        <row r="9097">
          <cell r="F9097" t="str">
            <v>INV-040325181224</v>
          </cell>
          <cell r="G9097" t="str">
            <v>Paid</v>
          </cell>
        </row>
        <row r="9098">
          <cell r="F9098" t="str">
            <v>INV-020425184546</v>
          </cell>
          <cell r="G9098" t="str">
            <v>Paid</v>
          </cell>
        </row>
        <row r="9099">
          <cell r="F9099" t="str">
            <v>INV-050525130130</v>
          </cell>
          <cell r="G9099" t="str">
            <v>Paid</v>
          </cell>
        </row>
        <row r="9100">
          <cell r="F9100" t="str">
            <v>INV-030625180451</v>
          </cell>
          <cell r="G9100" t="str">
            <v>Paid</v>
          </cell>
        </row>
        <row r="9101">
          <cell r="F9101" t="str">
            <v>INV-030725101251</v>
          </cell>
          <cell r="G9101" t="str">
            <v>Paid</v>
          </cell>
        </row>
        <row r="9102">
          <cell r="F9102" t="str">
            <v>INV-040825135552</v>
          </cell>
          <cell r="G9102" t="str">
            <v>Paid</v>
          </cell>
        </row>
        <row r="9103">
          <cell r="F9103" t="str">
            <v>INV-020925133308</v>
          </cell>
          <cell r="G9103" t="str">
            <v>Paid</v>
          </cell>
        </row>
        <row r="9104">
          <cell r="F9104" t="str">
            <v>INV-021025155717</v>
          </cell>
          <cell r="G9104" t="str">
            <v>Paid</v>
          </cell>
        </row>
        <row r="9105">
          <cell r="F9105" t="str">
            <v>INV-041125155212</v>
          </cell>
          <cell r="G9105" t="str">
            <v>Paid</v>
          </cell>
        </row>
        <row r="9106">
          <cell r="F9106" t="str">
            <v>INV-021225134033</v>
          </cell>
          <cell r="G9106" t="str">
            <v>Paid</v>
          </cell>
        </row>
        <row r="9107">
          <cell r="F9107" t="str">
            <v>INV-020126180833</v>
          </cell>
          <cell r="G9107" t="str">
            <v>Paid</v>
          </cell>
        </row>
        <row r="9108">
          <cell r="F9108" t="str">
            <v>INV-020226184018</v>
          </cell>
          <cell r="G9108" t="str">
            <v>Paid</v>
          </cell>
        </row>
        <row r="9109">
          <cell r="F9109" t="str">
            <v>INV-030326095953</v>
          </cell>
          <cell r="G9109" t="str">
            <v>Paid</v>
          </cell>
        </row>
        <row r="9110">
          <cell r="F9110" t="str">
            <v>HKCARDS0052</v>
          </cell>
          <cell r="G9110" t="str">
            <v>Waived Off</v>
          </cell>
        </row>
        <row r="9111">
          <cell r="F9111" t="str">
            <v>HKCARDS0060</v>
          </cell>
          <cell r="G9111" t="str">
            <v>Waived Off</v>
          </cell>
        </row>
        <row r="9112">
          <cell r="F9112" t="str">
            <v>HKCARDS0069</v>
          </cell>
          <cell r="G9112" t="str">
            <v>Waived Off</v>
          </cell>
        </row>
        <row r="9113">
          <cell r="F9113" t="str">
            <v>HKCARDS0078</v>
          </cell>
          <cell r="G9113" t="str">
            <v>Waived Off</v>
          </cell>
        </row>
        <row r="9114">
          <cell r="F9114" t="str">
            <v>HKCARDS0096</v>
          </cell>
          <cell r="G9114" t="str">
            <v>Waived Off</v>
          </cell>
        </row>
        <row r="9115">
          <cell r="F9115" t="str">
            <v>HKCARDS0110</v>
          </cell>
          <cell r="G9115" t="str">
            <v>Waived Off</v>
          </cell>
        </row>
        <row r="9116">
          <cell r="F9116" t="str">
            <v>INV-030423001517</v>
          </cell>
          <cell r="G9116" t="str">
            <v>Waived Off</v>
          </cell>
        </row>
        <row r="9117">
          <cell r="F9117" t="str">
            <v>CARDS0058</v>
          </cell>
          <cell r="G9117" t="str">
            <v>Expired</v>
          </cell>
        </row>
        <row r="9118">
          <cell r="F9118" t="str">
            <v>CARDS00329</v>
          </cell>
          <cell r="G9118" t="str">
            <v>Paid</v>
          </cell>
        </row>
        <row r="9119">
          <cell r="F9119" t="str">
            <v>CARDS0227</v>
          </cell>
          <cell r="G9119" t="str">
            <v>Paid</v>
          </cell>
        </row>
        <row r="9120">
          <cell r="F9120" t="str">
            <v>CN-310323162342</v>
          </cell>
          <cell r="G9120" t="str">
            <v>Paid</v>
          </cell>
        </row>
        <row r="9121">
          <cell r="F9121" t="str">
            <v>UKCARDS0005</v>
          </cell>
          <cell r="G9121" t="str">
            <v>Paid</v>
          </cell>
        </row>
        <row r="9122">
          <cell r="F9122" t="str">
            <v>DN-100223104030</v>
          </cell>
          <cell r="G9122" t="str">
            <v>Waived Off</v>
          </cell>
        </row>
        <row r="9123">
          <cell r="F9123" t="str">
            <v>CARDS0095</v>
          </cell>
          <cell r="G9123" t="str">
            <v>Paid</v>
          </cell>
        </row>
        <row r="9124">
          <cell r="F9124" t="str">
            <v>INV2022-TRANSFEZ-001</v>
          </cell>
          <cell r="G9124" t="str">
            <v>Waived Off</v>
          </cell>
        </row>
        <row r="9125">
          <cell r="F9125" t="str">
            <v>CARDS0244</v>
          </cell>
          <cell r="G9125" t="str">
            <v>Paid</v>
          </cell>
        </row>
        <row r="9126">
          <cell r="F9126" t="str">
            <v>INV2022-TRANSWAP-001</v>
          </cell>
          <cell r="G9126" t="str">
            <v>Paid</v>
          </cell>
        </row>
        <row r="9127">
          <cell r="F9127" t="str">
            <v>CARDS0301</v>
          </cell>
          <cell r="G9127" t="str">
            <v>Paid</v>
          </cell>
        </row>
        <row r="9128">
          <cell r="F9128" t="str">
            <v>INV-020323172033_R</v>
          </cell>
          <cell r="G9128" t="str">
            <v>Paid</v>
          </cell>
        </row>
        <row r="9129">
          <cell r="F9129" t="str">
            <v>INV-030223031803_R</v>
          </cell>
          <cell r="G9129" t="str">
            <v>Paid</v>
          </cell>
        </row>
        <row r="9130">
          <cell r="F9130" t="str">
            <v>INV-030223033822_R</v>
          </cell>
          <cell r="G9130" t="str">
            <v>Paid</v>
          </cell>
        </row>
        <row r="9131">
          <cell r="F9131" t="str">
            <v>INV-030223034511_R</v>
          </cell>
          <cell r="G9131" t="str">
            <v>Paid</v>
          </cell>
        </row>
        <row r="9132">
          <cell r="F9132" t="str">
            <v>INV-030223034945_R</v>
          </cell>
          <cell r="G9132" t="str">
            <v>Paid</v>
          </cell>
        </row>
        <row r="9133">
          <cell r="F9133" t="str">
            <v>INV-030523160207_R</v>
          </cell>
          <cell r="G9133" t="str">
            <v>Paid</v>
          </cell>
        </row>
        <row r="9134">
          <cell r="F9134" t="str">
            <v>INV-040423035642_R</v>
          </cell>
          <cell r="G9134" t="str">
            <v>Paid</v>
          </cell>
        </row>
        <row r="9135">
          <cell r="F9135" t="str">
            <v>INV-030723165122_R</v>
          </cell>
          <cell r="G9135" t="str">
            <v>Paid</v>
          </cell>
        </row>
        <row r="9136">
          <cell r="F9136" t="str">
            <v>INV-050623113123_R</v>
          </cell>
          <cell r="G9136" t="str">
            <v>Paid</v>
          </cell>
        </row>
        <row r="9137">
          <cell r="F9137" t="str">
            <v>INV-020823155859_R</v>
          </cell>
          <cell r="G9137" t="str">
            <v>Paid</v>
          </cell>
        </row>
        <row r="9138">
          <cell r="F9138" t="str">
            <v>INV-040923182639_R</v>
          </cell>
          <cell r="G9138" t="str">
            <v>Paid</v>
          </cell>
        </row>
        <row r="9139">
          <cell r="F9139" t="str">
            <v>INV-310124132037_R</v>
          </cell>
          <cell r="G9139" t="str">
            <v>Paid</v>
          </cell>
        </row>
        <row r="9140">
          <cell r="F9140" t="str">
            <v>INV-310124144029_R</v>
          </cell>
          <cell r="G9140" t="str">
            <v>Paid</v>
          </cell>
        </row>
        <row r="9141">
          <cell r="F9141" t="str">
            <v>INV-310124144804_R</v>
          </cell>
          <cell r="G9141" t="str">
            <v>Paid</v>
          </cell>
        </row>
        <row r="9142">
          <cell r="F9142" t="str">
            <v>INV-310124151801_R</v>
          </cell>
          <cell r="G9142" t="str">
            <v>Paid</v>
          </cell>
        </row>
        <row r="9143">
          <cell r="F9143" t="str">
            <v>INV-090224184351</v>
          </cell>
          <cell r="G9143" t="str">
            <v>Paid</v>
          </cell>
        </row>
        <row r="9144">
          <cell r="F9144" t="str">
            <v>INV-090324160101</v>
          </cell>
          <cell r="G9144" t="str">
            <v>Paid</v>
          </cell>
        </row>
        <row r="9145">
          <cell r="F9145" t="str">
            <v>INV-080424150409</v>
          </cell>
          <cell r="G9145" t="str">
            <v>Paid</v>
          </cell>
        </row>
        <row r="9146">
          <cell r="F9146" t="str">
            <v>INV-080524135929</v>
          </cell>
          <cell r="G9146" t="str">
            <v>Paid</v>
          </cell>
        </row>
        <row r="9147">
          <cell r="F9147" t="str">
            <v>INV-070624183714</v>
          </cell>
          <cell r="G9147" t="str">
            <v>Paid</v>
          </cell>
        </row>
        <row r="9148">
          <cell r="F9148" t="str">
            <v>INV-100724111400</v>
          </cell>
          <cell r="G9148" t="str">
            <v>Paid</v>
          </cell>
        </row>
        <row r="9149">
          <cell r="F9149" t="str">
            <v>INV-090824161905</v>
          </cell>
          <cell r="G9149" t="str">
            <v>Paid</v>
          </cell>
        </row>
        <row r="9150">
          <cell r="F9150" t="str">
            <v>INV-110924165047</v>
          </cell>
          <cell r="G9150" t="str">
            <v>Paid</v>
          </cell>
        </row>
        <row r="9151">
          <cell r="F9151" t="str">
            <v>INV-141024112230</v>
          </cell>
          <cell r="G9151" t="str">
            <v>Net Off</v>
          </cell>
        </row>
        <row r="9152">
          <cell r="F9152" t="str">
            <v>INV-121124110419</v>
          </cell>
          <cell r="G9152" t="str">
            <v>Net Off</v>
          </cell>
        </row>
        <row r="9153">
          <cell r="F9153" t="str">
            <v>INV-111224101509</v>
          </cell>
          <cell r="G9153" t="str">
            <v>Net Off</v>
          </cell>
        </row>
        <row r="9154">
          <cell r="F9154" t="str">
            <v>INV-080125134029</v>
          </cell>
          <cell r="G9154" t="str">
            <v>Net Off</v>
          </cell>
        </row>
        <row r="9155">
          <cell r="F9155" t="str">
            <v>INV-070225170925</v>
          </cell>
          <cell r="G9155" t="str">
            <v>Net Off</v>
          </cell>
        </row>
        <row r="9156">
          <cell r="F9156" t="str">
            <v>INV-070325153110</v>
          </cell>
          <cell r="G9156" t="str">
            <v>Net Off</v>
          </cell>
        </row>
        <row r="9157">
          <cell r="F9157" t="str">
            <v>CN-INV-220825102015</v>
          </cell>
          <cell r="G9157" t="str">
            <v>Net Off</v>
          </cell>
        </row>
        <row r="9158">
          <cell r="F9158" t="str">
            <v>INV-041223155040</v>
          </cell>
          <cell r="G9158" t="str">
            <v>Paid</v>
          </cell>
        </row>
        <row r="9159">
          <cell r="F9159" t="str">
            <v>INV-060723173653</v>
          </cell>
          <cell r="G9159" t="str">
            <v>Paid</v>
          </cell>
        </row>
        <row r="9160">
          <cell r="F9160" t="str">
            <v>INV-031024174744</v>
          </cell>
          <cell r="G9160" t="str">
            <v>Waived Off</v>
          </cell>
        </row>
        <row r="9161">
          <cell r="F9161" t="str">
            <v>INV-050824141602</v>
          </cell>
          <cell r="G9161" t="str">
            <v>Waived Off</v>
          </cell>
        </row>
        <row r="9162">
          <cell r="F9162" t="str">
            <v>INV-050924134930</v>
          </cell>
          <cell r="G9162" t="str">
            <v>Waived Off</v>
          </cell>
        </row>
        <row r="9163">
          <cell r="F9163" t="str">
            <v>CN-INV-291124135801</v>
          </cell>
          <cell r="G9163" t="str">
            <v>Paid</v>
          </cell>
        </row>
        <row r="9164">
          <cell r="F9164" t="str">
            <v>INV-291124141702</v>
          </cell>
          <cell r="G9164" t="str">
            <v>Paid</v>
          </cell>
        </row>
        <row r="9165">
          <cell r="F9165" t="str">
            <v>INV-100325171755</v>
          </cell>
          <cell r="G9165" t="str">
            <v>Paid</v>
          </cell>
        </row>
        <row r="9166">
          <cell r="F9166" t="str">
            <v>INV-030425140721</v>
          </cell>
          <cell r="G9166" t="str">
            <v>Paid</v>
          </cell>
        </row>
        <row r="9167">
          <cell r="F9167" t="str">
            <v>INV-050525183052</v>
          </cell>
          <cell r="G9167" t="str">
            <v>Paid</v>
          </cell>
        </row>
        <row r="9168">
          <cell r="F9168" t="str">
            <v>INV-140525172451</v>
          </cell>
          <cell r="G9168" t="str">
            <v>Paid</v>
          </cell>
        </row>
        <row r="9169">
          <cell r="F9169" t="str">
            <v>INV-040625145538</v>
          </cell>
          <cell r="G9169" t="str">
            <v>Paid</v>
          </cell>
        </row>
        <row r="9170">
          <cell r="F9170" t="str">
            <v>INV-030725164632</v>
          </cell>
          <cell r="G9170" t="str">
            <v>Paid</v>
          </cell>
        </row>
        <row r="9171">
          <cell r="F9171" t="str">
            <v>INV-050825180919</v>
          </cell>
          <cell r="G9171" t="str">
            <v>Paid</v>
          </cell>
        </row>
        <row r="9172">
          <cell r="F9172" t="str">
            <v>INV-030925132936</v>
          </cell>
          <cell r="G9172" t="str">
            <v>Paid</v>
          </cell>
        </row>
        <row r="9173">
          <cell r="F9173" t="str">
            <v>INV-061025115712</v>
          </cell>
          <cell r="G9173" t="str">
            <v>Paid</v>
          </cell>
        </row>
        <row r="9174">
          <cell r="F9174" t="str">
            <v>INV-051125185756</v>
          </cell>
          <cell r="G9174" t="str">
            <v>Paid</v>
          </cell>
        </row>
        <row r="9175">
          <cell r="F9175" t="str">
            <v>INV-031225154714</v>
          </cell>
          <cell r="G9175" t="str">
            <v>Paid</v>
          </cell>
        </row>
        <row r="9176">
          <cell r="F9176" t="str">
            <v>INV-060126104317</v>
          </cell>
          <cell r="G9176" t="str">
            <v>Paid</v>
          </cell>
        </row>
        <row r="9177">
          <cell r="F9177" t="str">
            <v>INV-090226161845</v>
          </cell>
          <cell r="G9177" t="str">
            <v>Paid</v>
          </cell>
        </row>
        <row r="9178">
          <cell r="F9178" t="str">
            <v>INV-040326163001</v>
          </cell>
          <cell r="G9178" t="str">
            <v>Outstanding</v>
          </cell>
        </row>
        <row r="9179">
          <cell r="F9179" t="str">
            <v>INV-061023141431</v>
          </cell>
          <cell r="G9179" t="str">
            <v>Paid</v>
          </cell>
        </row>
        <row r="9180">
          <cell r="F9180" t="str">
            <v>INV-061123105330</v>
          </cell>
          <cell r="G9180" t="str">
            <v>Paid</v>
          </cell>
        </row>
        <row r="9181">
          <cell r="F9181" t="str">
            <v>CN-INV-240724134124</v>
          </cell>
          <cell r="G9181" t="str">
            <v>Paid</v>
          </cell>
        </row>
        <row r="9182">
          <cell r="F9182" t="str">
            <v>CN-INV-140525172451</v>
          </cell>
          <cell r="G9182" t="str">
            <v>Paid</v>
          </cell>
        </row>
        <row r="9183">
          <cell r="F9183" t="str">
            <v>INV2021-TRD-001</v>
          </cell>
          <cell r="G9183" t="str">
            <v>Paid</v>
          </cell>
        </row>
        <row r="9184">
          <cell r="F9184" t="str">
            <v>CN2021-TRD-001</v>
          </cell>
          <cell r="G9184" t="str">
            <v>Net Off</v>
          </cell>
        </row>
        <row r="9185">
          <cell r="F9185" t="str">
            <v>INV2021-TRD-002</v>
          </cell>
          <cell r="G9185" t="str">
            <v>Net Off</v>
          </cell>
        </row>
        <row r="9186">
          <cell r="F9186" t="str">
            <v>UKCARDS0015</v>
          </cell>
          <cell r="G9186" t="str">
            <v>Paid</v>
          </cell>
        </row>
        <row r="9187">
          <cell r="F9187" t="str">
            <v>INV-031122115220</v>
          </cell>
          <cell r="G9187" t="str">
            <v>Paid</v>
          </cell>
        </row>
        <row r="9188">
          <cell r="F9188" t="str">
            <v>INV-031122125406</v>
          </cell>
          <cell r="G9188" t="str">
            <v>Paid</v>
          </cell>
        </row>
        <row r="9189">
          <cell r="F9189" t="str">
            <v>INV-031122130713</v>
          </cell>
          <cell r="G9189" t="str">
            <v>Paid</v>
          </cell>
        </row>
        <row r="9190">
          <cell r="F9190" t="str">
            <v>INV-031122131130</v>
          </cell>
          <cell r="G9190" t="str">
            <v>Paid</v>
          </cell>
        </row>
        <row r="9191">
          <cell r="F9191" t="str">
            <v>INV-021222204811</v>
          </cell>
          <cell r="G9191" t="str">
            <v>Paid</v>
          </cell>
        </row>
        <row r="9192">
          <cell r="F9192" t="str">
            <v>INV-040123222024</v>
          </cell>
          <cell r="G9192" t="str">
            <v>Paid</v>
          </cell>
        </row>
        <row r="9193">
          <cell r="F9193" t="str">
            <v>CN-300123143130</v>
          </cell>
          <cell r="G9193" t="str">
            <v>Paid</v>
          </cell>
        </row>
        <row r="9194">
          <cell r="F9194" t="str">
            <v>INV-030223023617</v>
          </cell>
          <cell r="G9194" t="str">
            <v>Void</v>
          </cell>
        </row>
        <row r="9195">
          <cell r="F9195" t="str">
            <v>DN-140223220026</v>
          </cell>
          <cell r="G9195" t="str">
            <v>Paid</v>
          </cell>
        </row>
        <row r="9196">
          <cell r="F9196" t="str">
            <v>DN-140223233955</v>
          </cell>
          <cell r="G9196" t="str">
            <v>Paid</v>
          </cell>
        </row>
        <row r="9197">
          <cell r="F9197" t="str">
            <v>DN-140223234235</v>
          </cell>
          <cell r="G9197" t="str">
            <v>Paid</v>
          </cell>
        </row>
        <row r="9198">
          <cell r="F9198" t="str">
            <v>DN-140223234417</v>
          </cell>
          <cell r="G9198" t="str">
            <v>Paid</v>
          </cell>
        </row>
        <row r="9199">
          <cell r="F9199" t="str">
            <v>DN-140223234932</v>
          </cell>
          <cell r="G9199" t="str">
            <v>Paid</v>
          </cell>
        </row>
        <row r="9200">
          <cell r="F9200" t="str">
            <v>DN-140223235324</v>
          </cell>
          <cell r="G9200" t="str">
            <v>Paid</v>
          </cell>
        </row>
        <row r="9201">
          <cell r="F9201" t="str">
            <v>DN-140223235643</v>
          </cell>
          <cell r="G9201" t="str">
            <v>Paid</v>
          </cell>
        </row>
        <row r="9202">
          <cell r="F9202" t="str">
            <v>DN-140223230732</v>
          </cell>
          <cell r="G9202" t="str">
            <v>Void</v>
          </cell>
        </row>
        <row r="9203">
          <cell r="F9203" t="str">
            <v>CN-020323231344</v>
          </cell>
          <cell r="G9203" t="str">
            <v>Paid</v>
          </cell>
        </row>
        <row r="9204">
          <cell r="F9204" t="str">
            <v>INV-020323230634</v>
          </cell>
          <cell r="G9204" t="str">
            <v>Void</v>
          </cell>
        </row>
        <row r="9205">
          <cell r="F9205" t="str">
            <v>INV-040423125237</v>
          </cell>
          <cell r="G9205" t="str">
            <v>Void</v>
          </cell>
        </row>
        <row r="9206">
          <cell r="F9206" t="str">
            <v>DN-130423220517</v>
          </cell>
          <cell r="G9206" t="str">
            <v>Void</v>
          </cell>
        </row>
        <row r="9207">
          <cell r="F9207" t="str">
            <v>INV-030523195936</v>
          </cell>
          <cell r="G9207" t="str">
            <v>Void</v>
          </cell>
        </row>
        <row r="9208">
          <cell r="F9208" t="str">
            <v>CN-120523162415</v>
          </cell>
          <cell r="G9208" t="str">
            <v>Paid</v>
          </cell>
        </row>
        <row r="9209">
          <cell r="F9209" t="str">
            <v>INV-020623162650</v>
          </cell>
          <cell r="G9209" t="str">
            <v>Void</v>
          </cell>
        </row>
        <row r="9210">
          <cell r="F9210" t="str">
            <v>INV-Tred-Jan-2023</v>
          </cell>
          <cell r="G9210" t="str">
            <v>Paid</v>
          </cell>
        </row>
        <row r="9211">
          <cell r="F9211" t="str">
            <v>DN-120723095145</v>
          </cell>
          <cell r="G9211" t="str">
            <v>Paid</v>
          </cell>
        </row>
        <row r="9212">
          <cell r="F9212" t="str">
            <v>INV-Tred-Apr-2023</v>
          </cell>
          <cell r="G9212" t="str">
            <v>Paid</v>
          </cell>
        </row>
        <row r="9213">
          <cell r="F9213" t="str">
            <v>INV-Tred-Feb-2023</v>
          </cell>
          <cell r="G9213" t="str">
            <v>Paid</v>
          </cell>
        </row>
        <row r="9214">
          <cell r="F9214" t="str">
            <v>INV-Tred-Mar-2023</v>
          </cell>
          <cell r="G9214" t="str">
            <v>Paid</v>
          </cell>
        </row>
        <row r="9215">
          <cell r="F9215" t="str">
            <v>CN-Tred-190723</v>
          </cell>
          <cell r="G9215" t="str">
            <v>Paid</v>
          </cell>
        </row>
        <row r="9216">
          <cell r="F9216" t="str">
            <v>INV-Tred-June-2023</v>
          </cell>
          <cell r="G9216" t="str">
            <v>Paid</v>
          </cell>
        </row>
        <row r="9217">
          <cell r="F9217" t="str">
            <v>INV-Tred-May-2023</v>
          </cell>
          <cell r="G9217" t="str">
            <v>Paid</v>
          </cell>
        </row>
        <row r="9218">
          <cell r="F9218" t="str">
            <v>INV-Tred-July-2023</v>
          </cell>
          <cell r="G9218" t="str">
            <v>Paid</v>
          </cell>
        </row>
        <row r="9219">
          <cell r="F9219" t="str">
            <v>INV2022-TRD-001</v>
          </cell>
          <cell r="G9219" t="str">
            <v>Paid</v>
          </cell>
        </row>
        <row r="9220">
          <cell r="F9220" t="str">
            <v>INV2022-TRD-002</v>
          </cell>
          <cell r="G9220" t="str">
            <v>Paid</v>
          </cell>
        </row>
        <row r="9221">
          <cell r="F9221" t="str">
            <v>INV2022-TRD-003</v>
          </cell>
          <cell r="G9221" t="str">
            <v>Paid</v>
          </cell>
        </row>
        <row r="9222">
          <cell r="F9222" t="str">
            <v>INV2022-TRD-004</v>
          </cell>
          <cell r="G9222" t="str">
            <v>Paid</v>
          </cell>
        </row>
        <row r="9223">
          <cell r="F9223" t="str">
            <v>INV2022-TRD-005</v>
          </cell>
          <cell r="G9223" t="str">
            <v>Paid</v>
          </cell>
        </row>
        <row r="9224">
          <cell r="F9224" t="str">
            <v>CNUKCARDS0001</v>
          </cell>
          <cell r="G9224" t="str">
            <v>Net Off</v>
          </cell>
        </row>
        <row r="9225">
          <cell r="F9225" t="str">
            <v>INV2022-TRD-007</v>
          </cell>
          <cell r="G9225" t="str">
            <v>Paid</v>
          </cell>
        </row>
        <row r="9226">
          <cell r="F9226" t="str">
            <v>INV2022-TRD-006</v>
          </cell>
          <cell r="G9226" t="str">
            <v>Paid</v>
          </cell>
        </row>
        <row r="9227">
          <cell r="F9227" t="str">
            <v>INV2022-TRD-008</v>
          </cell>
          <cell r="G9227" t="str">
            <v>Paid</v>
          </cell>
        </row>
        <row r="9228">
          <cell r="F9228" t="str">
            <v>INV2023-TRD-001</v>
          </cell>
          <cell r="G9228" t="str">
            <v>Paid</v>
          </cell>
        </row>
        <row r="9229">
          <cell r="F9229" t="str">
            <v>INV2023-TRD-002</v>
          </cell>
          <cell r="G9229" t="str">
            <v>Paid</v>
          </cell>
        </row>
        <row r="9230">
          <cell r="F9230" t="str">
            <v>INV2023-TRD-003</v>
          </cell>
          <cell r="G9230" t="str">
            <v>Paid</v>
          </cell>
        </row>
        <row r="9231">
          <cell r="F9231" t="str">
            <v>INV2023-TRD-004</v>
          </cell>
          <cell r="G9231" t="str">
            <v>Paid</v>
          </cell>
        </row>
        <row r="9232">
          <cell r="F9232" t="str">
            <v>INV2023-TRD-005</v>
          </cell>
          <cell r="G9232" t="str">
            <v>Paid</v>
          </cell>
        </row>
        <row r="9233">
          <cell r="F9233" t="str">
            <v>INV2023-TRD-006</v>
          </cell>
          <cell r="G9233" t="str">
            <v>Paid</v>
          </cell>
        </row>
        <row r="9234">
          <cell r="F9234" t="str">
            <v>UKCARDS0010</v>
          </cell>
          <cell r="G9234" t="str">
            <v>Net Off</v>
          </cell>
        </row>
        <row r="9235">
          <cell r="F9235" t="str">
            <v>INV-051125181359</v>
          </cell>
          <cell r="G9235" t="str">
            <v>Paid</v>
          </cell>
        </row>
        <row r="9236">
          <cell r="F9236" t="str">
            <v>INV-031225190008</v>
          </cell>
          <cell r="G9236" t="str">
            <v>Paid</v>
          </cell>
        </row>
        <row r="9237">
          <cell r="F9237" t="str">
            <v>INV-050126123611</v>
          </cell>
          <cell r="G9237" t="str">
            <v>Paid</v>
          </cell>
        </row>
        <row r="9238">
          <cell r="F9238" t="str">
            <v>INV-050226030836</v>
          </cell>
          <cell r="G9238" t="str">
            <v>Paid</v>
          </cell>
        </row>
        <row r="9239">
          <cell r="F9239" t="str">
            <v>CARDS0093</v>
          </cell>
          <cell r="G9239" t="str">
            <v>Waived Off</v>
          </cell>
        </row>
        <row r="9240">
          <cell r="F9240" t="str">
            <v>CNCARDS0005</v>
          </cell>
          <cell r="G9240" t="str">
            <v>Waived Off</v>
          </cell>
        </row>
        <row r="9241">
          <cell r="F9241" t="str">
            <v>CARDS0110</v>
          </cell>
          <cell r="G9241" t="str">
            <v>Paid</v>
          </cell>
        </row>
        <row r="9242">
          <cell r="F9242" t="str">
            <v>CARDS0129</v>
          </cell>
          <cell r="G9242" t="str">
            <v>Paid</v>
          </cell>
        </row>
        <row r="9243">
          <cell r="F9243" t="str">
            <v>CARDS0146</v>
          </cell>
          <cell r="G9243" t="str">
            <v>Paid</v>
          </cell>
        </row>
        <row r="9244">
          <cell r="F9244" t="str">
            <v>CNCARDS0007</v>
          </cell>
          <cell r="G9244" t="str">
            <v>Paid</v>
          </cell>
        </row>
        <row r="9245">
          <cell r="F9245" t="str">
            <v>CARDS0165</v>
          </cell>
          <cell r="G9245" t="str">
            <v>Paid</v>
          </cell>
        </row>
        <row r="9246">
          <cell r="F9246" t="str">
            <v>CARDS0182</v>
          </cell>
          <cell r="G9246" t="str">
            <v>Paid</v>
          </cell>
        </row>
        <row r="9247">
          <cell r="F9247" t="str">
            <v>CNCARDS0013</v>
          </cell>
          <cell r="G9247" t="str">
            <v>Paid</v>
          </cell>
        </row>
        <row r="9248">
          <cell r="F9248" t="str">
            <v>CARDS0203</v>
          </cell>
          <cell r="G9248" t="str">
            <v>Paid</v>
          </cell>
        </row>
        <row r="9249">
          <cell r="F9249" t="str">
            <v>CARDS0224</v>
          </cell>
          <cell r="G9249" t="str">
            <v>Paid</v>
          </cell>
        </row>
        <row r="9250">
          <cell r="F9250" t="str">
            <v>CARDS0240</v>
          </cell>
          <cell r="G9250" t="str">
            <v>Paid</v>
          </cell>
        </row>
        <row r="9251">
          <cell r="F9251" t="str">
            <v>CARDS0257</v>
          </cell>
          <cell r="G9251" t="str">
            <v>Paid</v>
          </cell>
        </row>
        <row r="9252">
          <cell r="F9252" t="str">
            <v>CARDS0279</v>
          </cell>
          <cell r="G9252" t="str">
            <v>Paid</v>
          </cell>
        </row>
        <row r="9253">
          <cell r="F9253" t="str">
            <v>CNCARDS0019</v>
          </cell>
          <cell r="G9253" t="str">
            <v>Paid</v>
          </cell>
        </row>
        <row r="9254">
          <cell r="F9254" t="str">
            <v>CNCARDS0020</v>
          </cell>
          <cell r="G9254" t="str">
            <v>Paid</v>
          </cell>
        </row>
        <row r="9255">
          <cell r="F9255" t="str">
            <v>CARDS0298</v>
          </cell>
          <cell r="G9255" t="str">
            <v>Paid</v>
          </cell>
        </row>
        <row r="9256">
          <cell r="F9256" t="str">
            <v>CARDS0315</v>
          </cell>
          <cell r="G9256" t="str">
            <v>Waived Off</v>
          </cell>
        </row>
        <row r="9257">
          <cell r="F9257" t="str">
            <v>CARDS0299</v>
          </cell>
          <cell r="G9257" t="str">
            <v>Paid</v>
          </cell>
        </row>
        <row r="9258">
          <cell r="F9258" t="str">
            <v>INV-200226114219</v>
          </cell>
          <cell r="G9258" t="str">
            <v>Paid</v>
          </cell>
        </row>
        <row r="9259">
          <cell r="F9259" t="str">
            <v>CARDS0006</v>
          </cell>
          <cell r="G9259" t="str">
            <v>Waived Off</v>
          </cell>
        </row>
        <row r="9260">
          <cell r="F9260" t="str">
            <v>CARDS0018</v>
          </cell>
          <cell r="G9260" t="str">
            <v>Waived Off</v>
          </cell>
        </row>
        <row r="9261">
          <cell r="F9261" t="str">
            <v>CARDS0032</v>
          </cell>
          <cell r="G9261" t="str">
            <v>Waived Off</v>
          </cell>
        </row>
        <row r="9262">
          <cell r="F9262" t="str">
            <v>CARDS0047</v>
          </cell>
          <cell r="G9262" t="str">
            <v>Waived Off</v>
          </cell>
        </row>
        <row r="9263">
          <cell r="F9263" t="str">
            <v>CARDS0070</v>
          </cell>
          <cell r="G9263" t="str">
            <v>Waived Off</v>
          </cell>
        </row>
        <row r="9264">
          <cell r="F9264" t="str">
            <v>CARDS0083</v>
          </cell>
          <cell r="G9264" t="str">
            <v>Waived Off</v>
          </cell>
        </row>
        <row r="9265">
          <cell r="F9265" t="str">
            <v>CARDS0100</v>
          </cell>
          <cell r="G9265" t="str">
            <v>Waived Off</v>
          </cell>
        </row>
        <row r="9266">
          <cell r="F9266" t="str">
            <v>CARDS0119</v>
          </cell>
          <cell r="G9266" t="str">
            <v>Waived Off</v>
          </cell>
        </row>
        <row r="9267">
          <cell r="F9267" t="str">
            <v>INV-100725163328</v>
          </cell>
          <cell r="G9267" t="str">
            <v>Paid</v>
          </cell>
        </row>
        <row r="9268">
          <cell r="F9268" t="str">
            <v>INV-030125191809</v>
          </cell>
          <cell r="G9268" t="str">
            <v>Net Off</v>
          </cell>
        </row>
        <row r="9269">
          <cell r="F9269" t="str">
            <v>INV-140125122700</v>
          </cell>
          <cell r="G9269" t="str">
            <v>Net Off</v>
          </cell>
        </row>
        <row r="9270">
          <cell r="F9270" t="str">
            <v>CN-INV-090525120001</v>
          </cell>
          <cell r="G9270" t="str">
            <v>Net Off</v>
          </cell>
        </row>
        <row r="9271">
          <cell r="F9271" t="str">
            <v>CN-INV-090525120002</v>
          </cell>
          <cell r="G9271" t="str">
            <v>Net Off</v>
          </cell>
        </row>
        <row r="9272">
          <cell r="F9272" t="str">
            <v>INV-031025121633</v>
          </cell>
          <cell r="G9272" t="str">
            <v>Paid</v>
          </cell>
        </row>
        <row r="9273">
          <cell r="F9273" t="str">
            <v>INV-260224180952</v>
          </cell>
          <cell r="G9273" t="str">
            <v>Paid</v>
          </cell>
        </row>
        <row r="9274">
          <cell r="F9274" t="str">
            <v>INV-261023124729</v>
          </cell>
          <cell r="G9274" t="str">
            <v>Paid</v>
          </cell>
        </row>
        <row r="9275">
          <cell r="F9275" t="str">
            <v>INV-070524132620</v>
          </cell>
          <cell r="G9275" t="str">
            <v>Paid</v>
          </cell>
        </row>
        <row r="9276">
          <cell r="F9276" t="str">
            <v>INV-050724164636</v>
          </cell>
          <cell r="G9276" t="str">
            <v>Paid</v>
          </cell>
        </row>
        <row r="9277">
          <cell r="F9277" t="str">
            <v>INV-060624150225</v>
          </cell>
          <cell r="G9277" t="str">
            <v>Paid</v>
          </cell>
        </row>
        <row r="9278">
          <cell r="F9278" t="str">
            <v>INV-070824092953</v>
          </cell>
          <cell r="G9278" t="str">
            <v>Paid</v>
          </cell>
        </row>
        <row r="9279">
          <cell r="F9279" t="str">
            <v>INV-090924142517</v>
          </cell>
          <cell r="G9279" t="str">
            <v>Paid</v>
          </cell>
        </row>
        <row r="9280">
          <cell r="F9280" t="str">
            <v>INV-081024125530</v>
          </cell>
          <cell r="G9280" t="str">
            <v>Paid</v>
          </cell>
        </row>
        <row r="9281">
          <cell r="F9281" t="str">
            <v>INV-071124180447</v>
          </cell>
          <cell r="G9281" t="str">
            <v>Paid</v>
          </cell>
        </row>
        <row r="9282">
          <cell r="F9282" t="str">
            <v>INV-091224090545</v>
          </cell>
          <cell r="G9282" t="str">
            <v>Paid</v>
          </cell>
        </row>
        <row r="9283">
          <cell r="F9283" t="str">
            <v>INV-171224163000</v>
          </cell>
          <cell r="G9283" t="str">
            <v>Paid</v>
          </cell>
        </row>
        <row r="9284">
          <cell r="F9284" t="str">
            <v>INV-080125165158</v>
          </cell>
          <cell r="G9284" t="str">
            <v>Paid</v>
          </cell>
        </row>
        <row r="9285">
          <cell r="F9285" t="str">
            <v>INV-070225155502</v>
          </cell>
          <cell r="G9285" t="str">
            <v>Paid</v>
          </cell>
        </row>
        <row r="9286">
          <cell r="F9286" t="str">
            <v>INV-070325131707</v>
          </cell>
          <cell r="G9286" t="str">
            <v>Paid</v>
          </cell>
        </row>
        <row r="9287">
          <cell r="F9287" t="str">
            <v>INV-040425192741</v>
          </cell>
          <cell r="G9287" t="str">
            <v>Paid</v>
          </cell>
        </row>
        <row r="9288">
          <cell r="F9288" t="str">
            <v>INV-060525182450</v>
          </cell>
          <cell r="G9288" t="str">
            <v>Paid</v>
          </cell>
        </row>
        <row r="9289">
          <cell r="F9289" t="str">
            <v>INV-060625135050</v>
          </cell>
          <cell r="G9289" t="str">
            <v>Paid</v>
          </cell>
        </row>
        <row r="9290">
          <cell r="F9290" t="str">
            <v>INV-070725151526</v>
          </cell>
          <cell r="G9290" t="str">
            <v>Paid</v>
          </cell>
        </row>
        <row r="9291">
          <cell r="F9291" t="str">
            <v>INV-310725161012</v>
          </cell>
          <cell r="G9291" t="str">
            <v>Paid</v>
          </cell>
        </row>
        <row r="9292">
          <cell r="F9292" t="str">
            <v>INV-060825173835</v>
          </cell>
          <cell r="G9292" t="str">
            <v>Paid</v>
          </cell>
        </row>
        <row r="9293">
          <cell r="F9293" t="str">
            <v>INV-040925184049</v>
          </cell>
          <cell r="G9293" t="str">
            <v>Paid</v>
          </cell>
        </row>
        <row r="9294">
          <cell r="F9294" t="str">
            <v>INV-061025192237</v>
          </cell>
          <cell r="G9294" t="str">
            <v>Paid</v>
          </cell>
        </row>
        <row r="9295">
          <cell r="F9295" t="str">
            <v>INV-041225133346</v>
          </cell>
          <cell r="G9295" t="str">
            <v>Paid</v>
          </cell>
        </row>
        <row r="9296">
          <cell r="F9296" t="str">
            <v>INV-050126162405</v>
          </cell>
          <cell r="G9296" t="str">
            <v>Paid</v>
          </cell>
        </row>
        <row r="9297">
          <cell r="F9297" t="str">
            <v>INV-050226013844</v>
          </cell>
          <cell r="G9297" t="str">
            <v>Paid</v>
          </cell>
        </row>
        <row r="9298">
          <cell r="F9298" t="str">
            <v>INV-040326101049</v>
          </cell>
          <cell r="G9298" t="str">
            <v>Paid</v>
          </cell>
        </row>
        <row r="9299">
          <cell r="F9299" t="str">
            <v>NV2024-UQPAY-001</v>
          </cell>
          <cell r="G9299" t="str">
            <v>Paid</v>
          </cell>
        </row>
        <row r="9300">
          <cell r="F9300" t="str">
            <v>INV-010925101633</v>
          </cell>
          <cell r="G9300" t="str">
            <v>Paid</v>
          </cell>
        </row>
        <row r="9301">
          <cell r="F9301" t="str">
            <v>CARDS0059</v>
          </cell>
          <cell r="G9301" t="str">
            <v>Paid</v>
          </cell>
        </row>
        <row r="9302">
          <cell r="F9302" t="str">
            <v>EUCARDS0002</v>
          </cell>
          <cell r="G9302" t="str">
            <v>Paid</v>
          </cell>
        </row>
        <row r="9303">
          <cell r="F9303" t="str">
            <v>EUCARDS0003</v>
          </cell>
          <cell r="G9303" t="str">
            <v>Paid</v>
          </cell>
        </row>
        <row r="9304">
          <cell r="F9304" t="str">
            <v>EUCARDS0006</v>
          </cell>
          <cell r="G9304" t="str">
            <v>Paid</v>
          </cell>
        </row>
        <row r="9305">
          <cell r="F9305" t="str">
            <v>EUCARDS0009</v>
          </cell>
          <cell r="G9305" t="str">
            <v>Paid</v>
          </cell>
        </row>
        <row r="9306">
          <cell r="F9306" t="str">
            <v>EUCARDS0010</v>
          </cell>
          <cell r="G9306" t="str">
            <v>Paid</v>
          </cell>
        </row>
        <row r="9307">
          <cell r="F9307" t="str">
            <v>EUCARDS0013</v>
          </cell>
          <cell r="G9307" t="str">
            <v>Paid</v>
          </cell>
        </row>
        <row r="9308">
          <cell r="F9308" t="str">
            <v>EUCARDS0014</v>
          </cell>
          <cell r="G9308" t="str">
            <v>Paid</v>
          </cell>
        </row>
        <row r="9309">
          <cell r="F9309" t="str">
            <v>EUCARDS0015</v>
          </cell>
          <cell r="G9309" t="str">
            <v>Paid</v>
          </cell>
        </row>
        <row r="9310">
          <cell r="F9310" t="str">
            <v>EUCARDS0016</v>
          </cell>
          <cell r="G9310" t="str">
            <v>Paid</v>
          </cell>
        </row>
        <row r="9311">
          <cell r="F9311" t="str">
            <v>EUCARDS0017</v>
          </cell>
          <cell r="G9311" t="str">
            <v>Paid</v>
          </cell>
        </row>
        <row r="9312">
          <cell r="F9312" t="str">
            <v>EUCARDS0018</v>
          </cell>
          <cell r="G9312" t="str">
            <v>Paid</v>
          </cell>
        </row>
        <row r="9313">
          <cell r="F9313" t="str">
            <v>INV-071122155743</v>
          </cell>
          <cell r="G9313" t="str">
            <v>Paid</v>
          </cell>
        </row>
        <row r="9314">
          <cell r="F9314" t="str">
            <v>INV-071222232216</v>
          </cell>
          <cell r="G9314" t="str">
            <v>Paid</v>
          </cell>
        </row>
        <row r="9315">
          <cell r="F9315" t="str">
            <v>INV-060123170000</v>
          </cell>
          <cell r="G9315" t="str">
            <v>Paid</v>
          </cell>
        </row>
        <row r="9316">
          <cell r="F9316" t="str">
            <v>INV-060223165622</v>
          </cell>
          <cell r="G9316" t="str">
            <v>Paid</v>
          </cell>
        </row>
        <row r="9317">
          <cell r="F9317" t="str">
            <v>INV-070323223132</v>
          </cell>
          <cell r="G9317" t="str">
            <v>Paid</v>
          </cell>
        </row>
        <row r="9318">
          <cell r="F9318" t="str">
            <v>INV-060423180712</v>
          </cell>
          <cell r="G9318" t="str">
            <v>Paid</v>
          </cell>
        </row>
        <row r="9319">
          <cell r="F9319" t="str">
            <v>INV-040523155725</v>
          </cell>
          <cell r="G9319" t="str">
            <v>Paid</v>
          </cell>
        </row>
        <row r="9320">
          <cell r="F9320" t="str">
            <v>INV-051023160457</v>
          </cell>
          <cell r="G9320" t="str">
            <v>Paid</v>
          </cell>
        </row>
        <row r="9321">
          <cell r="F9321" t="str">
            <v>INV-060623155129</v>
          </cell>
          <cell r="G9321" t="str">
            <v>Paid</v>
          </cell>
        </row>
        <row r="9322">
          <cell r="F9322" t="str">
            <v>INV-060923134432</v>
          </cell>
          <cell r="G9322" t="str">
            <v>Paid</v>
          </cell>
        </row>
        <row r="9323">
          <cell r="F9323" t="str">
            <v>INV-061223125221</v>
          </cell>
          <cell r="G9323" t="str">
            <v>Paid</v>
          </cell>
        </row>
        <row r="9324">
          <cell r="F9324" t="str">
            <v>INV-060723170937</v>
          </cell>
          <cell r="G9324" t="str">
            <v>Paid</v>
          </cell>
        </row>
        <row r="9325">
          <cell r="F9325" t="str">
            <v>INV-040823182137</v>
          </cell>
          <cell r="G9325" t="str">
            <v>Paid</v>
          </cell>
        </row>
        <row r="9326">
          <cell r="F9326" t="str">
            <v>INV-061123162554</v>
          </cell>
          <cell r="G9326" t="str">
            <v>Paid</v>
          </cell>
        </row>
        <row r="9327">
          <cell r="F9327" t="str">
            <v>INV-050124145403</v>
          </cell>
          <cell r="G9327" t="str">
            <v>Paid</v>
          </cell>
        </row>
        <row r="9328">
          <cell r="F9328" t="str">
            <v>INV-070224182030</v>
          </cell>
          <cell r="G9328" t="str">
            <v>Paid</v>
          </cell>
        </row>
        <row r="9329">
          <cell r="F9329" t="str">
            <v>INV-070324155250</v>
          </cell>
          <cell r="G9329" t="str">
            <v>Paid</v>
          </cell>
        </row>
        <row r="9330">
          <cell r="F9330" t="str">
            <v>INV-050424111736</v>
          </cell>
          <cell r="G9330" t="str">
            <v>Paid</v>
          </cell>
        </row>
        <row r="9331">
          <cell r="F9331" t="str">
            <v>INV-070524110145</v>
          </cell>
          <cell r="G9331" t="str">
            <v>Paid</v>
          </cell>
        </row>
        <row r="9332">
          <cell r="F9332" t="str">
            <v>INV-050724150629</v>
          </cell>
          <cell r="G9332" t="str">
            <v>Paid</v>
          </cell>
        </row>
        <row r="9333">
          <cell r="F9333" t="str">
            <v>INV-070624123119</v>
          </cell>
          <cell r="G9333" t="str">
            <v>Paid</v>
          </cell>
        </row>
        <row r="9334">
          <cell r="F9334" t="str">
            <v>INV-070824124439</v>
          </cell>
          <cell r="G9334" t="str">
            <v>Paid</v>
          </cell>
        </row>
        <row r="9335">
          <cell r="F9335" t="str">
            <v>INV-081124163841</v>
          </cell>
          <cell r="G9335" t="str">
            <v>Paid</v>
          </cell>
        </row>
        <row r="9336">
          <cell r="F9336" t="str">
            <v>INV-090924121325</v>
          </cell>
          <cell r="G9336" t="str">
            <v>Paid</v>
          </cell>
        </row>
        <row r="9337">
          <cell r="F9337" t="str">
            <v>INV-101024135750</v>
          </cell>
          <cell r="G9337" t="str">
            <v>Paid</v>
          </cell>
        </row>
        <row r="9338">
          <cell r="F9338" t="str">
            <v>INV-031123150047</v>
          </cell>
          <cell r="G9338" t="str">
            <v>Paid</v>
          </cell>
        </row>
        <row r="9339">
          <cell r="F9339" t="str">
            <v>INV-040923185440</v>
          </cell>
          <cell r="G9339" t="str">
            <v>Paid</v>
          </cell>
        </row>
        <row r="9340">
          <cell r="F9340" t="str">
            <v>INV-051023122019</v>
          </cell>
          <cell r="G9340" t="str">
            <v>Paid</v>
          </cell>
        </row>
        <row r="9341">
          <cell r="F9341" t="str">
            <v>INV-051223151915</v>
          </cell>
          <cell r="G9341" t="str">
            <v>Paid</v>
          </cell>
        </row>
        <row r="9342">
          <cell r="F9342" t="str">
            <v>INV-190623175137</v>
          </cell>
          <cell r="G9342" t="str">
            <v>Paid</v>
          </cell>
        </row>
        <row r="9343">
          <cell r="F9343" t="str">
            <v>INV-050723113326</v>
          </cell>
          <cell r="G9343" t="str">
            <v>Paid</v>
          </cell>
        </row>
        <row r="9344">
          <cell r="F9344" t="str">
            <v>INV-030823180437</v>
          </cell>
          <cell r="G9344" t="str">
            <v>Paid</v>
          </cell>
        </row>
        <row r="9345">
          <cell r="F9345" t="str">
            <v>INV-040124170610</v>
          </cell>
          <cell r="G9345" t="str">
            <v>Paid</v>
          </cell>
        </row>
        <row r="9346">
          <cell r="F9346" t="str">
            <v>INV-070224112622</v>
          </cell>
          <cell r="G9346" t="str">
            <v>Paid</v>
          </cell>
        </row>
        <row r="9347">
          <cell r="F9347" t="str">
            <v>INV-060324175024</v>
          </cell>
          <cell r="G9347" t="str">
            <v>Paid</v>
          </cell>
        </row>
        <row r="9348">
          <cell r="F9348" t="str">
            <v>INV-050424132352</v>
          </cell>
          <cell r="G9348" t="str">
            <v>Paid</v>
          </cell>
        </row>
        <row r="9349">
          <cell r="F9349" t="str">
            <v>INV-061123154020</v>
          </cell>
          <cell r="G9349" t="str">
            <v>Net Off</v>
          </cell>
        </row>
        <row r="9350">
          <cell r="F9350" t="str">
            <v>CN-INV-240325151112</v>
          </cell>
          <cell r="G9350" t="str">
            <v>Net Off</v>
          </cell>
        </row>
        <row r="9351">
          <cell r="F9351" t="str">
            <v>INV-040725125833</v>
          </cell>
          <cell r="G9351" t="str">
            <v>Paid</v>
          </cell>
        </row>
        <row r="9352">
          <cell r="F9352" t="str">
            <v>INV-060825104959</v>
          </cell>
          <cell r="G9352" t="str">
            <v>Paid</v>
          </cell>
        </row>
        <row r="9353">
          <cell r="F9353" t="str">
            <v>INV-030925144932</v>
          </cell>
          <cell r="G9353" t="str">
            <v>Paid</v>
          </cell>
        </row>
        <row r="9354">
          <cell r="F9354" t="str">
            <v>INV-061025123637</v>
          </cell>
          <cell r="G9354" t="str">
            <v>Paid</v>
          </cell>
        </row>
        <row r="9355">
          <cell r="F9355" t="str">
            <v>INV-061125102214</v>
          </cell>
          <cell r="G9355" t="str">
            <v>Paid</v>
          </cell>
        </row>
        <row r="9356">
          <cell r="F9356" t="str">
            <v>INV-041225131509</v>
          </cell>
          <cell r="G9356" t="str">
            <v>Paid</v>
          </cell>
        </row>
        <row r="9357">
          <cell r="F9357" t="str">
            <v>INV-060126174349</v>
          </cell>
          <cell r="G9357" t="str">
            <v>Paid</v>
          </cell>
        </row>
        <row r="9358">
          <cell r="F9358" t="str">
            <v>INV-020226191330</v>
          </cell>
          <cell r="G9358" t="str">
            <v>Outstanding</v>
          </cell>
        </row>
        <row r="9359">
          <cell r="F9359" t="str">
            <v>INV-060226140346</v>
          </cell>
          <cell r="G9359" t="str">
            <v>Paid</v>
          </cell>
        </row>
        <row r="9360">
          <cell r="F9360" t="str">
            <v>INV-040326124857</v>
          </cell>
          <cell r="G9360" t="str">
            <v>Outstanding</v>
          </cell>
        </row>
        <row r="9361">
          <cell r="F9361" t="str">
            <v>INV-191125010000</v>
          </cell>
          <cell r="G9361" t="str">
            <v>Paid</v>
          </cell>
        </row>
        <row r="9362">
          <cell r="F9362" t="str">
            <v>INV2021-VIS-001</v>
          </cell>
          <cell r="G9362" t="str">
            <v>Paid</v>
          </cell>
        </row>
        <row r="9363">
          <cell r="F9363" t="str">
            <v>HKCARDS0010</v>
          </cell>
          <cell r="G9363" t="str">
            <v>Paid</v>
          </cell>
        </row>
        <row r="9364">
          <cell r="F9364" t="str">
            <v>AUCARDS0026</v>
          </cell>
          <cell r="G9364" t="str">
            <v>Waived Off</v>
          </cell>
        </row>
        <row r="9365">
          <cell r="F9365" t="str">
            <v>AUCARDS0030</v>
          </cell>
          <cell r="G9365" t="str">
            <v>Waived Off</v>
          </cell>
        </row>
        <row r="9366">
          <cell r="F9366" t="str">
            <v>INV-050424201313</v>
          </cell>
          <cell r="G9366" t="str">
            <v>Paid</v>
          </cell>
        </row>
        <row r="9367">
          <cell r="F9367" t="str">
            <v>INV-050724111425</v>
          </cell>
          <cell r="G9367" t="str">
            <v>Paid</v>
          </cell>
        </row>
        <row r="9368">
          <cell r="F9368" t="str">
            <v>INV-060624170627</v>
          </cell>
          <cell r="G9368" t="str">
            <v>Paid</v>
          </cell>
        </row>
        <row r="9369">
          <cell r="F9369" t="str">
            <v>INV-060824130033</v>
          </cell>
          <cell r="G9369" t="str">
            <v>Paid</v>
          </cell>
        </row>
        <row r="9370">
          <cell r="F9370" t="str">
            <v>INV-061224113445</v>
          </cell>
          <cell r="G9370" t="str">
            <v>Paid</v>
          </cell>
        </row>
        <row r="9371">
          <cell r="F9371" t="str">
            <v>INV-060924152713</v>
          </cell>
          <cell r="G9371" t="str">
            <v>Paid</v>
          </cell>
        </row>
        <row r="9372">
          <cell r="F9372" t="str">
            <v>INV-091024095400</v>
          </cell>
          <cell r="G9372" t="str">
            <v>Paid</v>
          </cell>
        </row>
        <row r="9373">
          <cell r="F9373" t="str">
            <v>INV-081124150342</v>
          </cell>
          <cell r="G9373" t="str">
            <v>Paid</v>
          </cell>
        </row>
        <row r="9374">
          <cell r="F9374" t="str">
            <v>INV-070125153218</v>
          </cell>
          <cell r="G9374" t="str">
            <v>Paid</v>
          </cell>
        </row>
        <row r="9375">
          <cell r="F9375" t="str">
            <v>INV-060225143810</v>
          </cell>
          <cell r="G9375" t="str">
            <v>Paid</v>
          </cell>
        </row>
        <row r="9376">
          <cell r="F9376" t="str">
            <v>INV-050325170259</v>
          </cell>
          <cell r="G9376" t="str">
            <v>Paid</v>
          </cell>
        </row>
        <row r="9377">
          <cell r="F9377" t="str">
            <v>INV-040425093017</v>
          </cell>
          <cell r="G9377" t="str">
            <v>Paid</v>
          </cell>
        </row>
        <row r="9378">
          <cell r="F9378" t="str">
            <v>INV-060525121509</v>
          </cell>
          <cell r="G9378" t="str">
            <v>Paid</v>
          </cell>
        </row>
        <row r="9379">
          <cell r="F9379" t="str">
            <v>INV-050625114642</v>
          </cell>
          <cell r="G9379" t="str">
            <v>Paid</v>
          </cell>
        </row>
        <row r="9380">
          <cell r="F9380" t="str">
            <v>INV-040725160022</v>
          </cell>
          <cell r="G9380" t="str">
            <v>Paid</v>
          </cell>
        </row>
        <row r="9381">
          <cell r="F9381" t="str">
            <v>INV-060825105734</v>
          </cell>
          <cell r="G9381" t="str">
            <v>Paid</v>
          </cell>
        </row>
        <row r="9382">
          <cell r="F9382" t="str">
            <v>INV-040925095830</v>
          </cell>
          <cell r="G9382" t="str">
            <v>Partially Paid</v>
          </cell>
        </row>
        <row r="9383">
          <cell r="F9383" t="str">
            <v>INV-061025143320</v>
          </cell>
          <cell r="G9383" t="str">
            <v>Outstanding</v>
          </cell>
        </row>
        <row r="9384">
          <cell r="F9384" t="str">
            <v>INV-070226184910</v>
          </cell>
          <cell r="G9384" t="str">
            <v>Outstanding</v>
          </cell>
        </row>
        <row r="9385">
          <cell r="F9385" t="str">
            <v>CARDS0007</v>
          </cell>
          <cell r="G9385" t="str">
            <v>Paid</v>
          </cell>
        </row>
        <row r="9386">
          <cell r="F9386" t="str">
            <v>CARDS0019</v>
          </cell>
          <cell r="G9386" t="str">
            <v>Paid</v>
          </cell>
        </row>
        <row r="9387">
          <cell r="F9387" t="str">
            <v>CARDS0033</v>
          </cell>
          <cell r="G9387" t="str">
            <v>Paid</v>
          </cell>
        </row>
        <row r="9388">
          <cell r="F9388" t="str">
            <v>CARDS0048</v>
          </cell>
          <cell r="G9388" t="str">
            <v>Paid</v>
          </cell>
        </row>
        <row r="9389">
          <cell r="F9389" t="str">
            <v>CARDS0071</v>
          </cell>
          <cell r="G9389" t="str">
            <v>Paid</v>
          </cell>
        </row>
        <row r="9390">
          <cell r="F9390" t="str">
            <v>CARDS0084</v>
          </cell>
          <cell r="G9390" t="str">
            <v>Paid</v>
          </cell>
        </row>
        <row r="9391">
          <cell r="F9391" t="str">
            <v>CARDS0101</v>
          </cell>
          <cell r="G9391" t="str">
            <v>Paid</v>
          </cell>
        </row>
        <row r="9392">
          <cell r="F9392" t="str">
            <v>CARDS0120</v>
          </cell>
          <cell r="G9392" t="str">
            <v>Paid</v>
          </cell>
        </row>
        <row r="9393">
          <cell r="F9393" t="str">
            <v>CARDS0137</v>
          </cell>
          <cell r="G9393" t="str">
            <v>Paid</v>
          </cell>
        </row>
        <row r="9394">
          <cell r="F9394" t="str">
            <v>CARDS0157</v>
          </cell>
          <cell r="G9394" t="str">
            <v>Paid</v>
          </cell>
        </row>
        <row r="9395">
          <cell r="F9395" t="str">
            <v>CARDS0173</v>
          </cell>
          <cell r="G9395" t="str">
            <v>Paid</v>
          </cell>
        </row>
        <row r="9396">
          <cell r="F9396" t="str">
            <v>CARDS0195</v>
          </cell>
          <cell r="G9396" t="str">
            <v>Paid</v>
          </cell>
        </row>
        <row r="9397">
          <cell r="F9397" t="str">
            <v>INV-2022-VLP-001</v>
          </cell>
          <cell r="G9397" t="str">
            <v>Paid</v>
          </cell>
        </row>
        <row r="9398">
          <cell r="F9398" t="str">
            <v>CARDS0215</v>
          </cell>
          <cell r="G9398" t="str">
            <v>Paid</v>
          </cell>
        </row>
        <row r="9399">
          <cell r="F9399" t="str">
            <v>CARDS0232</v>
          </cell>
          <cell r="G9399" t="str">
            <v>Paid</v>
          </cell>
        </row>
        <row r="9400">
          <cell r="F9400" t="str">
            <v>CARDS0249</v>
          </cell>
          <cell r="G9400" t="str">
            <v>Paid</v>
          </cell>
        </row>
        <row r="9401">
          <cell r="F9401" t="str">
            <v>CARDS0270</v>
          </cell>
          <cell r="G9401" t="str">
            <v>Net Off</v>
          </cell>
        </row>
        <row r="9402">
          <cell r="F9402" t="str">
            <v>DNCARDS0012</v>
          </cell>
          <cell r="G9402" t="str">
            <v>Net Off</v>
          </cell>
        </row>
        <row r="9403">
          <cell r="F9403" t="str">
            <v>CARDS0288</v>
          </cell>
          <cell r="G9403" t="str">
            <v>Net Off</v>
          </cell>
        </row>
        <row r="9404">
          <cell r="F9404" t="str">
            <v>CARDS0306</v>
          </cell>
          <cell r="G9404" t="str">
            <v>Paid</v>
          </cell>
        </row>
        <row r="9405">
          <cell r="F9405" t="str">
            <v>INV2022-VLP-002</v>
          </cell>
          <cell r="G9405" t="str">
            <v>Paid</v>
          </cell>
        </row>
        <row r="9406">
          <cell r="F9406" t="str">
            <v>CARDS0319</v>
          </cell>
          <cell r="G9406" t="str">
            <v>Paid</v>
          </cell>
        </row>
        <row r="9407">
          <cell r="F9407" t="str">
            <v>CARDS0333</v>
          </cell>
          <cell r="G9407" t="str">
            <v>Paid</v>
          </cell>
        </row>
        <row r="9408">
          <cell r="F9408" t="str">
            <v>CNCARDS0029</v>
          </cell>
          <cell r="G9408" t="str">
            <v>Net Off</v>
          </cell>
        </row>
        <row r="9409">
          <cell r="F9409" t="str">
            <v>CNCARDS0030</v>
          </cell>
          <cell r="G9409" t="str">
            <v>Net Off</v>
          </cell>
        </row>
        <row r="9410">
          <cell r="F9410" t="str">
            <v>CNCARDS0031</v>
          </cell>
          <cell r="G9410" t="str">
            <v>Net Off</v>
          </cell>
        </row>
        <row r="9411">
          <cell r="F9411" t="str">
            <v>CARDS0347</v>
          </cell>
          <cell r="G9411" t="str">
            <v>Paid</v>
          </cell>
        </row>
        <row r="9412">
          <cell r="F9412" t="str">
            <v>CNCARDS0028</v>
          </cell>
          <cell r="G9412" t="str">
            <v>Paid</v>
          </cell>
        </row>
        <row r="9413">
          <cell r="F9413" t="str">
            <v>CARDS0349</v>
          </cell>
          <cell r="G9413" t="str">
            <v>Paid</v>
          </cell>
        </row>
        <row r="9414">
          <cell r="F9414" t="str">
            <v>INV2023-VLP-003</v>
          </cell>
          <cell r="G9414" t="str">
            <v>Paid</v>
          </cell>
        </row>
        <row r="9415">
          <cell r="F9415" t="str">
            <v>CN-040423174028</v>
          </cell>
          <cell r="G9415" t="str">
            <v>Paid</v>
          </cell>
        </row>
        <row r="9416">
          <cell r="F9416" t="str">
            <v>INV-180123103214</v>
          </cell>
          <cell r="G9416" t="str">
            <v>Paid</v>
          </cell>
        </row>
        <row r="9417">
          <cell r="F9417" t="str">
            <v>INV-180123175842</v>
          </cell>
          <cell r="G9417" t="str">
            <v>Paid</v>
          </cell>
        </row>
        <row r="9418">
          <cell r="F9418" t="str">
            <v>INV-180123225553</v>
          </cell>
          <cell r="G9418" t="str">
            <v>Paid</v>
          </cell>
        </row>
        <row r="9419">
          <cell r="F9419" t="str">
            <v>INV-230223221537</v>
          </cell>
          <cell r="G9419" t="str">
            <v>Paid</v>
          </cell>
        </row>
        <row r="9420">
          <cell r="F9420" t="str">
            <v>INV-020323173825</v>
          </cell>
          <cell r="G9420" t="str">
            <v>Paid</v>
          </cell>
        </row>
        <row r="9421">
          <cell r="F9421" t="str">
            <v>INV-040423141022</v>
          </cell>
          <cell r="G9421" t="str">
            <v>Paid</v>
          </cell>
        </row>
        <row r="9422">
          <cell r="F9422" t="str">
            <v>INV-040923172016</v>
          </cell>
          <cell r="G9422" t="str">
            <v>Paid</v>
          </cell>
        </row>
        <row r="9423">
          <cell r="F9423" t="str">
            <v>INV-030523155824</v>
          </cell>
          <cell r="G9423" t="str">
            <v>Paid</v>
          </cell>
        </row>
        <row r="9424">
          <cell r="F9424" t="str">
            <v>INV-051023113441</v>
          </cell>
          <cell r="G9424" t="str">
            <v>Paid</v>
          </cell>
        </row>
        <row r="9425">
          <cell r="F9425" t="str">
            <v>DN-230523112424</v>
          </cell>
          <cell r="G9425" t="str">
            <v>Paid</v>
          </cell>
        </row>
        <row r="9426">
          <cell r="F9426" t="str">
            <v>INV-080623163453</v>
          </cell>
          <cell r="G9426" t="str">
            <v>Paid</v>
          </cell>
        </row>
        <row r="9427">
          <cell r="F9427" t="str">
            <v>INV-040723113510</v>
          </cell>
          <cell r="G9427" t="str">
            <v>Paid</v>
          </cell>
        </row>
        <row r="9428">
          <cell r="F9428" t="str">
            <v>INV-030823104619</v>
          </cell>
          <cell r="G9428" t="str">
            <v>Paid</v>
          </cell>
        </row>
        <row r="9429">
          <cell r="F9429" t="str">
            <v>INV-031123170310</v>
          </cell>
          <cell r="G9429" t="str">
            <v>Paid</v>
          </cell>
        </row>
        <row r="9430">
          <cell r="F9430" t="str">
            <v>INV-051223163638</v>
          </cell>
          <cell r="G9430" t="str">
            <v>Paid</v>
          </cell>
        </row>
        <row r="9431">
          <cell r="F9431" t="str">
            <v>INV-050124161702</v>
          </cell>
          <cell r="G9431" t="str">
            <v>Paid</v>
          </cell>
        </row>
        <row r="9432">
          <cell r="F9432" t="str">
            <v>INV-070224150843</v>
          </cell>
          <cell r="G9432" t="str">
            <v>Paid</v>
          </cell>
        </row>
        <row r="9433">
          <cell r="F9433" t="str">
            <v>INV-120324164048</v>
          </cell>
          <cell r="G9433" t="str">
            <v>Paid</v>
          </cell>
        </row>
        <row r="9434">
          <cell r="F9434" t="str">
            <v>INV-070524153854</v>
          </cell>
          <cell r="G9434" t="str">
            <v>Paid</v>
          </cell>
        </row>
        <row r="9435">
          <cell r="F9435" t="str">
            <v>INV-061125120844</v>
          </cell>
          <cell r="G9435" t="str">
            <v>Outstanding</v>
          </cell>
        </row>
        <row r="9436">
          <cell r="F9436" t="str">
            <v>INV-041225180916</v>
          </cell>
          <cell r="G9436" t="str">
            <v>Outstanding</v>
          </cell>
        </row>
        <row r="9437">
          <cell r="F9437" t="str">
            <v>INV-060126133501</v>
          </cell>
          <cell r="G9437" t="str">
            <v>Outstanding</v>
          </cell>
        </row>
        <row r="9438">
          <cell r="F9438" t="str">
            <v>INV-040326154927</v>
          </cell>
          <cell r="G9438" t="str">
            <v>Outstanding</v>
          </cell>
        </row>
        <row r="9439">
          <cell r="F9439" t="str">
            <v>INV-031225194327</v>
          </cell>
          <cell r="G9439" t="str">
            <v>Paid</v>
          </cell>
        </row>
        <row r="9440">
          <cell r="F9440" t="str">
            <v>INV-050126135014</v>
          </cell>
          <cell r="G9440" t="str">
            <v>Paid</v>
          </cell>
        </row>
        <row r="9441">
          <cell r="F9441" t="str">
            <v>INV-060226162531</v>
          </cell>
          <cell r="G9441" t="str">
            <v>Paid</v>
          </cell>
        </row>
        <row r="9442">
          <cell r="F9442" t="str">
            <v>INV-040326124250</v>
          </cell>
          <cell r="G9442" t="str">
            <v>Paid</v>
          </cell>
        </row>
        <row r="9443">
          <cell r="F9443" t="str">
            <v>INV-090326122650</v>
          </cell>
          <cell r="G9443" t="str">
            <v>Paid</v>
          </cell>
        </row>
        <row r="9444">
          <cell r="F9444" t="str">
            <v>INV-090425103443</v>
          </cell>
          <cell r="G9444" t="str">
            <v>Paid</v>
          </cell>
        </row>
        <row r="9445">
          <cell r="F9445" t="str">
            <v>INV-040625193135</v>
          </cell>
          <cell r="G9445" t="str">
            <v>Paid</v>
          </cell>
        </row>
        <row r="9446">
          <cell r="F9446" t="str">
            <v>INV-030725153101</v>
          </cell>
          <cell r="G9446" t="str">
            <v>Paid</v>
          </cell>
        </row>
        <row r="9447">
          <cell r="F9447" t="str">
            <v>INV-040825175446</v>
          </cell>
          <cell r="G9447" t="str">
            <v>Paid</v>
          </cell>
        </row>
        <row r="9448">
          <cell r="F9448" t="str">
            <v>INV-020925165245</v>
          </cell>
          <cell r="G9448" t="str">
            <v>Paid</v>
          </cell>
        </row>
        <row r="9449">
          <cell r="F9449" t="str">
            <v>INV-021025152654</v>
          </cell>
          <cell r="G9449" t="str">
            <v>Paid</v>
          </cell>
        </row>
        <row r="9450">
          <cell r="F9450" t="str">
            <v>INV-051125115913</v>
          </cell>
          <cell r="G9450" t="str">
            <v>Paid</v>
          </cell>
        </row>
        <row r="9451">
          <cell r="F9451" t="str">
            <v>INV-031225152131</v>
          </cell>
          <cell r="G9451" t="str">
            <v>Paid</v>
          </cell>
        </row>
        <row r="9452">
          <cell r="F9452" t="str">
            <v>INV-050126102817</v>
          </cell>
          <cell r="G9452" t="str">
            <v>Paid</v>
          </cell>
        </row>
        <row r="9453">
          <cell r="F9453" t="str">
            <v>INV-040226184037</v>
          </cell>
          <cell r="G9453" t="str">
            <v>Paid</v>
          </cell>
        </row>
        <row r="9454">
          <cell r="F9454" t="str">
            <v>INV-030326151001</v>
          </cell>
          <cell r="G9454" t="str">
            <v>Paid</v>
          </cell>
        </row>
        <row r="9455">
          <cell r="F9455" t="str">
            <v>INV-071223092730</v>
          </cell>
          <cell r="G9455" t="str">
            <v>Paid</v>
          </cell>
        </row>
        <row r="9456">
          <cell r="F9456" t="str">
            <v>INV-210823162425</v>
          </cell>
          <cell r="G9456" t="str">
            <v>Paid</v>
          </cell>
        </row>
        <row r="9457">
          <cell r="F9457" t="str">
            <v>INV-111223153858</v>
          </cell>
          <cell r="G9457" t="str">
            <v>Paid</v>
          </cell>
        </row>
        <row r="9458">
          <cell r="F9458" t="str">
            <v>INV-071223103420</v>
          </cell>
          <cell r="G9458" t="str">
            <v>Paid</v>
          </cell>
        </row>
        <row r="9459">
          <cell r="F9459" t="str">
            <v>INV-201223151804</v>
          </cell>
          <cell r="G9459" t="str">
            <v>Paid</v>
          </cell>
        </row>
        <row r="9460">
          <cell r="F9460" t="str">
            <v>INV-201223180650</v>
          </cell>
          <cell r="G9460" t="str">
            <v>Paid</v>
          </cell>
        </row>
        <row r="9461">
          <cell r="F9461" t="str">
            <v>INV-100524193516</v>
          </cell>
          <cell r="G9461" t="str">
            <v>Paid</v>
          </cell>
        </row>
        <row r="9462">
          <cell r="F9462" t="str">
            <v>INV-120624124337</v>
          </cell>
          <cell r="G9462" t="str">
            <v>Paid</v>
          </cell>
        </row>
        <row r="9463">
          <cell r="F9463" t="str">
            <v>INV-110724181815</v>
          </cell>
          <cell r="G9463" t="str">
            <v>Paid</v>
          </cell>
        </row>
        <row r="9464">
          <cell r="F9464" t="str">
            <v>INV-080824111118</v>
          </cell>
          <cell r="G9464" t="str">
            <v>Paid</v>
          </cell>
        </row>
        <row r="9465">
          <cell r="F9465" t="str">
            <v>INV-140824144035</v>
          </cell>
          <cell r="G9465" t="str">
            <v>Paid</v>
          </cell>
        </row>
        <row r="9466">
          <cell r="F9466" t="str">
            <v>INV-110924175018</v>
          </cell>
          <cell r="G9466" t="str">
            <v>Paid</v>
          </cell>
        </row>
        <row r="9467">
          <cell r="F9467" t="str">
            <v>INV-111024163552</v>
          </cell>
          <cell r="G9467" t="str">
            <v>Paid</v>
          </cell>
        </row>
        <row r="9468">
          <cell r="F9468" t="str">
            <v>INV-111224170609</v>
          </cell>
          <cell r="G9468" t="str">
            <v>Paid</v>
          </cell>
        </row>
        <row r="9469">
          <cell r="F9469" t="str">
            <v>INV-121124164051</v>
          </cell>
          <cell r="G9469" t="str">
            <v>Paid</v>
          </cell>
        </row>
        <row r="9470">
          <cell r="F9470" t="str">
            <v>INV-141124093000</v>
          </cell>
          <cell r="G9470" t="str">
            <v>Paid</v>
          </cell>
        </row>
        <row r="9471">
          <cell r="F9471" t="str">
            <v>INV-141124094000</v>
          </cell>
          <cell r="G9471" t="str">
            <v>Paid</v>
          </cell>
        </row>
        <row r="9472">
          <cell r="F9472" t="str">
            <v>INV-120424133659</v>
          </cell>
          <cell r="G9472" t="str">
            <v>Paid</v>
          </cell>
        </row>
        <row r="9473">
          <cell r="F9473" t="str">
            <v>INV-231224090000</v>
          </cell>
          <cell r="G9473" t="str">
            <v>Paid</v>
          </cell>
        </row>
        <row r="9474">
          <cell r="F9474" t="str">
            <v>INV-090125160436</v>
          </cell>
          <cell r="G9474" t="str">
            <v>Paid</v>
          </cell>
        </row>
        <row r="9475">
          <cell r="F9475" t="str">
            <v>INV-110225110000</v>
          </cell>
          <cell r="G9475" t="str">
            <v>Paid</v>
          </cell>
        </row>
        <row r="9476">
          <cell r="F9476" t="str">
            <v>INV-110225115330</v>
          </cell>
          <cell r="G9476" t="str">
            <v>Paid</v>
          </cell>
        </row>
        <row r="9477">
          <cell r="F9477" t="str">
            <v>INV-070325153831</v>
          </cell>
          <cell r="G9477" t="str">
            <v>Paid</v>
          </cell>
        </row>
        <row r="9478">
          <cell r="F9478" t="str">
            <v>INV-080425110849</v>
          </cell>
          <cell r="G9478" t="str">
            <v>Paid</v>
          </cell>
        </row>
        <row r="9479">
          <cell r="F9479" t="str">
            <v>INV-070525144501</v>
          </cell>
          <cell r="G9479" t="str">
            <v>Paid</v>
          </cell>
        </row>
        <row r="9480">
          <cell r="F9480" t="str">
            <v>INV-120525150611</v>
          </cell>
          <cell r="G9480" t="str">
            <v>Paid</v>
          </cell>
        </row>
        <row r="9481">
          <cell r="F9481" t="str">
            <v>INV-060625174615</v>
          </cell>
          <cell r="G9481" t="str">
            <v>Paid</v>
          </cell>
        </row>
        <row r="9482">
          <cell r="F9482" t="str">
            <v>INV-070725182215</v>
          </cell>
          <cell r="G9482" t="str">
            <v>Paid</v>
          </cell>
        </row>
        <row r="9483">
          <cell r="F9483" t="str">
            <v>INV-070825133910</v>
          </cell>
          <cell r="G9483" t="str">
            <v>Paid</v>
          </cell>
        </row>
        <row r="9484">
          <cell r="F9484" t="str">
            <v>INV-050925145922</v>
          </cell>
          <cell r="G9484" t="str">
            <v>Paid</v>
          </cell>
        </row>
        <row r="9485">
          <cell r="F9485" t="str">
            <v>INV-071025153105</v>
          </cell>
          <cell r="G9485" t="str">
            <v>Paid</v>
          </cell>
        </row>
        <row r="9486">
          <cell r="F9486" t="str">
            <v>DN-161025042610</v>
          </cell>
          <cell r="G9486" t="str">
            <v>Paid</v>
          </cell>
        </row>
        <row r="9487">
          <cell r="F9487" t="str">
            <v>INV-071125155351</v>
          </cell>
          <cell r="G9487" t="str">
            <v>Paid</v>
          </cell>
        </row>
        <row r="9488">
          <cell r="F9488" t="str">
            <v>INV-261125123607</v>
          </cell>
          <cell r="G9488" t="str">
            <v>Paid</v>
          </cell>
        </row>
        <row r="9489">
          <cell r="F9489" t="str">
            <v>INV-051225133202</v>
          </cell>
          <cell r="G9489" t="str">
            <v>Paid</v>
          </cell>
        </row>
        <row r="9490">
          <cell r="F9490" t="str">
            <v>CN-INV-261225173313</v>
          </cell>
          <cell r="G9490" t="str">
            <v>Paid</v>
          </cell>
        </row>
        <row r="9491">
          <cell r="F9491" t="str">
            <v>CN-INV-261225173314</v>
          </cell>
          <cell r="G9491" t="str">
            <v>Paid</v>
          </cell>
        </row>
        <row r="9492">
          <cell r="F9492" t="str">
            <v>INV-070126151131</v>
          </cell>
          <cell r="G9492" t="str">
            <v>Paid</v>
          </cell>
        </row>
        <row r="9493">
          <cell r="F9493" t="str">
            <v>CN-INV-070126145514</v>
          </cell>
          <cell r="G9493" t="str">
            <v>Paid</v>
          </cell>
        </row>
        <row r="9494">
          <cell r="F9494" t="str">
            <v>INV-070126160020</v>
          </cell>
          <cell r="G9494" t="str">
            <v>Paid</v>
          </cell>
        </row>
        <row r="9495">
          <cell r="F9495" t="str">
            <v>INV-100226101411</v>
          </cell>
          <cell r="G9495" t="str">
            <v>Paid</v>
          </cell>
        </row>
        <row r="9496">
          <cell r="F9496" t="str">
            <v>INV-200226132000</v>
          </cell>
          <cell r="G9496" t="str">
            <v>Paid</v>
          </cell>
        </row>
        <row r="9497">
          <cell r="F9497" t="str">
            <v>INV-060326152628</v>
          </cell>
          <cell r="G9497" t="str">
            <v>Paid</v>
          </cell>
        </row>
        <row r="9498">
          <cell r="F9498" t="str">
            <v>INV-230326132000</v>
          </cell>
          <cell r="G9498" t="str">
            <v>Invoice Sent</v>
          </cell>
        </row>
        <row r="9499">
          <cell r="F9499" t="str">
            <v>INV2023-WEEL-001</v>
          </cell>
          <cell r="G9499" t="str">
            <v>Paid</v>
          </cell>
        </row>
        <row r="9500">
          <cell r="F9500" t="str">
            <v>INV2024-WEEL-001</v>
          </cell>
          <cell r="G9500" t="str">
            <v>Paid</v>
          </cell>
        </row>
        <row r="9501">
          <cell r="F9501" t="str">
            <v>INV2024-WEEL-002</v>
          </cell>
          <cell r="G9501" t="str">
            <v>Paid</v>
          </cell>
        </row>
        <row r="9502">
          <cell r="F9502" t="str">
            <v>INV-140324170548</v>
          </cell>
          <cell r="G9502" t="str">
            <v>Paid</v>
          </cell>
        </row>
        <row r="9503">
          <cell r="F9503" t="str">
            <v>INV-290224171123</v>
          </cell>
          <cell r="G9503" t="str">
            <v>Paid</v>
          </cell>
        </row>
        <row r="9504">
          <cell r="F9504" t="str">
            <v>INV-250924134601</v>
          </cell>
          <cell r="G9504" t="str">
            <v>Paid</v>
          </cell>
        </row>
        <row r="9505">
          <cell r="F9505" t="str">
            <v>INV-250924134602</v>
          </cell>
          <cell r="G9505" t="str">
            <v>Paid</v>
          </cell>
        </row>
        <row r="9506">
          <cell r="F9506" t="str">
            <v>INV-250924134603</v>
          </cell>
          <cell r="G9506" t="str">
            <v>Paid</v>
          </cell>
        </row>
        <row r="9507">
          <cell r="F9507" t="str">
            <v>INV2024-WEEL-003</v>
          </cell>
          <cell r="G9507" t="str">
            <v>Paid</v>
          </cell>
        </row>
        <row r="9508">
          <cell r="F9508" t="str">
            <v>INV2025-WEEL-001</v>
          </cell>
          <cell r="G9508" t="str">
            <v>Paid</v>
          </cell>
        </row>
        <row r="9509">
          <cell r="F9509" t="str">
            <v>INV-220125150000</v>
          </cell>
          <cell r="G9509" t="str">
            <v>Paid</v>
          </cell>
        </row>
        <row r="9510">
          <cell r="F9510" t="str">
            <v>INV-190325145000</v>
          </cell>
          <cell r="G9510" t="str">
            <v>Paid</v>
          </cell>
        </row>
        <row r="9511">
          <cell r="F9511" t="str">
            <v>INV-210425120000</v>
          </cell>
          <cell r="G9511" t="str">
            <v>Paid</v>
          </cell>
        </row>
        <row r="9512">
          <cell r="F9512" t="str">
            <v>INV-12052518000</v>
          </cell>
          <cell r="G9512" t="str">
            <v>Paid</v>
          </cell>
        </row>
        <row r="9513">
          <cell r="F9513" t="str">
            <v>INV-160625130000</v>
          </cell>
          <cell r="G9513" t="str">
            <v>Paid</v>
          </cell>
        </row>
        <row r="9514">
          <cell r="F9514" t="str">
            <v>INV-080725130000</v>
          </cell>
          <cell r="G9514" t="str">
            <v>Paid</v>
          </cell>
        </row>
        <row r="9515">
          <cell r="F9515" t="str">
            <v>INV-190825130000</v>
          </cell>
          <cell r="G9515" t="str">
            <v>Paid</v>
          </cell>
        </row>
        <row r="9516">
          <cell r="F9516" t="str">
            <v>INV-160925130000</v>
          </cell>
          <cell r="G9516" t="str">
            <v>Paid</v>
          </cell>
        </row>
        <row r="9517">
          <cell r="F9517" t="str">
            <v>INV-281025130000</v>
          </cell>
          <cell r="G9517" t="str">
            <v>Paid</v>
          </cell>
        </row>
        <row r="9518">
          <cell r="F9518" t="str">
            <v>INV-171125132000</v>
          </cell>
          <cell r="G9518" t="str">
            <v>Paid</v>
          </cell>
        </row>
        <row r="9519">
          <cell r="F9519" t="str">
            <v>INV-151125132000</v>
          </cell>
          <cell r="G9519" t="str">
            <v>Paid</v>
          </cell>
        </row>
        <row r="9520">
          <cell r="F9520" t="str">
            <v>INV-230126132000</v>
          </cell>
          <cell r="G9520" t="str">
            <v>Paid</v>
          </cell>
        </row>
        <row r="9521">
          <cell r="F9521" t="str">
            <v>INV-090125194715</v>
          </cell>
          <cell r="G9521" t="str">
            <v>Paid</v>
          </cell>
        </row>
        <row r="9522">
          <cell r="F9522" t="str">
            <v>INV-060325093321</v>
          </cell>
          <cell r="G9522" t="str">
            <v>Paid</v>
          </cell>
        </row>
        <row r="9523">
          <cell r="F9523" t="str">
            <v>INV-070425105247</v>
          </cell>
          <cell r="G9523" t="str">
            <v>Paid</v>
          </cell>
        </row>
        <row r="9524">
          <cell r="F9524" t="str">
            <v>INV-050525181117</v>
          </cell>
          <cell r="G9524" t="str">
            <v>Paid</v>
          </cell>
        </row>
        <row r="9525">
          <cell r="F9525" t="str">
            <v>INV-040625132910</v>
          </cell>
          <cell r="G9525" t="str">
            <v>Paid</v>
          </cell>
        </row>
        <row r="9526">
          <cell r="F9526" t="str">
            <v>INV-030725155158</v>
          </cell>
          <cell r="G9526" t="str">
            <v>Paid</v>
          </cell>
        </row>
        <row r="9527">
          <cell r="F9527" t="str">
            <v>INV-050825163507</v>
          </cell>
          <cell r="G9527" t="str">
            <v>Paid</v>
          </cell>
        </row>
        <row r="9528">
          <cell r="F9528" t="str">
            <v>INV-020925172918</v>
          </cell>
          <cell r="G9528" t="str">
            <v>Paid</v>
          </cell>
        </row>
        <row r="9529">
          <cell r="F9529" t="str">
            <v>INV-031025135956</v>
          </cell>
          <cell r="G9529" t="str">
            <v>Paid</v>
          </cell>
        </row>
        <row r="9530">
          <cell r="F9530" t="str">
            <v>INV-051125154239</v>
          </cell>
          <cell r="G9530" t="str">
            <v>Paid</v>
          </cell>
        </row>
        <row r="9531">
          <cell r="F9531" t="str">
            <v>INV-031225115047</v>
          </cell>
          <cell r="G9531" t="str">
            <v>Paid</v>
          </cell>
        </row>
        <row r="9532">
          <cell r="F9532" t="str">
            <v>INV-060126093510</v>
          </cell>
          <cell r="G9532" t="str">
            <v>Paid</v>
          </cell>
        </row>
        <row r="9533">
          <cell r="F9533" t="str">
            <v>INV-040226001815</v>
          </cell>
          <cell r="G9533" t="str">
            <v>Paid</v>
          </cell>
        </row>
        <row r="9534">
          <cell r="F9534" t="str">
            <v>INV-040326111519</v>
          </cell>
          <cell r="G9534" t="str">
            <v>Paid</v>
          </cell>
        </row>
        <row r="9535">
          <cell r="F9535" t="str">
            <v>INV-170325153255</v>
          </cell>
          <cell r="G9535" t="str">
            <v>Net Off</v>
          </cell>
        </row>
        <row r="9536">
          <cell r="F9536" t="str">
            <v>CN-INV-210525102400</v>
          </cell>
          <cell r="G9536" t="str">
            <v>Net Off</v>
          </cell>
        </row>
        <row r="9537">
          <cell r="F9537" t="str">
            <v>INV-130625111540</v>
          </cell>
          <cell r="G9537" t="str">
            <v>Paid</v>
          </cell>
        </row>
        <row r="9538">
          <cell r="F9538" t="str">
            <v>INV-030925155742</v>
          </cell>
          <cell r="G9538" t="str">
            <v>Paid</v>
          </cell>
        </row>
        <row r="9539">
          <cell r="F9539" t="str">
            <v>INV-051125155933</v>
          </cell>
          <cell r="G9539" t="str">
            <v>Paid</v>
          </cell>
        </row>
        <row r="9540">
          <cell r="F9540" t="str">
            <v>INV-041225124823</v>
          </cell>
          <cell r="G9540" t="str">
            <v>Paid</v>
          </cell>
        </row>
        <row r="9541">
          <cell r="F9541" t="str">
            <v>INV-050126153709</v>
          </cell>
          <cell r="G9541" t="str">
            <v>Paid</v>
          </cell>
        </row>
        <row r="9542">
          <cell r="F9542" t="str">
            <v>INV-050226172358</v>
          </cell>
          <cell r="G9542" t="str">
            <v>Paid</v>
          </cell>
        </row>
        <row r="9543">
          <cell r="F9543" t="str">
            <v>INV-040326094744</v>
          </cell>
          <cell r="G9543" t="str">
            <v>Outstanding</v>
          </cell>
        </row>
        <row r="9544">
          <cell r="F9544" t="str">
            <v>INV-020925151257</v>
          </cell>
          <cell r="G9544" t="str">
            <v>Paid</v>
          </cell>
        </row>
        <row r="9545">
          <cell r="F9545" t="str">
            <v>INV-031025093149</v>
          </cell>
          <cell r="G9545" t="str">
            <v>Paid</v>
          </cell>
        </row>
        <row r="9546">
          <cell r="F9546" t="str">
            <v>INV-041125165012</v>
          </cell>
          <cell r="G9546" t="str">
            <v>Paid</v>
          </cell>
        </row>
        <row r="9547">
          <cell r="F9547" t="str">
            <v>INV-021225170142</v>
          </cell>
          <cell r="G9547" t="str">
            <v>Paid</v>
          </cell>
        </row>
        <row r="9548">
          <cell r="F9548" t="str">
            <v>INV-050126160935</v>
          </cell>
          <cell r="G9548" t="str">
            <v>Paid</v>
          </cell>
        </row>
        <row r="9549">
          <cell r="F9549" t="str">
            <v>INV-060226124635</v>
          </cell>
          <cell r="G9549" t="str">
            <v>Paid</v>
          </cell>
        </row>
        <row r="9550">
          <cell r="F9550" t="str">
            <v>INV-030326183915</v>
          </cell>
          <cell r="G9550" t="str">
            <v>Invoice Sent</v>
          </cell>
        </row>
        <row r="9551">
          <cell r="F9551" t="str">
            <v>INV-250225111902</v>
          </cell>
          <cell r="G9551" t="str">
            <v>Paid</v>
          </cell>
        </row>
        <row r="9552">
          <cell r="F9552" t="str">
            <v>CN- INV-250225111902</v>
          </cell>
          <cell r="G9552" t="str">
            <v>Paid</v>
          </cell>
        </row>
        <row r="9553">
          <cell r="F9553" t="str">
            <v>INV2021-WCL-001</v>
          </cell>
          <cell r="G9553" t="str">
            <v>Paid</v>
          </cell>
        </row>
        <row r="9554">
          <cell r="F9554" t="str">
            <v>DN-090223175530</v>
          </cell>
          <cell r="G9554" t="str">
            <v>Waived Off</v>
          </cell>
        </row>
        <row r="9555">
          <cell r="F9555" t="str">
            <v>INV-161224105349</v>
          </cell>
          <cell r="G9555" t="str">
            <v>Paid</v>
          </cell>
        </row>
        <row r="9556">
          <cell r="F9556" t="str">
            <v>HKCARDS0024</v>
          </cell>
          <cell r="G9556" t="str">
            <v>Paid</v>
          </cell>
        </row>
        <row r="9557">
          <cell r="F9557" t="str">
            <v>INV-031123121506</v>
          </cell>
          <cell r="G9557" t="str">
            <v>Paid</v>
          </cell>
        </row>
        <row r="9558">
          <cell r="F9558" t="str">
            <v>INV-040923124559</v>
          </cell>
          <cell r="G9558" t="str">
            <v>Paid</v>
          </cell>
        </row>
        <row r="9559">
          <cell r="F9559" t="str">
            <v>INV-030523022318</v>
          </cell>
          <cell r="G9559" t="str">
            <v>Paid</v>
          </cell>
        </row>
        <row r="9560">
          <cell r="F9560" t="str">
            <v>INV-051023094828</v>
          </cell>
          <cell r="G9560" t="str">
            <v>Paid</v>
          </cell>
        </row>
        <row r="9561">
          <cell r="F9561" t="str">
            <v>INV-051223182949</v>
          </cell>
          <cell r="G9561" t="str">
            <v>Paid</v>
          </cell>
        </row>
        <row r="9562">
          <cell r="F9562" t="str">
            <v xml:space="preserve"> INV2023-YDR-001_x000D_</v>
          </cell>
          <cell r="G9562" t="str">
            <v>Paid</v>
          </cell>
        </row>
        <row r="9563">
          <cell r="F9563" t="str">
            <v>INV-020623144407</v>
          </cell>
          <cell r="G9563" t="str">
            <v>Paid</v>
          </cell>
        </row>
        <row r="9564">
          <cell r="F9564" t="str">
            <v>INV-030723152049</v>
          </cell>
          <cell r="G9564" t="str">
            <v>Paid</v>
          </cell>
        </row>
        <row r="9565">
          <cell r="F9565" t="str">
            <v>INV-290823115234</v>
          </cell>
          <cell r="G9565" t="str">
            <v>Paid</v>
          </cell>
        </row>
        <row r="9566">
          <cell r="F9566" t="str">
            <v>INV-050124174915</v>
          </cell>
          <cell r="G9566" t="str">
            <v>Paid</v>
          </cell>
        </row>
        <row r="9567">
          <cell r="F9567" t="str">
            <v>INV-060224154913</v>
          </cell>
          <cell r="G9567" t="str">
            <v>Paid</v>
          </cell>
        </row>
        <row r="9568">
          <cell r="F9568" t="str">
            <v>INV-070324114800</v>
          </cell>
          <cell r="G9568" t="str">
            <v>Paid</v>
          </cell>
        </row>
        <row r="9569">
          <cell r="F9569" t="str">
            <v>INV-050424153716</v>
          </cell>
          <cell r="G9569" t="str">
            <v>Paid</v>
          </cell>
        </row>
        <row r="9570">
          <cell r="F9570" t="str">
            <v>INV-070524162137</v>
          </cell>
          <cell r="G9570" t="str">
            <v>Paid</v>
          </cell>
        </row>
        <row r="9571">
          <cell r="F9571" t="str">
            <v>INV-050724183436</v>
          </cell>
          <cell r="G9571" t="str">
            <v>Paid</v>
          </cell>
        </row>
        <row r="9572">
          <cell r="F9572" t="str">
            <v>INV-060624122119</v>
          </cell>
          <cell r="G9572" t="str">
            <v>Paid</v>
          </cell>
        </row>
        <row r="9573">
          <cell r="F9573" t="str">
            <v>INV-060824154208</v>
          </cell>
          <cell r="G9573" t="str">
            <v>Paid</v>
          </cell>
        </row>
        <row r="9574">
          <cell r="F9574" t="str">
            <v>INV-060924132440</v>
          </cell>
          <cell r="G9574" t="str">
            <v>Paid</v>
          </cell>
        </row>
        <row r="9575">
          <cell r="F9575" t="str">
            <v>INV-061224142751</v>
          </cell>
          <cell r="G9575" t="str">
            <v>Paid</v>
          </cell>
        </row>
        <row r="9576">
          <cell r="F9576" t="str">
            <v>INV-071124165730</v>
          </cell>
          <cell r="G9576" t="str">
            <v>Paid</v>
          </cell>
        </row>
        <row r="9577">
          <cell r="F9577" t="str">
            <v>INV-091024105058</v>
          </cell>
          <cell r="G9577" t="str">
            <v>Paid</v>
          </cell>
        </row>
        <row r="9578">
          <cell r="F9578" t="str">
            <v>INV-070125114640</v>
          </cell>
          <cell r="G9578" t="str">
            <v>Paid</v>
          </cell>
        </row>
        <row r="9579">
          <cell r="F9579" t="str">
            <v>INV-060225114947</v>
          </cell>
          <cell r="G9579" t="str">
            <v>Paid</v>
          </cell>
        </row>
        <row r="9580">
          <cell r="F9580" t="str">
            <v>INV-050325160232</v>
          </cell>
          <cell r="G9580" t="str">
            <v>Paid</v>
          </cell>
        </row>
        <row r="9581">
          <cell r="F9581" t="str">
            <v>INV-030425183410</v>
          </cell>
          <cell r="G9581" t="str">
            <v>Paid</v>
          </cell>
        </row>
        <row r="9582">
          <cell r="F9582" t="str">
            <v>INV-060525102419</v>
          </cell>
          <cell r="G9582" t="str">
            <v>Paid</v>
          </cell>
        </row>
        <row r="9583">
          <cell r="F9583" t="str">
            <v>INV-040625163645</v>
          </cell>
          <cell r="G9583" t="str">
            <v>Paid</v>
          </cell>
        </row>
        <row r="9584">
          <cell r="F9584" t="str">
            <v>INV-040725131302</v>
          </cell>
          <cell r="G9584" t="str">
            <v>Paid</v>
          </cell>
        </row>
        <row r="9585">
          <cell r="F9585" t="str">
            <v>INV-050825195438</v>
          </cell>
          <cell r="G9585" t="str">
            <v>Partially Paid</v>
          </cell>
        </row>
        <row r="9586">
          <cell r="F9586" t="str">
            <v>INV-030925145658</v>
          </cell>
          <cell r="G9586" t="str">
            <v>Outstanding</v>
          </cell>
        </row>
        <row r="9587">
          <cell r="F9587" t="str">
            <v>INV-061025125629</v>
          </cell>
          <cell r="G9587" t="str">
            <v>Outstanding</v>
          </cell>
        </row>
        <row r="9588">
          <cell r="F9588" t="str">
            <v>INV-061125104927</v>
          </cell>
          <cell r="G9588" t="str">
            <v>Outstanding</v>
          </cell>
        </row>
        <row r="9589">
          <cell r="F9589" t="str">
            <v>INV-041225150054</v>
          </cell>
          <cell r="G9589" t="str">
            <v>Outstanding</v>
          </cell>
        </row>
        <row r="9590">
          <cell r="F9590" t="str">
            <v>INV-060126181825</v>
          </cell>
          <cell r="G9590" t="str">
            <v>Outstanding</v>
          </cell>
        </row>
        <row r="9591">
          <cell r="F9591" t="str">
            <v>INV-060226143545</v>
          </cell>
          <cell r="G9591" t="str">
            <v>Outstanding</v>
          </cell>
        </row>
        <row r="9592">
          <cell r="F9592" t="str">
            <v>INV-020824185400</v>
          </cell>
          <cell r="G9592" t="str">
            <v>Paid</v>
          </cell>
        </row>
        <row r="9593">
          <cell r="F9593" t="str">
            <v>INV-040225173943</v>
          </cell>
          <cell r="G9593" t="str">
            <v>Paid</v>
          </cell>
        </row>
        <row r="9594">
          <cell r="F9594" t="str">
            <v>INV-040325162649</v>
          </cell>
          <cell r="G9594" t="str">
            <v>Paid</v>
          </cell>
        </row>
        <row r="9595">
          <cell r="F9595" t="str">
            <v>INV-020425171814</v>
          </cell>
          <cell r="G9595" t="str">
            <v>Paid</v>
          </cell>
        </row>
        <row r="9596">
          <cell r="F9596" t="str">
            <v>INV-020525190202</v>
          </cell>
          <cell r="G9596" t="str">
            <v>Paid</v>
          </cell>
        </row>
        <row r="9597">
          <cell r="F9597" t="str">
            <v>INV-030625160048</v>
          </cell>
          <cell r="G9597" t="str">
            <v>Paid</v>
          </cell>
        </row>
        <row r="9598">
          <cell r="F9598" t="str">
            <v>INV-020725172411</v>
          </cell>
          <cell r="G9598" t="str">
            <v>Paid</v>
          </cell>
        </row>
        <row r="9599">
          <cell r="F9599" t="str">
            <v>INV-040825162447</v>
          </cell>
          <cell r="G9599" t="str">
            <v>Paid</v>
          </cell>
        </row>
        <row r="9600">
          <cell r="F9600" t="str">
            <v>INV-020925124134</v>
          </cell>
          <cell r="G9600" t="str">
            <v>Paid</v>
          </cell>
        </row>
        <row r="9601">
          <cell r="F9601" t="str">
            <v>INV-021025133137</v>
          </cell>
          <cell r="G9601" t="str">
            <v>Paid</v>
          </cell>
        </row>
        <row r="9602">
          <cell r="F9602" t="str">
            <v>INV-031125191013</v>
          </cell>
          <cell r="G9602" t="str">
            <v>Paid</v>
          </cell>
        </row>
        <row r="9603">
          <cell r="F9603" t="str">
            <v>INV-021225130933</v>
          </cell>
          <cell r="G9603" t="str">
            <v>Paid</v>
          </cell>
        </row>
        <row r="9604">
          <cell r="F9604" t="str">
            <v>INV-020126172929</v>
          </cell>
          <cell r="G9604" t="str">
            <v>Paid</v>
          </cell>
        </row>
        <row r="9605">
          <cell r="F9605" t="str">
            <v>INV-020226164422</v>
          </cell>
          <cell r="G9605" t="str">
            <v>Paid</v>
          </cell>
        </row>
        <row r="9606">
          <cell r="F9606" t="str">
            <v>INV-030326094302</v>
          </cell>
          <cell r="G9606" t="str">
            <v>Invoice Sent</v>
          </cell>
        </row>
        <row r="9607">
          <cell r="F9607" t="str">
            <v>INV-050525191553</v>
          </cell>
          <cell r="G9607" t="str">
            <v>Paid</v>
          </cell>
        </row>
        <row r="9608">
          <cell r="F9608" t="str">
            <v>INV-050625124814</v>
          </cell>
          <cell r="G9608" t="str">
            <v>Paid</v>
          </cell>
        </row>
        <row r="9609">
          <cell r="F9609" t="str">
            <v>INV-020925162239</v>
          </cell>
          <cell r="G9609" t="str">
            <v>Paid</v>
          </cell>
        </row>
        <row r="9610">
          <cell r="F9610" t="str">
            <v>INV-031025160308</v>
          </cell>
          <cell r="G9610" t="str">
            <v>Paid</v>
          </cell>
        </row>
        <row r="9611">
          <cell r="F9611" t="str">
            <v>INV-041125182344</v>
          </cell>
          <cell r="G9611" t="str">
            <v>Outstanding</v>
          </cell>
        </row>
        <row r="9612">
          <cell r="F9612" t="str">
            <v>INV-031225091936</v>
          </cell>
          <cell r="G9612" t="str">
            <v>Outstanding</v>
          </cell>
        </row>
        <row r="9613">
          <cell r="F9613" t="str">
            <v>INV-030126111809</v>
          </cell>
          <cell r="G9613" t="str">
            <v>Outstanding</v>
          </cell>
        </row>
        <row r="9614">
          <cell r="F9614" t="str">
            <v>INV-050226121256</v>
          </cell>
          <cell r="G9614" t="str">
            <v>Outstanding</v>
          </cell>
        </row>
        <row r="9615">
          <cell r="F9615" t="str">
            <v>INV-030326161806</v>
          </cell>
          <cell r="G9615" t="str">
            <v>Outstanding</v>
          </cell>
        </row>
        <row r="9616">
          <cell r="F9616" t="str">
            <v>INV2021-ZPA-001</v>
          </cell>
          <cell r="G9616" t="str">
            <v>Void</v>
          </cell>
        </row>
        <row r="9617">
          <cell r="F9617" t="str">
            <v>EUCARDS0005</v>
          </cell>
          <cell r="G9617" t="str">
            <v>Waived Off</v>
          </cell>
        </row>
        <row r="9618">
          <cell r="F9618" t="str">
            <v>INV-050924160523</v>
          </cell>
          <cell r="G9618" t="str">
            <v>Paid</v>
          </cell>
        </row>
        <row r="9619">
          <cell r="F9619" t="str">
            <v>INV-071124165602</v>
          </cell>
          <cell r="G9619" t="str">
            <v>Paid</v>
          </cell>
        </row>
        <row r="9620">
          <cell r="F9620" t="str">
            <v>INV-081024213803</v>
          </cell>
          <cell r="G9620" t="str">
            <v>Paid</v>
          </cell>
        </row>
        <row r="9621">
          <cell r="F9621" t="str">
            <v>INV-190824190843</v>
          </cell>
          <cell r="G9621" t="str">
            <v>Paid</v>
          </cell>
        </row>
        <row r="9622">
          <cell r="F9622" t="str">
            <v>INV-051224125905</v>
          </cell>
          <cell r="G9622" t="str">
            <v>Paid</v>
          </cell>
        </row>
        <row r="9623">
          <cell r="F9623" t="str">
            <v>INV-060125171103</v>
          </cell>
          <cell r="G9623" t="str">
            <v>Paid</v>
          </cell>
        </row>
        <row r="9624">
          <cell r="F9624" t="str">
            <v>INV-060225145636</v>
          </cell>
          <cell r="G9624" t="str">
            <v>Paid</v>
          </cell>
        </row>
        <row r="9625">
          <cell r="F9625" t="str">
            <v>INV-050325131120</v>
          </cell>
          <cell r="G9625" t="str">
            <v>Paid</v>
          </cell>
        </row>
        <row r="9626">
          <cell r="F9626" t="str">
            <v>INV-030425134529</v>
          </cell>
          <cell r="G9626" t="str">
            <v>Paid</v>
          </cell>
        </row>
        <row r="9627">
          <cell r="F9627" t="str">
            <v>INV-050525182436</v>
          </cell>
          <cell r="G9627" t="str">
            <v>Paid</v>
          </cell>
        </row>
        <row r="9628">
          <cell r="F9628" t="str">
            <v>INV-040625142800</v>
          </cell>
          <cell r="G9628" t="str">
            <v>Paid</v>
          </cell>
        </row>
        <row r="9629">
          <cell r="F9629" t="str">
            <v>DN-INV120625174801</v>
          </cell>
          <cell r="G9629" t="str">
            <v>Paid</v>
          </cell>
        </row>
        <row r="9630">
          <cell r="F9630" t="str">
            <v>INV-040725153255</v>
          </cell>
          <cell r="G9630" t="str">
            <v>Paid</v>
          </cell>
        </row>
        <row r="9631">
          <cell r="F9631" t="str">
            <v>INV-050825124456</v>
          </cell>
          <cell r="G9631" t="str">
            <v>Paid</v>
          </cell>
        </row>
        <row r="9632">
          <cell r="F9632" t="str">
            <v>CN-INV-140825153255</v>
          </cell>
          <cell r="G9632" t="str">
            <v>Paid</v>
          </cell>
        </row>
        <row r="9633">
          <cell r="F9633" t="str">
            <v>INV-020925175024</v>
          </cell>
          <cell r="G9633" t="str">
            <v>Paid</v>
          </cell>
        </row>
        <row r="9634">
          <cell r="F9634" t="str">
            <v>INV-021025183505</v>
          </cell>
          <cell r="G9634" t="str">
            <v>Paid</v>
          </cell>
        </row>
        <row r="9635">
          <cell r="F9635" t="str">
            <v>INV-041125110604</v>
          </cell>
          <cell r="G9635" t="str">
            <v>Paid</v>
          </cell>
        </row>
        <row r="9636">
          <cell r="F9636" t="str">
            <v>INV-021225202407</v>
          </cell>
          <cell r="G9636" t="str">
            <v>Paid</v>
          </cell>
        </row>
        <row r="9637">
          <cell r="F9637" t="str">
            <v>INV-050126153552</v>
          </cell>
          <cell r="G9637" t="str">
            <v>Paid</v>
          </cell>
        </row>
        <row r="9638">
          <cell r="F9638" t="str">
            <v>INV-040226160636</v>
          </cell>
          <cell r="G9638" t="str">
            <v>Paid</v>
          </cell>
        </row>
        <row r="9639">
          <cell r="F9639" t="str">
            <v>INV-040326180353</v>
          </cell>
          <cell r="G9639" t="str">
            <v>Outstanding</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80.517991666668" createdVersion="8" refreshedVersion="8" minRefreshableVersion="3" recordCount="13" xr:uid="{E058A418-53FF-4FDD-890C-5E85FB33DF4D}">
  <cacheSource type="worksheet">
    <worksheetSource ref="A1:X14" sheet="Rebates"/>
  </cacheSource>
  <cacheFields count="24">
    <cacheField name="Platform" numFmtId="0">
      <sharedItems/>
    </cacheField>
    <cacheField name="Customer Label" numFmtId="0">
      <sharedItems count="7">
        <s v="Al Muzaini Exchange"/>
        <s v="SBI Remit Co., Ltd."/>
        <s v="VOLOPAY.CO PTE. LTD."/>
        <s v="Aspire FT Pte Ltd"/>
        <s v="Loadpass LTDA"/>
        <s v="borderless llc"/>
        <s v="Volopay Co Pte Ltd." u="1"/>
      </sharedItems>
    </cacheField>
    <cacheField name="Region" numFmtId="0">
      <sharedItems/>
    </cacheField>
    <cacheField name="Account Manager" numFmtId="0">
      <sharedItems count="5">
        <s v="Jerome Coelho"/>
        <s v="XiaoXiao"/>
        <s v="Shi Yin"/>
        <s v="Eduardo Avallone"/>
        <s v="Lia Susin"/>
      </sharedItems>
    </cacheField>
    <cacheField name="BD" numFmtId="0">
      <sharedItems count="5">
        <s v="Ashraf Omran"/>
        <s v="Rohit Bammi"/>
        <s v="Gitesh Athavale"/>
        <s v="Christina Hutchinson"/>
        <s v="NA"/>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85143.008119189122" maxValue="-10"/>
    </cacheField>
    <cacheField name="Invoice Amount" numFmtId="0">
      <sharedItems containsSemiMixedTypes="0" containsString="0" containsNumber="1" minValue="-109615.32439999992" maxValue="-10"/>
    </cacheField>
    <cacheField name="Billing Period" numFmtId="14">
      <sharedItems containsSemiMixedTypes="0" containsNonDate="0" containsDate="1" containsString="0" minDate="2025-08-01T00:00:00" maxDate="2026-01-02T00:00:00"/>
    </cacheField>
    <cacheField name="Month" numFmtId="2">
      <sharedItems/>
    </cacheField>
    <cacheField name="Days" numFmtId="0">
      <sharedItems containsSemiMixedTypes="0" containsString="0" containsNumber="1" containsInteger="1" minValue="-27" maxValue="170"/>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2-27T00:00:00"/>
    </cacheField>
    <cacheField name="Due Date" numFmtId="14">
      <sharedItems containsSemiMixedTypes="0" containsNonDate="0" containsDate="1" containsString="0" minDate="2025-09-10T00:00:00" maxDate="2026-03-27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06.508996643519" createdVersion="8" refreshedVersion="8" minRefreshableVersion="3" recordCount="142" xr:uid="{EC5D6219-ACD7-407F-BF76-7DDE8C8B0892}">
  <cacheSource type="worksheet">
    <worksheetSource ref="A1:X143" sheet="Invoices"/>
  </cacheSource>
  <cacheFields count="24">
    <cacheField name="Platform" numFmtId="0">
      <sharedItems count="2">
        <s v="N1"/>
        <s v="Masspay"/>
      </sharedItems>
    </cacheField>
    <cacheField name="Customer Label" numFmtId="0">
      <sharedItems count="111">
        <s v="SWiM Pay Pty Ltd"/>
        <s v="Loadpass LTDA"/>
        <s v="Yondr Money Pty Ltd"/>
        <s v="VOLOPAY.CO PTE. LTD."/>
        <s v="FTB HUB S.A.C "/>
        <s v="PT PELITA TRANSFER NUSANTARA"/>
        <s v="Azimo Limited."/>
        <s v="Budgetly Pty Ltd"/>
        <s v="JPMORGAN CHASE BANK"/>
        <s v="MULTIPLIER TECHNOLOGIES PTE. LTD"/>
        <s v="Zeni, Inc."/>
        <s v="goLance, Inc."/>
        <s v="Istanbul Ödeme ve Elektronik Para A.S"/>
        <s v="MeshPay EU Ltd"/>
        <s v="GLOBAL ROOTS INC"/>
        <s v="TClub Inc."/>
        <s v="FIRSTKYC PTE. LTD."/>
        <s v="iPiD Europe B.V."/>
        <s v="Pelikin Ventures Pty Ltd"/>
        <s v="Everpro Holdings Limited"/>
        <s v="lemonway"/>
        <s v="PT Midtrans"/>
        <s v="CashD Pty Ltd"/>
        <s v="Express Hub Services Pty Ltd"/>
        <s v="MyBeacon Services Inc."/>
        <s v="MyBeacon Services Inc.-Verify"/>
        <s v="Niural, Inc."/>
        <s v="Niural, Inc. (Platform)"/>
        <s v="SlideSG Pte. Ltd."/>
        <s v="VECTOR HOLDINGS PTY LTD"/>
        <s v="Banco Topazio (Beetech)"/>
        <s v="borderless llc"/>
        <s v="Corporate Alliance Payments Pty Ltd - NSP"/>
        <s v="ebury mass payments"/>
        <s v="EBURY PARTNERS UK LIMITED"/>
        <s v="kasikorn bank"/>
        <s v="Nuvei Limited"/>
        <s v="PT Harsya Remitindo"/>
        <s v="PT Transwap Dunamis Indonesia"/>
        <s v="The CurrencyCloud Limited"/>
        <s v="Abu Sheikha Exchange"/>
        <s v="Al Muzaini Exchange"/>
        <s v="Aspire FT Pte Ltd"/>
        <s v="Banque Patronus"/>
        <s v="DK Limited"/>
        <s v="Emirates Islamic Bank PJSC"/>
        <s v="Emirates NBD Bank PJSC"/>
        <s v="Finofo Inc"/>
        <s v="Franklin Technologies ApS"/>
        <s v="Genieum Services Pty Ltd"/>
        <s v="Global E-Payment Limited-SG"/>
        <s v="Ichange Pte Ltd"/>
        <s v="Lulu Money (Singapore) Pte. Ltd"/>
        <s v="Maritime Payment Solutions, LLC (ShipMoney)"/>
        <s v="PT UCE Global Utama"/>
        <s v="Relay Financial (US), Corp-SG"/>
        <s v="Remote Europe Holding B.V."/>
        <s v="SBI Remit Co., Ltd."/>
        <s v="Travel Ledger UK"/>
        <s v="WorkMotion Software GmbH"/>
        <s v="WORLDFIRST (SINGAPORE) MERCHANT SERVICESPTE. LTD."/>
        <s v="Yorbis Inc."/>
        <s v="ZipHQ, Inc"/>
        <s v="Bud Infrastructure Limited" u="1"/>
        <s v="you technologies group (singapore) pte. Ltd - Verify" u="1"/>
        <s v="KOHO Financial Inc.-Verify" u="1"/>
        <s v="PT Worldwide Express Remittance" u="1"/>
        <s v="APAYLATER FINANCIALS PTE. LTD." u="1"/>
        <s v="KOHO Financial Inc." u="1"/>
        <s v="MESHPAY AU PTY LTD" u="1"/>
        <s v="MESHPAY GBL PTE. LTD." u="1"/>
        <s v="International Payments Identity Pte. Ltd." u="1"/>
        <s v="zenus bank international, inc" u="1"/>
        <s v="Futurepay Global Limited" u="1"/>
        <s v="you technologies group (singapore) pte. ltd" u="1"/>
        <s v="WEEL HOLDINGS PTY LTD" u="1"/>
        <s v="Maple Digital Financial Solutions Ltd" u="1"/>
        <s v="Paysafe Financial Services Limited" u="1"/>
        <s v="ppsl paysafe" u="1"/>
        <s v="ppsl skrill" u="1"/>
        <s v="Qatar National Bank (Q.P.S.C.)" u="1"/>
        <s v="Remofirst, Inc." u="1"/>
        <s v="Skrill Ltd" u="1"/>
        <s v="Ardua Solutions Corp" u="1"/>
        <s v="East Africa Bank SA" u="1"/>
        <s v="Global E-Payment Limited" u="1"/>
        <s v="MeshPay EU B.V." u="1"/>
        <s v="MESHPAY UK LTD" u="1"/>
        <s v="OWLPAY HOLDINGS PTE. LTD" u="1"/>
        <s v="Wingspan Networks Inc" u="1"/>
        <s v="Red Owl Pty Ltd" u="1"/>
        <s v="PT FLIPTECH LENTERA INSPIRASI PERTIWI" u="1"/>
        <s v="HONGKONG FORTUNETECH LIMITED" u="1"/>
        <s v="Trustpilot A/S" u="1"/>
        <s v="moin 2" u="1"/>
        <s v="phillip bank" u="1"/>
        <s v="Ailingual Limited" u="1"/>
        <s v="Gusto, Inc." u="1"/>
        <s v="iFast Financial Pte Ltd" u="1"/>
        <s v="Paysure Solutions Ltd" u="1"/>
        <s v="SingCash Pte Ltd" u="1"/>
        <s v="Sleek Tech Pte. Ltd." u="1"/>
        <s v="Tazapay Pte. Ltd." u="1"/>
        <s v="UQPAY PTE LTD" u="1"/>
        <s v="AVENIDA VESSEL" u="1"/>
        <s v="Rippling Payments Inc" u="1"/>
        <s v="Rippling Payments Inc FI SG" u="1"/>
        <s v="Rippling Payments Inc FI US" u="1"/>
        <s v="ORO Labs, Inc." u="1"/>
        <s v="Remotely Works Inc." u="1"/>
        <s v="Skuad Pte Ltd" u="1"/>
      </sharedItems>
    </cacheField>
    <cacheField name="Region" numFmtId="0">
      <sharedItems count="5">
        <s v="APAC"/>
        <s v="USA"/>
        <s v="EU/UK"/>
        <s v="ME"/>
        <s v="Shared Centre"/>
      </sharedItems>
    </cacheField>
    <cacheField name="Account Manager" numFmtId="0">
      <sharedItems count="15">
        <s v="NA"/>
        <s v="Eduardo Avallone"/>
        <s v="Hao Nguyen"/>
        <s v="XiaoXiao"/>
        <s v="Luciana"/>
        <s v="Sachli Zare"/>
        <s v="Shi Yin"/>
        <s v="Jerome Coelho"/>
        <s v="Tanu Arora"/>
        <s v="Unmanaged - Harshita or saloni"/>
        <s v="Sanat Patakar"/>
        <s v="Lia Susin"/>
        <s v="Margarita"/>
        <s v="Pat Sarisa"/>
        <s v="Hari Budiman" u="1"/>
      </sharedItems>
    </cacheField>
    <cacheField name="BD" numFmtId="0">
      <sharedItems count="23">
        <s v="Vinoth M"/>
        <s v="Christina Hutchinson"/>
        <s v="NA"/>
        <s v="Gitesh Athavale"/>
        <s v="Tyler Reed"/>
        <s v="Greg McAllister"/>
        <s v="Ashraf Omran"/>
        <s v="Denis Tan"/>
        <s v="Febriali Tan"/>
        <s v="Lisa Sung"/>
        <s v="Hari Budiman"/>
        <s v="Wendy zhai"/>
        <s v="Michael Bermingham"/>
        <s v="Rohit Bammi"/>
        <s v="Saikat Roy"/>
        <s v="Gagan Smara"/>
        <s v="Danny May"/>
        <s v="Andrew Gyenis"/>
        <s v="Edward Li" u="1"/>
        <s v="Kyle Reny" u="1"/>
        <s v="Winfred" u="1"/>
        <s v="Andrew Mere" u="1"/>
        <s v="Oren Cohen" u="1"/>
      </sharedItems>
    </cacheField>
    <cacheField name="Client Status" numFmtId="0">
      <sharedItems count="2">
        <s v="Active"/>
        <s v="Setup Fee billed" u="1"/>
      </sharedItems>
    </cacheField>
    <cacheField name="Year" numFmtId="0">
      <sharedItems containsSemiMixedTypes="0" containsString="0" containsNumber="1" containsInteger="1" minValue="2024" maxValue="2026" count="3">
        <n v="2024"/>
        <n v="2025"/>
        <n v="2026"/>
      </sharedItems>
    </cacheField>
    <cacheField name="Settlement Type" numFmtId="0">
      <sharedItems count="3">
        <s v="Bank Transfer"/>
        <s v="Wallet Debit"/>
        <s v="Account settlement" u="1"/>
      </sharedItems>
    </cacheField>
    <cacheField name="Currency" numFmtId="0">
      <sharedItems/>
    </cacheField>
    <cacheField name="USD AMOUNT" numFmtId="165">
      <sharedItems containsSemiMixedTypes="0" containsString="0" containsNumber="1" minValue="-91021.735525476513" maxValue="54089.5"/>
    </cacheField>
    <cacheField name="Invoice Amount" numFmtId="0">
      <sharedItems containsSemiMixedTypes="0" containsString="0" containsNumber="1" minValue="-109615.32439999992" maxValue="14067585"/>
    </cacheField>
    <cacheField name="Billing Period" numFmtId="0">
      <sharedItems containsDate="1" containsMixedTypes="1" minDate="2024-11-01T00:00:00" maxDate="2026-02-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9" maxValue="469"/>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3-13T00:00:00"/>
    </cacheField>
    <cacheField name="Due Date" numFmtId="14">
      <sharedItems containsSemiMixedTypes="0" containsNonDate="0" containsDate="1" containsString="0" minDate="2024-12-11T00:00:00" maxDate="2026-04-04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ount="13">
        <s v="client has made progress with their capital raise however not provided exact settlement date to clear all o/s "/>
        <s v="AM is chasing the client to clear all o/s invoices"/>
        <s v="AM to provide an update if invoices needs to be written off as client is suspended"/>
        <s v="Client is disputing on decline charges on blocked cards,awaiting further update from AM."/>
        <s v="wallet debited, insufficient funds"/>
        <s v="No response from the client post reminder sent"/>
        <s v="Card printing invoice pending"/>
        <s v="Partially settled by the client"/>
        <s v="Client will settle once lumpsum threshold achieved"/>
        <m/>
        <s v="credit note will be settled against future invoices"/>
        <s v="Setup fee billed" u="1"/>
        <s v="LOD sent, client will be suspended if payment not received by 3rd feb"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N1"/>
    <x v="0"/>
    <s v="ME"/>
    <x v="0"/>
    <x v="0"/>
    <s v="Active"/>
    <n v="2025"/>
    <s v="Bank Transfer"/>
    <s v="USD"/>
    <n v="-68"/>
    <n v="-68"/>
    <d v="2025-08-01T00:00:00"/>
    <s v="Aug"/>
    <n v="170"/>
    <s v="Over 90+ days"/>
    <s v="Credit Note-Waive off"/>
    <d v="2025-09-03T00:00:00"/>
    <d v="2025-09-10T00:00:00"/>
    <s v="Outstanding"/>
    <s v="CN-INV-030925182457"/>
    <s v="No"/>
    <s v="No"/>
    <s v="credit note will be settled against future invoices"/>
    <m/>
  </r>
  <r>
    <s v="N1"/>
    <x v="1"/>
    <s v="ME"/>
    <x v="0"/>
    <x v="1"/>
    <s v="Active"/>
    <n v="2025"/>
    <s v="Bank Transfer"/>
    <s v="USD"/>
    <n v="-10"/>
    <n v="-10"/>
    <d v="2025-09-01T00:00:00"/>
    <s v="Sep"/>
    <n v="137"/>
    <s v="Over 90+ days"/>
    <s v="Credit Note-Rebate"/>
    <d v="2025-10-06T00:00:00"/>
    <d v="2025-10-13T00:00:00"/>
    <s v="Outstanding"/>
    <s v="CN-INV-061025093259"/>
    <s v="No"/>
    <s v="No"/>
    <s v="credit note will be settled against future invoices"/>
    <m/>
  </r>
  <r>
    <s v="N1"/>
    <x v="1"/>
    <s v="ME"/>
    <x v="0"/>
    <x v="1"/>
    <s v="Active"/>
    <n v="2025"/>
    <s v="Bank Transfer"/>
    <s v="USD"/>
    <n v="-25"/>
    <n v="-25"/>
    <d v="2025-10-01T00:00:00"/>
    <s v="Oct"/>
    <n v="107"/>
    <s v="Over 90+ days"/>
    <s v="Credit Note-Rebate"/>
    <d v="2025-11-05T00:00:00"/>
    <d v="2025-11-12T00:00:00"/>
    <s v="Outstanding"/>
    <s v="CN-INV-051125105233"/>
    <s v="No"/>
    <s v="No"/>
    <s v="credit note will be settled against future invoices"/>
    <m/>
  </r>
  <r>
    <s v="N1"/>
    <x v="1"/>
    <s v="ME"/>
    <x v="0"/>
    <x v="1"/>
    <s v="Active"/>
    <n v="2025"/>
    <s v="Bank Transfer"/>
    <s v="USD"/>
    <n v="-115"/>
    <n v="-115"/>
    <d v="2025-11-01T00:00:00"/>
    <s v="Nov"/>
    <n v="79"/>
    <s v="61-90 days"/>
    <s v="Credit Note-Rebate"/>
    <d v="2025-12-03T00:00:00"/>
    <d v="2025-12-10T00:00:00"/>
    <s v="Outstanding"/>
    <s v="CN-INV-031225192101"/>
    <s v="No"/>
    <s v="No"/>
    <s v="credit note will be settled against future invoices"/>
    <m/>
  </r>
  <r>
    <s v="N1"/>
    <x v="1"/>
    <s v="ME"/>
    <x v="0"/>
    <x v="1"/>
    <s v="Active"/>
    <n v="2025"/>
    <s v="Bank Transfer"/>
    <s v="USD"/>
    <n v="-96"/>
    <n v="-96"/>
    <d v="2025-12-01T00:00:00"/>
    <s v="Dec"/>
    <n v="46"/>
    <s v="31-60 days"/>
    <s v="Credit Note-Rebate"/>
    <d v="2026-01-05T00:00:00"/>
    <d v="2026-01-12T00:00:00"/>
    <s v="Outstanding"/>
    <s v="CN-INV-050126163126"/>
    <s v="Yes"/>
    <s v="No"/>
    <s v="credit note will be settled against future invoices"/>
    <m/>
  </r>
  <r>
    <s v="N1"/>
    <x v="2"/>
    <s v="APAC"/>
    <x v="1"/>
    <x v="2"/>
    <s v="Active"/>
    <n v="2025"/>
    <s v="Bank Transfer"/>
    <s v="USD"/>
    <n v="-527.48510000000533"/>
    <n v="-527.48510000000533"/>
    <d v="2025-10-01T00:00:00"/>
    <s v="Oct"/>
    <n v="106"/>
    <s v="Over 90+ days"/>
    <s v="Monthly Billing"/>
    <d v="2025-11-06T00:00:00"/>
    <d v="2025-11-13T00:00:00"/>
    <s v="Outstanding"/>
    <s v="INV-061125120844"/>
    <s v="Yes"/>
    <s v="No"/>
    <s v="credit will be settled against future invoices"/>
    <m/>
  </r>
  <r>
    <s v="N1"/>
    <x v="2"/>
    <s v="APAC"/>
    <x v="1"/>
    <x v="2"/>
    <s v="Active"/>
    <n v="2025"/>
    <s v="Bank Transfer"/>
    <s v="USD"/>
    <n v="-3888.0024000000049"/>
    <n v="-3888.0024000000049"/>
    <d v="2025-11-01T00:00:00"/>
    <s v="Nov"/>
    <n v="78"/>
    <s v="61-90 days"/>
    <s v="Monthly Billing"/>
    <d v="2025-12-04T00:00:00"/>
    <d v="2025-12-11T00:00:00"/>
    <s v="Outstanding"/>
    <s v="INV-041225180916"/>
    <s v="Yes"/>
    <s v="No"/>
    <s v="credit will be settled against future invoices"/>
    <m/>
  </r>
  <r>
    <s v="N1"/>
    <x v="2"/>
    <s v="APAC"/>
    <x v="1"/>
    <x v="2"/>
    <s v="Active"/>
    <n v="2025"/>
    <s v="Bank Transfer"/>
    <s v="USD"/>
    <n v="-1738.4406000000017"/>
    <n v="-1738.4406000000017"/>
    <d v="2025-12-01T00:00:00"/>
    <s v="Dec"/>
    <n v="45"/>
    <s v="31-60 days"/>
    <s v="Monthly Billing"/>
    <d v="2026-01-06T00:00:00"/>
    <d v="2026-01-13T00:00:00"/>
    <s v="Outstanding"/>
    <s v="INV-060126133501"/>
    <s v="Yes"/>
    <s v="No"/>
    <s v="credit will be settled against future invoices"/>
    <m/>
  </r>
  <r>
    <s v="N1"/>
    <x v="3"/>
    <s v="APAC"/>
    <x v="2"/>
    <x v="2"/>
    <s v="Active"/>
    <n v="2026"/>
    <s v="Bank Transfer"/>
    <s v="SGD"/>
    <n v="-85143.008119189122"/>
    <n v="-109615.32439999992"/>
    <d v="2026-01-01T00:00:00"/>
    <s v="Jan"/>
    <n v="13"/>
    <s v="0-30 days"/>
    <s v="Monthly Billing"/>
    <d v="2026-02-07T00:00:00"/>
    <d v="2026-02-14T00:00:00"/>
    <s v="Outstanding"/>
    <s v="INV-070226172013"/>
    <s v="Yes"/>
    <s v="No"/>
    <s v="No response from the client post reminder sent"/>
    <m/>
  </r>
  <r>
    <s v="N1"/>
    <x v="4"/>
    <s v="USA"/>
    <x v="3"/>
    <x v="3"/>
    <s v="Active"/>
    <n v="2026"/>
    <s v="Bank Transfer"/>
    <s v="USD"/>
    <n v="-152.90999999999985"/>
    <n v="-152.90999999999985"/>
    <d v="2026-01-01T00:00:00"/>
    <s v="Jan"/>
    <n v="17"/>
    <s v="0-30 days"/>
    <s v="Monthly Billing"/>
    <d v="2026-02-03T00:00:00"/>
    <d v="2026-02-10T00:00:00"/>
    <s v="Outstanding"/>
    <s v="INV-030226233006"/>
    <s v="Yes"/>
    <s v="No"/>
    <s v="No response from the client post reminder sent"/>
    <m/>
  </r>
  <r>
    <s v="N1"/>
    <x v="1"/>
    <s v="ME"/>
    <x v="0"/>
    <x v="1"/>
    <s v="Active"/>
    <n v="2026"/>
    <s v="Bank Transfer"/>
    <s v="USD"/>
    <n v="-52"/>
    <n v="-52"/>
    <d v="2026-01-01T00:00:00"/>
    <s v="Jan"/>
    <n v="14"/>
    <s v="0-30 days"/>
    <s v="Credit Note-Rebate"/>
    <d v="2026-02-06T00:00:00"/>
    <d v="2026-02-13T00:00:00"/>
    <s v="Outstanding"/>
    <s v="INV-060226200521"/>
    <s v="Yes"/>
    <s v="No"/>
    <s v="No response from the client post reminder sent"/>
    <m/>
  </r>
  <r>
    <s v="N1"/>
    <x v="2"/>
    <s v="APAC"/>
    <x v="1"/>
    <x v="2"/>
    <s v="Active"/>
    <n v="2026"/>
    <s v="Bank Transfer"/>
    <s v="USD"/>
    <n v="-1754.3781999999992"/>
    <n v="-1754.3781999999992"/>
    <d v="2026-01-01T00:00:00"/>
    <s v="Jan"/>
    <n v="13"/>
    <s v="0-30 days"/>
    <s v="Monthly Billing"/>
    <d v="2026-02-07T00:00:00"/>
    <d v="2026-02-14T00:00:00"/>
    <s v="Outstanding"/>
    <s v="INV-070226184910"/>
    <s v="Yes"/>
    <s v="No"/>
    <s v="credit will be settled against future invoices"/>
    <m/>
  </r>
  <r>
    <s v="Masspay"/>
    <x v="5"/>
    <s v="USA"/>
    <x v="4"/>
    <x v="4"/>
    <s v="Active"/>
    <n v="2026"/>
    <s v="Wallet Debit"/>
    <s v="USD"/>
    <n v="-105.02"/>
    <n v="-105.02"/>
    <d v="2026-01-01T00:00:00"/>
    <s v="Jan"/>
    <n v="-27"/>
    <s v="0-30 days"/>
    <s v="Credit Note-Rebate"/>
    <d v="2026-02-26T00:00:00"/>
    <d v="2026-03-26T00:00:00"/>
    <s v="Invoice Sent"/>
    <s v="US-CN-Borderless-01-2026"/>
    <s v="No"/>
    <s v="No"/>
    <s v="credit note will be settled against future invoices"/>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x v="0"/>
    <x v="0"/>
    <x v="0"/>
    <x v="0"/>
    <x v="0"/>
    <x v="0"/>
    <x v="0"/>
    <s v="USD"/>
    <n v="5500"/>
    <n v="5500"/>
    <d v="2024-11-01T00:00:00"/>
    <x v="0"/>
    <n v="469"/>
    <x v="0"/>
    <s v="Monthly Billing"/>
    <d v="2024-11-01T00:00:00"/>
    <d v="2024-12-11T00:00:00"/>
    <s v="Outstanding"/>
    <s v="INV-041224105640"/>
    <s v="Yes"/>
    <s v="Yes"/>
    <x v="0"/>
    <m/>
  </r>
  <r>
    <x v="0"/>
    <x v="0"/>
    <x v="0"/>
    <x v="0"/>
    <x v="0"/>
    <x v="0"/>
    <x v="1"/>
    <x v="0"/>
    <s v="USD"/>
    <n v="9930"/>
    <n v="9930"/>
    <d v="2025-01-01T00:00:00"/>
    <x v="1"/>
    <n v="406"/>
    <x v="0"/>
    <s v="Monthly Billing"/>
    <d v="2025-02-05T00:00:00"/>
    <d v="2025-02-12T00:00:00"/>
    <s v="Outstanding"/>
    <s v="INV-050225183406"/>
    <s v="Yes"/>
    <s v="Yes"/>
    <x v="0"/>
    <m/>
  </r>
  <r>
    <x v="0"/>
    <x v="0"/>
    <x v="0"/>
    <x v="0"/>
    <x v="0"/>
    <x v="0"/>
    <x v="1"/>
    <x v="0"/>
    <s v="USD"/>
    <n v="10000"/>
    <n v="10000"/>
    <d v="2025-02-01T00:00:00"/>
    <x v="2"/>
    <n v="378"/>
    <x v="0"/>
    <s v="Monthly Billing"/>
    <d v="2025-03-05T00:00:00"/>
    <d v="2025-03-12T00:00:00"/>
    <s v="Outstanding"/>
    <s v="INV-050325103203"/>
    <s v="Yes"/>
    <s v="Yes"/>
    <x v="0"/>
    <m/>
  </r>
  <r>
    <x v="0"/>
    <x v="0"/>
    <x v="0"/>
    <x v="0"/>
    <x v="0"/>
    <x v="0"/>
    <x v="1"/>
    <x v="0"/>
    <s v="USD"/>
    <n v="10000"/>
    <n v="10000"/>
    <d v="2025-03-01T00:00:00"/>
    <x v="3"/>
    <n v="350"/>
    <x v="0"/>
    <s v="Monthly Billing"/>
    <d v="2025-04-02T00:00:00"/>
    <d v="2025-04-09T00:00:00"/>
    <s v="Outstanding"/>
    <s v="INV-020425174717"/>
    <s v="Yes"/>
    <s v="Yes"/>
    <x v="0"/>
    <m/>
  </r>
  <r>
    <x v="0"/>
    <x v="0"/>
    <x v="0"/>
    <x v="0"/>
    <x v="0"/>
    <x v="0"/>
    <x v="1"/>
    <x v="0"/>
    <s v="USD"/>
    <n v="10000"/>
    <n v="10000"/>
    <d v="2025-04-01T00:00:00"/>
    <x v="4"/>
    <n v="317"/>
    <x v="0"/>
    <s v="Monthly Billing"/>
    <d v="2025-05-05T00:00:00"/>
    <d v="2025-05-12T00:00:00"/>
    <s v="Outstanding"/>
    <s v="INV-050525114818"/>
    <s v="Yes"/>
    <s v="Yes"/>
    <x v="0"/>
    <m/>
  </r>
  <r>
    <x v="0"/>
    <x v="0"/>
    <x v="0"/>
    <x v="0"/>
    <x v="0"/>
    <x v="0"/>
    <x v="1"/>
    <x v="0"/>
    <s v="USD"/>
    <n v="10000"/>
    <n v="10000"/>
    <d v="2025-05-01T00:00:00"/>
    <x v="5"/>
    <n v="287"/>
    <x v="0"/>
    <s v="Monthly Billing"/>
    <d v="2025-06-04T00:00:00"/>
    <d v="2025-06-11T00:00:00"/>
    <s v="Outstanding"/>
    <s v="INV-040625165635"/>
    <s v="Yes"/>
    <s v="Yes"/>
    <x v="0"/>
    <m/>
  </r>
  <r>
    <x v="0"/>
    <x v="1"/>
    <x v="1"/>
    <x v="1"/>
    <x v="1"/>
    <x v="0"/>
    <x v="1"/>
    <x v="0"/>
    <s v="USD"/>
    <n v="3495.5"/>
    <n v="3495.5"/>
    <d v="2025-07-01T00:00:00"/>
    <x v="6"/>
    <n v="225"/>
    <x v="0"/>
    <s v="Monthly Billing"/>
    <d v="2025-08-05T00:00:00"/>
    <d v="2025-08-12T00:00:00"/>
    <s v="Outstanding"/>
    <s v="INV-050825115818"/>
    <s v="Yes"/>
    <s v="No"/>
    <x v="1"/>
    <m/>
  </r>
  <r>
    <x v="0"/>
    <x v="2"/>
    <x v="0"/>
    <x v="2"/>
    <x v="2"/>
    <x v="0"/>
    <x v="1"/>
    <x v="0"/>
    <s v="AUD"/>
    <n v="1319.9063350274675"/>
    <n v="1971.5749999999998"/>
    <d v="2025-07-01T00:00:00"/>
    <x v="6"/>
    <n v="225"/>
    <x v="0"/>
    <s v="Monthly Billing"/>
    <d v="2025-08-05T00:00:00"/>
    <d v="2025-08-12T00:00:00"/>
    <s v="Partially Paid"/>
    <s v="INV-050825195438"/>
    <s v="Yes"/>
    <s v="Yes"/>
    <x v="2"/>
    <m/>
  </r>
  <r>
    <x v="0"/>
    <x v="1"/>
    <x v="1"/>
    <x v="1"/>
    <x v="1"/>
    <x v="0"/>
    <x v="1"/>
    <x v="0"/>
    <s v="USD"/>
    <n v="3485"/>
    <n v="3485"/>
    <d v="2025-08-01T00:00:00"/>
    <x v="7"/>
    <n v="197"/>
    <x v="0"/>
    <s v="Monthly Billing"/>
    <d v="2025-09-02T00:00:00"/>
    <d v="2025-09-09T00:00:00"/>
    <s v="Outstanding"/>
    <s v="INV-020925171323"/>
    <s v="Yes"/>
    <s v="No"/>
    <x v="1"/>
    <m/>
  </r>
  <r>
    <x v="0"/>
    <x v="3"/>
    <x v="0"/>
    <x v="3"/>
    <x v="3"/>
    <x v="0"/>
    <x v="1"/>
    <x v="0"/>
    <s v="USD"/>
    <n v="25680.39"/>
    <n v="25680.39"/>
    <d v="2025-08-01T00:00:00"/>
    <x v="7"/>
    <n v="195"/>
    <x v="0"/>
    <s v="Monthly Billing"/>
    <d v="2025-09-04T00:00:00"/>
    <d v="2025-09-11T00:00:00"/>
    <s v="Partially Paid"/>
    <s v="INV-040925095830"/>
    <s v="Yes"/>
    <s v="No"/>
    <x v="3"/>
    <m/>
  </r>
  <r>
    <x v="0"/>
    <x v="2"/>
    <x v="0"/>
    <x v="2"/>
    <x v="2"/>
    <x v="0"/>
    <x v="1"/>
    <x v="0"/>
    <s v="AUD"/>
    <n v="4600.2592748113921"/>
    <n v="6871.5150000000003"/>
    <d v="2025-08-01T00:00:00"/>
    <x v="7"/>
    <n v="196"/>
    <x v="0"/>
    <s v="Monthly Billing"/>
    <d v="2025-09-03T00:00:00"/>
    <d v="2025-09-10T00:00:00"/>
    <s v="Outstanding"/>
    <s v="INV-030925145658"/>
    <s v="Yes"/>
    <s v="Yes"/>
    <x v="2"/>
    <m/>
  </r>
  <r>
    <x v="1"/>
    <x v="4"/>
    <x v="1"/>
    <x v="1"/>
    <x v="2"/>
    <x v="0"/>
    <x v="1"/>
    <x v="1"/>
    <s v="USD"/>
    <n v="1020"/>
    <n v="1020"/>
    <d v="2025-09-01T00:00:00"/>
    <x v="8"/>
    <n v="169"/>
    <x v="0"/>
    <s v="Monthly Billing"/>
    <d v="2025-10-01T00:00:00"/>
    <d v="2025-10-07T00:00:00"/>
    <s v="Force Settlement"/>
    <s v="SG-FTBHUB-09/2025"/>
    <s v="Yes"/>
    <s v="No"/>
    <x v="4"/>
    <m/>
  </r>
  <r>
    <x v="0"/>
    <x v="1"/>
    <x v="1"/>
    <x v="1"/>
    <x v="1"/>
    <x v="0"/>
    <x v="1"/>
    <x v="0"/>
    <s v="USD"/>
    <n v="3487.5"/>
    <n v="3487.5"/>
    <d v="2025-09-01T00:00:00"/>
    <x v="8"/>
    <n v="167"/>
    <x v="0"/>
    <s v="Monthly Billing"/>
    <d v="2025-10-02T00:00:00"/>
    <d v="2025-10-09T00:00:00"/>
    <s v="Outstanding"/>
    <s v="INV-021025184847"/>
    <s v="Yes"/>
    <s v="No"/>
    <x v="1"/>
    <m/>
  </r>
  <r>
    <x v="0"/>
    <x v="3"/>
    <x v="0"/>
    <x v="3"/>
    <x v="3"/>
    <x v="0"/>
    <x v="1"/>
    <x v="0"/>
    <s v="USD"/>
    <n v="1430.625"/>
    <n v="1430.625"/>
    <d v="2025-09-01T00:00:00"/>
    <x v="8"/>
    <n v="163"/>
    <x v="0"/>
    <s v="Monthly Billing"/>
    <d v="2025-10-06T00:00:00"/>
    <d v="2025-10-13T00:00:00"/>
    <s v="Outstanding"/>
    <s v="INV-061025143320"/>
    <s v="Yes"/>
    <s v="No"/>
    <x v="3"/>
    <m/>
  </r>
  <r>
    <x v="0"/>
    <x v="2"/>
    <x v="0"/>
    <x v="2"/>
    <x v="2"/>
    <x v="0"/>
    <x v="1"/>
    <x v="0"/>
    <s v="AUD"/>
    <n v="4495.6247766902861"/>
    <n v="6715.2199999999993"/>
    <d v="2025-09-01T00:00:00"/>
    <x v="8"/>
    <n v="163"/>
    <x v="0"/>
    <s v="Monthly Billing"/>
    <d v="2025-10-06T00:00:00"/>
    <d v="2025-10-13T00:00:00"/>
    <s v="Outstanding"/>
    <s v="INV-061025125629"/>
    <s v="Yes"/>
    <s v="Yes"/>
    <x v="2"/>
    <m/>
  </r>
  <r>
    <x v="1"/>
    <x v="4"/>
    <x v="1"/>
    <x v="1"/>
    <x v="2"/>
    <x v="0"/>
    <x v="1"/>
    <x v="1"/>
    <s v="USD"/>
    <n v="1000"/>
    <n v="1000"/>
    <d v="2025-10-01T00:00:00"/>
    <x v="9"/>
    <n v="138"/>
    <x v="0"/>
    <s v="Monthly Billing"/>
    <d v="2025-11-01T00:00:00"/>
    <d v="2025-11-07T00:00:00"/>
    <s v="Force Settlement"/>
    <s v="SG-FTBHUB-10/2025"/>
    <s v="Yes"/>
    <s v="No"/>
    <x v="4"/>
    <m/>
  </r>
  <r>
    <x v="1"/>
    <x v="5"/>
    <x v="0"/>
    <x v="4"/>
    <x v="2"/>
    <x v="0"/>
    <x v="1"/>
    <x v="0"/>
    <s v="IDR"/>
    <n v="5.6508548239204046"/>
    <n v="95444"/>
    <d v="2025-10-01T00:00:00"/>
    <x v="9"/>
    <n v="127"/>
    <x v="0"/>
    <s v="Monthly Billing"/>
    <d v="2025-11-03T00:00:00"/>
    <d v="2025-11-18T00:00:00"/>
    <s v="Overdue"/>
    <s v="ID-ptpelita-10/2025"/>
    <s v="Yes"/>
    <s v="No"/>
    <x v="5"/>
    <m/>
  </r>
  <r>
    <x v="0"/>
    <x v="6"/>
    <x v="2"/>
    <x v="5"/>
    <x v="3"/>
    <x v="0"/>
    <x v="1"/>
    <x v="0"/>
    <s v="GBP"/>
    <n v="186.0952808811318"/>
    <n v="139.19"/>
    <d v="2025-10-01T00:00:00"/>
    <x v="9"/>
    <n v="135"/>
    <x v="0"/>
    <s v="Monthly Billing"/>
    <d v="2025-11-03T00:00:00"/>
    <d v="2025-11-10T00:00:00"/>
    <s v="Outstanding"/>
    <s v="INV-031125184753"/>
    <s v="Yes"/>
    <s v="No"/>
    <x v="5"/>
    <m/>
  </r>
  <r>
    <x v="0"/>
    <x v="7"/>
    <x v="0"/>
    <x v="2"/>
    <x v="0"/>
    <x v="0"/>
    <x v="1"/>
    <x v="0"/>
    <s v="AUD"/>
    <n v="919.11259138465959"/>
    <n v="1372.8999999999999"/>
    <d v="2025-09-01T00:00:00"/>
    <x v="8"/>
    <n v="117"/>
    <x v="0"/>
    <s v="Card Printing and Delivery"/>
    <d v="2025-10-28T00:00:00"/>
    <d v="2025-11-28T00:00:00"/>
    <s v="Outstanding"/>
    <s v="INV-281025170000"/>
    <s v="Yes"/>
    <s v="No"/>
    <x v="6"/>
    <m/>
  </r>
  <r>
    <x v="0"/>
    <x v="8"/>
    <x v="2"/>
    <x v="5"/>
    <x v="2"/>
    <x v="0"/>
    <x v="1"/>
    <x v="0"/>
    <s v="USD"/>
    <n v="75"/>
    <n v="75"/>
    <d v="2025-10-01T00:00:00"/>
    <x v="9"/>
    <n v="133"/>
    <x v="0"/>
    <s v="Monthly Billing"/>
    <d v="2025-11-05T00:00:00"/>
    <d v="2025-11-12T00:00:00"/>
    <s v="Partially Paid"/>
    <s v="INV-051125174218"/>
    <s v="Yes"/>
    <s v="No"/>
    <x v="7"/>
    <m/>
  </r>
  <r>
    <x v="0"/>
    <x v="1"/>
    <x v="1"/>
    <x v="1"/>
    <x v="1"/>
    <x v="0"/>
    <x v="1"/>
    <x v="0"/>
    <s v="USD"/>
    <n v="2602.25"/>
    <n v="2602.25"/>
    <d v="2025-10-01T00:00:00"/>
    <x v="9"/>
    <n v="133"/>
    <x v="0"/>
    <s v="Monthly Billing"/>
    <d v="2025-11-05T00:00:00"/>
    <d v="2025-11-12T00:00:00"/>
    <s v="Outstanding"/>
    <s v="INV-051125173213"/>
    <s v="Yes"/>
    <s v="No"/>
    <x v="1"/>
    <m/>
  </r>
  <r>
    <x v="0"/>
    <x v="9"/>
    <x v="0"/>
    <x v="6"/>
    <x v="0"/>
    <x v="0"/>
    <x v="1"/>
    <x v="0"/>
    <s v="USD"/>
    <n v="2756.75"/>
    <n v="2756.75"/>
    <s v="Sep &amp; oct-2025"/>
    <x v="9"/>
    <n v="126"/>
    <x v="0"/>
    <s v="Monthly Billing"/>
    <d v="2025-11-05T00:00:00"/>
    <d v="2025-11-19T00:00:00"/>
    <s v="Partially Paid"/>
    <s v="INV-051125161416"/>
    <s v="Yes"/>
    <s v="No"/>
    <x v="5"/>
    <m/>
  </r>
  <r>
    <x v="0"/>
    <x v="2"/>
    <x v="0"/>
    <x v="2"/>
    <x v="2"/>
    <x v="0"/>
    <x v="1"/>
    <x v="0"/>
    <s v="AUD"/>
    <n v="4473.4151764140934"/>
    <n v="6682.0450000000001"/>
    <d v="2025-10-01T00:00:00"/>
    <x v="9"/>
    <n v="132"/>
    <x v="0"/>
    <s v="Monthly Billing"/>
    <d v="2025-11-06T00:00:00"/>
    <d v="2025-11-13T00:00:00"/>
    <s v="Outstanding"/>
    <s v="INV-061125104927"/>
    <s v="Yes"/>
    <s v="Yes"/>
    <x v="2"/>
    <m/>
  </r>
  <r>
    <x v="0"/>
    <x v="10"/>
    <x v="1"/>
    <x v="0"/>
    <x v="4"/>
    <x v="0"/>
    <x v="1"/>
    <x v="0"/>
    <s v="USD"/>
    <n v="0.5"/>
    <n v="0.5"/>
    <d v="2025-10-01T00:00:00"/>
    <x v="9"/>
    <n v="133"/>
    <x v="0"/>
    <s v="Monthly Billing"/>
    <d v="2025-11-05T00:00:00"/>
    <d v="2025-11-12T00:00:00"/>
    <s v="Outstanding"/>
    <s v="INV-041125182344"/>
    <s v="Yes"/>
    <s v="No"/>
    <x v="5"/>
    <m/>
  </r>
  <r>
    <x v="0"/>
    <x v="7"/>
    <x v="0"/>
    <x v="2"/>
    <x v="0"/>
    <x v="0"/>
    <x v="1"/>
    <x v="0"/>
    <s v="AUD"/>
    <n v="1730.6282888314197"/>
    <n v="2585.08"/>
    <d v="2025-10-01T00:00:00"/>
    <x v="9"/>
    <n v="98"/>
    <x v="0"/>
    <s v="Card Printing and Delivery"/>
    <d v="2025-11-17T00:00:00"/>
    <d v="2025-12-17T00:00:00"/>
    <s v="Outstanding"/>
    <s v="INV-171125170000"/>
    <s v="No"/>
    <s v="No"/>
    <x v="6"/>
    <m/>
  </r>
  <r>
    <x v="1"/>
    <x v="4"/>
    <x v="1"/>
    <x v="1"/>
    <x v="2"/>
    <x v="0"/>
    <x v="1"/>
    <x v="1"/>
    <s v="USD"/>
    <n v="1000"/>
    <n v="1000"/>
    <d v="2025-11-01T00:00:00"/>
    <x v="0"/>
    <n v="107"/>
    <x v="0"/>
    <s v="Monthly Billing"/>
    <d v="2025-12-01T00:00:00"/>
    <d v="2025-12-08T00:00:00"/>
    <s v="Force Settlement"/>
    <s v="SG-FTBHUB-11/2025"/>
    <s v="Yes"/>
    <s v="No"/>
    <x v="4"/>
    <m/>
  </r>
  <r>
    <x v="0"/>
    <x v="6"/>
    <x v="2"/>
    <x v="5"/>
    <x v="3"/>
    <x v="0"/>
    <x v="1"/>
    <x v="0"/>
    <s v="GBP"/>
    <n v="127.08065556255175"/>
    <n v="95.05"/>
    <d v="2025-11-01T00:00:00"/>
    <x v="0"/>
    <n v="83"/>
    <x v="1"/>
    <s v="Monthly Billing"/>
    <d v="2025-12-02T00:00:00"/>
    <d v="2026-01-01T00:00:00"/>
    <s v="Invoice Sent"/>
    <s v="INV-021225130146"/>
    <s v="Yes"/>
    <s v="No"/>
    <x v="5"/>
    <m/>
  </r>
  <r>
    <x v="0"/>
    <x v="7"/>
    <x v="0"/>
    <x v="2"/>
    <x v="0"/>
    <x v="0"/>
    <x v="1"/>
    <x v="0"/>
    <s v="AUD"/>
    <n v="1729.4968879431976"/>
    <n v="2583.39"/>
    <d v="2025-11-01T00:00:00"/>
    <x v="0"/>
    <n v="69"/>
    <x v="1"/>
    <s v="Card Printing and Delivery"/>
    <d v="2025-12-15T00:00:00"/>
    <d v="2026-01-15T00:00:00"/>
    <s v="Invoice Sent"/>
    <s v="INV-151225170000"/>
    <s v="No"/>
    <s v="No"/>
    <x v="6"/>
    <m/>
  </r>
  <r>
    <x v="0"/>
    <x v="11"/>
    <x v="1"/>
    <x v="1"/>
    <x v="5"/>
    <x v="0"/>
    <x v="1"/>
    <x v="0"/>
    <s v="USD"/>
    <n v="130"/>
    <n v="130"/>
    <d v="2025-11-01T00:00:00"/>
    <x v="0"/>
    <n v="106"/>
    <x v="0"/>
    <s v="Monthly Billing"/>
    <d v="2025-12-02T00:00:00"/>
    <d v="2025-12-09T00:00:00"/>
    <s v="Outstanding"/>
    <s v="INV-021225154117"/>
    <s v="Yes"/>
    <s v="No"/>
    <x v="5"/>
    <m/>
  </r>
  <r>
    <x v="0"/>
    <x v="12"/>
    <x v="3"/>
    <x v="7"/>
    <x v="6"/>
    <x v="0"/>
    <x v="1"/>
    <x v="0"/>
    <s v="USD"/>
    <n v="57.489999999999782"/>
    <n v="57.489999999999782"/>
    <d v="2025-11-01T00:00:00"/>
    <x v="0"/>
    <n v="106"/>
    <x v="0"/>
    <s v="Monthly Billing"/>
    <d v="2025-12-02T00:00:00"/>
    <d v="2025-12-09T00:00:00"/>
    <s v="Partially Paid"/>
    <s v="INV-021225185612"/>
    <s v="Yes"/>
    <s v="No"/>
    <x v="5"/>
    <m/>
  </r>
  <r>
    <x v="0"/>
    <x v="1"/>
    <x v="1"/>
    <x v="1"/>
    <x v="1"/>
    <x v="0"/>
    <x v="1"/>
    <x v="0"/>
    <s v="USD"/>
    <n v="1786.14"/>
    <n v="1786.14"/>
    <d v="2025-11-01T00:00:00"/>
    <x v="0"/>
    <n v="106"/>
    <x v="0"/>
    <s v="Monthly Billing"/>
    <d v="2025-12-02T00:00:00"/>
    <d v="2025-12-09T00:00:00"/>
    <s v="Outstanding"/>
    <s v="INV-021225201549"/>
    <s v="Yes"/>
    <s v="No"/>
    <x v="1"/>
    <m/>
  </r>
  <r>
    <x v="0"/>
    <x v="13"/>
    <x v="2"/>
    <x v="5"/>
    <x v="2"/>
    <x v="0"/>
    <x v="1"/>
    <x v="0"/>
    <s v="USD"/>
    <n v="66.3"/>
    <n v="66.3"/>
    <d v="2025-11-01T00:00:00"/>
    <x v="0"/>
    <n v="69"/>
    <x v="1"/>
    <s v="Card Printing and Delivery"/>
    <d v="2025-12-15T00:00:00"/>
    <d v="2026-01-15T00:00:00"/>
    <s v="Invoice Sent"/>
    <s v="INV2025-MSH-011"/>
    <s v="No"/>
    <s v="No"/>
    <x v="5"/>
    <m/>
  </r>
  <r>
    <x v="0"/>
    <x v="9"/>
    <x v="0"/>
    <x v="6"/>
    <x v="0"/>
    <x v="0"/>
    <x v="1"/>
    <x v="0"/>
    <s v="USD"/>
    <n v="2743"/>
    <n v="2743"/>
    <d v="2025-11-01T00:00:00"/>
    <x v="0"/>
    <n v="97"/>
    <x v="0"/>
    <s v="Monthly Billing"/>
    <d v="2025-12-03T00:00:00"/>
    <d v="2025-12-18T00:00:00"/>
    <s v="Invoice Sent"/>
    <s v="INV-031225170417"/>
    <s v="Yes"/>
    <s v="No"/>
    <x v="5"/>
    <m/>
  </r>
  <r>
    <x v="0"/>
    <x v="2"/>
    <x v="0"/>
    <x v="2"/>
    <x v="2"/>
    <x v="0"/>
    <x v="1"/>
    <x v="0"/>
    <s v="AUD"/>
    <n v="4586.6382792659679"/>
    <n v="6851.1689999999999"/>
    <d v="2025-11-01T00:00:00"/>
    <x v="0"/>
    <n v="104"/>
    <x v="0"/>
    <s v="Monthly Billing"/>
    <d v="2025-12-04T00:00:00"/>
    <d v="2025-12-11T00:00:00"/>
    <s v="Outstanding"/>
    <s v="INV-041225150054"/>
    <s v="Yes"/>
    <s v="Yes"/>
    <x v="2"/>
    <m/>
  </r>
  <r>
    <x v="0"/>
    <x v="10"/>
    <x v="1"/>
    <x v="0"/>
    <x v="4"/>
    <x v="0"/>
    <x v="1"/>
    <x v="0"/>
    <s v="USD"/>
    <n v="500"/>
    <n v="500"/>
    <d v="2025-11-01T00:00:00"/>
    <x v="0"/>
    <n v="105"/>
    <x v="0"/>
    <s v="Monthly Billing"/>
    <d v="2025-12-03T00:00:00"/>
    <d v="2025-12-10T00:00:00"/>
    <s v="Outstanding"/>
    <s v="INV-031225091936"/>
    <s v="Yes"/>
    <s v="No"/>
    <x v="5"/>
    <m/>
  </r>
  <r>
    <x v="1"/>
    <x v="14"/>
    <x v="1"/>
    <x v="1"/>
    <x v="2"/>
    <x v="0"/>
    <x v="1"/>
    <x v="0"/>
    <s v="USD"/>
    <n v="2217.6"/>
    <n v="2217.6"/>
    <d v="2025-12-01T00:00:00"/>
    <x v="10"/>
    <n v="67"/>
    <x v="1"/>
    <s v="Monthly Billing"/>
    <d v="2026-01-02T00:00:00"/>
    <d v="2026-01-17T00:00:00"/>
    <s v="Invoice Sent"/>
    <s v="US-GLOBAL ROOTS INC-12/2025"/>
    <s v="Yes"/>
    <s v="No"/>
    <x v="5"/>
    <m/>
  </r>
  <r>
    <x v="1"/>
    <x v="5"/>
    <x v="0"/>
    <x v="4"/>
    <x v="2"/>
    <x v="0"/>
    <x v="1"/>
    <x v="0"/>
    <s v="IDR"/>
    <n v="5.6508548239204046"/>
    <n v="95444"/>
    <d v="2025-12-01T00:00:00"/>
    <x v="10"/>
    <n v="67"/>
    <x v="1"/>
    <s v="Monthly Billing"/>
    <d v="2026-01-02T00:00:00"/>
    <d v="2026-01-17T00:00:00"/>
    <s v="Invoice Sent"/>
    <s v="ID-ptpelita-12/2025"/>
    <s v="Yes"/>
    <s v="No"/>
    <x v="5"/>
    <m/>
  </r>
  <r>
    <x v="1"/>
    <x v="15"/>
    <x v="1"/>
    <x v="8"/>
    <x v="2"/>
    <x v="0"/>
    <x v="1"/>
    <x v="0"/>
    <s v="USD"/>
    <n v="1.5"/>
    <n v="1.5"/>
    <d v="2025-12-01T00:00:00"/>
    <x v="10"/>
    <n v="74"/>
    <x v="1"/>
    <s v="Monthly Billing"/>
    <d v="2026-01-03T00:00:00"/>
    <d v="2026-01-10T00:00:00"/>
    <s v="Overdue"/>
    <s v="US-TClub Inc.-12/2025"/>
    <s v="Yes"/>
    <s v="No"/>
    <x v="5"/>
    <m/>
  </r>
  <r>
    <x v="0"/>
    <x v="6"/>
    <x v="2"/>
    <x v="5"/>
    <x v="3"/>
    <x v="0"/>
    <x v="1"/>
    <x v="0"/>
    <s v="GBP"/>
    <n v="29.961888386709994"/>
    <n v="22.41"/>
    <d v="2025-12-01T00:00:00"/>
    <x v="10"/>
    <n v="52"/>
    <x v="2"/>
    <s v="Monthly Billing"/>
    <d v="2026-01-02T00:00:00"/>
    <d v="2026-02-01T00:00:00"/>
    <s v="Invoice Sent"/>
    <s v="INV-020126135021"/>
    <s v="Yes"/>
    <s v="No"/>
    <x v="5"/>
    <m/>
  </r>
  <r>
    <x v="0"/>
    <x v="7"/>
    <x v="0"/>
    <x v="2"/>
    <x v="0"/>
    <x v="0"/>
    <x v="1"/>
    <x v="0"/>
    <s v="AUD"/>
    <n v="795.00527809449466"/>
    <n v="1187.5180000000037"/>
    <d v="2025-12-01T00:00:00"/>
    <x v="10"/>
    <n v="48"/>
    <x v="2"/>
    <s v="Monthly Billing"/>
    <d v="2026-01-06T00:00:00"/>
    <d v="2026-02-05T00:00:00"/>
    <s v="Invoice Sent"/>
    <s v="INV-060126122618"/>
    <s v="Yes"/>
    <s v="No"/>
    <x v="6"/>
    <m/>
  </r>
  <r>
    <x v="0"/>
    <x v="16"/>
    <x v="0"/>
    <x v="0"/>
    <x v="7"/>
    <x v="0"/>
    <x v="1"/>
    <x v="0"/>
    <s v="USD"/>
    <n v="1.72"/>
    <n v="1.72"/>
    <d v="2025-12-01T00:00:00"/>
    <x v="10"/>
    <n v="72"/>
    <x v="1"/>
    <s v="Monthly Billing"/>
    <d v="2026-01-05T00:00:00"/>
    <d v="2026-01-12T00:00:00"/>
    <s v="Outstanding"/>
    <s v="INV-050126095427"/>
    <s v="Yes"/>
    <s v="No"/>
    <x v="8"/>
    <m/>
  </r>
  <r>
    <x v="0"/>
    <x v="11"/>
    <x v="1"/>
    <x v="1"/>
    <x v="5"/>
    <x v="0"/>
    <x v="1"/>
    <x v="0"/>
    <s v="USD"/>
    <n v="100"/>
    <n v="100"/>
    <d v="2025-12-01T00:00:00"/>
    <x v="10"/>
    <n v="75"/>
    <x v="1"/>
    <s v="Monthly Billing"/>
    <d v="2026-01-02T00:00:00"/>
    <d v="2026-01-09T00:00:00"/>
    <s v="Outstanding"/>
    <s v="INV-020126171358"/>
    <s v="Yes"/>
    <s v="No"/>
    <x v="5"/>
    <m/>
  </r>
  <r>
    <x v="0"/>
    <x v="17"/>
    <x v="0"/>
    <x v="0"/>
    <x v="8"/>
    <x v="0"/>
    <x v="1"/>
    <x v="0"/>
    <s v="USD"/>
    <n v="2000"/>
    <n v="2000"/>
    <d v="2025-12-01T00:00:00"/>
    <x v="10"/>
    <n v="71"/>
    <x v="1"/>
    <s v="Monthly Billing"/>
    <d v="2026-01-06T00:00:00"/>
    <d v="2026-01-13T00:00:00"/>
    <s v="Outstanding"/>
    <s v="INV-060126114015"/>
    <s v="Yes"/>
    <s v="No"/>
    <x v="5"/>
    <m/>
  </r>
  <r>
    <x v="0"/>
    <x v="12"/>
    <x v="3"/>
    <x v="7"/>
    <x v="6"/>
    <x v="0"/>
    <x v="1"/>
    <x v="0"/>
    <s v="USD"/>
    <n v="2500"/>
    <n v="2500"/>
    <d v="2025-12-01T00:00:00"/>
    <x v="10"/>
    <n v="72"/>
    <x v="1"/>
    <s v="Monthly Billing"/>
    <d v="2026-01-05T00:00:00"/>
    <d v="2026-01-12T00:00:00"/>
    <s v="Force Settlement"/>
    <s v="INV-050126150313"/>
    <s v="Yes"/>
    <s v="No"/>
    <x v="5"/>
    <m/>
  </r>
  <r>
    <x v="0"/>
    <x v="8"/>
    <x v="2"/>
    <x v="5"/>
    <x v="2"/>
    <x v="0"/>
    <x v="1"/>
    <x v="0"/>
    <s v="USD"/>
    <n v="2.5"/>
    <n v="2.5"/>
    <d v="2025-12-01T00:00:00"/>
    <x v="10"/>
    <n v="72"/>
    <x v="1"/>
    <s v="Monthly Billing"/>
    <d v="2026-01-05T00:00:00"/>
    <d v="2026-01-12T00:00:00"/>
    <s v="Outstanding"/>
    <s v="INV-050126184308"/>
    <s v="Yes"/>
    <s v="No"/>
    <x v="7"/>
    <m/>
  </r>
  <r>
    <x v="0"/>
    <x v="1"/>
    <x v="1"/>
    <x v="1"/>
    <x v="1"/>
    <x v="0"/>
    <x v="1"/>
    <x v="0"/>
    <s v="USD"/>
    <n v="1659.6200000000001"/>
    <n v="1659.6200000000001"/>
    <d v="2025-12-01T00:00:00"/>
    <x v="10"/>
    <n v="72"/>
    <x v="1"/>
    <s v="Monthly Billing"/>
    <d v="2026-01-05T00:00:00"/>
    <d v="2026-01-12T00:00:00"/>
    <s v="Outstanding"/>
    <s v="INV-050126153219"/>
    <s v="Yes"/>
    <s v="No"/>
    <x v="1"/>
    <m/>
  </r>
  <r>
    <x v="0"/>
    <x v="9"/>
    <x v="0"/>
    <x v="6"/>
    <x v="0"/>
    <x v="0"/>
    <x v="1"/>
    <x v="0"/>
    <s v="USD"/>
    <n v="2034"/>
    <n v="2034"/>
    <d v="2025-12-01T00:00:00"/>
    <x v="10"/>
    <n v="72"/>
    <x v="1"/>
    <s v="Monthly Billing"/>
    <d v="2026-01-05T00:00:00"/>
    <d v="2026-01-12T00:00:00"/>
    <s v="Outstanding"/>
    <s v="INV-050126154823"/>
    <s v="Yes"/>
    <s v="No"/>
    <x v="5"/>
    <m/>
  </r>
  <r>
    <x v="0"/>
    <x v="2"/>
    <x v="0"/>
    <x v="2"/>
    <x v="2"/>
    <x v="0"/>
    <x v="1"/>
    <x v="0"/>
    <s v="AUD"/>
    <n v="4550.0558709014676"/>
    <n v="6796.5250000000005"/>
    <d v="2025-12-01T00:00:00"/>
    <x v="10"/>
    <n v="71"/>
    <x v="1"/>
    <s v="Monthly Billing"/>
    <d v="2026-01-06T00:00:00"/>
    <d v="2026-01-13T00:00:00"/>
    <s v="Outstanding"/>
    <s v="INV-060126181825"/>
    <s v="Yes"/>
    <s v="Yes"/>
    <x v="2"/>
    <m/>
  </r>
  <r>
    <x v="0"/>
    <x v="10"/>
    <x v="1"/>
    <x v="0"/>
    <x v="4"/>
    <x v="0"/>
    <x v="1"/>
    <x v="0"/>
    <s v="USD"/>
    <n v="550"/>
    <n v="550"/>
    <d v="2025-12-01T00:00:00"/>
    <x v="10"/>
    <n v="74"/>
    <x v="1"/>
    <s v="Monthly Billing"/>
    <d v="2026-01-03T00:00:00"/>
    <d v="2026-01-10T00:00:00"/>
    <s v="Outstanding"/>
    <s v="INV-030126111809"/>
    <s v="Yes"/>
    <s v="No"/>
    <x v="5"/>
    <m/>
  </r>
  <r>
    <x v="0"/>
    <x v="7"/>
    <x v="0"/>
    <x v="2"/>
    <x v="0"/>
    <x v="0"/>
    <x v="1"/>
    <x v="0"/>
    <s v="AUD"/>
    <n v="1489.0775465359145"/>
    <n v="2224.27"/>
    <d v="2025-12-01T00:00:00"/>
    <x v="10"/>
    <n v="30"/>
    <x v="3"/>
    <s v="Card Printing and Delivery"/>
    <d v="2026-01-23T00:00:00"/>
    <d v="2026-02-23T00:00:00"/>
    <s v="Invoice Sent"/>
    <s v="INV-230126170000"/>
    <s v="Yes"/>
    <s v="No"/>
    <x v="6"/>
    <m/>
  </r>
  <r>
    <x v="0"/>
    <x v="18"/>
    <x v="0"/>
    <x v="2"/>
    <x v="0"/>
    <x v="0"/>
    <x v="1"/>
    <x v="0"/>
    <s v="AUD"/>
    <n v="137.8233732889212"/>
    <n v="205.87"/>
    <d v="2025-12-01T00:00:00"/>
    <x v="10"/>
    <n v="30"/>
    <x v="3"/>
    <s v="Card Printing and Delivery"/>
    <d v="2026-01-23T00:00:00"/>
    <d v="2026-02-23T00:00:00"/>
    <s v="Invoice Sent"/>
    <s v="INV-230126143000"/>
    <s v="No"/>
    <s v="No"/>
    <x v="5"/>
    <m/>
  </r>
  <r>
    <x v="1"/>
    <x v="19"/>
    <x v="0"/>
    <x v="0"/>
    <x v="9"/>
    <x v="0"/>
    <x v="2"/>
    <x v="0"/>
    <s v="USD"/>
    <n v="5000"/>
    <n v="5000"/>
    <d v="2026-01-01T00:00:00"/>
    <x v="1"/>
    <n v="44"/>
    <x v="2"/>
    <s v="Monthly Billing"/>
    <d v="2026-02-02T00:00:00"/>
    <d v="2026-02-09T00:00:00"/>
    <s v="Overdue"/>
    <s v="HK-Everpro-01/2026"/>
    <s v="Yes"/>
    <s v="No"/>
    <x v="5"/>
    <m/>
  </r>
  <r>
    <x v="1"/>
    <x v="14"/>
    <x v="1"/>
    <x v="1"/>
    <x v="2"/>
    <x v="0"/>
    <x v="2"/>
    <x v="0"/>
    <s v="USD"/>
    <n v="1371.03"/>
    <n v="1371.03"/>
    <d v="2026-01-01T00:00:00"/>
    <x v="1"/>
    <n v="36"/>
    <x v="2"/>
    <s v="Monthly Billing"/>
    <d v="2026-02-02T00:00:00"/>
    <d v="2026-02-17T00:00:00"/>
    <s v="Overdue"/>
    <s v="US-GLOBAL ROOTS INC-01/2026"/>
    <s v="Yes"/>
    <s v="No"/>
    <x v="5"/>
    <m/>
  </r>
  <r>
    <x v="1"/>
    <x v="20"/>
    <x v="2"/>
    <x v="9"/>
    <x v="2"/>
    <x v="0"/>
    <x v="2"/>
    <x v="0"/>
    <s v="EUR"/>
    <n v="1325.4861581426064"/>
    <n v="1144.33"/>
    <d v="2026-01-01T00:00:00"/>
    <x v="1"/>
    <n v="46"/>
    <x v="2"/>
    <s v="Monthly Billing"/>
    <d v="2026-02-03T00:00:00"/>
    <d v="2026-02-07T00:00:00"/>
    <s v="Overdue"/>
    <s v="SG-Lemonway-01/2026"/>
    <s v="Yes"/>
    <s v="No"/>
    <x v="5"/>
    <m/>
  </r>
  <r>
    <x v="1"/>
    <x v="21"/>
    <x v="0"/>
    <x v="2"/>
    <x v="10"/>
    <x v="0"/>
    <x v="2"/>
    <x v="0"/>
    <s v="IDR"/>
    <n v="356.96162892151295"/>
    <n v="6029149"/>
    <d v="2026-01-01T00:00:00"/>
    <x v="1"/>
    <n v="21"/>
    <x v="3"/>
    <s v="Monthly Billing"/>
    <d v="2026-02-02T00:00:00"/>
    <d v="2026-03-04T00:00:00"/>
    <s v="Invoice Sent"/>
    <s v="ID-PT Midtrans-01/2026"/>
    <s v="Yes"/>
    <s v="No"/>
    <x v="5"/>
    <m/>
  </r>
  <r>
    <x v="1"/>
    <x v="15"/>
    <x v="1"/>
    <x v="8"/>
    <x v="2"/>
    <x v="0"/>
    <x v="2"/>
    <x v="0"/>
    <s v="USD"/>
    <n v="5.5"/>
    <n v="5.5"/>
    <d v="2026-01-01T00:00:00"/>
    <x v="1"/>
    <n v="46"/>
    <x v="2"/>
    <s v="Monthly Billing"/>
    <d v="2026-02-02T00:00:00"/>
    <d v="2026-02-07T00:00:00"/>
    <s v="Overdue"/>
    <s v="US-TClub Inc.-01/2026"/>
    <s v="Yes"/>
    <s v="No"/>
    <x v="5"/>
    <m/>
  </r>
  <r>
    <x v="0"/>
    <x v="6"/>
    <x v="2"/>
    <x v="5"/>
    <x v="3"/>
    <x v="0"/>
    <x v="2"/>
    <x v="0"/>
    <s v="GBP"/>
    <n v="117.30727742302251"/>
    <n v="87.74"/>
    <d v="2026-01-01T00:00:00"/>
    <x v="1"/>
    <n v="23"/>
    <x v="3"/>
    <s v="Monthly Billing"/>
    <d v="2026-02-02T00:00:00"/>
    <d v="2026-03-02T00:00:00"/>
    <s v="Invoice Sent"/>
    <s v="INV-020226153711"/>
    <s v="Yes"/>
    <s v="No"/>
    <x v="5"/>
    <m/>
  </r>
  <r>
    <x v="0"/>
    <x v="7"/>
    <x v="0"/>
    <x v="2"/>
    <x v="0"/>
    <x v="0"/>
    <x v="2"/>
    <x v="0"/>
    <s v="AUD"/>
    <n v="3566.4962748389489"/>
    <n v="5327.359000000004"/>
    <d v="2026-01-01T00:00:00"/>
    <x v="1"/>
    <n v="39"/>
    <x v="2"/>
    <s v="Monthly Billing"/>
    <d v="2026-02-07T00:00:00"/>
    <d v="2026-02-14T00:00:00"/>
    <s v="Outstanding"/>
    <s v="INV-070226133026"/>
    <s v="Yes"/>
    <s v="No"/>
    <x v="6"/>
    <m/>
  </r>
  <r>
    <x v="0"/>
    <x v="22"/>
    <x v="0"/>
    <x v="0"/>
    <x v="0"/>
    <x v="0"/>
    <x v="2"/>
    <x v="0"/>
    <s v="AUD"/>
    <n v="2105.476800862958"/>
    <n v="3145"/>
    <d v="2026-01-01T00:00:00"/>
    <x v="1"/>
    <n v="42"/>
    <x v="2"/>
    <s v="Monthly Billing"/>
    <d v="2026-02-04T00:00:00"/>
    <d v="2026-02-11T00:00:00"/>
    <s v="Outstanding"/>
    <s v="INV-040226191953"/>
    <s v="Yes"/>
    <s v="No"/>
    <x v="5"/>
    <m/>
  </r>
  <r>
    <x v="0"/>
    <x v="23"/>
    <x v="0"/>
    <x v="0"/>
    <x v="11"/>
    <x v="0"/>
    <x v="2"/>
    <x v="0"/>
    <s v="AUD"/>
    <n v="6666.8031652278687"/>
    <n v="9958.36"/>
    <d v="2026-01-01T00:00:00"/>
    <x v="1"/>
    <n v="40"/>
    <x v="2"/>
    <s v="Monthly Billing"/>
    <d v="2026-02-06T00:00:00"/>
    <d v="2026-02-13T00:00:00"/>
    <s v="Outstanding"/>
    <s v="INV-060226135736"/>
    <s v="Yes"/>
    <s v="No"/>
    <x v="5"/>
    <m/>
  </r>
  <r>
    <x v="0"/>
    <x v="16"/>
    <x v="0"/>
    <x v="0"/>
    <x v="7"/>
    <x v="0"/>
    <x v="2"/>
    <x v="0"/>
    <s v="USD"/>
    <n v="14.19"/>
    <n v="14.19"/>
    <d v="2026-01-01T00:00:00"/>
    <x v="1"/>
    <n v="40"/>
    <x v="2"/>
    <s v="Monthly Billing"/>
    <d v="2026-02-06T00:00:00"/>
    <d v="2026-02-13T00:00:00"/>
    <s v="Outstanding"/>
    <s v="INV-060226120820"/>
    <s v="Yes"/>
    <s v="No"/>
    <x v="8"/>
    <m/>
  </r>
  <r>
    <x v="0"/>
    <x v="11"/>
    <x v="1"/>
    <x v="1"/>
    <x v="5"/>
    <x v="0"/>
    <x v="2"/>
    <x v="0"/>
    <s v="USD"/>
    <n v="130"/>
    <n v="130"/>
    <d v="2026-01-01T00:00:00"/>
    <x v="1"/>
    <n v="44"/>
    <x v="2"/>
    <s v="Monthly Billing"/>
    <d v="2026-02-02T00:00:00"/>
    <d v="2026-02-09T00:00:00"/>
    <s v="Outstanding"/>
    <s v="INV-020226191052"/>
    <s v="Yes"/>
    <s v="No"/>
    <x v="5"/>
    <m/>
  </r>
  <r>
    <x v="0"/>
    <x v="12"/>
    <x v="3"/>
    <x v="7"/>
    <x v="6"/>
    <x v="0"/>
    <x v="2"/>
    <x v="0"/>
    <s v="USD"/>
    <n v="2500"/>
    <n v="2500"/>
    <d v="2026-01-01T00:00:00"/>
    <x v="1"/>
    <n v="44"/>
    <x v="2"/>
    <s v="Monthly Billing"/>
    <d v="2026-02-02T00:00:00"/>
    <d v="2026-02-09T00:00:00"/>
    <s v="Force Settlement"/>
    <s v="INV-020226182425"/>
    <s v="Yes"/>
    <s v="No"/>
    <x v="5"/>
    <m/>
  </r>
  <r>
    <x v="0"/>
    <x v="9"/>
    <x v="0"/>
    <x v="6"/>
    <x v="0"/>
    <x v="0"/>
    <x v="2"/>
    <x v="0"/>
    <s v="USD"/>
    <n v="2965"/>
    <n v="2965"/>
    <d v="2026-01-01T00:00:00"/>
    <x v="1"/>
    <n v="41"/>
    <x v="2"/>
    <s v="Monthly Billing"/>
    <d v="2026-02-05T00:00:00"/>
    <d v="2026-02-12T00:00:00"/>
    <s v="Outstanding"/>
    <s v="INV-050226133127"/>
    <s v="Yes"/>
    <s v="No"/>
    <x v="5"/>
    <m/>
  </r>
  <r>
    <x v="0"/>
    <x v="24"/>
    <x v="1"/>
    <x v="0"/>
    <x v="12"/>
    <x v="0"/>
    <x v="2"/>
    <x v="0"/>
    <s v="CAD"/>
    <n v="260.47031625256835"/>
    <n v="362.5"/>
    <d v="2026-01-01T00:00:00"/>
    <x v="1"/>
    <n v="42"/>
    <x v="2"/>
    <s v="Monthly Billing"/>
    <d v="2026-02-04T00:00:00"/>
    <d v="2026-02-11T00:00:00"/>
    <s v="Outstanding"/>
    <s v="INV-030226181855"/>
    <s v="Yes"/>
    <s v="No"/>
    <x v="5"/>
    <m/>
  </r>
  <r>
    <x v="0"/>
    <x v="25"/>
    <x v="1"/>
    <x v="0"/>
    <x v="12"/>
    <x v="0"/>
    <x v="2"/>
    <x v="0"/>
    <s v="USD"/>
    <n v="36.32"/>
    <n v="36.32"/>
    <d v="2026-01-01T00:00:00"/>
    <x v="1"/>
    <n v="42"/>
    <x v="2"/>
    <s v="Monthly Billing"/>
    <d v="2026-02-04T00:00:00"/>
    <d v="2026-02-11T00:00:00"/>
    <s v="Outstanding"/>
    <s v="INV-040226185603"/>
    <s v="Yes"/>
    <s v="No"/>
    <x v="5"/>
    <m/>
  </r>
  <r>
    <x v="0"/>
    <x v="26"/>
    <x v="1"/>
    <x v="8"/>
    <x v="13"/>
    <x v="0"/>
    <x v="2"/>
    <x v="0"/>
    <s v="USD"/>
    <n v="60"/>
    <n v="60"/>
    <d v="2026-01-01T00:00:00"/>
    <x v="1"/>
    <n v="41"/>
    <x v="2"/>
    <s v="Monthly Billing"/>
    <d v="2026-02-05T00:00:00"/>
    <d v="2026-02-12T00:00:00"/>
    <s v="Outstanding"/>
    <s v="INV-050226183011"/>
    <s v="Yes"/>
    <s v="No"/>
    <x v="5"/>
    <m/>
  </r>
  <r>
    <x v="0"/>
    <x v="27"/>
    <x v="1"/>
    <x v="8"/>
    <x v="12"/>
    <x v="0"/>
    <x v="2"/>
    <x v="0"/>
    <s v="USD"/>
    <n v="1000"/>
    <n v="1000"/>
    <d v="2026-01-01T00:00:00"/>
    <x v="1"/>
    <n v="41"/>
    <x v="2"/>
    <s v="Monthly Billing"/>
    <d v="2026-02-05T00:00:00"/>
    <d v="2026-02-12T00:00:00"/>
    <s v="Outstanding"/>
    <s v="INV-050226185948"/>
    <s v="Yes"/>
    <s v="No"/>
    <x v="5"/>
    <m/>
  </r>
  <r>
    <x v="0"/>
    <x v="18"/>
    <x v="0"/>
    <x v="2"/>
    <x v="0"/>
    <x v="0"/>
    <x v="2"/>
    <x v="0"/>
    <s v="AUD"/>
    <n v="3439.8135182251167"/>
    <n v="5138.130000000001"/>
    <d v="2026-01-01T00:00:00"/>
    <x v="1"/>
    <n v="40"/>
    <x v="2"/>
    <s v="Monthly Billing"/>
    <d v="2026-02-06T00:00:00"/>
    <d v="2026-02-13T00:00:00"/>
    <s v="Outstanding"/>
    <s v="INV-060226194701"/>
    <s v="Yes"/>
    <s v="No"/>
    <x v="5"/>
    <m/>
  </r>
  <r>
    <x v="0"/>
    <x v="28"/>
    <x v="0"/>
    <x v="6"/>
    <x v="3"/>
    <x v="0"/>
    <x v="2"/>
    <x v="0"/>
    <s v="SGD"/>
    <n v="30312.630999827154"/>
    <n v="39025.269999999997"/>
    <d v="2026-01-01T00:00:00"/>
    <x v="1"/>
    <n v="36"/>
    <x v="2"/>
    <s v="Monthly Billing"/>
    <d v="2026-02-07T00:00:00"/>
    <d v="2026-02-17T00:00:00"/>
    <s v="Outstanding"/>
    <s v="INV-100226170854"/>
    <s v="Yes"/>
    <s v="No"/>
    <x v="5"/>
    <m/>
  </r>
  <r>
    <x v="0"/>
    <x v="29"/>
    <x v="4"/>
    <x v="10"/>
    <x v="2"/>
    <x v="0"/>
    <x v="2"/>
    <x v="0"/>
    <s v="AUD"/>
    <n v="19087.871079874294"/>
    <n v="28512"/>
    <d v="2026-02-01T00:00:00"/>
    <x v="2"/>
    <n v="44"/>
    <x v="2"/>
    <s v="APIv2 Integration Fee Invoice"/>
    <d v="2026-02-02T00:00:00"/>
    <d v="2026-02-09T00:00:00"/>
    <s v="Outstanding"/>
    <s v="INV-020226191330"/>
    <s v="Yes"/>
    <s v="No"/>
    <x v="5"/>
    <m/>
  </r>
  <r>
    <x v="0"/>
    <x v="2"/>
    <x v="0"/>
    <x v="2"/>
    <x v="2"/>
    <x v="0"/>
    <x v="2"/>
    <x v="0"/>
    <s v="AUD"/>
    <n v="4749.1389118097732"/>
    <n v="7093.9"/>
    <d v="2026-01-01T00:00:00"/>
    <x v="1"/>
    <n v="40"/>
    <x v="2"/>
    <s v="Monthly Billing"/>
    <d v="2026-02-06T00:00:00"/>
    <d v="2026-02-13T00:00:00"/>
    <s v="Outstanding"/>
    <s v="INV-060226143545"/>
    <s v="Yes"/>
    <s v="Yes"/>
    <x v="2"/>
    <m/>
  </r>
  <r>
    <x v="0"/>
    <x v="10"/>
    <x v="1"/>
    <x v="0"/>
    <x v="4"/>
    <x v="0"/>
    <x v="2"/>
    <x v="0"/>
    <s v="USD"/>
    <n v="500"/>
    <n v="500"/>
    <d v="2026-01-01T00:00:00"/>
    <x v="1"/>
    <n v="41"/>
    <x v="2"/>
    <s v="Monthly Billing"/>
    <d v="2026-02-05T00:00:00"/>
    <d v="2026-02-12T00:00:00"/>
    <s v="Outstanding"/>
    <s v="INV-050226121256"/>
    <s v="Yes"/>
    <s v="No"/>
    <x v="5"/>
    <m/>
  </r>
  <r>
    <x v="0"/>
    <x v="7"/>
    <x v="0"/>
    <x v="2"/>
    <x v="0"/>
    <x v="0"/>
    <x v="2"/>
    <x v="0"/>
    <s v="AUD"/>
    <n v="37.16886231602907"/>
    <n v="55.52"/>
    <d v="2026-01-01T00:00:00"/>
    <x v="1"/>
    <n v="5"/>
    <x v="3"/>
    <s v="Card Printing and Delivery"/>
    <d v="2026-02-20T00:00:00"/>
    <d v="2026-03-20T00:00:00"/>
    <s v="Invoice Sent"/>
    <s v="INV-200226170000"/>
    <s v="Yes"/>
    <s v="No"/>
    <x v="6"/>
    <m/>
  </r>
  <r>
    <x v="1"/>
    <x v="30"/>
    <x v="1"/>
    <x v="1"/>
    <x v="2"/>
    <x v="0"/>
    <x v="2"/>
    <x v="0"/>
    <s v="USD"/>
    <n v="8074.55"/>
    <n v="8074.55"/>
    <s v="Feb/2026"/>
    <x v="2"/>
    <n v="16"/>
    <x v="3"/>
    <s v="Monthly Billing"/>
    <d v="2026-03-02T00:00:00"/>
    <d v="2026-03-09T00:00:00"/>
    <s v="Overdue"/>
    <s v="SG-Banco Topazio-02/2026"/>
    <m/>
    <m/>
    <x v="9"/>
    <m/>
  </r>
  <r>
    <x v="1"/>
    <x v="31"/>
    <x v="1"/>
    <x v="11"/>
    <x v="2"/>
    <x v="0"/>
    <x v="2"/>
    <x v="0"/>
    <s v="USD"/>
    <n v="-322.54000000000002"/>
    <n v="-322.54000000000002"/>
    <s v="Feb-2026"/>
    <x v="2"/>
    <n v="6"/>
    <x v="3"/>
    <s v="Credit Note-Rebate"/>
    <d v="2026-03-12T00:00:00"/>
    <d v="2026-03-19T00:00:00"/>
    <s v="Invoice Sent"/>
    <s v="US-CN-Borderless-02-2026"/>
    <m/>
    <m/>
    <x v="9"/>
    <m/>
  </r>
  <r>
    <x v="1"/>
    <x v="32"/>
    <x v="0"/>
    <x v="2"/>
    <x v="0"/>
    <x v="0"/>
    <x v="2"/>
    <x v="0"/>
    <s v="AUD"/>
    <n v="1431.4899107933925"/>
    <n v="2138.25"/>
    <s v="Feb/2026"/>
    <x v="2"/>
    <n v="15"/>
    <x v="3"/>
    <s v="Monthly Billing"/>
    <d v="2026-03-03T00:00:00"/>
    <d v="2026-03-10T00:00:00"/>
    <s v="Overdue"/>
    <s v="AU-CorporateAlliance-02/2026"/>
    <m/>
    <m/>
    <x v="9"/>
    <m/>
  </r>
  <r>
    <x v="1"/>
    <x v="33"/>
    <x v="2"/>
    <x v="12"/>
    <x v="2"/>
    <x v="0"/>
    <x v="2"/>
    <x v="0"/>
    <s v="USD"/>
    <n v="689"/>
    <n v="689"/>
    <s v="Feb/2026"/>
    <x v="2"/>
    <n v="18"/>
    <x v="3"/>
    <s v="Monthly Billing"/>
    <d v="2026-03-02T00:00:00"/>
    <d v="2026-03-07T00:00:00"/>
    <s v="Overdue"/>
    <s v="SG-eburymass-02/2026"/>
    <m/>
    <m/>
    <x v="9"/>
    <m/>
  </r>
  <r>
    <x v="1"/>
    <x v="34"/>
    <x v="2"/>
    <x v="12"/>
    <x v="2"/>
    <x v="0"/>
    <x v="2"/>
    <x v="0"/>
    <s v="USD"/>
    <n v="-7567.54"/>
    <n v="-7567.54"/>
    <s v="Feb-2026"/>
    <x v="2"/>
    <n v="15"/>
    <x v="3"/>
    <s v="Credit Note-Rebate"/>
    <d v="2026-03-03T00:00:00"/>
    <d v="2026-03-10T00:00:00"/>
    <s v="Overdue"/>
    <s v="SG-CN-EburyPartUKLtd-02-2026"/>
    <s v="Yes"/>
    <m/>
    <x v="9"/>
    <m/>
  </r>
  <r>
    <x v="1"/>
    <x v="34"/>
    <x v="2"/>
    <x v="12"/>
    <x v="2"/>
    <x v="0"/>
    <x v="2"/>
    <x v="0"/>
    <s v="USD"/>
    <n v="2317.7399999999998"/>
    <n v="2317.7399999999998"/>
    <s v="Feb/2026"/>
    <x v="2"/>
    <n v="18"/>
    <x v="3"/>
    <s v="Monthly Billing"/>
    <d v="2026-03-03T00:00:00"/>
    <d v="2026-03-07T00:00:00"/>
    <s v="Overdue"/>
    <s v="SG-EburyPartUKLtd-02/2026"/>
    <s v="Yes"/>
    <m/>
    <x v="9"/>
    <m/>
  </r>
  <r>
    <x v="1"/>
    <x v="19"/>
    <x v="0"/>
    <x v="0"/>
    <x v="9"/>
    <x v="0"/>
    <x v="2"/>
    <x v="0"/>
    <s v="USD"/>
    <n v="5000"/>
    <n v="5000"/>
    <s v="Feb/2026"/>
    <x v="2"/>
    <n v="16"/>
    <x v="3"/>
    <s v="Monthly Billing"/>
    <d v="2026-03-02T00:00:00"/>
    <d v="2026-03-09T00:00:00"/>
    <s v="Overdue"/>
    <s v="HK-Everpro-02/2026"/>
    <s v="Yes"/>
    <s v="No"/>
    <x v="5"/>
    <m/>
  </r>
  <r>
    <x v="1"/>
    <x v="14"/>
    <x v="1"/>
    <x v="1"/>
    <x v="2"/>
    <x v="0"/>
    <x v="2"/>
    <x v="0"/>
    <s v="USD"/>
    <n v="1408.4"/>
    <n v="1408.4"/>
    <s v="Feb/2026"/>
    <x v="2"/>
    <n v="7"/>
    <x v="3"/>
    <s v="Monthly Billing"/>
    <d v="2026-03-03T00:00:00"/>
    <d v="2026-03-18T00:00:00"/>
    <s v="Invoice Sent"/>
    <s v="US-GLOBAL ROOTS INC-02/2026"/>
    <s v="Yes"/>
    <s v="No"/>
    <x v="5"/>
    <m/>
  </r>
  <r>
    <x v="1"/>
    <x v="35"/>
    <x v="0"/>
    <x v="13"/>
    <x v="2"/>
    <x v="0"/>
    <x v="2"/>
    <x v="0"/>
    <s v="USD"/>
    <n v="22012"/>
    <n v="22012"/>
    <s v="Feb/2026"/>
    <x v="2"/>
    <n v="15"/>
    <x v="3"/>
    <s v="Monthly Billing"/>
    <d v="2026-03-03T00:00:00"/>
    <d v="2026-03-10T00:00:00"/>
    <s v="Overdue"/>
    <s v="SG-KasikornBank-02/2026"/>
    <m/>
    <m/>
    <x v="9"/>
    <m/>
  </r>
  <r>
    <x v="1"/>
    <x v="20"/>
    <x v="2"/>
    <x v="9"/>
    <x v="2"/>
    <x v="0"/>
    <x v="2"/>
    <x v="0"/>
    <s v="EUR"/>
    <n v="2001.2659894705971"/>
    <n v="1727.75"/>
    <s v="Feb/2026"/>
    <x v="2"/>
    <n v="18"/>
    <x v="3"/>
    <s v="Monthly Billing"/>
    <d v="2026-03-02T00:00:00"/>
    <d v="2026-03-07T00:00:00"/>
    <s v="Overdue"/>
    <s v="SG-Lemonway-02/2026"/>
    <s v="Yes"/>
    <s v="No"/>
    <x v="5"/>
    <m/>
  </r>
  <r>
    <x v="1"/>
    <x v="36"/>
    <x v="0"/>
    <x v="3"/>
    <x v="13"/>
    <x v="0"/>
    <x v="2"/>
    <x v="0"/>
    <s v="USD"/>
    <n v="22670"/>
    <n v="22670"/>
    <s v="Feb/2026"/>
    <x v="2"/>
    <n v="15"/>
    <x v="3"/>
    <s v="Monthly Billing"/>
    <d v="2026-03-03T00:00:00"/>
    <d v="2026-03-10T00:00:00"/>
    <s v="Overdue"/>
    <s v="SG-Nuvei-02/2026"/>
    <m/>
    <m/>
    <x v="9"/>
    <m/>
  </r>
  <r>
    <x v="1"/>
    <x v="37"/>
    <x v="4"/>
    <x v="10"/>
    <x v="10"/>
    <x v="0"/>
    <x v="2"/>
    <x v="0"/>
    <s v="USD"/>
    <n v="2344.3200000000002"/>
    <n v="2344.3200000000002"/>
    <s v="Feb-2026"/>
    <x v="2"/>
    <n v="1"/>
    <x v="3"/>
    <s v="Monthly Billing"/>
    <d v="2026-03-03T00:00:00"/>
    <d v="2026-03-24T00:00:00"/>
    <s v="Invoice Sent"/>
    <s v="ID-Harsya Remitindo-02/2026"/>
    <m/>
    <m/>
    <x v="9"/>
    <m/>
  </r>
  <r>
    <x v="1"/>
    <x v="21"/>
    <x v="0"/>
    <x v="2"/>
    <x v="10"/>
    <x v="0"/>
    <x v="2"/>
    <x v="0"/>
    <s v="IDR"/>
    <n v="329.55542114969433"/>
    <n v="5566253"/>
    <s v="Feb/2026"/>
    <x v="2"/>
    <n v="-8"/>
    <x v="3"/>
    <s v="Monthly Billing"/>
    <d v="2026-03-03T00:00:00"/>
    <d v="2026-04-02T00:00:00"/>
    <s v="Invoice Sent"/>
    <s v="ID-PT Midtrans-02/2026"/>
    <s v="No"/>
    <s v="No"/>
    <x v="5"/>
    <m/>
  </r>
  <r>
    <x v="1"/>
    <x v="38"/>
    <x v="0"/>
    <x v="0"/>
    <x v="10"/>
    <x v="0"/>
    <x v="2"/>
    <x v="1"/>
    <s v="USD"/>
    <n v="109.34"/>
    <n v="109.34"/>
    <s v="Feb-2026"/>
    <x v="2"/>
    <n v="1"/>
    <x v="3"/>
    <s v="Monthly Billing"/>
    <d v="2026-03-03T00:00:00"/>
    <d v="2026-03-24T00:00:00"/>
    <s v="Invoice Sent"/>
    <s v="ID-PT Transwap-02/2026"/>
    <m/>
    <m/>
    <x v="9"/>
    <m/>
  </r>
  <r>
    <x v="1"/>
    <x v="39"/>
    <x v="0"/>
    <x v="3"/>
    <x v="2"/>
    <x v="0"/>
    <x v="2"/>
    <x v="0"/>
    <s v="USD"/>
    <n v="54089.5"/>
    <n v="54089.5"/>
    <s v="Feb/2026"/>
    <x v="2"/>
    <n v="9"/>
    <x v="3"/>
    <s v="Monthly Billing"/>
    <d v="2026-03-03T00:00:00"/>
    <d v="2026-03-16T00:00:00"/>
    <s v="Invoice Sent"/>
    <s v="SG-Currency Cloud-02/2026"/>
    <m/>
    <m/>
    <x v="9"/>
    <m/>
  </r>
  <r>
    <x v="0"/>
    <x v="40"/>
    <x v="3"/>
    <x v="7"/>
    <x v="6"/>
    <x v="0"/>
    <x v="2"/>
    <x v="0"/>
    <s v="USD"/>
    <n v="10"/>
    <n v="10"/>
    <s v="2026-02-01"/>
    <x v="2"/>
    <n v="15"/>
    <x v="3"/>
    <s v="Monthly Billing"/>
    <d v="2026-03-03T00:00:00"/>
    <d v="2026-03-10T00:00:00"/>
    <s v="Outstanding"/>
    <s v="INV-030326143016"/>
    <m/>
    <m/>
    <x v="9"/>
    <m/>
  </r>
  <r>
    <x v="0"/>
    <x v="41"/>
    <x v="3"/>
    <x v="7"/>
    <x v="6"/>
    <x v="0"/>
    <x v="1"/>
    <x v="0"/>
    <s v="USD"/>
    <n v="-48"/>
    <n v="-48"/>
    <s v="01-08-2025"/>
    <x v="7"/>
    <n v="196"/>
    <x v="0"/>
    <s v="Credit Note-Waive off"/>
    <d v="2025-09-03T00:00:00"/>
    <d v="2025-09-10T00:00:00"/>
    <s v="Outstanding"/>
    <s v="CN-INV-030925182457"/>
    <s v="No"/>
    <s v="No"/>
    <x v="10"/>
    <m/>
  </r>
  <r>
    <x v="0"/>
    <x v="42"/>
    <x v="0"/>
    <x v="6"/>
    <x v="3"/>
    <x v="0"/>
    <x v="2"/>
    <x v="0"/>
    <s v="SGD"/>
    <n v="-85143.008119189122"/>
    <n v="-109615.32439999992"/>
    <s v="01-01-2026"/>
    <x v="1"/>
    <n v="39"/>
    <x v="2"/>
    <s v="Monthly Billing"/>
    <d v="2026-02-07T00:00:00"/>
    <d v="2026-02-14T00:00:00"/>
    <s v="Outstanding"/>
    <s v="INV-070226172013"/>
    <m/>
    <m/>
    <x v="9"/>
    <m/>
  </r>
  <r>
    <x v="0"/>
    <x v="42"/>
    <x v="0"/>
    <x v="6"/>
    <x v="3"/>
    <x v="0"/>
    <x v="2"/>
    <x v="0"/>
    <s v="SGD"/>
    <n v="-18657.243799144137"/>
    <n v="-24019.821200000006"/>
    <s v="01-02-2026"/>
    <x v="2"/>
    <n v="-9"/>
    <x v="3"/>
    <s v="Monthly Billing"/>
    <d v="2026-03-04T00:00:00"/>
    <d v="2026-04-03T00:00:00"/>
    <s v="Invoice Sent"/>
    <s v="INV-040326135331"/>
    <m/>
    <m/>
    <x v="9"/>
    <m/>
  </r>
  <r>
    <x v="0"/>
    <x v="6"/>
    <x v="2"/>
    <x v="5"/>
    <x v="3"/>
    <x v="0"/>
    <x v="2"/>
    <x v="0"/>
    <s v="GBP"/>
    <n v="88.775965590251843"/>
    <n v="66.400000000000006"/>
    <s v="01-02-2026"/>
    <x v="2"/>
    <n v="-8"/>
    <x v="3"/>
    <s v="Monthly Billing"/>
    <d v="2026-03-03T00:00:00"/>
    <d v="2026-04-02T00:00:00"/>
    <s v="Invoice Sent"/>
    <s v="INV-030326093301"/>
    <s v="No"/>
    <s v="No"/>
    <x v="5"/>
    <m/>
  </r>
  <r>
    <x v="0"/>
    <x v="43"/>
    <x v="3"/>
    <x v="7"/>
    <x v="14"/>
    <x v="0"/>
    <x v="2"/>
    <x v="0"/>
    <s v="USD"/>
    <n v="3000"/>
    <n v="3000"/>
    <s v="2026-02-01"/>
    <x v="2"/>
    <n v="15"/>
    <x v="3"/>
    <s v="Monthly Billing"/>
    <d v="2026-03-03T00:00:00"/>
    <d v="2026-03-10T00:00:00"/>
    <s v="Outstanding"/>
    <s v="INV-030326005231"/>
    <m/>
    <m/>
    <x v="9"/>
    <m/>
  </r>
  <r>
    <x v="0"/>
    <x v="7"/>
    <x v="0"/>
    <x v="2"/>
    <x v="0"/>
    <x v="0"/>
    <x v="2"/>
    <x v="0"/>
    <s v="AUD"/>
    <n v="2576.0277692104773"/>
    <n v="3847.8729999999996"/>
    <s v="01-02-2026"/>
    <x v="2"/>
    <n v="-9"/>
    <x v="3"/>
    <s v="Monthly Billing"/>
    <d v="2026-03-04T00:00:00"/>
    <d v="2026-04-03T00:00:00"/>
    <s v="Invoice Sent"/>
    <s v="INV-040326125850"/>
    <s v="Yes"/>
    <s v="No"/>
    <x v="6"/>
    <m/>
  </r>
  <r>
    <x v="0"/>
    <x v="22"/>
    <x v="0"/>
    <x v="0"/>
    <x v="0"/>
    <x v="0"/>
    <x v="2"/>
    <x v="0"/>
    <s v="AUD"/>
    <n v="2105.476800862958"/>
    <n v="3145"/>
    <s v="01-02-2026"/>
    <x v="2"/>
    <n v="15"/>
    <x v="3"/>
    <s v="Monthly Billing"/>
    <d v="2026-03-03T00:00:00"/>
    <d v="2026-03-10T00:00:00"/>
    <s v="Outstanding"/>
    <s v="INV-030326191331"/>
    <s v="Yes"/>
    <s v="No"/>
    <x v="5"/>
    <m/>
  </r>
  <r>
    <x v="0"/>
    <x v="44"/>
    <x v="4"/>
    <x v="10"/>
    <x v="3"/>
    <x v="0"/>
    <x v="2"/>
    <x v="0"/>
    <s v="USD"/>
    <n v="2971"/>
    <n v="2971"/>
    <s v="01-02-2026"/>
    <x v="2"/>
    <n v="15"/>
    <x v="3"/>
    <s v="Monthly Billing"/>
    <d v="2026-03-03T00:00:00"/>
    <d v="2026-03-10T00:00:00"/>
    <s v="Outstanding"/>
    <s v="INV-030326185225"/>
    <m/>
    <m/>
    <x v="9"/>
    <m/>
  </r>
  <r>
    <x v="0"/>
    <x v="34"/>
    <x v="2"/>
    <x v="12"/>
    <x v="2"/>
    <x v="0"/>
    <x v="2"/>
    <x v="0"/>
    <s v="USD"/>
    <n v="187.42"/>
    <n v="187.42"/>
    <s v="01-02-2026"/>
    <x v="2"/>
    <n v="12"/>
    <x v="3"/>
    <s v="Monthly Billing"/>
    <d v="2026-03-06T00:00:00"/>
    <d v="2026-03-13T00:00:00"/>
    <s v="Invoice Sent"/>
    <s v="INV-060326152527"/>
    <s v="Yes"/>
    <m/>
    <x v="9"/>
    <m/>
  </r>
  <r>
    <x v="0"/>
    <x v="45"/>
    <x v="3"/>
    <x v="7"/>
    <x v="13"/>
    <x v="0"/>
    <x v="2"/>
    <x v="0"/>
    <s v="USD"/>
    <n v="3284.5"/>
    <n v="3284.5"/>
    <s v="01-02-2026"/>
    <x v="2"/>
    <n v="14"/>
    <x v="3"/>
    <s v="Monthly Billing"/>
    <d v="2026-03-04T00:00:00"/>
    <d v="2026-03-11T00:00:00"/>
    <s v="Outstanding"/>
    <s v="INV-040326135554"/>
    <m/>
    <m/>
    <x v="9"/>
    <m/>
  </r>
  <r>
    <x v="0"/>
    <x v="46"/>
    <x v="3"/>
    <x v="7"/>
    <x v="13"/>
    <x v="0"/>
    <x v="2"/>
    <x v="0"/>
    <s v="USD"/>
    <n v="35903.5"/>
    <n v="35903.5"/>
    <s v="01-02-2026"/>
    <x v="2"/>
    <n v="14"/>
    <x v="3"/>
    <s v="Monthly Billing"/>
    <d v="2026-03-04T00:00:00"/>
    <d v="2026-03-11T00:00:00"/>
    <s v="Outstanding"/>
    <s v="INV-040326162658"/>
    <m/>
    <m/>
    <x v="9"/>
    <m/>
  </r>
  <r>
    <x v="0"/>
    <x v="23"/>
    <x v="0"/>
    <x v="0"/>
    <x v="11"/>
    <x v="0"/>
    <x v="2"/>
    <x v="0"/>
    <s v="AUD"/>
    <n v="3319.6975730388417"/>
    <n v="4958.71"/>
    <s v="01-02-2026"/>
    <x v="2"/>
    <n v="15"/>
    <x v="3"/>
    <s v="Monthly Billing"/>
    <d v="2026-03-03T00:00:00"/>
    <d v="2026-03-10T00:00:00"/>
    <s v="Outstanding"/>
    <s v="INV-030326151733"/>
    <m/>
    <m/>
    <x v="9"/>
    <m/>
  </r>
  <r>
    <x v="0"/>
    <x v="47"/>
    <x v="1"/>
    <x v="0"/>
    <x v="12"/>
    <x v="0"/>
    <x v="2"/>
    <x v="0"/>
    <s v="USD"/>
    <n v="610"/>
    <n v="610"/>
    <s v="01-02-2026"/>
    <x v="2"/>
    <n v="12"/>
    <x v="3"/>
    <s v="Monthly Billing"/>
    <d v="2026-03-06T00:00:00"/>
    <d v="2026-03-13T00:00:00"/>
    <s v="Invoice Sent"/>
    <s v="INV-060326111243"/>
    <m/>
    <m/>
    <x v="9"/>
    <m/>
  </r>
  <r>
    <x v="0"/>
    <x v="16"/>
    <x v="0"/>
    <x v="0"/>
    <x v="7"/>
    <x v="0"/>
    <x v="2"/>
    <x v="0"/>
    <s v="USD"/>
    <n v="6.88"/>
    <n v="6.88"/>
    <s v="01-02-2026"/>
    <x v="2"/>
    <n v="14"/>
    <x v="3"/>
    <s v="Monthly Billing"/>
    <d v="2026-03-04T00:00:00"/>
    <d v="2026-03-11T00:00:00"/>
    <s v="Outstanding"/>
    <s v="INV-040326132912"/>
    <s v="Yes"/>
    <s v="No"/>
    <x v="8"/>
    <m/>
  </r>
  <r>
    <x v="0"/>
    <x v="48"/>
    <x v="2"/>
    <x v="5"/>
    <x v="15"/>
    <x v="0"/>
    <x v="2"/>
    <x v="0"/>
    <s v="EUR"/>
    <n v="-91021.735525476513"/>
    <n v="-78581.66"/>
    <s v="01-02-2026"/>
    <x v="2"/>
    <n v="6"/>
    <x v="3"/>
    <s v="Monthly Billing"/>
    <d v="2026-03-05T00:00:00"/>
    <d v="2026-03-19T00:00:00"/>
    <s v="Invoice Sent"/>
    <s v="INV-050326163610"/>
    <m/>
    <m/>
    <x v="9"/>
    <m/>
  </r>
  <r>
    <x v="0"/>
    <x v="49"/>
    <x v="0"/>
    <x v="0"/>
    <x v="0"/>
    <x v="0"/>
    <x v="2"/>
    <x v="0"/>
    <s v="AUD"/>
    <n v="1896.9709981193114"/>
    <n v="2833.55"/>
    <s v="01-02-2026"/>
    <x v="2"/>
    <n v="15"/>
    <x v="3"/>
    <s v="Monthly Billing"/>
    <d v="2026-03-03T00:00:00"/>
    <d v="2026-03-10T00:00:00"/>
    <s v="Outstanding"/>
    <s v="INV-030326161558"/>
    <m/>
    <m/>
    <x v="9"/>
    <m/>
  </r>
  <r>
    <x v="0"/>
    <x v="50"/>
    <x v="0"/>
    <x v="13"/>
    <x v="2"/>
    <x v="0"/>
    <x v="2"/>
    <x v="0"/>
    <s v="USD"/>
    <n v="10000"/>
    <n v="10000"/>
    <s v="01-02-2026"/>
    <x v="2"/>
    <n v="13"/>
    <x v="3"/>
    <s v="Monthly Billing"/>
    <d v="2026-03-05T00:00:00"/>
    <d v="2026-03-12T00:00:00"/>
    <s v="Outstanding"/>
    <s v="INV-050326103533"/>
    <m/>
    <m/>
    <x v="9"/>
    <m/>
  </r>
  <r>
    <x v="0"/>
    <x v="11"/>
    <x v="1"/>
    <x v="1"/>
    <x v="5"/>
    <x v="0"/>
    <x v="2"/>
    <x v="0"/>
    <s v="USD"/>
    <n v="40"/>
    <n v="40"/>
    <s v="2026-02-01"/>
    <x v="2"/>
    <n v="16"/>
    <x v="3"/>
    <s v="Monthly Billing"/>
    <d v="2026-03-02T00:00:00"/>
    <d v="2026-03-09T00:00:00"/>
    <s v="Outstanding"/>
    <s v="INV-020326192002"/>
    <s v="Yes"/>
    <s v="No"/>
    <x v="5"/>
    <m/>
  </r>
  <r>
    <x v="0"/>
    <x v="51"/>
    <x v="0"/>
    <x v="6"/>
    <x v="3"/>
    <x v="0"/>
    <x v="2"/>
    <x v="0"/>
    <s v="SGD"/>
    <n v="20255.210464348151"/>
    <n v="26077.085070000001"/>
    <s v="01-02-2026"/>
    <x v="2"/>
    <n v="12"/>
    <x v="3"/>
    <s v="Monthly Billing"/>
    <d v="2026-03-06T00:00:00"/>
    <d v="2026-03-13T00:00:00"/>
    <s v="Invoice Sent"/>
    <s v="INV-060326112524"/>
    <m/>
    <m/>
    <x v="9"/>
    <m/>
  </r>
  <r>
    <x v="0"/>
    <x v="12"/>
    <x v="3"/>
    <x v="7"/>
    <x v="6"/>
    <x v="0"/>
    <x v="2"/>
    <x v="0"/>
    <s v="USD"/>
    <n v="2500"/>
    <n v="2500"/>
    <s v="2026-02-01"/>
    <x v="2"/>
    <n v="16"/>
    <x v="3"/>
    <s v="Monthly Billing"/>
    <d v="2026-03-02T00:00:00"/>
    <d v="2026-03-09T00:00:00"/>
    <s v="Force Settlement"/>
    <s v="INV-020326191014"/>
    <s v="Yes"/>
    <s v="No"/>
    <x v="5"/>
    <m/>
  </r>
  <r>
    <x v="0"/>
    <x v="8"/>
    <x v="2"/>
    <x v="5"/>
    <x v="2"/>
    <x v="0"/>
    <x v="2"/>
    <x v="0"/>
    <s v="USD"/>
    <n v="105.1"/>
    <n v="105.1"/>
    <s v="01-02-2026"/>
    <x v="2"/>
    <n v="14"/>
    <x v="3"/>
    <s v="Monthly Billing"/>
    <d v="2026-03-04T00:00:00"/>
    <d v="2026-03-11T00:00:00"/>
    <s v="Outstanding"/>
    <s v="INV-040326132449"/>
    <s v="Yes"/>
    <s v="No"/>
    <x v="7"/>
    <m/>
  </r>
  <r>
    <x v="0"/>
    <x v="1"/>
    <x v="1"/>
    <x v="1"/>
    <x v="1"/>
    <x v="0"/>
    <x v="2"/>
    <x v="0"/>
    <s v="USD"/>
    <n v="-152.90999999999985"/>
    <n v="-152.90999999999985"/>
    <s v="01-01-2026"/>
    <x v="1"/>
    <n v="43"/>
    <x v="2"/>
    <s v="Monthly Billing"/>
    <d v="2026-02-03T00:00:00"/>
    <d v="2026-02-10T00:00:00"/>
    <s v="Outstanding"/>
    <s v="INV-030226233006"/>
    <s v="Yes"/>
    <s v="No"/>
    <x v="1"/>
    <m/>
  </r>
  <r>
    <x v="0"/>
    <x v="1"/>
    <x v="1"/>
    <x v="1"/>
    <x v="1"/>
    <x v="0"/>
    <x v="2"/>
    <x v="0"/>
    <s v="USD"/>
    <n v="608.9699999999998"/>
    <n v="608.9699999999998"/>
    <s v="01-02-2026"/>
    <x v="2"/>
    <n v="15"/>
    <x v="3"/>
    <s v="Monthly Billing"/>
    <d v="2026-03-03T00:00:00"/>
    <d v="2026-03-10T00:00:00"/>
    <s v="Outstanding"/>
    <s v="INV-030326144903"/>
    <s v="Yes"/>
    <s v="No"/>
    <x v="1"/>
    <m/>
  </r>
  <r>
    <x v="0"/>
    <x v="52"/>
    <x v="3"/>
    <x v="7"/>
    <x v="6"/>
    <x v="0"/>
    <x v="2"/>
    <x v="0"/>
    <s v="USD"/>
    <n v="25"/>
    <n v="25"/>
    <s v="2026-02-01"/>
    <x v="2"/>
    <n v="14"/>
    <x v="3"/>
    <s v="Monthly Billing"/>
    <d v="2026-03-04T00:00:00"/>
    <d v="2026-03-11T00:00:00"/>
    <s v="Outstanding"/>
    <s v="INV-040326183525"/>
    <m/>
    <m/>
    <x v="9"/>
    <m/>
  </r>
  <r>
    <x v="0"/>
    <x v="53"/>
    <x v="1"/>
    <x v="1"/>
    <x v="12"/>
    <x v="0"/>
    <x v="2"/>
    <x v="0"/>
    <s v="USD"/>
    <n v="-12919.090000000002"/>
    <n v="-12919.090000000002"/>
    <s v="2026-02-01"/>
    <x v="2"/>
    <n v="16"/>
    <x v="3"/>
    <s v="Monthly Billing"/>
    <d v="2026-03-02T00:00:00"/>
    <d v="2026-03-09T00:00:00"/>
    <s v="Outstanding"/>
    <s v="INV-020326184116"/>
    <m/>
    <m/>
    <x v="9"/>
    <m/>
  </r>
  <r>
    <x v="0"/>
    <x v="9"/>
    <x v="0"/>
    <x v="6"/>
    <x v="0"/>
    <x v="0"/>
    <x v="2"/>
    <x v="0"/>
    <s v="USD"/>
    <n v="2963.5"/>
    <n v="2963.5"/>
    <s v="01-02-2026"/>
    <x v="2"/>
    <n v="15"/>
    <x v="3"/>
    <s v="Monthly Billing"/>
    <d v="2026-03-03T00:00:00"/>
    <d v="2026-03-10T00:00:00"/>
    <s v="Outstanding"/>
    <s v="INV-030326180323"/>
    <s v="Yes"/>
    <s v="No"/>
    <x v="5"/>
    <m/>
  </r>
  <r>
    <x v="0"/>
    <x v="24"/>
    <x v="1"/>
    <x v="0"/>
    <x v="12"/>
    <x v="0"/>
    <x v="2"/>
    <x v="0"/>
    <s v="CAD"/>
    <n v="1001.6086596373117"/>
    <n v="1393.95208"/>
    <s v="2026-02-01"/>
    <x v="2"/>
    <n v="14"/>
    <x v="3"/>
    <s v="Monthly Billing"/>
    <d v="2026-03-04T00:00:00"/>
    <d v="2026-03-11T00:00:00"/>
    <s v="Outstanding"/>
    <s v="INV-040326160006"/>
    <m/>
    <m/>
    <x v="9"/>
    <m/>
  </r>
  <r>
    <x v="0"/>
    <x v="25"/>
    <x v="1"/>
    <x v="0"/>
    <x v="12"/>
    <x v="0"/>
    <x v="2"/>
    <x v="0"/>
    <s v="USD"/>
    <n v="43.5"/>
    <n v="43.5"/>
    <s v="01-02-2026"/>
    <x v="2"/>
    <n v="14"/>
    <x v="3"/>
    <s v="Monthly Billing"/>
    <d v="2026-03-04T00:00:00"/>
    <d v="2026-03-11T00:00:00"/>
    <s v="Outstanding"/>
    <s v="INV-040326095350"/>
    <s v="Yes"/>
    <s v="No"/>
    <x v="5"/>
    <m/>
  </r>
  <r>
    <x v="0"/>
    <x v="26"/>
    <x v="1"/>
    <x v="8"/>
    <x v="13"/>
    <x v="0"/>
    <x v="2"/>
    <x v="0"/>
    <s v="USD"/>
    <n v="145"/>
    <n v="145"/>
    <s v="2026-02-01"/>
    <x v="2"/>
    <n v="15"/>
    <x v="3"/>
    <s v="Monthly Billing"/>
    <d v="2026-03-03T00:00:00"/>
    <d v="2026-03-10T00:00:00"/>
    <s v="Outstanding"/>
    <s v="INV-030326185123"/>
    <s v="Yes"/>
    <s v="No"/>
    <x v="5"/>
    <m/>
  </r>
  <r>
    <x v="0"/>
    <x v="27"/>
    <x v="1"/>
    <x v="8"/>
    <x v="12"/>
    <x v="0"/>
    <x v="2"/>
    <x v="0"/>
    <s v="USD"/>
    <n v="1000"/>
    <n v="1000"/>
    <s v="2026-02-01"/>
    <x v="2"/>
    <n v="15"/>
    <x v="3"/>
    <s v="Monthly Billing"/>
    <d v="2026-03-03T00:00:00"/>
    <d v="2026-03-10T00:00:00"/>
    <s v="Outstanding"/>
    <s v="INV-030326191735"/>
    <s v="Yes"/>
    <s v="No"/>
    <x v="5"/>
    <m/>
  </r>
  <r>
    <x v="0"/>
    <x v="54"/>
    <x v="0"/>
    <x v="0"/>
    <x v="10"/>
    <x v="0"/>
    <x v="2"/>
    <x v="0"/>
    <s v="IDR"/>
    <n v="8.8168349887743478"/>
    <n v="148918"/>
    <s v="2026-02-01"/>
    <x v="2"/>
    <n v="1"/>
    <x v="3"/>
    <s v="Monthly Billing"/>
    <d v="2026-03-03T00:00:00"/>
    <d v="2026-03-24T00:00:00"/>
    <s v="Invoice Sent"/>
    <s v="INV-030326135919"/>
    <m/>
    <m/>
    <x v="9"/>
    <m/>
  </r>
  <r>
    <x v="0"/>
    <x v="54"/>
    <x v="0"/>
    <x v="0"/>
    <x v="10"/>
    <x v="0"/>
    <x v="2"/>
    <x v="0"/>
    <s v="IDR"/>
    <n v="832.88504838607264"/>
    <n v="14067585"/>
    <s v="2026-03-01"/>
    <x v="3"/>
    <n v="1"/>
    <x v="3"/>
    <s v="Pay Out Service Integration Fee"/>
    <d v="2026-03-03T00:00:00"/>
    <d v="2026-03-24T00:00:00"/>
    <s v="Invoice Sent"/>
    <s v="INV-030326143845"/>
    <m/>
    <m/>
    <x v="9"/>
    <m/>
  </r>
  <r>
    <x v="0"/>
    <x v="55"/>
    <x v="1"/>
    <x v="0"/>
    <x v="12"/>
    <x v="0"/>
    <x v="2"/>
    <x v="0"/>
    <s v="USD"/>
    <n v="8563.7300000000032"/>
    <n v="8563.7300000000032"/>
    <s v="01-02-2026"/>
    <x v="2"/>
    <n v="13"/>
    <x v="3"/>
    <s v="Monthly Billing"/>
    <d v="2026-03-05T00:00:00"/>
    <d v="2026-03-12T00:00:00"/>
    <s v="Outstanding"/>
    <s v="INV-050326152047"/>
    <m/>
    <m/>
    <x v="9"/>
    <m/>
  </r>
  <r>
    <x v="0"/>
    <x v="56"/>
    <x v="1"/>
    <x v="11"/>
    <x v="16"/>
    <x v="0"/>
    <x v="2"/>
    <x v="0"/>
    <s v="USD"/>
    <n v="10902.5"/>
    <n v="10902.5"/>
    <s v="01-02-2026"/>
    <x v="2"/>
    <n v="14"/>
    <x v="3"/>
    <s v="Monthly Billing"/>
    <d v="2026-03-04T00:00:00"/>
    <d v="2026-03-11T00:00:00"/>
    <s v="Outstanding"/>
    <s v="INV-040326163824"/>
    <m/>
    <m/>
    <x v="9"/>
    <m/>
  </r>
  <r>
    <x v="0"/>
    <x v="57"/>
    <x v="4"/>
    <x v="10"/>
    <x v="13"/>
    <x v="0"/>
    <x v="1"/>
    <x v="0"/>
    <s v="USD"/>
    <n v="-10"/>
    <n v="-10"/>
    <s v="2025-09-01"/>
    <x v="8"/>
    <n v="163"/>
    <x v="0"/>
    <s v="Credit Note - Rebate"/>
    <d v="2025-10-06T00:00:00"/>
    <d v="2025-10-13T00:00:00"/>
    <s v="Outstanding"/>
    <s v="CN-INV-061025093259"/>
    <m/>
    <m/>
    <x v="9"/>
    <m/>
  </r>
  <r>
    <x v="0"/>
    <x v="57"/>
    <x v="4"/>
    <x v="10"/>
    <x v="13"/>
    <x v="0"/>
    <x v="1"/>
    <x v="0"/>
    <s v="USD"/>
    <n v="-25"/>
    <n v="-25"/>
    <s v="2025-10-01"/>
    <x v="9"/>
    <n v="133"/>
    <x v="0"/>
    <s v="Credit Note-Rebate"/>
    <d v="2025-11-05T00:00:00"/>
    <d v="2025-11-12T00:00:00"/>
    <s v="Outstanding"/>
    <s v="CN-INV-051125105233"/>
    <m/>
    <m/>
    <x v="9"/>
    <m/>
  </r>
  <r>
    <x v="0"/>
    <x v="57"/>
    <x v="4"/>
    <x v="10"/>
    <x v="13"/>
    <x v="0"/>
    <x v="1"/>
    <x v="0"/>
    <s v="USD"/>
    <n v="-115"/>
    <n v="-115"/>
    <s v="2025-11-01"/>
    <x v="0"/>
    <n v="105"/>
    <x v="0"/>
    <s v="Credit Note-Rebate"/>
    <d v="2025-12-03T00:00:00"/>
    <d v="2025-12-10T00:00:00"/>
    <s v="Outstanding"/>
    <s v="CN-INV-031225192101"/>
    <m/>
    <m/>
    <x v="9"/>
    <m/>
  </r>
  <r>
    <x v="0"/>
    <x v="57"/>
    <x v="4"/>
    <x v="10"/>
    <x v="13"/>
    <x v="0"/>
    <x v="1"/>
    <x v="0"/>
    <s v="USD"/>
    <n v="-96"/>
    <n v="-96"/>
    <s v="01-12-2025"/>
    <x v="10"/>
    <n v="72"/>
    <x v="1"/>
    <s v="Credit Note-Rebate"/>
    <d v="2026-01-05T00:00:00"/>
    <d v="2026-01-12T00:00:00"/>
    <s v="Outstanding"/>
    <s v="CN-INV-050126163126"/>
    <m/>
    <m/>
    <x v="9"/>
    <m/>
  </r>
  <r>
    <x v="0"/>
    <x v="57"/>
    <x v="4"/>
    <x v="10"/>
    <x v="13"/>
    <x v="0"/>
    <x v="2"/>
    <x v="0"/>
    <s v="USD"/>
    <n v="-52"/>
    <n v="-52"/>
    <s v="2026-01-01"/>
    <x v="1"/>
    <n v="40"/>
    <x v="2"/>
    <s v="Credit Note-Rebate"/>
    <d v="2026-02-06T00:00:00"/>
    <d v="2026-02-13T00:00:00"/>
    <s v="Outstanding"/>
    <s v="INV-060226200521"/>
    <m/>
    <m/>
    <x v="9"/>
    <m/>
  </r>
  <r>
    <x v="0"/>
    <x v="57"/>
    <x v="4"/>
    <x v="10"/>
    <x v="13"/>
    <x v="0"/>
    <x v="2"/>
    <x v="0"/>
    <s v="USD"/>
    <n v="-135"/>
    <n v="-135"/>
    <s v="2026-02-01"/>
    <x v="2"/>
    <n v="12"/>
    <x v="3"/>
    <s v="Credit Note-Rebate"/>
    <d v="2026-03-06T00:00:00"/>
    <d v="2026-03-13T00:00:00"/>
    <s v="Invoice Sent"/>
    <s v="INV-060326180209"/>
    <m/>
    <m/>
    <x v="9"/>
    <m/>
  </r>
  <r>
    <x v="0"/>
    <x v="58"/>
    <x v="2"/>
    <x v="12"/>
    <x v="16"/>
    <x v="0"/>
    <x v="2"/>
    <x v="0"/>
    <s v="GBP"/>
    <n v="4061.6341244973801"/>
    <n v="3037.9"/>
    <s v="01-02-2026"/>
    <x v="2"/>
    <n v="7"/>
    <x v="3"/>
    <s v="Monthly Billing"/>
    <d v="2026-03-04T00:00:00"/>
    <d v="2026-03-18T00:00:00"/>
    <s v="Invoice Sent"/>
    <s v="INV-040326163001"/>
    <m/>
    <m/>
    <x v="9"/>
    <m/>
  </r>
  <r>
    <x v="0"/>
    <x v="29"/>
    <x v="4"/>
    <x v="10"/>
    <x v="2"/>
    <x v="0"/>
    <x v="2"/>
    <x v="0"/>
    <s v="AUD"/>
    <n v="7523.8513884797449"/>
    <n v="11238.553"/>
    <s v="01-02-2026"/>
    <x v="2"/>
    <n v="14"/>
    <x v="3"/>
    <s v="Monthly Billing"/>
    <d v="2026-03-04T00:00:00"/>
    <d v="2026-03-11T00:00:00"/>
    <s v="Outstanding"/>
    <s v="INV-040326124857"/>
    <m/>
    <m/>
    <x v="9"/>
    <m/>
  </r>
  <r>
    <x v="0"/>
    <x v="3"/>
    <x v="0"/>
    <x v="3"/>
    <x v="3"/>
    <x v="0"/>
    <x v="2"/>
    <x v="0"/>
    <s v="USD"/>
    <n v="-1754.3781999999992"/>
    <n v="-1754.3781999999992"/>
    <s v="01-01-2026"/>
    <x v="1"/>
    <n v="39"/>
    <x v="2"/>
    <s v="Monthly Billing"/>
    <d v="2026-02-07T00:00:00"/>
    <d v="2026-02-14T00:00:00"/>
    <s v="Outstanding"/>
    <s v="INV-070226184910"/>
    <s v="Yes"/>
    <s v="No"/>
    <x v="3"/>
    <m/>
  </r>
  <r>
    <x v="0"/>
    <x v="3"/>
    <x v="0"/>
    <x v="3"/>
    <x v="3"/>
    <x v="0"/>
    <x v="1"/>
    <x v="0"/>
    <s v="USD"/>
    <n v="-527.48510000000533"/>
    <n v="-527.48510000000533"/>
    <s v="01-10-2025"/>
    <x v="9"/>
    <n v="132"/>
    <x v="0"/>
    <s v="Monthly Billing"/>
    <d v="2025-11-06T00:00:00"/>
    <d v="2025-11-13T00:00:00"/>
    <s v="Outstanding"/>
    <s v="INV-061125120844"/>
    <s v="Yes"/>
    <s v="No"/>
    <x v="3"/>
    <m/>
  </r>
  <r>
    <x v="0"/>
    <x v="3"/>
    <x v="0"/>
    <x v="3"/>
    <x v="3"/>
    <x v="0"/>
    <x v="1"/>
    <x v="0"/>
    <s v="USD"/>
    <n v="-3888.0024000000049"/>
    <n v="-3888.0024000000049"/>
    <s v="01-11-2025"/>
    <x v="0"/>
    <n v="104"/>
    <x v="0"/>
    <s v="Monthly Billing"/>
    <d v="2025-12-04T00:00:00"/>
    <d v="2025-12-11T00:00:00"/>
    <s v="Outstanding"/>
    <s v="INV-041225180916"/>
    <s v="Yes"/>
    <s v="No"/>
    <x v="3"/>
    <m/>
  </r>
  <r>
    <x v="0"/>
    <x v="3"/>
    <x v="0"/>
    <x v="3"/>
    <x v="3"/>
    <x v="0"/>
    <x v="1"/>
    <x v="0"/>
    <s v="USD"/>
    <n v="-1738.4406000000017"/>
    <n v="-1738.4406000000017"/>
    <s v="01-12-2025"/>
    <x v="10"/>
    <n v="71"/>
    <x v="1"/>
    <s v="Monthly Billing"/>
    <d v="2026-01-06T00:00:00"/>
    <d v="2026-01-13T00:00:00"/>
    <s v="Outstanding"/>
    <s v="INV-060126133501"/>
    <s v="Yes"/>
    <s v="No"/>
    <x v="3"/>
    <m/>
  </r>
  <r>
    <x v="0"/>
    <x v="3"/>
    <x v="0"/>
    <x v="3"/>
    <x v="3"/>
    <x v="0"/>
    <x v="2"/>
    <x v="0"/>
    <s v="USD"/>
    <n v="606.26570000000356"/>
    <n v="606.26570000000356"/>
    <s v="01-02-2026"/>
    <x v="2"/>
    <n v="14"/>
    <x v="3"/>
    <s v="Monthly Billing"/>
    <d v="2026-03-04T00:00:00"/>
    <d v="2026-03-11T00:00:00"/>
    <s v="Outstanding"/>
    <s v="INV-040326154927"/>
    <s v="Yes"/>
    <s v="No"/>
    <x v="3"/>
    <m/>
  </r>
  <r>
    <x v="0"/>
    <x v="59"/>
    <x v="2"/>
    <x v="5"/>
    <x v="15"/>
    <x v="0"/>
    <x v="2"/>
    <x v="0"/>
    <s v="EUR"/>
    <n v="5210.0615331668369"/>
    <n v="4497.9947000000002"/>
    <s v="2026-02-01"/>
    <x v="2"/>
    <n v="14"/>
    <x v="3"/>
    <s v="Monthly Billing"/>
    <d v="2026-03-04T00:00:00"/>
    <d v="2026-03-11T00:00:00"/>
    <s v="Outstanding"/>
    <s v="INV-040326094744"/>
    <m/>
    <m/>
    <x v="9"/>
    <m/>
  </r>
  <r>
    <x v="0"/>
    <x v="60"/>
    <x v="0"/>
    <x v="0"/>
    <x v="9"/>
    <x v="0"/>
    <x v="2"/>
    <x v="0"/>
    <s v="USD"/>
    <n v="25075"/>
    <n v="25075"/>
    <s v="01-02-2026"/>
    <x v="2"/>
    <n v="-8"/>
    <x v="3"/>
    <s v="Monthly Billing"/>
    <d v="2026-03-03T00:00:00"/>
    <d v="2026-04-02T00:00:00"/>
    <s v="Invoice Sent"/>
    <s v="INV-030326183915"/>
    <m/>
    <m/>
    <x v="9"/>
    <m/>
  </r>
  <r>
    <x v="0"/>
    <x v="61"/>
    <x v="1"/>
    <x v="11"/>
    <x v="17"/>
    <x v="0"/>
    <x v="2"/>
    <x v="0"/>
    <s v="USD"/>
    <n v="2493.44"/>
    <n v="2493.44"/>
    <s v="01-02-2026"/>
    <x v="2"/>
    <n v="-8"/>
    <x v="3"/>
    <s v="Monthly Billing"/>
    <d v="2026-03-03T00:00:00"/>
    <d v="2026-04-02T00:00:00"/>
    <s v="Invoice Sent"/>
    <s v="INV-030326094302"/>
    <s v="Yes"/>
    <s v="No"/>
    <x v="5"/>
    <m/>
  </r>
  <r>
    <x v="0"/>
    <x v="10"/>
    <x v="1"/>
    <x v="0"/>
    <x v="4"/>
    <x v="0"/>
    <x v="2"/>
    <x v="0"/>
    <s v="USD"/>
    <n v="532.5"/>
    <n v="532.5"/>
    <s v="2026-02-01"/>
    <x v="2"/>
    <n v="15"/>
    <x v="3"/>
    <s v="Monthly Billing"/>
    <d v="2026-03-03T00:00:00"/>
    <d v="2026-03-10T00:00:00"/>
    <s v="Outstanding"/>
    <s v="INV-030326161806"/>
    <s v="Yes"/>
    <s v="No"/>
    <x v="5"/>
    <m/>
  </r>
  <r>
    <x v="0"/>
    <x v="62"/>
    <x v="1"/>
    <x v="8"/>
    <x v="2"/>
    <x v="0"/>
    <x v="2"/>
    <x v="0"/>
    <s v="USD"/>
    <n v="-42336.01"/>
    <n v="-42336.01"/>
    <s v="01-02-2026"/>
    <x v="2"/>
    <n v="14"/>
    <x v="3"/>
    <s v="Monthly Billing"/>
    <d v="2026-03-04T00:00:00"/>
    <d v="2026-03-11T00:00:00"/>
    <s v="Outstanding"/>
    <s v="INV-040326180353"/>
    <m/>
    <m/>
    <x v="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107ABA-CC87-4E37-A0FC-92254F4CDDBC}"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4">
    <pivotField showAll="0"/>
    <pivotField showAll="0"/>
    <pivotField axis="axisRow" showAll="0">
      <items count="6">
        <item x="2"/>
        <item x="1"/>
        <item x="3"/>
        <item x="0"/>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4"/>
  </colFields>
  <colItems count="5">
    <i>
      <x/>
    </i>
    <i>
      <x v="1"/>
    </i>
    <i>
      <x v="2"/>
    </i>
    <i>
      <x v="3"/>
    </i>
    <i t="grand">
      <x/>
    </i>
  </colItems>
  <dataFields count="1">
    <dataField name="Sum of USD AMOUNT" fld="9" baseField="0" baseItem="0" numFmtId="165"/>
  </dataFields>
  <formats count="28">
    <format dxfId="60">
      <pivotArea outline="0" collapsedLevelsAreSubtotals="1" fieldPosition="0"/>
    </format>
    <format dxfId="59">
      <pivotArea dataOnly="0" labelOnly="1" fieldPosition="0">
        <references count="1">
          <reference field="14" count="0"/>
        </references>
      </pivotArea>
    </format>
    <format dxfId="58">
      <pivotArea dataOnly="0" labelOnly="1" grandCol="1" outline="0" fieldPosition="0"/>
    </format>
    <format dxfId="57">
      <pivotArea collapsedLevelsAreSubtotals="1" fieldPosition="0">
        <references count="1">
          <reference field="2" count="0"/>
        </references>
      </pivotArea>
    </format>
    <format dxfId="56">
      <pivotArea dataOnly="0" labelOnly="1" fieldPosition="0">
        <references count="1">
          <reference field="2" count="0"/>
        </references>
      </pivotArea>
    </format>
    <format dxfId="55">
      <pivotArea outline="0" collapsedLevelsAreSubtotals="1" fieldPosition="0"/>
    </format>
    <format dxfId="54">
      <pivotArea dataOnly="0" labelOnly="1" fieldPosition="0">
        <references count="1">
          <reference field="2" count="0"/>
        </references>
      </pivotArea>
    </format>
    <format dxfId="53">
      <pivotArea dataOnly="0" labelOnly="1" grandRow="1" outline="0" fieldPosition="0"/>
    </format>
    <format dxfId="52">
      <pivotArea outline="0" collapsedLevelsAreSubtotals="1" fieldPosition="0"/>
    </format>
    <format dxfId="51">
      <pivotArea field="2" type="button" dataOnly="0" labelOnly="1" outline="0" axis="axisRow" fieldPosition="0"/>
    </format>
    <format dxfId="50">
      <pivotArea dataOnly="0" labelOnly="1" fieldPosition="0">
        <references count="1">
          <reference field="2" count="0"/>
        </references>
      </pivotArea>
    </format>
    <format dxfId="49">
      <pivotArea dataOnly="0" labelOnly="1" grandRow="1" outline="0" fieldPosition="0"/>
    </format>
    <format dxfId="48">
      <pivotArea dataOnly="0" labelOnly="1" fieldPosition="0">
        <references count="1">
          <reference field="14" count="0"/>
        </references>
      </pivotArea>
    </format>
    <format dxfId="47">
      <pivotArea dataOnly="0" labelOnly="1" grandCol="1" outline="0" fieldPosition="0"/>
    </format>
    <format dxfId="46">
      <pivotArea type="all" dataOnly="0" outline="0" fieldPosition="0"/>
    </format>
    <format dxfId="45">
      <pivotArea outline="0" collapsedLevelsAreSubtotals="1" fieldPosition="0"/>
    </format>
    <format dxfId="44">
      <pivotArea type="origin" dataOnly="0" labelOnly="1" outline="0" fieldPosition="0"/>
    </format>
    <format dxfId="43">
      <pivotArea field="14" type="button" dataOnly="0" labelOnly="1" outline="0" axis="axisCol" fieldPosition="0"/>
    </format>
    <format dxfId="42">
      <pivotArea type="topRight" dataOnly="0" labelOnly="1" outline="0" fieldPosition="0"/>
    </format>
    <format dxfId="41">
      <pivotArea field="2" type="button" dataOnly="0" labelOnly="1" outline="0" axis="axisRow" fieldPosition="0"/>
    </format>
    <format dxfId="40">
      <pivotArea dataOnly="0" labelOnly="1" fieldPosition="0">
        <references count="1">
          <reference field="2" count="0"/>
        </references>
      </pivotArea>
    </format>
    <format dxfId="39">
      <pivotArea dataOnly="0" labelOnly="1" grandRow="1" outline="0" fieldPosition="0"/>
    </format>
    <format dxfId="38">
      <pivotArea dataOnly="0" labelOnly="1" fieldPosition="0">
        <references count="1">
          <reference field="14" count="0"/>
        </references>
      </pivotArea>
    </format>
    <format dxfId="37">
      <pivotArea dataOnly="0" labelOnly="1" grandCol="1" outline="0" fieldPosition="0"/>
    </format>
    <format dxfId="36">
      <pivotArea collapsedLevelsAreSubtotals="1" fieldPosition="0">
        <references count="1">
          <reference field="2" count="1">
            <x v="4"/>
          </reference>
        </references>
      </pivotArea>
    </format>
    <format dxfId="35">
      <pivotArea grandRow="1" outline="0" collapsedLevelsAreSubtotals="1" fieldPosition="0"/>
    </format>
    <format dxfId="34">
      <pivotArea dataOnly="0" labelOnly="1" fieldPosition="0">
        <references count="1">
          <reference field="2" count="1">
            <x v="4"/>
          </reference>
        </references>
      </pivotArea>
    </format>
    <format dxfId="3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44CD08-D80C-4C8E-B9CF-A6612D1D19C5}"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2:E29" firstHeaderRow="1" firstDataRow="1" firstDataCol="3"/>
  <pivotFields count="24">
    <pivotField compact="0" outline="0" showAll="0" defaultSubtotal="0"/>
    <pivotField axis="axisRow" compact="0" outline="0" showAll="0" defaultSubtotal="0">
      <items count="7">
        <item x="0"/>
        <item x="1"/>
        <item x="2"/>
        <item x="3"/>
        <item x="4"/>
        <item m="1" x="6"/>
        <item x="5"/>
      </items>
    </pivotField>
    <pivotField compact="0" outline="0" showAll="0" defaultSubtotal="0"/>
    <pivotField axis="axisRow" compact="0" outline="0" subtotalTop="0" showAll="0" defaultSubtotal="0">
      <items count="5">
        <item x="1"/>
        <item x="0"/>
        <item x="2"/>
        <item x="3"/>
        <item x="4"/>
      </items>
    </pivotField>
    <pivotField axis="axisRow" compact="0" outline="0" showAll="0" defaultSubtotal="0">
      <items count="5">
        <item x="0"/>
        <item x="1"/>
        <item x="2"/>
        <item x="3"/>
        <item x="4"/>
      </items>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7">
    <i>
      <x/>
      <x v="1"/>
      <x/>
    </i>
    <i>
      <x v="1"/>
      <x v="1"/>
      <x v="1"/>
    </i>
    <i>
      <x v="2"/>
      <x/>
      <x v="2"/>
    </i>
    <i>
      <x v="3"/>
      <x v="2"/>
      <x v="2"/>
    </i>
    <i>
      <x v="4"/>
      <x v="3"/>
      <x v="3"/>
    </i>
    <i>
      <x v="6"/>
      <x v="4"/>
      <x v="4"/>
    </i>
    <i t="grand">
      <x/>
    </i>
  </rowItems>
  <colItems count="1">
    <i/>
  </colItems>
  <dataFields count="1">
    <dataField name="Amount($)" fld="9" baseField="0" baseItem="0" numFmtId="166"/>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CE60B-44AE-492F-A99A-F71EC325AFAD}" name="PivotTable1"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U38"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111">
        <item x="42"/>
        <item m="1" x="85"/>
        <item m="1" x="98"/>
        <item x="20"/>
        <item x="21"/>
        <item m="1" x="100"/>
        <item x="0"/>
        <item x="15"/>
        <item m="1" x="75"/>
        <item x="2"/>
        <item x="61"/>
        <item x="22"/>
        <item x="18"/>
        <item x="10"/>
        <item x="45"/>
        <item x="57"/>
        <item x="6"/>
        <item x="12"/>
        <item m="1" x="91"/>
        <item m="1" x="71"/>
        <item x="1"/>
        <item x="41"/>
        <item x="11"/>
        <item x="50"/>
        <item x="7"/>
        <item x="13"/>
        <item m="1" x="90"/>
        <item x="4"/>
        <item x="5"/>
        <item m="1" x="63"/>
        <item x="8"/>
        <item m="1" x="65"/>
        <item m="1" x="108"/>
        <item m="1" x="64"/>
        <item x="9"/>
        <item x="3"/>
        <item x="59"/>
        <item x="36"/>
        <item m="1" x="67"/>
        <item x="54"/>
        <item x="19"/>
        <item x="14"/>
        <item m="1" x="72"/>
        <item x="44"/>
        <item x="16"/>
        <item m="1" x="73"/>
        <item m="1" x="97"/>
        <item x="17"/>
        <item x="55"/>
        <item x="29"/>
        <item x="32"/>
        <item x="33"/>
        <item x="34"/>
        <item m="1" x="77"/>
        <item m="1" x="78"/>
        <item m="1" x="79"/>
        <item x="37"/>
        <item x="38"/>
        <item m="1" x="66"/>
        <item m="1" x="81"/>
        <item m="1" x="105"/>
        <item m="1" x="106"/>
        <item m="1" x="107"/>
        <item m="1" x="82"/>
        <item x="39"/>
        <item m="1" x="74"/>
        <item m="1" x="96"/>
        <item m="1" x="104"/>
        <item m="1" x="84"/>
        <item x="46"/>
        <item x="23"/>
        <item x="48"/>
        <item x="49"/>
        <item m="1" x="92"/>
        <item x="53"/>
        <item m="1" x="69"/>
        <item m="1" x="86"/>
        <item m="1" x="70"/>
        <item m="1" x="87"/>
        <item x="24"/>
        <item x="25"/>
        <item x="26"/>
        <item x="27"/>
        <item m="1" x="88"/>
        <item m="1" x="99"/>
        <item x="56"/>
        <item x="28"/>
        <item x="58"/>
        <item x="60"/>
        <item x="62"/>
        <item m="1" x="93"/>
        <item x="30"/>
        <item x="31"/>
        <item x="51"/>
        <item x="35"/>
        <item m="1" x="76"/>
        <item m="1" x="94"/>
        <item m="1" x="95"/>
        <item m="1" x="80"/>
        <item x="40"/>
        <item m="1" x="83"/>
        <item x="43"/>
        <item x="47"/>
        <item m="1" x="68"/>
        <item x="52"/>
        <item m="1" x="109"/>
        <item m="1" x="110"/>
        <item m="1" x="101"/>
        <item m="1" x="102"/>
        <item m="1" x="103"/>
        <item m="1" x="89"/>
      </items>
      <extLst>
        <ext xmlns:x14="http://schemas.microsoft.com/office/spreadsheetml/2009/9/main" uri="{2946ED86-A175-432a-8AC1-64E0C546D7DE}">
          <x14:pivotField fillDownLabels="1"/>
        </ext>
      </extLst>
    </pivotField>
    <pivotField axis="axisRow" compact="0" outline="0" showAll="0" defaultSubtotal="0">
      <items count="5">
        <item x="0"/>
        <item h="1" x="2"/>
        <item h="1" x="3"/>
        <item h="1" x="1"/>
        <item h="1" x="4"/>
      </items>
      <extLst>
        <ext xmlns:x14="http://schemas.microsoft.com/office/spreadsheetml/2009/9/main" uri="{2946ED86-A175-432a-8AC1-64E0C546D7DE}">
          <x14:pivotField fillDownLabels="1"/>
        </ext>
      </extLst>
    </pivotField>
    <pivotField axis="axisRow" compact="0" outline="0" showAll="0" defaultSubtotal="0">
      <items count="15">
        <item x="2"/>
        <item x="7"/>
        <item x="0"/>
        <item x="8"/>
        <item x="1"/>
        <item x="11"/>
        <item x="13"/>
        <item x="3"/>
        <item x="6"/>
        <item x="4"/>
        <item x="9"/>
        <item x="12"/>
        <item m="1" x="14"/>
        <item x="5"/>
        <item x="10"/>
      </items>
      <extLst>
        <ext xmlns:x14="http://schemas.microsoft.com/office/spreadsheetml/2009/9/main" uri="{2946ED86-A175-432a-8AC1-64E0C546D7DE}">
          <x14:pivotField fillDownLabels="1"/>
        </ext>
      </extLst>
    </pivotField>
    <pivotField axis="axisRow" compact="0" outline="0" showAll="0" defaultSubtotal="0">
      <items count="23">
        <item x="1"/>
        <item x="3"/>
        <item x="5"/>
        <item x="9"/>
        <item x="12"/>
        <item x="2"/>
        <item x="13"/>
        <item x="0"/>
        <item x="4"/>
        <item x="17"/>
        <item x="6"/>
        <item x="15"/>
        <item x="8"/>
        <item x="10"/>
        <item m="1" x="20"/>
        <item m="1" x="18"/>
        <item m="1" x="19"/>
        <item m="1" x="22"/>
        <item x="11"/>
        <item m="1" x="21"/>
        <item x="16"/>
        <item x="7"/>
        <item x="14"/>
      </items>
      <extLst>
        <ext xmlns:x14="http://schemas.microsoft.com/office/spreadsheetml/2009/9/main" uri="{2946ED86-A175-432a-8AC1-64E0C546D7DE}">
          <x14:pivotField fillDownLabels="1"/>
        </ext>
      </extLst>
    </pivotField>
    <pivotField axis="axisRow" compact="0" outline="0" showAll="0" defaultSubtotal="0">
      <items count="2">
        <item x="0"/>
        <item m="1" x="1"/>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3">
        <item x="0"/>
        <item x="1"/>
        <item m="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3">
        <item x="5"/>
        <item x="3"/>
        <item x="4"/>
        <item m="1" x="11"/>
        <item x="0"/>
        <item x="1"/>
        <item x="7"/>
        <item x="6"/>
        <item m="1" x="12"/>
        <item x="10"/>
        <item x="9"/>
        <item x="2"/>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34">
    <i>
      <x/>
      <x/>
      <x v="1"/>
      <x/>
      <x/>
      <x v="10"/>
      <x v="8"/>
      <x v="1"/>
      <x v="2"/>
    </i>
    <i>
      <x v="4"/>
      <x/>
      <x/>
      <x/>
      <x/>
      <x/>
      <x/>
      <x v="13"/>
      <x v="2"/>
    </i>
    <i>
      <x v="6"/>
      <x/>
      <x v="1"/>
      <x/>
      <x/>
      <x v="4"/>
      <x v="2"/>
      <x v="7"/>
      <x/>
    </i>
    <i r="8">
      <x v="1"/>
    </i>
    <i>
      <x v="9"/>
      <x/>
      <x v="1"/>
      <x/>
      <x/>
      <x v="11"/>
      <x/>
      <x v="5"/>
      <x v="1"/>
    </i>
    <i r="8">
      <x v="2"/>
    </i>
    <i>
      <x v="11"/>
      <x/>
      <x v="1"/>
      <x/>
      <x/>
      <x/>
      <x v="2"/>
      <x v="7"/>
      <x v="2"/>
    </i>
    <i>
      <x v="12"/>
      <x/>
      <x v="1"/>
      <x/>
      <x/>
      <x/>
      <x/>
      <x v="7"/>
      <x v="1"/>
    </i>
    <i r="8">
      <x v="2"/>
    </i>
    <i>
      <x v="23"/>
      <x/>
      <x v="1"/>
      <x/>
      <x/>
      <x v="10"/>
      <x v="6"/>
      <x v="5"/>
      <x v="2"/>
    </i>
    <i>
      <x v="24"/>
      <x/>
      <x v="1"/>
      <x/>
      <x/>
      <x v="7"/>
      <x/>
      <x v="7"/>
      <x v="1"/>
    </i>
    <i r="8">
      <x v="2"/>
    </i>
    <i>
      <x v="28"/>
      <x/>
      <x/>
      <x/>
      <x/>
      <x/>
      <x v="9"/>
      <x v="5"/>
      <x v="1"/>
    </i>
    <i>
      <x v="34"/>
      <x/>
      <x v="1"/>
      <x/>
      <x/>
      <x/>
      <x v="8"/>
      <x v="7"/>
      <x v="1"/>
    </i>
    <i r="8">
      <x v="2"/>
    </i>
    <i>
      <x v="35"/>
      <x/>
      <x v="1"/>
      <x/>
      <x/>
      <x v="1"/>
      <x v="7"/>
      <x v="1"/>
      <x v="1"/>
    </i>
    <i r="8">
      <x v="2"/>
    </i>
    <i>
      <x v="37"/>
      <x/>
      <x/>
      <x/>
      <x/>
      <x v="10"/>
      <x v="7"/>
      <x v="6"/>
      <x v="2"/>
    </i>
    <i>
      <x v="39"/>
      <x/>
      <x v="1"/>
      <x/>
      <x/>
      <x v="10"/>
      <x v="2"/>
      <x v="13"/>
      <x v="2"/>
    </i>
    <i>
      <x v="40"/>
      <x/>
      <x/>
      <x/>
      <x/>
      <x/>
      <x v="2"/>
      <x v="3"/>
      <x v="2"/>
    </i>
    <i>
      <x v="44"/>
      <x/>
      <x v="1"/>
      <x/>
      <x/>
      <x v="12"/>
      <x v="2"/>
      <x v="21"/>
      <x v="1"/>
    </i>
    <i r="8">
      <x v="2"/>
    </i>
    <i>
      <x v="47"/>
      <x/>
      <x v="1"/>
      <x/>
      <x/>
      <x/>
      <x v="2"/>
      <x v="12"/>
      <x v="1"/>
    </i>
    <i>
      <x v="50"/>
      <x/>
      <x/>
      <x/>
      <x/>
      <x v="10"/>
      <x/>
      <x v="7"/>
      <x v="2"/>
    </i>
    <i>
      <x v="57"/>
      <x/>
      <x/>
      <x v="1"/>
      <x/>
      <x v="10"/>
      <x v="2"/>
      <x v="13"/>
      <x v="2"/>
    </i>
    <i>
      <x v="64"/>
      <x/>
      <x/>
      <x/>
      <x/>
      <x v="10"/>
      <x v="7"/>
      <x v="5"/>
      <x v="2"/>
    </i>
    <i>
      <x v="70"/>
      <x/>
      <x v="1"/>
      <x/>
      <x/>
      <x/>
      <x v="2"/>
      <x v="18"/>
      <x v="2"/>
    </i>
    <i r="5">
      <x v="10"/>
      <x v="2"/>
      <x v="18"/>
      <x v="2"/>
    </i>
    <i>
      <x v="72"/>
      <x/>
      <x v="1"/>
      <x/>
      <x/>
      <x v="10"/>
      <x v="2"/>
      <x v="7"/>
      <x v="2"/>
    </i>
    <i>
      <x v="86"/>
      <x/>
      <x v="1"/>
      <x/>
      <x/>
      <x/>
      <x v="8"/>
      <x v="1"/>
      <x v="2"/>
    </i>
    <i>
      <x v="88"/>
      <x/>
      <x v="1"/>
      <x/>
      <x/>
      <x v="10"/>
      <x v="2"/>
      <x v="3"/>
      <x v="2"/>
    </i>
    <i>
      <x v="93"/>
      <x/>
      <x v="1"/>
      <x/>
      <x/>
      <x v="10"/>
      <x v="8"/>
      <x v="1"/>
      <x v="2"/>
    </i>
    <i>
      <x v="94"/>
      <x/>
      <x/>
      <x/>
      <x/>
      <x v="10"/>
      <x v="6"/>
      <x v="5"/>
      <x v="2"/>
    </i>
    <i t="grand">
      <x/>
    </i>
  </rowItems>
  <colFields count="1">
    <field x="12"/>
  </colFields>
  <colItems count="12">
    <i>
      <x/>
    </i>
    <i>
      <x v="1"/>
    </i>
    <i>
      <x v="2"/>
    </i>
    <i>
      <x v="3"/>
    </i>
    <i>
      <x v="4"/>
    </i>
    <i>
      <x v="5"/>
    </i>
    <i>
      <x v="6"/>
    </i>
    <i>
      <x v="7"/>
    </i>
    <i>
      <x v="8"/>
    </i>
    <i>
      <x v="9"/>
    </i>
    <i>
      <x v="10"/>
    </i>
    <i t="grand">
      <x/>
    </i>
  </colItems>
  <dataFields count="1">
    <dataField name="Sum of USD AMOUNT" fld="9" baseField="0" baseItem="0" numFmtId="1"/>
  </dataFields>
  <formats count="30">
    <format dxfId="29">
      <pivotArea type="all" dataOnly="0" outline="0" fieldPosition="0"/>
    </format>
    <format dxfId="28">
      <pivotArea outline="0" collapsedLevelsAreSubtotals="1" fieldPosition="0"/>
    </format>
    <format dxfId="27">
      <pivotArea type="origin" dataOnly="0" labelOnly="1" outline="0" fieldPosition="0"/>
    </format>
    <format dxfId="26">
      <pivotArea field="12" type="button" dataOnly="0" labelOnly="1" outline="0" axis="axisCol" fieldPosition="0"/>
    </format>
    <format dxfId="25">
      <pivotArea type="topRight" dataOnly="0" labelOnly="1" outline="0" fieldPosition="0"/>
    </format>
    <format dxfId="24">
      <pivotArea field="1" type="button" dataOnly="0" labelOnly="1" outline="0" axis="axisRow" fieldPosition="0"/>
    </format>
    <format dxfId="23">
      <pivotArea field="0" type="button" dataOnly="0" labelOnly="1" outline="0" axis="axisRow" fieldPosition="2"/>
    </format>
    <format dxfId="22">
      <pivotArea field="7" type="button" dataOnly="0" labelOnly="1" outline="0" axis="axisRow" fieldPosition="3"/>
    </format>
    <format dxfId="21">
      <pivotArea field="5" type="button" dataOnly="0" labelOnly="1" outline="0" axis="axisRow" fieldPosition="4"/>
    </format>
    <format dxfId="20">
      <pivotArea field="22" type="button" dataOnly="0" labelOnly="1" outline="0" axis="axisRow" fieldPosition="5"/>
    </format>
    <format dxfId="19">
      <pivotArea field="3" type="button" dataOnly="0" labelOnly="1" outline="0" axis="axisRow" fieldPosition="6"/>
    </format>
    <format dxfId="18">
      <pivotArea field="4" type="button" dataOnly="0" labelOnly="1" outline="0" axis="axisRow" fieldPosition="7"/>
    </format>
    <format dxfId="17">
      <pivotArea field="6" type="button" dataOnly="0" labelOnly="1" outline="0" axis="axisRow" fieldPosition="8"/>
    </format>
    <format dxfId="16">
      <pivotArea dataOnly="0" labelOnly="1" outline="0" fieldPosition="0">
        <references count="1">
          <reference field="1" count="18">
            <x v="0"/>
            <x v="1"/>
            <x v="2"/>
            <x v="3"/>
            <x v="4"/>
            <x v="5"/>
            <x v="6"/>
            <x v="7"/>
            <x v="8"/>
            <x v="9"/>
            <x v="10"/>
            <x v="11"/>
            <x v="12"/>
            <x v="13"/>
            <x v="14"/>
            <x v="15"/>
            <x v="16"/>
            <x v="17"/>
          </reference>
        </references>
      </pivotArea>
    </format>
    <format dxfId="15">
      <pivotArea dataOnly="0" labelOnly="1" outline="0" fieldPosition="0">
        <references count="1">
          <reference field="1" count="6">
            <x v="18"/>
            <x v="19"/>
            <x v="20"/>
            <x v="21"/>
            <x v="22"/>
            <x v="23"/>
          </reference>
        </references>
      </pivotArea>
    </format>
    <format dxfId="14">
      <pivotArea dataOnly="0" labelOnly="1" grandRow="1" outline="0" fieldPosition="0"/>
    </format>
    <format dxfId="13">
      <pivotArea dataOnly="0" labelOnly="1" outline="0" fieldPosition="0">
        <references count="2">
          <reference field="0" count="1">
            <x v="1"/>
          </reference>
          <reference field="1" count="1" selected="0">
            <x v="0"/>
          </reference>
        </references>
      </pivotArea>
    </format>
    <format dxfId="12">
      <pivotArea dataOnly="0" labelOnly="1" outline="0" fieldPosition="0">
        <references count="2">
          <reference field="0" count="1">
            <x v="0"/>
          </reference>
          <reference field="1" count="1" selected="0">
            <x v="3"/>
          </reference>
        </references>
      </pivotArea>
    </format>
    <format dxfId="11">
      <pivotArea dataOnly="0" labelOnly="1" outline="0" fieldPosition="0">
        <references count="2">
          <reference field="0" count="1">
            <x v="1"/>
          </reference>
          <reference field="1" count="1" selected="0">
            <x v="5"/>
          </reference>
        </references>
      </pivotArea>
    </format>
    <format dxfId="10">
      <pivotArea dataOnly="0" labelOnly="1" outline="0" fieldPosition="0">
        <references count="2">
          <reference field="0" count="1">
            <x v="0"/>
          </reference>
          <reference field="1" count="1" selected="0">
            <x v="7"/>
          </reference>
        </references>
      </pivotArea>
    </format>
    <format dxfId="9">
      <pivotArea dataOnly="0" labelOnly="1" outline="0" fieldPosition="0">
        <references count="2">
          <reference field="0" count="1">
            <x v="1"/>
          </reference>
          <reference field="1" count="1" selected="0">
            <x v="11"/>
          </reference>
        </references>
      </pivotArea>
    </format>
    <format dxfId="8">
      <pivotArea dataOnly="0" labelOnly="1" outline="0" fieldPosition="0">
        <references count="2">
          <reference field="0" count="1">
            <x v="1"/>
          </reference>
          <reference field="1" count="1" selected="0">
            <x v="21"/>
          </reference>
        </references>
      </pivotArea>
    </format>
    <format dxfId="7">
      <pivotArea dataOnly="0" labelOnly="1" outline="0" fieldPosition="0">
        <references count="3">
          <reference field="0" count="1" selected="0">
            <x v="1"/>
          </reference>
          <reference field="1" count="1" selected="0">
            <x v="0"/>
          </reference>
          <reference field="7" count="1">
            <x v="0"/>
          </reference>
        </references>
      </pivotArea>
    </format>
    <format dxfId="6">
      <pivotArea dataOnly="0" labelOnly="1" outline="0" fieldPosition="0">
        <references count="4">
          <reference field="0" count="1" selected="0">
            <x v="1"/>
          </reference>
          <reference field="1" count="1" selected="0">
            <x v="0"/>
          </reference>
          <reference field="5" count="0"/>
          <reference field="7" count="1" selected="0">
            <x v="0"/>
          </reference>
        </references>
      </pivotArea>
    </format>
    <format dxfId="5">
      <pivotArea dataOnly="0" labelOnly="1" outline="0" fieldPosition="0">
        <references count="5">
          <reference field="0" count="1" selected="0">
            <x v="0"/>
          </reference>
          <reference field="1" count="1" selected="0">
            <x v="7"/>
          </reference>
          <reference field="5" count="0" selected="0"/>
          <reference field="7" count="1" selected="0">
            <x v="0"/>
          </reference>
          <reference field="22" count="1">
            <x v="0"/>
          </reference>
        </references>
      </pivotArea>
    </format>
    <format dxfId="4">
      <pivotArea dataOnly="0" labelOnly="1" outline="0" fieldPosition="0">
        <references count="5">
          <reference field="0" count="1" selected="0">
            <x v="1"/>
          </reference>
          <reference field="1" count="1" selected="0">
            <x v="8"/>
          </reference>
          <reference field="5" count="0" selected="0"/>
          <reference field="7" count="1" selected="0">
            <x v="0"/>
          </reference>
          <reference field="22" count="1">
            <x v="0"/>
          </reference>
        </references>
      </pivotArea>
    </format>
    <format dxfId="3">
      <pivotArea dataOnly="0" labelOnly="1" outline="0" fieldPosition="0">
        <references count="5">
          <reference field="0" count="1" selected="0">
            <x v="1"/>
          </reference>
          <reference field="1" count="1" selected="0">
            <x v="14"/>
          </reference>
          <reference field="5" count="0" selected="0"/>
          <reference field="7" count="1" selected="0">
            <x v="0"/>
          </reference>
          <reference field="22" count="1">
            <x v="0"/>
          </reference>
        </references>
      </pivotArea>
    </format>
    <format dxfId="2">
      <pivotArea dataOnly="0" labelOnly="1" outline="0" fieldPosition="0">
        <references count="5">
          <reference field="0" count="1" selected="0">
            <x v="1"/>
          </reference>
          <reference field="1" count="1" selected="0">
            <x v="17"/>
          </reference>
          <reference field="5" count="0" selected="0"/>
          <reference field="7" count="1" selected="0">
            <x v="0"/>
          </reference>
          <reference field="22" count="1">
            <x v="0"/>
          </reference>
        </references>
      </pivotArea>
    </format>
    <format dxfId="1">
      <pivotArea dataOnly="0" labelOnly="1" outline="0" fieldPosition="0">
        <references count="1">
          <reference field="12"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8"/>
  <sheetViews>
    <sheetView showGridLines="0" topLeftCell="A3" workbookViewId="0">
      <selection activeCell="C5" sqref="C5"/>
    </sheetView>
  </sheetViews>
  <sheetFormatPr defaultRowHeight="14.5"/>
  <cols>
    <col min="2" max="2" width="18.453125" bestFit="1" customWidth="1"/>
    <col min="3" max="3" width="17.90625" bestFit="1" customWidth="1"/>
    <col min="4" max="4" width="18.54296875" customWidth="1"/>
    <col min="5" max="5" width="10.453125" bestFit="1" customWidth="1"/>
    <col min="6" max="6" width="13.08984375" bestFit="1" customWidth="1"/>
    <col min="7" max="7" width="11.08984375" bestFit="1" customWidth="1"/>
    <col min="8" max="8" width="14.1796875" customWidth="1"/>
  </cols>
  <sheetData>
    <row r="2" spans="2:8" ht="21">
      <c r="B2" s="74" t="s">
        <v>0</v>
      </c>
      <c r="C2" s="74"/>
      <c r="D2" s="74"/>
      <c r="E2" s="74"/>
      <c r="F2" s="74"/>
      <c r="G2" s="74"/>
    </row>
    <row r="3" spans="2:8">
      <c r="B3" s="47" t="s">
        <v>1</v>
      </c>
      <c r="C3" s="47" t="s">
        <v>2</v>
      </c>
      <c r="D3" s="8"/>
      <c r="E3" s="8"/>
      <c r="F3" s="8"/>
      <c r="G3" s="8"/>
    </row>
    <row r="4" spans="2:8">
      <c r="B4" s="48" t="s">
        <v>3</v>
      </c>
      <c r="C4" s="49" t="s">
        <v>4</v>
      </c>
      <c r="D4" s="49" t="s">
        <v>5</v>
      </c>
      <c r="E4" s="49" t="s">
        <v>6</v>
      </c>
      <c r="F4" s="49" t="s">
        <v>7</v>
      </c>
      <c r="G4" s="49" t="s">
        <v>8</v>
      </c>
    </row>
    <row r="5" spans="2:8">
      <c r="B5" s="2" t="s">
        <v>9</v>
      </c>
      <c r="C5" s="44">
        <v>-83810.970635328427</v>
      </c>
      <c r="D5" s="44">
        <v>1355.4480465293163</v>
      </c>
      <c r="E5" s="44">
        <v>195.88065556255174</v>
      </c>
      <c r="F5" s="44">
        <v>261.09528088113177</v>
      </c>
      <c r="G5" s="44">
        <v>-81998.546652355435</v>
      </c>
    </row>
    <row r="6" spans="2:8">
      <c r="B6" s="2" t="s">
        <v>10</v>
      </c>
      <c r="C6" s="44">
        <v>-20153.441340362693</v>
      </c>
      <c r="D6" s="44">
        <v>3210.4103162525685</v>
      </c>
      <c r="E6" s="44">
        <v>4528.72</v>
      </c>
      <c r="F6" s="44">
        <v>18506.89</v>
      </c>
      <c r="G6" s="44">
        <v>6092.5789758898754</v>
      </c>
    </row>
    <row r="7" spans="2:8">
      <c r="B7" s="2" t="s">
        <v>11</v>
      </c>
      <c r="C7" s="44">
        <v>44723</v>
      </c>
      <c r="D7" s="44">
        <v>2500</v>
      </c>
      <c r="E7" s="44">
        <v>2500</v>
      </c>
      <c r="F7" s="44">
        <v>9.4899999999997817</v>
      </c>
      <c r="G7" s="44">
        <v>49732.49</v>
      </c>
    </row>
    <row r="8" spans="2:8">
      <c r="B8" s="75" t="s">
        <v>12</v>
      </c>
      <c r="C8" s="49">
        <v>158652.40413281589</v>
      </c>
      <c r="D8" s="49">
        <v>-27282.831370302811</v>
      </c>
      <c r="E8" s="49">
        <v>8582.483013668585</v>
      </c>
      <c r="F8" s="49">
        <v>105756.5130772492</v>
      </c>
      <c r="G8" s="49">
        <v>245708.56885343086</v>
      </c>
    </row>
    <row r="9" spans="2:8">
      <c r="B9" s="2" t="s">
        <v>830</v>
      </c>
      <c r="C9" s="44">
        <v>12704.171388479745</v>
      </c>
      <c r="D9" s="44">
        <v>19035.871079874294</v>
      </c>
      <c r="E9" s="44">
        <v>-96</v>
      </c>
      <c r="F9" s="44">
        <v>-150</v>
      </c>
      <c r="G9" s="44">
        <v>31494.04246835404</v>
      </c>
    </row>
    <row r="10" spans="2:8">
      <c r="B10" s="2" t="s">
        <v>8</v>
      </c>
      <c r="C10" s="44">
        <v>112115.16354560452</v>
      </c>
      <c r="D10" s="44">
        <v>-1181.1019276466322</v>
      </c>
      <c r="E10" s="44">
        <v>15711.083669231137</v>
      </c>
      <c r="F10" s="44">
        <v>124383.98835813033</v>
      </c>
      <c r="G10" s="44">
        <v>251029.13364531935</v>
      </c>
    </row>
    <row r="11" spans="2:8">
      <c r="B11" s="8"/>
      <c r="C11" s="77"/>
      <c r="D11" s="77"/>
      <c r="E11" s="77"/>
      <c r="F11" s="77"/>
      <c r="G11" s="77"/>
    </row>
    <row r="12" spans="2:8">
      <c r="B12" s="8"/>
      <c r="C12" s="77"/>
      <c r="D12" s="77"/>
      <c r="E12" s="77"/>
      <c r="F12" s="77"/>
      <c r="G12" s="77"/>
    </row>
    <row r="13" spans="2:8" ht="21">
      <c r="B13" s="76" t="s">
        <v>13</v>
      </c>
      <c r="C13" s="76"/>
      <c r="D13" s="76"/>
      <c r="E13" s="76"/>
      <c r="F13" s="76"/>
      <c r="G13" s="76"/>
      <c r="H13" s="73"/>
    </row>
    <row r="14" spans="2:8" ht="29">
      <c r="B14" s="37" t="s">
        <v>14</v>
      </c>
      <c r="C14" s="80" t="s">
        <v>4</v>
      </c>
      <c r="D14" s="80" t="s">
        <v>5</v>
      </c>
      <c r="E14" s="80" t="s">
        <v>6</v>
      </c>
      <c r="F14" s="80" t="s">
        <v>7</v>
      </c>
      <c r="G14" s="80" t="s">
        <v>8</v>
      </c>
      <c r="H14" s="81" t="s">
        <v>15</v>
      </c>
    </row>
    <row r="15" spans="2:8">
      <c r="B15" s="38" t="s">
        <v>9</v>
      </c>
      <c r="C15" s="82">
        <f>GETPIVOTDATA("USD AMOUNT",$B$3,"Region","EU/UK","Ageing Tier","0-30 days")</f>
        <v>-83810.970635328427</v>
      </c>
      <c r="D15" s="82">
        <f>GETPIVOTDATA("USD AMOUNT",$B$3,"Region","EU/UK","Ageing Tier","31-60 days")</f>
        <v>1355.4480465293163</v>
      </c>
      <c r="E15" s="82">
        <f>GETPIVOTDATA("USD AMOUNT",$B$3,"Region","EU/UK","Ageing Tier","61-90 days")</f>
        <v>195.88065556255174</v>
      </c>
      <c r="F15" s="82">
        <f>GETPIVOTDATA("USD AMOUNT",$B$3,"Region","EU/UK","Ageing Tier","Over 90+ days")</f>
        <v>261.09528088113177</v>
      </c>
      <c r="G15" s="82">
        <f>SUM(C15:F15)</f>
        <v>-81998.546652355435</v>
      </c>
      <c r="H15" s="83">
        <f>G15/G19</f>
        <v>-0.37350997607146608</v>
      </c>
    </row>
    <row r="16" spans="2:8">
      <c r="B16" s="38" t="s">
        <v>10</v>
      </c>
      <c r="C16" s="82">
        <f>GETPIVOTDATA("USD AMOUNT",$B$3,"Region","USA","Ageing Tier","0-30 days")</f>
        <v>-20153.441340362693</v>
      </c>
      <c r="D16" s="82">
        <f>GETPIVOTDATA("USD AMOUNT",$B$3,"Region","USA","Ageing Tier","31-60 days")</f>
        <v>3210.4103162525685</v>
      </c>
      <c r="E16" s="82">
        <f>GETPIVOTDATA("USD AMOUNT",$B$3,"Region","USA","Ageing Tier","61-90 days")</f>
        <v>4528.72</v>
      </c>
      <c r="F16" s="82">
        <f>GETPIVOTDATA("USD AMOUNT",$B$3,"Region","USA","Ageing Tier","Over 90+ days")</f>
        <v>18506.89</v>
      </c>
      <c r="G16" s="82">
        <f t="shared" ref="G16:G17" si="0">SUM(C16:F16)</f>
        <v>6092.5789758898754</v>
      </c>
      <c r="H16" s="83">
        <f>G16/G19</f>
        <v>2.7752187330173567E-2</v>
      </c>
    </row>
    <row r="17" spans="2:8">
      <c r="B17" s="38" t="s">
        <v>11</v>
      </c>
      <c r="C17" s="82">
        <f>GETPIVOTDATA("USD AMOUNT",$B$3,"Region","ME","Ageing Tier","0-30 days")</f>
        <v>44723</v>
      </c>
      <c r="D17" s="82">
        <f>GETPIVOTDATA("USD AMOUNT",$B$3,"Region","ME","Ageing Tier","31-60 days")</f>
        <v>2500</v>
      </c>
      <c r="E17" s="82">
        <f>GETPIVOTDATA("USD AMOUNT",$B$3,"Region","ME","Ageing Tier","61-90 days")</f>
        <v>2500</v>
      </c>
      <c r="F17" s="82">
        <f>GETPIVOTDATA("USD AMOUNT",$B$3,"Region","ME","Ageing Tier","Over 90+ days")</f>
        <v>9.4899999999997817</v>
      </c>
      <c r="G17" s="82">
        <f t="shared" si="0"/>
        <v>49732.49</v>
      </c>
      <c r="H17" s="83">
        <f>G17/G19</f>
        <v>0.22653549249632751</v>
      </c>
    </row>
    <row r="18" spans="2:8">
      <c r="B18" s="38" t="s">
        <v>12</v>
      </c>
      <c r="C18" s="82">
        <f>GETPIVOTDATA("USD AMOUNT",$B$3,"Region","APAC","Ageing Tier","0-30 days")</f>
        <v>158652.40413281589</v>
      </c>
      <c r="D18" s="82">
        <f>GETPIVOTDATA("USD AMOUNT",$B$3,"Region","APAC","Ageing Tier","31-60 days")</f>
        <v>-27282.831370302811</v>
      </c>
      <c r="E18" s="82">
        <f>GETPIVOTDATA("USD AMOUNT",$B$3,"Region","APAC","Ageing Tier","61-90 days")</f>
        <v>8582.483013668585</v>
      </c>
      <c r="F18" s="82">
        <f>GETPIVOTDATA("USD AMOUNT",$B$3,"Region","APAC","Ageing Tier","Over 90+ days")</f>
        <v>105756.5130772492</v>
      </c>
      <c r="G18" s="82">
        <f>GETPIVOTDATA("USD AMOUNT",$B$3,"Region","APAC")</f>
        <v>245708.56885343086</v>
      </c>
      <c r="H18" s="83">
        <f>G18/G19</f>
        <v>1.1192222962449649</v>
      </c>
    </row>
    <row r="19" spans="2:8">
      <c r="B19" s="38" t="s">
        <v>8</v>
      </c>
      <c r="C19" s="84">
        <f>SUM(C15:C18)</f>
        <v>99410.992157124769</v>
      </c>
      <c r="D19" s="84">
        <f t="shared" ref="D19:G19" si="1">SUM(D15:D18)</f>
        <v>-20216.973007520926</v>
      </c>
      <c r="E19" s="84">
        <f t="shared" si="1"/>
        <v>15807.083669231137</v>
      </c>
      <c r="F19" s="84">
        <f t="shared" si="1"/>
        <v>124533.98835813033</v>
      </c>
      <c r="G19" s="84">
        <f t="shared" si="1"/>
        <v>219535.0911769653</v>
      </c>
      <c r="H19" s="83">
        <v>1</v>
      </c>
    </row>
    <row r="20" spans="2:8" ht="29">
      <c r="B20" s="39" t="s">
        <v>16</v>
      </c>
      <c r="C20" s="14">
        <f>C19/G19</f>
        <v>0.45282506602550587</v>
      </c>
      <c r="D20" s="14">
        <f>D19/G19</f>
        <v>-9.208993832892165E-2</v>
      </c>
      <c r="E20" s="14">
        <f>E19/G19</f>
        <v>7.2002537655764504E-2</v>
      </c>
      <c r="F20" s="14">
        <f>F19/G19</f>
        <v>0.5672623346476513</v>
      </c>
      <c r="G20" s="14">
        <v>1</v>
      </c>
      <c r="H20" s="40"/>
    </row>
    <row r="21" spans="2:8">
      <c r="B21" s="78"/>
      <c r="C21" s="79"/>
      <c r="D21" s="79"/>
      <c r="E21" s="79"/>
      <c r="F21" s="79"/>
      <c r="G21" s="79"/>
      <c r="H21" s="79"/>
    </row>
    <row r="22" spans="2:8">
      <c r="B22" s="3" t="s">
        <v>17</v>
      </c>
      <c r="C22" s="3" t="s">
        <v>18</v>
      </c>
      <c r="D22" s="3" t="s">
        <v>19</v>
      </c>
      <c r="E22" t="s">
        <v>20</v>
      </c>
    </row>
    <row r="23" spans="2:8">
      <c r="B23" t="s">
        <v>21</v>
      </c>
      <c r="C23" t="s">
        <v>22</v>
      </c>
      <c r="D23" t="s">
        <v>23</v>
      </c>
      <c r="E23" s="46">
        <v>-68</v>
      </c>
      <c r="F23" s="41"/>
    </row>
    <row r="24" spans="2:8">
      <c r="B24" t="s">
        <v>24</v>
      </c>
      <c r="C24" t="s">
        <v>22</v>
      </c>
      <c r="D24" t="s">
        <v>25</v>
      </c>
      <c r="E24" s="46">
        <v>-298</v>
      </c>
      <c r="F24" s="41"/>
    </row>
    <row r="25" spans="2:8">
      <c r="B25" t="s">
        <v>26</v>
      </c>
      <c r="C25" t="s">
        <v>27</v>
      </c>
      <c r="D25" t="s">
        <v>28</v>
      </c>
      <c r="E25" s="46">
        <v>-7908.3063000000111</v>
      </c>
      <c r="F25" s="41"/>
    </row>
    <row r="26" spans="2:8">
      <c r="B26" t="s">
        <v>29</v>
      </c>
      <c r="C26" t="s">
        <v>30</v>
      </c>
      <c r="D26" t="s">
        <v>28</v>
      </c>
      <c r="E26" s="46">
        <v>-85143.008119189122</v>
      </c>
    </row>
    <row r="27" spans="2:8">
      <c r="B27" t="s">
        <v>31</v>
      </c>
      <c r="C27" t="s">
        <v>32</v>
      </c>
      <c r="D27" t="s">
        <v>33</v>
      </c>
      <c r="E27" s="46">
        <v>-152.90999999999985</v>
      </c>
    </row>
    <row r="28" spans="2:8">
      <c r="B28" t="s">
        <v>34</v>
      </c>
      <c r="C28" t="s">
        <v>35</v>
      </c>
      <c r="D28" t="s">
        <v>36</v>
      </c>
      <c r="E28" s="46">
        <v>-105.02</v>
      </c>
    </row>
    <row r="29" spans="2:8">
      <c r="B29" t="s">
        <v>8</v>
      </c>
      <c r="E29" s="46">
        <v>-93675.244419189141</v>
      </c>
    </row>
    <row r="31" spans="2:8">
      <c r="E31" s="46"/>
    </row>
    <row r="32" spans="2:8">
      <c r="B32" s="50" t="s">
        <v>37</v>
      </c>
      <c r="C32" s="50" t="s">
        <v>38</v>
      </c>
      <c r="D32" s="50" t="s">
        <v>39</v>
      </c>
    </row>
    <row r="33" spans="2:4">
      <c r="B33" s="51" t="s">
        <v>21</v>
      </c>
      <c r="C33" s="51" t="s">
        <v>23</v>
      </c>
      <c r="D33" s="60">
        <v>-68</v>
      </c>
    </row>
    <row r="34" spans="2:4">
      <c r="B34" s="51" t="s">
        <v>24</v>
      </c>
      <c r="C34" s="51" t="s">
        <v>25</v>
      </c>
      <c r="D34" s="60">
        <v>-298</v>
      </c>
    </row>
    <row r="35" spans="2:4">
      <c r="B35" s="51" t="s">
        <v>26</v>
      </c>
      <c r="C35" s="51" t="s">
        <v>28</v>
      </c>
      <c r="D35" s="60">
        <v>-7908.3063000000111</v>
      </c>
    </row>
    <row r="36" spans="2:4">
      <c r="B36" s="51" t="s">
        <v>29</v>
      </c>
      <c r="C36" s="51" t="s">
        <v>30</v>
      </c>
      <c r="D36" s="60">
        <v>-85143.008119189122</v>
      </c>
    </row>
    <row r="37" spans="2:4" ht="15" thickBot="1">
      <c r="C37" s="52" t="s">
        <v>40</v>
      </c>
      <c r="D37" s="53">
        <f>SUM(D33:D36)</f>
        <v>-93417.314419189133</v>
      </c>
    </row>
    <row r="38"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U38"/>
  <sheetViews>
    <sheetView zoomScale="80" zoomScaleNormal="80" workbookViewId="0">
      <selection activeCell="K12" sqref="K12"/>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6328125" bestFit="1" customWidth="1"/>
    <col min="10" max="20" width="9.08984375" bestFit="1" customWidth="1"/>
    <col min="21" max="24" width="10.81640625" bestFit="1" customWidth="1"/>
    <col min="25" max="25" width="11.26953125" bestFit="1" customWidth="1"/>
  </cols>
  <sheetData>
    <row r="3" spans="1:21">
      <c r="A3" t="s">
        <v>1</v>
      </c>
      <c r="J3" t="s">
        <v>41</v>
      </c>
    </row>
    <row r="4" spans="1:21">
      <c r="A4" t="s">
        <v>37</v>
      </c>
      <c r="B4" t="s">
        <v>14</v>
      </c>
      <c r="C4" t="s">
        <v>42</v>
      </c>
      <c r="D4" t="s">
        <v>43</v>
      </c>
      <c r="E4" t="s">
        <v>44</v>
      </c>
      <c r="F4" t="s">
        <v>45</v>
      </c>
      <c r="G4" t="s">
        <v>18</v>
      </c>
      <c r="H4" t="s">
        <v>19</v>
      </c>
      <c r="I4" t="s">
        <v>46</v>
      </c>
      <c r="J4" t="s">
        <v>47</v>
      </c>
      <c r="K4" t="s">
        <v>48</v>
      </c>
      <c r="L4" t="s">
        <v>957</v>
      </c>
      <c r="M4" t="s">
        <v>958</v>
      </c>
      <c r="N4" t="s">
        <v>49</v>
      </c>
      <c r="O4" t="s">
        <v>50</v>
      </c>
      <c r="P4" t="s">
        <v>51</v>
      </c>
      <c r="Q4" t="s">
        <v>52</v>
      </c>
      <c r="R4" t="s">
        <v>959</v>
      </c>
      <c r="S4" t="s">
        <v>960</v>
      </c>
      <c r="T4" t="s">
        <v>53</v>
      </c>
      <c r="U4" t="s">
        <v>8</v>
      </c>
    </row>
    <row r="5" spans="1:21">
      <c r="A5" t="s">
        <v>29</v>
      </c>
      <c r="B5" t="s">
        <v>12</v>
      </c>
      <c r="C5" t="s">
        <v>61</v>
      </c>
      <c r="D5" t="s">
        <v>56</v>
      </c>
      <c r="E5" t="s">
        <v>57</v>
      </c>
      <c r="F5" t="s">
        <v>78</v>
      </c>
      <c r="G5" t="s">
        <v>30</v>
      </c>
      <c r="H5" t="s">
        <v>28</v>
      </c>
      <c r="I5">
        <v>2026</v>
      </c>
      <c r="J5" s="4">
        <v>-85143.008119189122</v>
      </c>
      <c r="K5" s="4">
        <v>-18657.243799144137</v>
      </c>
      <c r="L5" s="4"/>
      <c r="M5" s="4"/>
      <c r="N5" s="4"/>
      <c r="O5" s="4"/>
      <c r="P5" s="4"/>
      <c r="Q5" s="4"/>
      <c r="R5" s="4"/>
      <c r="S5" s="4"/>
      <c r="T5" s="4"/>
      <c r="U5" s="4">
        <v>-103800.25191833326</v>
      </c>
    </row>
    <row r="6" spans="1:21">
      <c r="A6" t="s">
        <v>205</v>
      </c>
      <c r="B6" t="s">
        <v>12</v>
      </c>
      <c r="C6" t="s">
        <v>55</v>
      </c>
      <c r="D6" t="s">
        <v>56</v>
      </c>
      <c r="E6" t="s">
        <v>57</v>
      </c>
      <c r="F6" t="s">
        <v>58</v>
      </c>
      <c r="G6" t="s">
        <v>734</v>
      </c>
      <c r="H6" t="s">
        <v>827</v>
      </c>
      <c r="I6">
        <v>2026</v>
      </c>
      <c r="J6" s="4">
        <v>356.96162892151295</v>
      </c>
      <c r="K6" s="4">
        <v>329.55542114969433</v>
      </c>
      <c r="L6" s="4"/>
      <c r="M6" s="4"/>
      <c r="N6" s="4"/>
      <c r="O6" s="4"/>
      <c r="P6" s="4"/>
      <c r="Q6" s="4"/>
      <c r="R6" s="4"/>
      <c r="S6" s="4"/>
      <c r="T6" s="4"/>
      <c r="U6" s="4">
        <v>686.51705007120722</v>
      </c>
    </row>
    <row r="7" spans="1:21">
      <c r="A7" t="s">
        <v>112</v>
      </c>
      <c r="B7" t="s">
        <v>12</v>
      </c>
      <c r="C7" t="s">
        <v>61</v>
      </c>
      <c r="D7" t="s">
        <v>56</v>
      </c>
      <c r="E7" t="s">
        <v>57</v>
      </c>
      <c r="F7" t="s">
        <v>118</v>
      </c>
      <c r="G7" t="s">
        <v>36</v>
      </c>
      <c r="H7" t="s">
        <v>74</v>
      </c>
      <c r="I7">
        <v>2024</v>
      </c>
      <c r="J7" s="4"/>
      <c r="K7" s="4"/>
      <c r="L7" s="4"/>
      <c r="M7" s="4"/>
      <c r="N7" s="4"/>
      <c r="O7" s="4"/>
      <c r="P7" s="4">
        <v>5500</v>
      </c>
      <c r="Q7" s="4"/>
      <c r="R7" s="4"/>
      <c r="S7" s="4"/>
      <c r="T7" s="4"/>
      <c r="U7" s="4">
        <v>5500</v>
      </c>
    </row>
    <row r="8" spans="1:21">
      <c r="A8" t="s">
        <v>112</v>
      </c>
      <c r="B8" t="s">
        <v>12</v>
      </c>
      <c r="C8" t="s">
        <v>61</v>
      </c>
      <c r="D8" t="s">
        <v>56</v>
      </c>
      <c r="E8" t="s">
        <v>57</v>
      </c>
      <c r="F8" t="s">
        <v>118</v>
      </c>
      <c r="G8" t="s">
        <v>36</v>
      </c>
      <c r="H8" t="s">
        <v>74</v>
      </c>
      <c r="I8">
        <v>2025</v>
      </c>
      <c r="J8" s="4">
        <v>9930</v>
      </c>
      <c r="K8" s="4">
        <v>10000</v>
      </c>
      <c r="L8" s="4">
        <v>10000</v>
      </c>
      <c r="M8" s="4">
        <v>10000</v>
      </c>
      <c r="N8" s="4"/>
      <c r="O8" s="4"/>
      <c r="P8" s="4"/>
      <c r="Q8" s="4"/>
      <c r="R8" s="4">
        <v>10000</v>
      </c>
      <c r="S8" s="4"/>
      <c r="T8" s="4"/>
      <c r="U8" s="4">
        <v>49930</v>
      </c>
    </row>
    <row r="9" spans="1:21">
      <c r="A9" t="s">
        <v>126</v>
      </c>
      <c r="B9" t="s">
        <v>12</v>
      </c>
      <c r="C9" t="s">
        <v>61</v>
      </c>
      <c r="D9" t="s">
        <v>56</v>
      </c>
      <c r="E9" t="s">
        <v>57</v>
      </c>
      <c r="F9" t="s">
        <v>130</v>
      </c>
      <c r="G9" t="s">
        <v>734</v>
      </c>
      <c r="H9" t="s">
        <v>36</v>
      </c>
      <c r="I9">
        <v>2025</v>
      </c>
      <c r="J9" s="4"/>
      <c r="K9" s="4"/>
      <c r="L9" s="4"/>
      <c r="M9" s="4"/>
      <c r="N9" s="4">
        <v>4495.6247766902861</v>
      </c>
      <c r="O9" s="4">
        <v>4473.4151764140934</v>
      </c>
      <c r="P9" s="4">
        <v>4586.6382792659679</v>
      </c>
      <c r="Q9" s="4">
        <v>4550.0558709014676</v>
      </c>
      <c r="R9" s="4"/>
      <c r="S9" s="4">
        <v>1319.9063350274675</v>
      </c>
      <c r="T9" s="4">
        <v>4600.2592748113921</v>
      </c>
      <c r="U9" s="4">
        <v>24025.899713110677</v>
      </c>
    </row>
    <row r="10" spans="1:21">
      <c r="A10" t="s">
        <v>126</v>
      </c>
      <c r="B10" t="s">
        <v>12</v>
      </c>
      <c r="C10" t="s">
        <v>61</v>
      </c>
      <c r="D10" t="s">
        <v>56</v>
      </c>
      <c r="E10" t="s">
        <v>57</v>
      </c>
      <c r="F10" t="s">
        <v>130</v>
      </c>
      <c r="G10" t="s">
        <v>734</v>
      </c>
      <c r="H10" t="s">
        <v>36</v>
      </c>
      <c r="I10">
        <v>2026</v>
      </c>
      <c r="J10" s="4">
        <v>4749.1389118097732</v>
      </c>
      <c r="K10" s="4"/>
      <c r="L10" s="4"/>
      <c r="M10" s="4"/>
      <c r="N10" s="4"/>
      <c r="O10" s="4"/>
      <c r="P10" s="4"/>
      <c r="Q10" s="4"/>
      <c r="R10" s="4"/>
      <c r="S10" s="4"/>
      <c r="T10" s="4"/>
      <c r="U10" s="4">
        <v>4749.1389118097732</v>
      </c>
    </row>
    <row r="11" spans="1:21">
      <c r="A11" t="s">
        <v>211</v>
      </c>
      <c r="B11" t="s">
        <v>12</v>
      </c>
      <c r="C11" t="s">
        <v>61</v>
      </c>
      <c r="D11" t="s">
        <v>56</v>
      </c>
      <c r="E11" t="s">
        <v>57</v>
      </c>
      <c r="F11" t="s">
        <v>58</v>
      </c>
      <c r="G11" t="s">
        <v>36</v>
      </c>
      <c r="H11" t="s">
        <v>74</v>
      </c>
      <c r="I11">
        <v>2026</v>
      </c>
      <c r="J11" s="4">
        <v>2105.476800862958</v>
      </c>
      <c r="K11" s="4">
        <v>2105.476800862958</v>
      </c>
      <c r="L11" s="4"/>
      <c r="M11" s="4"/>
      <c r="N11" s="4"/>
      <c r="O11" s="4"/>
      <c r="P11" s="4"/>
      <c r="Q11" s="4"/>
      <c r="R11" s="4"/>
      <c r="S11" s="4"/>
      <c r="T11" s="4"/>
      <c r="U11" s="4">
        <v>4210.9536017259161</v>
      </c>
    </row>
    <row r="12" spans="1:21">
      <c r="A12" t="s">
        <v>197</v>
      </c>
      <c r="B12" t="s">
        <v>12</v>
      </c>
      <c r="C12" t="s">
        <v>61</v>
      </c>
      <c r="D12" t="s">
        <v>56</v>
      </c>
      <c r="E12" t="s">
        <v>57</v>
      </c>
      <c r="F12" t="s">
        <v>58</v>
      </c>
      <c r="G12" t="s">
        <v>734</v>
      </c>
      <c r="H12" t="s">
        <v>74</v>
      </c>
      <c r="I12">
        <v>2025</v>
      </c>
      <c r="J12" s="4"/>
      <c r="K12" s="4"/>
      <c r="L12" s="4"/>
      <c r="M12" s="4"/>
      <c r="N12" s="4"/>
      <c r="O12" s="4"/>
      <c r="P12" s="4"/>
      <c r="Q12" s="4">
        <v>137.8233732889212</v>
      </c>
      <c r="R12" s="4"/>
      <c r="S12" s="4"/>
      <c r="T12" s="4"/>
      <c r="U12" s="4">
        <v>137.8233732889212</v>
      </c>
    </row>
    <row r="13" spans="1:21">
      <c r="A13" t="s">
        <v>197</v>
      </c>
      <c r="B13" t="s">
        <v>12</v>
      </c>
      <c r="C13" t="s">
        <v>61</v>
      </c>
      <c r="D13" t="s">
        <v>56</v>
      </c>
      <c r="E13" t="s">
        <v>57</v>
      </c>
      <c r="F13" t="s">
        <v>58</v>
      </c>
      <c r="G13" t="s">
        <v>734</v>
      </c>
      <c r="H13" t="s">
        <v>74</v>
      </c>
      <c r="I13">
        <v>2026</v>
      </c>
      <c r="J13" s="4">
        <v>3439.8135182251167</v>
      </c>
      <c r="K13" s="4"/>
      <c r="L13" s="4"/>
      <c r="M13" s="4"/>
      <c r="N13" s="4"/>
      <c r="O13" s="4"/>
      <c r="P13" s="4"/>
      <c r="Q13" s="4"/>
      <c r="R13" s="4"/>
      <c r="S13" s="4"/>
      <c r="T13" s="4"/>
      <c r="U13" s="4">
        <v>3439.8135182251167</v>
      </c>
    </row>
    <row r="14" spans="1:21">
      <c r="A14" t="s">
        <v>300</v>
      </c>
      <c r="B14" t="s">
        <v>12</v>
      </c>
      <c r="C14" t="s">
        <v>61</v>
      </c>
      <c r="D14" t="s">
        <v>56</v>
      </c>
      <c r="E14" t="s">
        <v>57</v>
      </c>
      <c r="F14" t="s">
        <v>78</v>
      </c>
      <c r="G14" t="s">
        <v>766</v>
      </c>
      <c r="H14" t="s">
        <v>36</v>
      </c>
      <c r="I14">
        <v>2026</v>
      </c>
      <c r="J14" s="4"/>
      <c r="K14" s="4">
        <v>10000</v>
      </c>
      <c r="L14" s="4"/>
      <c r="M14" s="4"/>
      <c r="N14" s="4"/>
      <c r="O14" s="4"/>
      <c r="P14" s="4"/>
      <c r="Q14" s="4"/>
      <c r="R14" s="4"/>
      <c r="S14" s="4"/>
      <c r="T14" s="4"/>
      <c r="U14" s="4">
        <v>10000</v>
      </c>
    </row>
    <row r="15" spans="1:21">
      <c r="A15" t="s">
        <v>148</v>
      </c>
      <c r="B15" t="s">
        <v>12</v>
      </c>
      <c r="C15" t="s">
        <v>61</v>
      </c>
      <c r="D15" t="s">
        <v>56</v>
      </c>
      <c r="E15" t="s">
        <v>57</v>
      </c>
      <c r="F15" t="s">
        <v>151</v>
      </c>
      <c r="G15" t="s">
        <v>734</v>
      </c>
      <c r="H15" t="s">
        <v>74</v>
      </c>
      <c r="I15">
        <v>2025</v>
      </c>
      <c r="J15" s="4"/>
      <c r="K15" s="4"/>
      <c r="L15" s="4"/>
      <c r="M15" s="4"/>
      <c r="N15" s="4">
        <v>919.11259138465959</v>
      </c>
      <c r="O15" s="4">
        <v>1730.6282888314197</v>
      </c>
      <c r="P15" s="4">
        <v>1729.4968879431976</v>
      </c>
      <c r="Q15" s="4">
        <v>2284.082824630409</v>
      </c>
      <c r="R15" s="4"/>
      <c r="S15" s="4"/>
      <c r="T15" s="4"/>
      <c r="U15" s="4">
        <v>6663.3205927896861</v>
      </c>
    </row>
    <row r="16" spans="1:21">
      <c r="A16" t="s">
        <v>148</v>
      </c>
      <c r="B16" t="s">
        <v>12</v>
      </c>
      <c r="C16" t="s">
        <v>61</v>
      </c>
      <c r="D16" t="s">
        <v>56</v>
      </c>
      <c r="E16" t="s">
        <v>57</v>
      </c>
      <c r="F16" t="s">
        <v>151</v>
      </c>
      <c r="G16" t="s">
        <v>734</v>
      </c>
      <c r="H16" t="s">
        <v>74</v>
      </c>
      <c r="I16">
        <v>2026</v>
      </c>
      <c r="J16" s="4">
        <v>3603.6651371549779</v>
      </c>
      <c r="K16" s="4">
        <v>2576.0277692104773</v>
      </c>
      <c r="L16" s="4"/>
      <c r="M16" s="4"/>
      <c r="N16" s="4"/>
      <c r="O16" s="4"/>
      <c r="P16" s="4"/>
      <c r="Q16" s="4"/>
      <c r="R16" s="4"/>
      <c r="S16" s="4"/>
      <c r="T16" s="4"/>
      <c r="U16" s="4">
        <v>6179.6929063654552</v>
      </c>
    </row>
    <row r="17" spans="1:21">
      <c r="A17" t="s">
        <v>141</v>
      </c>
      <c r="B17" t="s">
        <v>12</v>
      </c>
      <c r="C17" t="s">
        <v>55</v>
      </c>
      <c r="D17" t="s">
        <v>56</v>
      </c>
      <c r="E17" t="s">
        <v>57</v>
      </c>
      <c r="F17" t="s">
        <v>58</v>
      </c>
      <c r="G17" t="s">
        <v>833</v>
      </c>
      <c r="H17" t="s">
        <v>36</v>
      </c>
      <c r="I17">
        <v>2025</v>
      </c>
      <c r="J17" s="4"/>
      <c r="K17" s="4"/>
      <c r="L17" s="4"/>
      <c r="M17" s="4"/>
      <c r="N17" s="4"/>
      <c r="O17" s="4">
        <v>5.6508548239204046</v>
      </c>
      <c r="P17" s="4"/>
      <c r="Q17" s="4">
        <v>5.6508548239204046</v>
      </c>
      <c r="R17" s="4"/>
      <c r="S17" s="4"/>
      <c r="T17" s="4"/>
      <c r="U17" s="4">
        <v>11.301709647840809</v>
      </c>
    </row>
    <row r="18" spans="1:21">
      <c r="A18" t="s">
        <v>156</v>
      </c>
      <c r="B18" t="s">
        <v>12</v>
      </c>
      <c r="C18" t="s">
        <v>61</v>
      </c>
      <c r="D18" t="s">
        <v>56</v>
      </c>
      <c r="E18" t="s">
        <v>57</v>
      </c>
      <c r="F18" t="s">
        <v>58</v>
      </c>
      <c r="G18" t="s">
        <v>30</v>
      </c>
      <c r="H18" t="s">
        <v>74</v>
      </c>
      <c r="I18">
        <v>2025</v>
      </c>
      <c r="J18" s="4"/>
      <c r="K18" s="4"/>
      <c r="L18" s="4"/>
      <c r="M18" s="4"/>
      <c r="N18" s="4"/>
      <c r="O18" s="4">
        <v>2756.75</v>
      </c>
      <c r="P18" s="4">
        <v>2743</v>
      </c>
      <c r="Q18" s="4">
        <v>2034</v>
      </c>
      <c r="R18" s="4"/>
      <c r="S18" s="4"/>
      <c r="T18" s="4"/>
      <c r="U18" s="4">
        <v>7533.75</v>
      </c>
    </row>
    <row r="19" spans="1:21">
      <c r="A19" t="s">
        <v>156</v>
      </c>
      <c r="B19" t="s">
        <v>12</v>
      </c>
      <c r="C19" t="s">
        <v>61</v>
      </c>
      <c r="D19" t="s">
        <v>56</v>
      </c>
      <c r="E19" t="s">
        <v>57</v>
      </c>
      <c r="F19" t="s">
        <v>58</v>
      </c>
      <c r="G19" t="s">
        <v>30</v>
      </c>
      <c r="H19" t="s">
        <v>74</v>
      </c>
      <c r="I19">
        <v>2026</v>
      </c>
      <c r="J19" s="4">
        <v>2965</v>
      </c>
      <c r="K19" s="4">
        <v>2963.5</v>
      </c>
      <c r="L19" s="4"/>
      <c r="M19" s="4"/>
      <c r="N19" s="4"/>
      <c r="O19" s="4"/>
      <c r="P19" s="4"/>
      <c r="Q19" s="4"/>
      <c r="R19" s="4"/>
      <c r="S19" s="4"/>
      <c r="T19" s="4"/>
      <c r="U19" s="4">
        <v>5928.5</v>
      </c>
    </row>
    <row r="20" spans="1:21">
      <c r="A20" t="s">
        <v>26</v>
      </c>
      <c r="B20" t="s">
        <v>12</v>
      </c>
      <c r="C20" t="s">
        <v>61</v>
      </c>
      <c r="D20" t="s">
        <v>56</v>
      </c>
      <c r="E20" t="s">
        <v>57</v>
      </c>
      <c r="F20" t="s">
        <v>133</v>
      </c>
      <c r="G20" t="s">
        <v>27</v>
      </c>
      <c r="H20" t="s">
        <v>28</v>
      </c>
      <c r="I20">
        <v>2025</v>
      </c>
      <c r="J20" s="4"/>
      <c r="K20" s="4"/>
      <c r="L20" s="4"/>
      <c r="M20" s="4"/>
      <c r="N20" s="4">
        <v>1430.625</v>
      </c>
      <c r="O20" s="4">
        <v>-527.48510000000533</v>
      </c>
      <c r="P20" s="4">
        <v>-3888.0024000000049</v>
      </c>
      <c r="Q20" s="4">
        <v>-1738.4406000000017</v>
      </c>
      <c r="R20" s="4"/>
      <c r="S20" s="4"/>
      <c r="T20" s="4">
        <v>25680.39</v>
      </c>
      <c r="U20" s="4">
        <v>20957.086899999988</v>
      </c>
    </row>
    <row r="21" spans="1:21">
      <c r="A21" t="s">
        <v>26</v>
      </c>
      <c r="B21" t="s">
        <v>12</v>
      </c>
      <c r="C21" t="s">
        <v>61</v>
      </c>
      <c r="D21" t="s">
        <v>56</v>
      </c>
      <c r="E21" t="s">
        <v>57</v>
      </c>
      <c r="F21" t="s">
        <v>133</v>
      </c>
      <c r="G21" t="s">
        <v>27</v>
      </c>
      <c r="H21" t="s">
        <v>28</v>
      </c>
      <c r="I21">
        <v>2026</v>
      </c>
      <c r="J21" s="4">
        <v>-1754.3781999999992</v>
      </c>
      <c r="K21" s="4">
        <v>606.26570000000356</v>
      </c>
      <c r="L21" s="4"/>
      <c r="M21" s="4"/>
      <c r="N21" s="4"/>
      <c r="O21" s="4"/>
      <c r="P21" s="4"/>
      <c r="Q21" s="4"/>
      <c r="R21" s="4"/>
      <c r="S21" s="4"/>
      <c r="T21" s="4"/>
      <c r="U21" s="4">
        <v>-1148.1124999999956</v>
      </c>
    </row>
    <row r="22" spans="1:21">
      <c r="A22" t="s">
        <v>252</v>
      </c>
      <c r="B22" t="s">
        <v>12</v>
      </c>
      <c r="C22" t="s">
        <v>55</v>
      </c>
      <c r="D22" t="s">
        <v>56</v>
      </c>
      <c r="E22" t="s">
        <v>57</v>
      </c>
      <c r="F22" t="s">
        <v>78</v>
      </c>
      <c r="G22" t="s">
        <v>27</v>
      </c>
      <c r="H22" t="s">
        <v>25</v>
      </c>
      <c r="I22">
        <v>2026</v>
      </c>
      <c r="J22" s="4"/>
      <c r="K22" s="4">
        <v>22670</v>
      </c>
      <c r="L22" s="4"/>
      <c r="M22" s="4"/>
      <c r="N22" s="4"/>
      <c r="O22" s="4"/>
      <c r="P22" s="4"/>
      <c r="Q22" s="4"/>
      <c r="R22" s="4"/>
      <c r="S22" s="4"/>
      <c r="T22" s="4"/>
      <c r="U22" s="4">
        <v>22670</v>
      </c>
    </row>
    <row r="23" spans="1:21">
      <c r="A23" t="s">
        <v>322</v>
      </c>
      <c r="B23" t="s">
        <v>12</v>
      </c>
      <c r="C23" t="s">
        <v>61</v>
      </c>
      <c r="D23" t="s">
        <v>56</v>
      </c>
      <c r="E23" t="s">
        <v>57</v>
      </c>
      <c r="F23" t="s">
        <v>78</v>
      </c>
      <c r="G23" t="s">
        <v>36</v>
      </c>
      <c r="H23" t="s">
        <v>827</v>
      </c>
      <c r="I23">
        <v>2026</v>
      </c>
      <c r="J23" s="4"/>
      <c r="K23" s="4">
        <v>8.8168349887743478</v>
      </c>
      <c r="L23" s="4">
        <v>832.88504838607264</v>
      </c>
      <c r="M23" s="4"/>
      <c r="N23" s="4"/>
      <c r="O23" s="4"/>
      <c r="P23" s="4"/>
      <c r="Q23" s="4"/>
      <c r="R23" s="4"/>
      <c r="S23" s="4"/>
      <c r="T23" s="4"/>
      <c r="U23" s="4">
        <v>841.70188337484694</v>
      </c>
    </row>
    <row r="24" spans="1:21">
      <c r="A24" t="s">
        <v>199</v>
      </c>
      <c r="B24" t="s">
        <v>12</v>
      </c>
      <c r="C24" t="s">
        <v>55</v>
      </c>
      <c r="D24" t="s">
        <v>56</v>
      </c>
      <c r="E24" t="s">
        <v>57</v>
      </c>
      <c r="F24" t="s">
        <v>58</v>
      </c>
      <c r="G24" t="s">
        <v>36</v>
      </c>
      <c r="H24" t="s">
        <v>757</v>
      </c>
      <c r="I24">
        <v>2026</v>
      </c>
      <c r="J24" s="4">
        <v>5000</v>
      </c>
      <c r="K24" s="4">
        <v>5000</v>
      </c>
      <c r="L24" s="4"/>
      <c r="M24" s="4"/>
      <c r="N24" s="4"/>
      <c r="O24" s="4"/>
      <c r="P24" s="4"/>
      <c r="Q24" s="4"/>
      <c r="R24" s="4"/>
      <c r="S24" s="4"/>
      <c r="T24" s="4"/>
      <c r="U24" s="4">
        <v>10000</v>
      </c>
    </row>
    <row r="25" spans="1:21">
      <c r="A25" t="s">
        <v>183</v>
      </c>
      <c r="B25" t="s">
        <v>12</v>
      </c>
      <c r="C25" t="s">
        <v>61</v>
      </c>
      <c r="D25" t="s">
        <v>56</v>
      </c>
      <c r="E25" t="s">
        <v>57</v>
      </c>
      <c r="F25" t="s">
        <v>185</v>
      </c>
      <c r="G25" t="s">
        <v>36</v>
      </c>
      <c r="H25" t="s">
        <v>913</v>
      </c>
      <c r="I25">
        <v>2025</v>
      </c>
      <c r="J25" s="4"/>
      <c r="K25" s="4"/>
      <c r="L25" s="4"/>
      <c r="M25" s="4"/>
      <c r="N25" s="4"/>
      <c r="O25" s="4"/>
      <c r="P25" s="4"/>
      <c r="Q25" s="4">
        <v>1.72</v>
      </c>
      <c r="R25" s="4"/>
      <c r="S25" s="4"/>
      <c r="T25" s="4"/>
      <c r="U25" s="4">
        <v>1.72</v>
      </c>
    </row>
    <row r="26" spans="1:21">
      <c r="A26" t="s">
        <v>183</v>
      </c>
      <c r="B26" t="s">
        <v>12</v>
      </c>
      <c r="C26" t="s">
        <v>61</v>
      </c>
      <c r="D26" t="s">
        <v>56</v>
      </c>
      <c r="E26" t="s">
        <v>57</v>
      </c>
      <c r="F26" t="s">
        <v>185</v>
      </c>
      <c r="G26" t="s">
        <v>36</v>
      </c>
      <c r="H26" t="s">
        <v>913</v>
      </c>
      <c r="I26">
        <v>2026</v>
      </c>
      <c r="J26" s="4">
        <v>14.19</v>
      </c>
      <c r="K26" s="4">
        <v>6.88</v>
      </c>
      <c r="L26" s="4"/>
      <c r="M26" s="4"/>
      <c r="N26" s="4"/>
      <c r="O26" s="4"/>
      <c r="P26" s="4"/>
      <c r="Q26" s="4"/>
      <c r="R26" s="4"/>
      <c r="S26" s="4"/>
      <c r="T26" s="4"/>
      <c r="U26" s="4">
        <v>21.07</v>
      </c>
    </row>
    <row r="27" spans="1:21">
      <c r="A27" t="s">
        <v>188</v>
      </c>
      <c r="B27" t="s">
        <v>12</v>
      </c>
      <c r="C27" t="s">
        <v>61</v>
      </c>
      <c r="D27" t="s">
        <v>56</v>
      </c>
      <c r="E27" t="s">
        <v>57</v>
      </c>
      <c r="F27" t="s">
        <v>58</v>
      </c>
      <c r="G27" t="s">
        <v>36</v>
      </c>
      <c r="H27" t="s">
        <v>825</v>
      </c>
      <c r="I27">
        <v>2025</v>
      </c>
      <c r="J27" s="4"/>
      <c r="K27" s="4"/>
      <c r="L27" s="4"/>
      <c r="M27" s="4"/>
      <c r="N27" s="4"/>
      <c r="O27" s="4"/>
      <c r="P27" s="4"/>
      <c r="Q27" s="4">
        <v>2000</v>
      </c>
      <c r="R27" s="4"/>
      <c r="S27" s="4"/>
      <c r="T27" s="4"/>
      <c r="U27" s="4">
        <v>2000</v>
      </c>
    </row>
    <row r="28" spans="1:21">
      <c r="A28" t="s">
        <v>240</v>
      </c>
      <c r="B28" t="s">
        <v>12</v>
      </c>
      <c r="C28" t="s">
        <v>55</v>
      </c>
      <c r="D28" t="s">
        <v>56</v>
      </c>
      <c r="E28" t="s">
        <v>57</v>
      </c>
      <c r="F28" t="s">
        <v>78</v>
      </c>
      <c r="G28" t="s">
        <v>734</v>
      </c>
      <c r="H28" t="s">
        <v>74</v>
      </c>
      <c r="I28">
        <v>2026</v>
      </c>
      <c r="J28" s="4"/>
      <c r="K28" s="4">
        <v>1431.4899107933925</v>
      </c>
      <c r="L28" s="4"/>
      <c r="M28" s="4"/>
      <c r="N28" s="4"/>
      <c r="O28" s="4"/>
      <c r="P28" s="4"/>
      <c r="Q28" s="4"/>
      <c r="R28" s="4"/>
      <c r="S28" s="4"/>
      <c r="T28" s="4"/>
      <c r="U28" s="4">
        <v>1431.4899107933925</v>
      </c>
    </row>
    <row r="29" spans="1:21">
      <c r="A29" t="s">
        <v>260</v>
      </c>
      <c r="B29" t="s">
        <v>12</v>
      </c>
      <c r="C29" t="s">
        <v>55</v>
      </c>
      <c r="D29" t="s">
        <v>69</v>
      </c>
      <c r="E29" t="s">
        <v>57</v>
      </c>
      <c r="F29" t="s">
        <v>78</v>
      </c>
      <c r="G29" t="s">
        <v>36</v>
      </c>
      <c r="H29" t="s">
        <v>827</v>
      </c>
      <c r="I29">
        <v>2026</v>
      </c>
      <c r="J29" s="4"/>
      <c r="K29" s="4">
        <v>109.34</v>
      </c>
      <c r="L29" s="4"/>
      <c r="M29" s="4"/>
      <c r="N29" s="4"/>
      <c r="O29" s="4"/>
      <c r="P29" s="4"/>
      <c r="Q29" s="4"/>
      <c r="R29" s="4"/>
      <c r="S29" s="4"/>
      <c r="T29" s="4"/>
      <c r="U29" s="4">
        <v>109.34</v>
      </c>
    </row>
    <row r="30" spans="1:21">
      <c r="A30" t="s">
        <v>266</v>
      </c>
      <c r="B30" t="s">
        <v>12</v>
      </c>
      <c r="C30" t="s">
        <v>55</v>
      </c>
      <c r="D30" t="s">
        <v>56</v>
      </c>
      <c r="E30" t="s">
        <v>57</v>
      </c>
      <c r="F30" t="s">
        <v>78</v>
      </c>
      <c r="G30" t="s">
        <v>27</v>
      </c>
      <c r="H30" t="s">
        <v>36</v>
      </c>
      <c r="I30">
        <v>2026</v>
      </c>
      <c r="J30" s="4"/>
      <c r="K30" s="4">
        <v>54089.5</v>
      </c>
      <c r="L30" s="4"/>
      <c r="M30" s="4"/>
      <c r="N30" s="4"/>
      <c r="O30" s="4"/>
      <c r="P30" s="4"/>
      <c r="Q30" s="4"/>
      <c r="R30" s="4"/>
      <c r="S30" s="4"/>
      <c r="T30" s="4"/>
      <c r="U30" s="4">
        <v>54089.5</v>
      </c>
    </row>
    <row r="31" spans="1:21">
      <c r="A31" t="s">
        <v>213</v>
      </c>
      <c r="B31" t="s">
        <v>12</v>
      </c>
      <c r="C31" t="s">
        <v>61</v>
      </c>
      <c r="D31" t="s">
        <v>56</v>
      </c>
      <c r="E31" t="s">
        <v>57</v>
      </c>
      <c r="F31" t="s">
        <v>58</v>
      </c>
      <c r="G31" t="s">
        <v>36</v>
      </c>
      <c r="H31" t="s">
        <v>949</v>
      </c>
      <c r="I31">
        <v>2026</v>
      </c>
      <c r="J31" s="4">
        <v>6666.8031652278687</v>
      </c>
      <c r="K31" s="4"/>
      <c r="L31" s="4"/>
      <c r="M31" s="4"/>
      <c r="N31" s="4"/>
      <c r="O31" s="4"/>
      <c r="P31" s="4"/>
      <c r="Q31" s="4"/>
      <c r="R31" s="4"/>
      <c r="S31" s="4"/>
      <c r="T31" s="4"/>
      <c r="U31" s="4">
        <v>6666.8031652278687</v>
      </c>
    </row>
    <row r="32" spans="1:21">
      <c r="A32" t="s">
        <v>213</v>
      </c>
      <c r="B32" t="s">
        <v>12</v>
      </c>
      <c r="C32" t="s">
        <v>61</v>
      </c>
      <c r="D32" t="s">
        <v>56</v>
      </c>
      <c r="E32" t="s">
        <v>57</v>
      </c>
      <c r="F32" t="s">
        <v>78</v>
      </c>
      <c r="G32" t="s">
        <v>36</v>
      </c>
      <c r="H32" t="s">
        <v>949</v>
      </c>
      <c r="I32">
        <v>2026</v>
      </c>
      <c r="J32" s="4"/>
      <c r="K32" s="4">
        <v>3319.6975730388417</v>
      </c>
      <c r="L32" s="4"/>
      <c r="M32" s="4"/>
      <c r="N32" s="4"/>
      <c r="O32" s="4"/>
      <c r="P32" s="4"/>
      <c r="Q32" s="4"/>
      <c r="R32" s="4"/>
      <c r="S32" s="4"/>
      <c r="T32" s="4"/>
      <c r="U32" s="4">
        <v>3319.6975730388417</v>
      </c>
    </row>
    <row r="33" spans="1:21">
      <c r="A33" t="s">
        <v>297</v>
      </c>
      <c r="B33" t="s">
        <v>12</v>
      </c>
      <c r="C33" t="s">
        <v>61</v>
      </c>
      <c r="D33" t="s">
        <v>56</v>
      </c>
      <c r="E33" t="s">
        <v>57</v>
      </c>
      <c r="F33" t="s">
        <v>78</v>
      </c>
      <c r="G33" t="s">
        <v>36</v>
      </c>
      <c r="H33" t="s">
        <v>74</v>
      </c>
      <c r="I33">
        <v>2026</v>
      </c>
      <c r="J33" s="4"/>
      <c r="K33" s="4">
        <v>1896.9709981193114</v>
      </c>
      <c r="L33" s="4"/>
      <c r="M33" s="4"/>
      <c r="N33" s="4"/>
      <c r="O33" s="4"/>
      <c r="P33" s="4"/>
      <c r="Q33" s="4"/>
      <c r="R33" s="4"/>
      <c r="S33" s="4"/>
      <c r="T33" s="4"/>
      <c r="U33" s="4">
        <v>1896.9709981193114</v>
      </c>
    </row>
    <row r="34" spans="1:21">
      <c r="A34" t="s">
        <v>225</v>
      </c>
      <c r="B34" t="s">
        <v>12</v>
      </c>
      <c r="C34" t="s">
        <v>61</v>
      </c>
      <c r="D34" t="s">
        <v>56</v>
      </c>
      <c r="E34" t="s">
        <v>57</v>
      </c>
      <c r="F34" t="s">
        <v>58</v>
      </c>
      <c r="G34" t="s">
        <v>30</v>
      </c>
      <c r="H34" t="s">
        <v>28</v>
      </c>
      <c r="I34">
        <v>2026</v>
      </c>
      <c r="J34" s="4">
        <v>30312.630999827154</v>
      </c>
      <c r="K34" s="4"/>
      <c r="L34" s="4"/>
      <c r="M34" s="4"/>
      <c r="N34" s="4"/>
      <c r="O34" s="4"/>
      <c r="P34" s="4"/>
      <c r="Q34" s="4"/>
      <c r="R34" s="4"/>
      <c r="S34" s="4"/>
      <c r="T34" s="4"/>
      <c r="U34" s="4">
        <v>30312.630999827154</v>
      </c>
    </row>
    <row r="35" spans="1:21">
      <c r="A35" t="s">
        <v>353</v>
      </c>
      <c r="B35" t="s">
        <v>12</v>
      </c>
      <c r="C35" t="s">
        <v>61</v>
      </c>
      <c r="D35" t="s">
        <v>56</v>
      </c>
      <c r="E35" t="s">
        <v>57</v>
      </c>
      <c r="F35" t="s">
        <v>78</v>
      </c>
      <c r="G35" t="s">
        <v>36</v>
      </c>
      <c r="H35" t="s">
        <v>757</v>
      </c>
      <c r="I35">
        <v>2026</v>
      </c>
      <c r="J35" s="4"/>
      <c r="K35" s="4">
        <v>25075</v>
      </c>
      <c r="L35" s="4"/>
      <c r="M35" s="4"/>
      <c r="N35" s="4"/>
      <c r="O35" s="4"/>
      <c r="P35" s="4"/>
      <c r="Q35" s="4"/>
      <c r="R35" s="4"/>
      <c r="S35" s="4"/>
      <c r="T35" s="4"/>
      <c r="U35" s="4">
        <v>25075</v>
      </c>
    </row>
    <row r="36" spans="1:21">
      <c r="A36" t="s">
        <v>303</v>
      </c>
      <c r="B36" t="s">
        <v>12</v>
      </c>
      <c r="C36" t="s">
        <v>61</v>
      </c>
      <c r="D36" t="s">
        <v>56</v>
      </c>
      <c r="E36" t="s">
        <v>57</v>
      </c>
      <c r="F36" t="s">
        <v>78</v>
      </c>
      <c r="G36" t="s">
        <v>30</v>
      </c>
      <c r="H36" t="s">
        <v>28</v>
      </c>
      <c r="I36">
        <v>2026</v>
      </c>
      <c r="J36" s="4"/>
      <c r="K36" s="4">
        <v>20255.210464348151</v>
      </c>
      <c r="L36" s="4"/>
      <c r="M36" s="4"/>
      <c r="N36" s="4"/>
      <c r="O36" s="4"/>
      <c r="P36" s="4"/>
      <c r="Q36" s="4"/>
      <c r="R36" s="4"/>
      <c r="S36" s="4"/>
      <c r="T36" s="4"/>
      <c r="U36" s="4">
        <v>20255.210464348151</v>
      </c>
    </row>
    <row r="37" spans="1:21">
      <c r="A37" t="s">
        <v>249</v>
      </c>
      <c r="B37" t="s">
        <v>12</v>
      </c>
      <c r="C37" t="s">
        <v>55</v>
      </c>
      <c r="D37" t="s">
        <v>56</v>
      </c>
      <c r="E37" t="s">
        <v>57</v>
      </c>
      <c r="F37" t="s">
        <v>78</v>
      </c>
      <c r="G37" t="s">
        <v>766</v>
      </c>
      <c r="H37" t="s">
        <v>36</v>
      </c>
      <c r="I37">
        <v>2026</v>
      </c>
      <c r="J37" s="4"/>
      <c r="K37" s="4">
        <v>22012</v>
      </c>
      <c r="L37" s="4"/>
      <c r="M37" s="4"/>
      <c r="N37" s="4"/>
      <c r="O37" s="4"/>
      <c r="P37" s="4"/>
      <c r="Q37" s="4"/>
      <c r="R37" s="4"/>
      <c r="S37" s="4"/>
      <c r="T37" s="4"/>
      <c r="U37" s="4">
        <v>22012</v>
      </c>
    </row>
    <row r="38" spans="1:21">
      <c r="A38" t="s">
        <v>8</v>
      </c>
      <c r="J38" s="4">
        <v>-17753.706157159751</v>
      </c>
      <c r="K38" s="4">
        <v>165798.48767336746</v>
      </c>
      <c r="L38" s="4">
        <v>10832.885048386073</v>
      </c>
      <c r="M38" s="4">
        <v>10000</v>
      </c>
      <c r="N38" s="4">
        <v>6845.3623680749461</v>
      </c>
      <c r="O38" s="4">
        <v>8438.9592200694278</v>
      </c>
      <c r="P38" s="4">
        <v>10671.132767209161</v>
      </c>
      <c r="Q38" s="4">
        <v>9274.892323644719</v>
      </c>
      <c r="R38" s="4">
        <v>10000</v>
      </c>
      <c r="S38" s="4">
        <v>1319.9063350274675</v>
      </c>
      <c r="T38" s="4">
        <v>30280.649274811392</v>
      </c>
      <c r="U38" s="4">
        <v>245708.56885343086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3" t="s">
        <v>14</v>
      </c>
      <c r="B1" t="s">
        <v>93</v>
      </c>
    </row>
    <row r="2" spans="1:6">
      <c r="A2" s="3" t="s">
        <v>18</v>
      </c>
      <c r="B2" t="s">
        <v>94</v>
      </c>
    </row>
    <row r="4" spans="1:6">
      <c r="A4" s="3" t="s">
        <v>1</v>
      </c>
      <c r="B4" s="3" t="s">
        <v>2</v>
      </c>
    </row>
    <row r="5" spans="1:6">
      <c r="A5" s="3" t="s">
        <v>3</v>
      </c>
      <c r="B5" t="s">
        <v>4</v>
      </c>
      <c r="C5" t="s">
        <v>5</v>
      </c>
      <c r="D5" t="s">
        <v>6</v>
      </c>
      <c r="E5" t="s">
        <v>7</v>
      </c>
      <c r="F5" t="s">
        <v>8</v>
      </c>
    </row>
    <row r="6" spans="1:6">
      <c r="A6" s="15" t="s">
        <v>95</v>
      </c>
      <c r="B6" s="4">
        <v>8074.9534426516293</v>
      </c>
      <c r="C6" s="4"/>
      <c r="D6" s="4">
        <v>4652.5833449858073</v>
      </c>
      <c r="E6" s="4"/>
      <c r="F6" s="4">
        <v>12727.536787637437</v>
      </c>
    </row>
    <row r="7" spans="1:6">
      <c r="A7" s="15" t="s">
        <v>96</v>
      </c>
      <c r="B7" s="4">
        <v>3452.8544567679137</v>
      </c>
      <c r="C7" s="4"/>
      <c r="D7" s="4"/>
      <c r="E7" s="4"/>
      <c r="F7" s="4">
        <v>3452.8544567679137</v>
      </c>
    </row>
    <row r="8" spans="1:6">
      <c r="A8" s="15" t="s">
        <v>97</v>
      </c>
      <c r="B8" s="4">
        <v>4406.6801878699116</v>
      </c>
      <c r="C8" s="4">
        <v>3236.5106387392057</v>
      </c>
      <c r="D8" s="4">
        <v>3389.1551193971245</v>
      </c>
      <c r="E8" s="4">
        <v>23791.203012478589</v>
      </c>
      <c r="F8" s="4">
        <v>34823.548958484833</v>
      </c>
    </row>
    <row r="9" spans="1:6">
      <c r="A9" s="15" t="s">
        <v>8</v>
      </c>
      <c r="B9" s="4">
        <v>15934.488087289454</v>
      </c>
      <c r="C9" s="4">
        <v>3236.5106387392057</v>
      </c>
      <c r="D9" s="4">
        <v>8041.7384643829319</v>
      </c>
      <c r="E9" s="4">
        <v>23791.203012478589</v>
      </c>
      <c r="F9" s="4">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dimension ref="A1:AB157"/>
  <sheetViews>
    <sheetView zoomScale="81" zoomScaleNormal="81" workbookViewId="0">
      <pane xSplit="2" ySplit="1" topLeftCell="U2" activePane="bottomRight" state="frozen"/>
      <selection pane="topRight" activeCell="C1" sqref="C1"/>
      <selection pane="bottomLeft" activeCell="A2" sqref="A2"/>
      <selection pane="bottomRight" activeCell="W145" sqref="W145"/>
    </sheetView>
  </sheetViews>
  <sheetFormatPr defaultRowHeight="14.5"/>
  <cols>
    <col min="1" max="1" width="12.1796875" customWidth="1"/>
    <col min="2" max="2" width="35.81640625" customWidth="1"/>
    <col min="3" max="3" width="14.1796875" customWidth="1"/>
    <col min="4" max="4" width="16.453125" customWidth="1"/>
    <col min="5" max="5" width="20.26953125" customWidth="1"/>
    <col min="6" max="6" width="15" customWidth="1"/>
    <col min="7" max="7" width="8.81640625" bestFit="1" customWidth="1"/>
    <col min="8" max="8" width="23" customWidth="1"/>
    <col min="10" max="10" width="11.7265625" style="45" customWidth="1"/>
    <col min="11" max="11" width="15.7265625" style="57" customWidth="1"/>
    <col min="12" max="12" width="13.453125" style="8" customWidth="1"/>
    <col min="13" max="13" width="18.453125" customWidth="1"/>
    <col min="14" max="14" width="8.81640625" bestFit="1" customWidth="1"/>
    <col min="15" max="15" width="15.1796875" customWidth="1"/>
    <col min="16" max="16" width="31.7265625" customWidth="1"/>
    <col min="17" max="17" width="21" style="8" customWidth="1"/>
    <col min="18" max="18" width="27.453125" style="8" customWidth="1"/>
    <col min="19" max="19" width="22.7265625" customWidth="1"/>
    <col min="20" max="20" width="31.1796875" customWidth="1"/>
    <col min="21" max="21" width="13.453125" customWidth="1"/>
    <col min="23" max="23" width="79.7265625" style="5" customWidth="1"/>
    <col min="24" max="24" width="45.453125" customWidth="1"/>
    <col min="25" max="25" width="12.453125" hidden="1" customWidth="1"/>
    <col min="26" max="27" width="0" hidden="1" customWidth="1"/>
    <col min="28" max="28" width="8.81640625" customWidth="1"/>
  </cols>
  <sheetData>
    <row r="1" spans="1:28">
      <c r="A1" s="33" t="s">
        <v>42</v>
      </c>
      <c r="B1" s="33" t="s">
        <v>17</v>
      </c>
      <c r="C1" s="33" t="s">
        <v>14</v>
      </c>
      <c r="D1" s="33" t="s">
        <v>18</v>
      </c>
      <c r="E1" s="33" t="s">
        <v>19</v>
      </c>
      <c r="F1" s="33" t="s">
        <v>44</v>
      </c>
      <c r="G1" s="33" t="s">
        <v>46</v>
      </c>
      <c r="H1" s="33" t="s">
        <v>43</v>
      </c>
      <c r="I1" s="33" t="s">
        <v>98</v>
      </c>
      <c r="J1" s="43" t="s">
        <v>99</v>
      </c>
      <c r="K1" s="43" t="s">
        <v>100</v>
      </c>
      <c r="L1" s="35" t="s">
        <v>101</v>
      </c>
      <c r="M1" s="34" t="s">
        <v>41</v>
      </c>
      <c r="N1" s="33" t="s">
        <v>102</v>
      </c>
      <c r="O1" s="33" t="s">
        <v>103</v>
      </c>
      <c r="P1" s="33" t="s">
        <v>104</v>
      </c>
      <c r="Q1" s="35" t="s">
        <v>105</v>
      </c>
      <c r="R1" s="35" t="s">
        <v>106</v>
      </c>
      <c r="S1" s="33" t="s">
        <v>107</v>
      </c>
      <c r="T1" s="35" t="s">
        <v>108</v>
      </c>
      <c r="U1" s="35" t="s">
        <v>109</v>
      </c>
      <c r="V1" s="35" t="s">
        <v>110</v>
      </c>
      <c r="W1" s="35" t="s">
        <v>45</v>
      </c>
      <c r="X1" s="35" t="s">
        <v>111</v>
      </c>
      <c r="Y1" s="32">
        <f ca="1">TODAY()</f>
        <v>46106</v>
      </c>
      <c r="Z1" s="2"/>
      <c r="AA1" s="2"/>
      <c r="AB1" s="2"/>
    </row>
    <row r="2" spans="1:28">
      <c r="A2" s="29" t="s">
        <v>61</v>
      </c>
      <c r="B2" s="29" t="s">
        <v>112</v>
      </c>
      <c r="C2" s="29" t="str">
        <f>VLOOKUP(B2,Validation!A:B,2,0)</f>
        <v>APAC</v>
      </c>
      <c r="D2" s="29" t="str">
        <f>VLOOKUP(B2,Validation!A:D,4,0)</f>
        <v>NA</v>
      </c>
      <c r="E2" s="29" t="str">
        <f>VLOOKUP(B2,Validation!A:E,5,0)</f>
        <v>Vinoth M</v>
      </c>
      <c r="F2" s="29" t="s">
        <v>57</v>
      </c>
      <c r="G2" s="29">
        <f t="shared" ref="G2:G41" si="0">YEAR(L2)</f>
        <v>2024</v>
      </c>
      <c r="H2" s="29" t="s">
        <v>56</v>
      </c>
      <c r="I2" s="29" t="s">
        <v>113</v>
      </c>
      <c r="J2" s="42">
        <f>VLOOKUP(I2,'XE rates'!A:D,4,0)*K2</f>
        <v>5500</v>
      </c>
      <c r="K2" s="61">
        <v>5500</v>
      </c>
      <c r="L2" s="32">
        <v>45597</v>
      </c>
      <c r="M2" s="30" t="str">
        <f t="shared" ref="M2:M5" si="1">TEXT(L2,"mmm")</f>
        <v>Nov</v>
      </c>
      <c r="N2" s="29">
        <f t="shared" ref="N2:N5" ca="1" si="2">$Y$1-R2</f>
        <v>469</v>
      </c>
      <c r="O2" s="29" t="str">
        <f t="shared" ref="O2:O5" ca="1" si="3">IF(N2&lt;=30, "0-30 days", IF(N2&lt;=60, "31-60 days", IF(N2&lt;=90, "61-90 days", "Over 90+ days")))</f>
        <v>Over 90+ days</v>
      </c>
      <c r="P2" s="29" t="s">
        <v>114</v>
      </c>
      <c r="Q2" s="32">
        <v>45597</v>
      </c>
      <c r="R2" s="32">
        <v>45637</v>
      </c>
      <c r="S2" s="29" t="s">
        <v>115</v>
      </c>
      <c r="T2" s="29" t="s">
        <v>116</v>
      </c>
      <c r="U2" s="29" t="s">
        <v>117</v>
      </c>
      <c r="V2" s="29" t="s">
        <v>117</v>
      </c>
      <c r="W2" s="29" t="s">
        <v>118</v>
      </c>
      <c r="X2" s="29"/>
      <c r="Y2" s="29">
        <f>VLOOKUP(T2,'[1]Query result'!$J:$K,2,0)</f>
        <v>45637</v>
      </c>
      <c r="Z2" s="2">
        <f>VLOOKUP(T2,'[1]Query result'!$J:$W,14,0)</f>
        <v>0</v>
      </c>
      <c r="AA2" s="44">
        <f t="shared" ref="AA2:AA31" si="4">K2-Z2</f>
        <v>5500</v>
      </c>
      <c r="AB2" s="2" t="str">
        <f>VLOOKUP(T2,'[2]Query result'!$F:$G,2,0)</f>
        <v>Outstanding</v>
      </c>
    </row>
    <row r="3" spans="1:28">
      <c r="A3" s="29" t="s">
        <v>61</v>
      </c>
      <c r="B3" s="29" t="s">
        <v>112</v>
      </c>
      <c r="C3" s="29" t="str">
        <f>VLOOKUP(B3,Validation!A:B,2,0)</f>
        <v>APAC</v>
      </c>
      <c r="D3" s="29" t="str">
        <f>VLOOKUP(B3,Validation!A:D,4,0)</f>
        <v>NA</v>
      </c>
      <c r="E3" s="29" t="str">
        <f>VLOOKUP(B3,Validation!A:E,5,0)</f>
        <v>Vinoth M</v>
      </c>
      <c r="F3" s="29" t="s">
        <v>57</v>
      </c>
      <c r="G3" s="29">
        <f t="shared" si="0"/>
        <v>2025</v>
      </c>
      <c r="H3" s="29" t="s">
        <v>56</v>
      </c>
      <c r="I3" s="29" t="s">
        <v>113</v>
      </c>
      <c r="J3" s="42">
        <f>VLOOKUP(I3,'XE rates'!A:D,4,0)*K3</f>
        <v>9930</v>
      </c>
      <c r="K3" s="61">
        <v>9930</v>
      </c>
      <c r="L3" s="31">
        <v>45658</v>
      </c>
      <c r="M3" s="30" t="str">
        <f t="shared" si="1"/>
        <v>Jan</v>
      </c>
      <c r="N3" s="29">
        <f t="shared" ca="1" si="2"/>
        <v>406</v>
      </c>
      <c r="O3" s="29" t="str">
        <f t="shared" ca="1" si="3"/>
        <v>Over 90+ days</v>
      </c>
      <c r="P3" s="29" t="s">
        <v>114</v>
      </c>
      <c r="Q3" s="32">
        <v>45693</v>
      </c>
      <c r="R3" s="32">
        <v>45700</v>
      </c>
      <c r="S3" s="29" t="s">
        <v>115</v>
      </c>
      <c r="T3" s="29" t="s">
        <v>119</v>
      </c>
      <c r="U3" s="29" t="s">
        <v>117</v>
      </c>
      <c r="V3" s="29" t="s">
        <v>117</v>
      </c>
      <c r="W3" s="29" t="s">
        <v>118</v>
      </c>
      <c r="X3" s="29"/>
      <c r="Y3" s="29">
        <f>VLOOKUP(T3,'[1]Query result'!$J:$K,2,0)</f>
        <v>45700</v>
      </c>
      <c r="Z3" s="2">
        <f>VLOOKUP(T3,'[1]Query result'!$J:$W,14,0)</f>
        <v>0</v>
      </c>
      <c r="AA3" s="44">
        <f t="shared" si="4"/>
        <v>9930</v>
      </c>
      <c r="AB3" s="2" t="str">
        <f>VLOOKUP(T3,'[2]Query result'!$F:$G,2,0)</f>
        <v>Outstanding</v>
      </c>
    </row>
    <row r="4" spans="1:28">
      <c r="A4" s="29" t="s">
        <v>61</v>
      </c>
      <c r="B4" s="29" t="s">
        <v>112</v>
      </c>
      <c r="C4" s="29" t="str">
        <f>VLOOKUP(B4,Validation!A:B,2,0)</f>
        <v>APAC</v>
      </c>
      <c r="D4" s="29" t="str">
        <f>VLOOKUP(B4,Validation!A:D,4,0)</f>
        <v>NA</v>
      </c>
      <c r="E4" s="29" t="str">
        <f>VLOOKUP(B4,Validation!A:E,5,0)</f>
        <v>Vinoth M</v>
      </c>
      <c r="F4" s="29" t="s">
        <v>57</v>
      </c>
      <c r="G4" s="29">
        <f t="shared" si="0"/>
        <v>2025</v>
      </c>
      <c r="H4" s="29" t="s">
        <v>56</v>
      </c>
      <c r="I4" s="29" t="s">
        <v>113</v>
      </c>
      <c r="J4" s="42">
        <f>VLOOKUP(I4,'XE rates'!A:D,4,0)*K4</f>
        <v>10000</v>
      </c>
      <c r="K4" s="61">
        <v>10000</v>
      </c>
      <c r="L4" s="32">
        <v>45689</v>
      </c>
      <c r="M4" s="30" t="str">
        <f t="shared" si="1"/>
        <v>Feb</v>
      </c>
      <c r="N4" s="29">
        <f t="shared" ca="1" si="2"/>
        <v>378</v>
      </c>
      <c r="O4" s="29" t="str">
        <f t="shared" ca="1" si="3"/>
        <v>Over 90+ days</v>
      </c>
      <c r="P4" s="29" t="s">
        <v>114</v>
      </c>
      <c r="Q4" s="32">
        <v>45721</v>
      </c>
      <c r="R4" s="32">
        <v>45728</v>
      </c>
      <c r="S4" s="29" t="s">
        <v>115</v>
      </c>
      <c r="T4" s="29" t="s">
        <v>120</v>
      </c>
      <c r="U4" s="29" t="s">
        <v>117</v>
      </c>
      <c r="V4" s="29" t="s">
        <v>117</v>
      </c>
      <c r="W4" s="29" t="s">
        <v>118</v>
      </c>
      <c r="X4" s="29"/>
      <c r="Y4" s="29">
        <f>VLOOKUP(T4,'[1]Query result'!$J:$K,2,0)</f>
        <v>45728</v>
      </c>
      <c r="Z4" s="2">
        <f>VLOOKUP(T4,'[1]Query result'!$J:$W,14,0)</f>
        <v>0</v>
      </c>
      <c r="AA4" s="44">
        <f t="shared" si="4"/>
        <v>10000</v>
      </c>
      <c r="AB4" s="2" t="str">
        <f>VLOOKUP(T4,'[2]Query result'!$F:$G,2,0)</f>
        <v>Outstanding</v>
      </c>
    </row>
    <row r="5" spans="1:28">
      <c r="A5" s="29" t="s">
        <v>61</v>
      </c>
      <c r="B5" s="29" t="s">
        <v>112</v>
      </c>
      <c r="C5" s="29" t="str">
        <f>VLOOKUP(B5,Validation!A:B,2,0)</f>
        <v>APAC</v>
      </c>
      <c r="D5" s="29" t="str">
        <f>VLOOKUP(B5,Validation!A:D,4,0)</f>
        <v>NA</v>
      </c>
      <c r="E5" s="29" t="str">
        <f>VLOOKUP(B5,Validation!A:E,5,0)</f>
        <v>Vinoth M</v>
      </c>
      <c r="F5" s="29" t="s">
        <v>57</v>
      </c>
      <c r="G5" s="29">
        <f t="shared" si="0"/>
        <v>2025</v>
      </c>
      <c r="H5" s="29" t="s">
        <v>56</v>
      </c>
      <c r="I5" s="29" t="s">
        <v>113</v>
      </c>
      <c r="J5" s="42">
        <f>VLOOKUP(I5,'XE rates'!A:D,4,0)*K5</f>
        <v>10000</v>
      </c>
      <c r="K5" s="61">
        <v>10000</v>
      </c>
      <c r="L5" s="32">
        <v>45717</v>
      </c>
      <c r="M5" s="30" t="str">
        <f t="shared" si="1"/>
        <v>Mar</v>
      </c>
      <c r="N5" s="29">
        <f t="shared" ca="1" si="2"/>
        <v>350</v>
      </c>
      <c r="O5" s="29" t="str">
        <f t="shared" ca="1" si="3"/>
        <v>Over 90+ days</v>
      </c>
      <c r="P5" s="29" t="s">
        <v>114</v>
      </c>
      <c r="Q5" s="32">
        <v>45749</v>
      </c>
      <c r="R5" s="32">
        <v>45756</v>
      </c>
      <c r="S5" s="29" t="s">
        <v>115</v>
      </c>
      <c r="T5" s="29" t="s">
        <v>121</v>
      </c>
      <c r="U5" s="29" t="s">
        <v>117</v>
      </c>
      <c r="V5" s="29" t="s">
        <v>117</v>
      </c>
      <c r="W5" s="29" t="s">
        <v>118</v>
      </c>
      <c r="X5" s="29"/>
      <c r="Y5" s="29">
        <f>VLOOKUP(T5,'[1]Query result'!$J:$K,2,0)</f>
        <v>45756</v>
      </c>
      <c r="Z5" s="2">
        <f>VLOOKUP(T5,'[1]Query result'!$J:$W,14,0)</f>
        <v>0</v>
      </c>
      <c r="AA5" s="44">
        <f t="shared" si="4"/>
        <v>10000</v>
      </c>
      <c r="AB5" s="2" t="str">
        <f>VLOOKUP(T5,'[2]Query result'!$F:$G,2,0)</f>
        <v>Outstanding</v>
      </c>
    </row>
    <row r="6" spans="1:28">
      <c r="A6" s="29" t="s">
        <v>61</v>
      </c>
      <c r="B6" s="29" t="s">
        <v>112</v>
      </c>
      <c r="C6" s="29" t="str">
        <f>VLOOKUP(B6,Validation!A:B,2,0)</f>
        <v>APAC</v>
      </c>
      <c r="D6" s="29" t="str">
        <f>VLOOKUP(B6,Validation!A:D,4,0)</f>
        <v>NA</v>
      </c>
      <c r="E6" s="29" t="str">
        <f>VLOOKUP(B6,Validation!A:E,5,0)</f>
        <v>Vinoth M</v>
      </c>
      <c r="F6" s="29" t="s">
        <v>57</v>
      </c>
      <c r="G6" s="29">
        <f t="shared" si="0"/>
        <v>2025</v>
      </c>
      <c r="H6" s="29" t="s">
        <v>56</v>
      </c>
      <c r="I6" s="29" t="s">
        <v>113</v>
      </c>
      <c r="J6" s="42">
        <f>VLOOKUP(I6,'XE rates'!A:D,4,0)*K6</f>
        <v>10000</v>
      </c>
      <c r="K6" s="61">
        <v>10000</v>
      </c>
      <c r="L6" s="32">
        <v>45748</v>
      </c>
      <c r="M6" s="30" t="str">
        <f t="shared" ref="M6" si="5">TEXT(L6,"mmm")</f>
        <v>Apr</v>
      </c>
      <c r="N6" s="29">
        <f t="shared" ref="N6:N7" ca="1" si="6">$Y$1-R6</f>
        <v>317</v>
      </c>
      <c r="O6" s="29" t="str">
        <f t="shared" ref="O6:O7" ca="1" si="7">IF(N6&lt;=30, "0-30 days", IF(N6&lt;=60, "31-60 days", IF(N6&lt;=90, "61-90 days", "Over 90+ days")))</f>
        <v>Over 90+ days</v>
      </c>
      <c r="P6" s="29" t="s">
        <v>114</v>
      </c>
      <c r="Q6" s="32">
        <v>45782</v>
      </c>
      <c r="R6" s="32">
        <v>45789</v>
      </c>
      <c r="S6" s="29" t="s">
        <v>115</v>
      </c>
      <c r="T6" s="29" t="s">
        <v>122</v>
      </c>
      <c r="U6" s="29" t="s">
        <v>117</v>
      </c>
      <c r="V6" s="29" t="s">
        <v>117</v>
      </c>
      <c r="W6" s="29" t="s">
        <v>118</v>
      </c>
      <c r="X6" s="29"/>
      <c r="Y6" s="29">
        <f>VLOOKUP(T6,'[1]Query result'!$J:$K,2,0)</f>
        <v>45789</v>
      </c>
      <c r="Z6" s="2">
        <f>VLOOKUP(T6,'[1]Query result'!$J:$W,14,0)</f>
        <v>0</v>
      </c>
      <c r="AA6" s="44">
        <f t="shared" si="4"/>
        <v>10000</v>
      </c>
      <c r="AB6" s="2" t="str">
        <f>VLOOKUP(T6,'[2]Query result'!$F:$G,2,0)</f>
        <v>Outstanding</v>
      </c>
    </row>
    <row r="7" spans="1:28">
      <c r="A7" s="29" t="s">
        <v>61</v>
      </c>
      <c r="B7" s="29" t="s">
        <v>112</v>
      </c>
      <c r="C7" s="29" t="str">
        <f>VLOOKUP(B7,Validation!A:B,2,0)</f>
        <v>APAC</v>
      </c>
      <c r="D7" s="29" t="str">
        <f>VLOOKUP(B7,Validation!A:D,4,0)</f>
        <v>NA</v>
      </c>
      <c r="E7" s="29" t="str">
        <f>VLOOKUP(B7,Validation!A:E,5,0)</f>
        <v>Vinoth M</v>
      </c>
      <c r="F7" s="29" t="s">
        <v>57</v>
      </c>
      <c r="G7" s="29">
        <f t="shared" si="0"/>
        <v>2025</v>
      </c>
      <c r="H7" s="29" t="s">
        <v>56</v>
      </c>
      <c r="I7" s="29" t="s">
        <v>113</v>
      </c>
      <c r="J7" s="42">
        <f>VLOOKUP(I7,'XE rates'!A:D,4,0)*K7</f>
        <v>10000</v>
      </c>
      <c r="K7" s="61">
        <v>10000</v>
      </c>
      <c r="L7" s="32">
        <v>45778</v>
      </c>
      <c r="M7" s="30" t="str">
        <f t="shared" ref="M7" si="8">TEXT(L7,"mmm")</f>
        <v>May</v>
      </c>
      <c r="N7" s="29">
        <f t="shared" ca="1" si="6"/>
        <v>287</v>
      </c>
      <c r="O7" s="29" t="str">
        <f t="shared" ca="1" si="7"/>
        <v>Over 90+ days</v>
      </c>
      <c r="P7" s="29" t="s">
        <v>114</v>
      </c>
      <c r="Q7" s="32">
        <v>45812</v>
      </c>
      <c r="R7" s="32">
        <v>45819</v>
      </c>
      <c r="S7" s="29" t="s">
        <v>115</v>
      </c>
      <c r="T7" s="29" t="s">
        <v>123</v>
      </c>
      <c r="U7" s="29" t="s">
        <v>117</v>
      </c>
      <c r="V7" s="29" t="s">
        <v>117</v>
      </c>
      <c r="W7" s="29" t="s">
        <v>118</v>
      </c>
      <c r="X7" s="29"/>
      <c r="Y7" s="29">
        <f>VLOOKUP(T7,'[1]Query result'!$J:$K,2,0)</f>
        <v>45819</v>
      </c>
      <c r="Z7" s="2">
        <f>VLOOKUP(T7,'[1]Query result'!$J:$W,14,0)</f>
        <v>0</v>
      </c>
      <c r="AA7" s="44">
        <f t="shared" si="4"/>
        <v>10000</v>
      </c>
      <c r="AB7" s="2" t="str">
        <f>VLOOKUP(T7,'[2]Query result'!$F:$G,2,0)</f>
        <v>Outstanding</v>
      </c>
    </row>
    <row r="8" spans="1:28">
      <c r="A8" s="29" t="s">
        <v>61</v>
      </c>
      <c r="B8" s="29" t="s">
        <v>31</v>
      </c>
      <c r="C8" s="29" t="str">
        <f>VLOOKUP(B8,Validation!A:B,2,0)</f>
        <v>USA</v>
      </c>
      <c r="D8" s="29" t="str">
        <f>VLOOKUP(B8,Validation!A:D,4,0)</f>
        <v>Eduardo Avallone</v>
      </c>
      <c r="E8" s="29" t="str">
        <f>VLOOKUP(B8,Validation!A:E,5,0)</f>
        <v>Christina Hutchinson</v>
      </c>
      <c r="F8" s="29" t="s">
        <v>57</v>
      </c>
      <c r="G8" s="29">
        <f t="shared" si="0"/>
        <v>2025</v>
      </c>
      <c r="H8" s="29" t="s">
        <v>56</v>
      </c>
      <c r="I8" s="29" t="s">
        <v>113</v>
      </c>
      <c r="J8" s="42">
        <f>VLOOKUP(I8,'XE rates'!A:D,4,0)*K8</f>
        <v>3495.5</v>
      </c>
      <c r="K8" s="61">
        <v>3495.5</v>
      </c>
      <c r="L8" s="32">
        <v>45839</v>
      </c>
      <c r="M8" s="30" t="str">
        <f t="shared" ref="M8:M9" si="9">TEXT(L8,"mmm")</f>
        <v>Jul</v>
      </c>
      <c r="N8" s="29">
        <f t="shared" ref="N8:N9" ca="1" si="10">$Y$1-R8</f>
        <v>225</v>
      </c>
      <c r="O8" s="29" t="str">
        <f t="shared" ref="O8:O9" ca="1" si="11">IF(N8&lt;=30, "0-30 days", IF(N8&lt;=60, "31-60 days", IF(N8&lt;=90, "61-90 days", "Over 90+ days")))</f>
        <v>Over 90+ days</v>
      </c>
      <c r="P8" s="29" t="s">
        <v>114</v>
      </c>
      <c r="Q8" s="32">
        <v>45874</v>
      </c>
      <c r="R8" s="32">
        <v>45881</v>
      </c>
      <c r="S8" s="29" t="s">
        <v>115</v>
      </c>
      <c r="T8" s="29" t="s">
        <v>124</v>
      </c>
      <c r="U8" s="29" t="s">
        <v>117</v>
      </c>
      <c r="V8" s="29" t="s">
        <v>125</v>
      </c>
      <c r="W8" s="29" t="s">
        <v>65</v>
      </c>
      <c r="X8" s="29"/>
      <c r="Y8" s="29">
        <f>VLOOKUP(T8,'[1]Query result'!$J:$K,2,0)</f>
        <v>45881</v>
      </c>
      <c r="Z8" s="2">
        <f>VLOOKUP(T8,'[1]Query result'!$J:$W,14,0)</f>
        <v>0</v>
      </c>
      <c r="AA8" s="44">
        <f t="shared" si="4"/>
        <v>3495.5</v>
      </c>
      <c r="AB8" s="2" t="str">
        <f>VLOOKUP(T8,'[2]Query result'!$F:$G,2,0)</f>
        <v>Outstanding</v>
      </c>
    </row>
    <row r="9" spans="1:28">
      <c r="A9" s="29" t="s">
        <v>61</v>
      </c>
      <c r="B9" s="29" t="s">
        <v>126</v>
      </c>
      <c r="C9" s="29" t="str">
        <f>VLOOKUP(B9,Validation!A:B,2,0)</f>
        <v>APAC</v>
      </c>
      <c r="D9" s="29" t="str">
        <f>VLOOKUP(B9,Validation!A:D,4,0)</f>
        <v>Hao Nguyen</v>
      </c>
      <c r="E9" s="29" t="str">
        <f>VLOOKUP(B9,Validation!A:E,5,0)</f>
        <v>NA</v>
      </c>
      <c r="F9" s="29" t="s">
        <v>57</v>
      </c>
      <c r="G9" s="29">
        <f t="shared" si="0"/>
        <v>2025</v>
      </c>
      <c r="H9" s="29" t="s">
        <v>56</v>
      </c>
      <c r="I9" s="29" t="s">
        <v>127</v>
      </c>
      <c r="J9" s="42">
        <f>VLOOKUP(I9,'XE rates'!A:D,4,0)*K9</f>
        <v>1319.9063350274675</v>
      </c>
      <c r="K9" s="61">
        <f>6943.705-4972.13</f>
        <v>1971.5749999999998</v>
      </c>
      <c r="L9" s="32">
        <v>45839</v>
      </c>
      <c r="M9" s="30" t="str">
        <f t="shared" si="9"/>
        <v>Jul</v>
      </c>
      <c r="N9" s="29">
        <f t="shared" ca="1" si="10"/>
        <v>225</v>
      </c>
      <c r="O9" s="29" t="str">
        <f t="shared" ca="1" si="11"/>
        <v>Over 90+ days</v>
      </c>
      <c r="P9" s="29" t="s">
        <v>114</v>
      </c>
      <c r="Q9" s="32">
        <v>45874</v>
      </c>
      <c r="R9" s="32">
        <v>45881</v>
      </c>
      <c r="S9" s="29" t="s">
        <v>128</v>
      </c>
      <c r="T9" s="29" t="s">
        <v>129</v>
      </c>
      <c r="U9" s="29" t="s">
        <v>117</v>
      </c>
      <c r="V9" s="29" t="s">
        <v>117</v>
      </c>
      <c r="W9" s="2" t="s">
        <v>130</v>
      </c>
      <c r="X9" s="29"/>
      <c r="Y9" s="29">
        <f>VLOOKUP(T9,'[1]Query result'!$J:$K,2,0)</f>
        <v>45881</v>
      </c>
      <c r="Z9" s="2">
        <f>VLOOKUP(T9,'[1]Query result'!$J:$W,14,0)</f>
        <v>0</v>
      </c>
      <c r="AA9" s="44">
        <f t="shared" si="4"/>
        <v>1971.5749999999998</v>
      </c>
      <c r="AB9" s="2" t="str">
        <f>VLOOKUP(T9,'[2]Query result'!$F:$G,2,0)</f>
        <v>Partially Paid</v>
      </c>
    </row>
    <row r="10" spans="1:28">
      <c r="A10" s="29" t="s">
        <v>61</v>
      </c>
      <c r="B10" s="29" t="s">
        <v>31</v>
      </c>
      <c r="C10" s="29" t="str">
        <f>VLOOKUP(B10,Validation!A:B,2,0)</f>
        <v>USA</v>
      </c>
      <c r="D10" s="29" t="str">
        <f>VLOOKUP(B10,Validation!A:D,4,0)</f>
        <v>Eduardo Avallone</v>
      </c>
      <c r="E10" s="29" t="str">
        <f>VLOOKUP(B10,Validation!A:E,5,0)</f>
        <v>Christina Hutchinson</v>
      </c>
      <c r="F10" s="29" t="s">
        <v>57</v>
      </c>
      <c r="G10" s="29">
        <f t="shared" si="0"/>
        <v>2025</v>
      </c>
      <c r="H10" s="29" t="s">
        <v>56</v>
      </c>
      <c r="I10" s="29" t="s">
        <v>113</v>
      </c>
      <c r="J10" s="42">
        <f>VLOOKUP(I10,'XE rates'!A:D,4,0)*K10</f>
        <v>3485</v>
      </c>
      <c r="K10" s="61">
        <v>3485</v>
      </c>
      <c r="L10" s="32">
        <v>45870</v>
      </c>
      <c r="M10" s="30" t="str">
        <f t="shared" ref="M10" si="12">TEXT(L10,"mmm")</f>
        <v>Aug</v>
      </c>
      <c r="N10" s="29">
        <f t="shared" ref="N10" ca="1" si="13">$Y$1-R10</f>
        <v>197</v>
      </c>
      <c r="O10" s="29" t="str">
        <f t="shared" ref="O10" ca="1" si="14">IF(N10&lt;=30, "0-30 days", IF(N10&lt;=60, "31-60 days", IF(N10&lt;=90, "61-90 days", "Over 90+ days")))</f>
        <v>Over 90+ days</v>
      </c>
      <c r="P10" s="29" t="s">
        <v>114</v>
      </c>
      <c r="Q10" s="32">
        <v>45902</v>
      </c>
      <c r="R10" s="32">
        <v>45909</v>
      </c>
      <c r="S10" s="29" t="s">
        <v>115</v>
      </c>
      <c r="T10" s="29" t="s">
        <v>131</v>
      </c>
      <c r="U10" s="29" t="s">
        <v>117</v>
      </c>
      <c r="V10" s="29" t="s">
        <v>125</v>
      </c>
      <c r="W10" s="29" t="s">
        <v>65</v>
      </c>
      <c r="X10" s="29"/>
      <c r="Y10" s="29">
        <f>VLOOKUP(T10,'[1]Query result'!$J:$K,2,0)</f>
        <v>45909</v>
      </c>
      <c r="Z10" s="2">
        <f>VLOOKUP(T10,'[1]Query result'!$J:$W,14,0)</f>
        <v>0</v>
      </c>
      <c r="AA10" s="44">
        <f t="shared" si="4"/>
        <v>3485</v>
      </c>
      <c r="AB10" s="2" t="str">
        <f>VLOOKUP(T10,'[2]Query result'!$F:$G,2,0)</f>
        <v>Outstanding</v>
      </c>
    </row>
    <row r="11" spans="1:28">
      <c r="A11" s="29" t="s">
        <v>61</v>
      </c>
      <c r="B11" s="2" t="s">
        <v>26</v>
      </c>
      <c r="C11" s="29" t="str">
        <f>VLOOKUP(B11,Validation!A:B,2,0)</f>
        <v>APAC</v>
      </c>
      <c r="D11" s="29" t="str">
        <f>VLOOKUP(B11,Validation!A:D,4,0)</f>
        <v>XiaoXiao</v>
      </c>
      <c r="E11" s="29" t="str">
        <f>VLOOKUP(B11,Validation!A:E,5,0)</f>
        <v>Gitesh Athavale</v>
      </c>
      <c r="F11" s="29" t="s">
        <v>57</v>
      </c>
      <c r="G11" s="29">
        <f t="shared" si="0"/>
        <v>2025</v>
      </c>
      <c r="H11" s="29" t="s">
        <v>56</v>
      </c>
      <c r="I11" s="29" t="s">
        <v>113</v>
      </c>
      <c r="J11" s="42">
        <f>VLOOKUP(I11,'XE rates'!A:D,4,0)*K11</f>
        <v>25680.39</v>
      </c>
      <c r="K11" s="61">
        <f>34635.56-8955.17</f>
        <v>25680.39</v>
      </c>
      <c r="L11" s="32">
        <v>45870</v>
      </c>
      <c r="M11" s="30" t="str">
        <f t="shared" ref="M11:M12" si="15">TEXT(L11,"mmm")</f>
        <v>Aug</v>
      </c>
      <c r="N11" s="29">
        <f t="shared" ref="N11:N12" ca="1" si="16">$Y$1-R11</f>
        <v>195</v>
      </c>
      <c r="O11" s="29" t="str">
        <f t="shared" ref="O11:O12" ca="1" si="17">IF(N11&lt;=30, "0-30 days", IF(N11&lt;=60, "31-60 days", IF(N11&lt;=90, "61-90 days", "Over 90+ days")))</f>
        <v>Over 90+ days</v>
      </c>
      <c r="P11" s="29" t="s">
        <v>114</v>
      </c>
      <c r="Q11" s="32">
        <v>45904</v>
      </c>
      <c r="R11" s="32">
        <v>45911</v>
      </c>
      <c r="S11" s="29" t="s">
        <v>128</v>
      </c>
      <c r="T11" s="29" t="s">
        <v>132</v>
      </c>
      <c r="U11" s="29" t="s">
        <v>117</v>
      </c>
      <c r="V11" s="29" t="s">
        <v>125</v>
      </c>
      <c r="W11" s="29" t="s">
        <v>133</v>
      </c>
      <c r="X11" s="29"/>
      <c r="Y11" s="29">
        <f>VLOOKUP(T11,'[1]Query result'!$J:$K,2,0)</f>
        <v>45911</v>
      </c>
      <c r="Z11" s="2">
        <f>VLOOKUP(T11,'[1]Query result'!$J:$W,14,0)</f>
        <v>0</v>
      </c>
      <c r="AA11" s="44">
        <f t="shared" si="4"/>
        <v>25680.39</v>
      </c>
      <c r="AB11" s="2" t="str">
        <f>VLOOKUP(T11,'[2]Query result'!$F:$G,2,0)</f>
        <v>Partially Paid</v>
      </c>
    </row>
    <row r="12" spans="1:28">
      <c r="A12" s="29" t="s">
        <v>61</v>
      </c>
      <c r="B12" s="29" t="s">
        <v>126</v>
      </c>
      <c r="C12" s="29" t="str">
        <f>VLOOKUP(B12,Validation!A:B,2,0)</f>
        <v>APAC</v>
      </c>
      <c r="D12" s="29" t="str">
        <f>VLOOKUP(B12,Validation!A:D,4,0)</f>
        <v>Hao Nguyen</v>
      </c>
      <c r="E12" s="29" t="str">
        <f>VLOOKUP(B12,Validation!A:E,5,0)</f>
        <v>NA</v>
      </c>
      <c r="F12" s="29" t="s">
        <v>57</v>
      </c>
      <c r="G12" s="29">
        <f t="shared" si="0"/>
        <v>2025</v>
      </c>
      <c r="H12" s="29" t="s">
        <v>56</v>
      </c>
      <c r="I12" s="29" t="s">
        <v>127</v>
      </c>
      <c r="J12" s="42">
        <f>VLOOKUP(I12,'XE rates'!A:D,4,0)*K12</f>
        <v>4600.2592748113921</v>
      </c>
      <c r="K12" s="61">
        <v>6871.5150000000003</v>
      </c>
      <c r="L12" s="32">
        <v>45870</v>
      </c>
      <c r="M12" s="30" t="str">
        <f t="shared" si="15"/>
        <v>Aug</v>
      </c>
      <c r="N12" s="29">
        <f t="shared" ca="1" si="16"/>
        <v>196</v>
      </c>
      <c r="O12" s="29" t="str">
        <f t="shared" ca="1" si="17"/>
        <v>Over 90+ days</v>
      </c>
      <c r="P12" s="29" t="s">
        <v>114</v>
      </c>
      <c r="Q12" s="32">
        <v>45903</v>
      </c>
      <c r="R12" s="32">
        <v>45910</v>
      </c>
      <c r="S12" s="29" t="s">
        <v>115</v>
      </c>
      <c r="T12" s="29" t="s">
        <v>134</v>
      </c>
      <c r="U12" s="29" t="s">
        <v>117</v>
      </c>
      <c r="V12" s="29" t="s">
        <v>117</v>
      </c>
      <c r="W12" s="2" t="s">
        <v>130</v>
      </c>
      <c r="X12" s="29"/>
      <c r="Y12" s="29">
        <f>VLOOKUP(T12,'[1]Query result'!$J:$K,2,0)</f>
        <v>45910</v>
      </c>
      <c r="Z12" s="2">
        <f>VLOOKUP(T12,'[1]Query result'!$J:$W,14,0)</f>
        <v>0</v>
      </c>
      <c r="AA12" s="44">
        <f t="shared" si="4"/>
        <v>6871.5150000000003</v>
      </c>
      <c r="AB12" s="2" t="str">
        <f>VLOOKUP(T12,'[2]Query result'!$F:$G,2,0)</f>
        <v>Outstanding</v>
      </c>
    </row>
    <row r="13" spans="1:28">
      <c r="A13" s="2" t="s">
        <v>55</v>
      </c>
      <c r="B13" s="2" t="s">
        <v>68</v>
      </c>
      <c r="C13" s="29" t="str">
        <f>VLOOKUP(B13,Validation!A:B,2,0)</f>
        <v>USA</v>
      </c>
      <c r="D13" s="29" t="str">
        <f>VLOOKUP(B13,Validation!A:D,4,0)</f>
        <v>Eduardo Avallone</v>
      </c>
      <c r="E13" s="29" t="str">
        <f>VLOOKUP(B13,Validation!A:E,5,0)</f>
        <v>NA</v>
      </c>
      <c r="F13" s="29" t="s">
        <v>57</v>
      </c>
      <c r="G13" s="29">
        <f t="shared" si="0"/>
        <v>2025</v>
      </c>
      <c r="H13" s="2" t="s">
        <v>69</v>
      </c>
      <c r="I13" s="2" t="s">
        <v>113</v>
      </c>
      <c r="J13" s="42">
        <f>VLOOKUP(I13,'XE rates'!A:D,4,0)*K13</f>
        <v>1020</v>
      </c>
      <c r="K13" s="38">
        <v>1020</v>
      </c>
      <c r="L13" s="1">
        <v>45901</v>
      </c>
      <c r="M13" s="30" t="str">
        <f t="shared" ref="M13:M14" si="18">TEXT(L13,"mmm")</f>
        <v>Sep</v>
      </c>
      <c r="N13" s="29">
        <f t="shared" ref="N13:N14" ca="1" si="19">$Y$1-R13</f>
        <v>169</v>
      </c>
      <c r="O13" s="29" t="str">
        <f t="shared" ref="O13:O14" ca="1" si="20">IF(N13&lt;=30, "0-30 days", IF(N13&lt;=60, "31-60 days", IF(N13&lt;=90, "61-90 days", "Over 90+ days")))</f>
        <v>Over 90+ days</v>
      </c>
      <c r="P13" s="2" t="s">
        <v>114</v>
      </c>
      <c r="Q13" s="1">
        <v>45931</v>
      </c>
      <c r="R13" s="1">
        <v>45937</v>
      </c>
      <c r="S13" s="29" t="s">
        <v>135</v>
      </c>
      <c r="T13" s="2" t="s">
        <v>136</v>
      </c>
      <c r="U13" s="29" t="s">
        <v>117</v>
      </c>
      <c r="V13" s="2" t="s">
        <v>125</v>
      </c>
      <c r="W13" s="36" t="s">
        <v>70</v>
      </c>
      <c r="X13" s="2"/>
      <c r="Y13" s="29">
        <f>VLOOKUP(T13,'[1]Query result'!$J:$K,2,0)</f>
        <v>45937</v>
      </c>
      <c r="Z13" s="2">
        <f>VLOOKUP(T13,'[1]Query result'!$J:$W,14,0)</f>
        <v>0</v>
      </c>
      <c r="AA13" s="44">
        <f t="shared" si="4"/>
        <v>1020</v>
      </c>
      <c r="AB13" s="2" t="str">
        <f>VLOOKUP(T13,'[2]Query result'!$F:$G,2,0)</f>
        <v>Force Settlement</v>
      </c>
    </row>
    <row r="14" spans="1:28">
      <c r="A14" s="2" t="s">
        <v>61</v>
      </c>
      <c r="B14" s="2" t="s">
        <v>31</v>
      </c>
      <c r="C14" s="29" t="str">
        <f>VLOOKUP(B14,Validation!A:B,2,0)</f>
        <v>USA</v>
      </c>
      <c r="D14" s="29" t="str">
        <f>VLOOKUP(B14,Validation!A:D,4,0)</f>
        <v>Eduardo Avallone</v>
      </c>
      <c r="E14" s="29" t="str">
        <f>VLOOKUP(B14,Validation!A:E,5,0)</f>
        <v>Christina Hutchinson</v>
      </c>
      <c r="F14" s="29" t="s">
        <v>57</v>
      </c>
      <c r="G14" s="29">
        <f t="shared" si="0"/>
        <v>2025</v>
      </c>
      <c r="H14" s="2" t="s">
        <v>56</v>
      </c>
      <c r="I14" s="2" t="s">
        <v>113</v>
      </c>
      <c r="J14" s="42">
        <f>VLOOKUP(I14,'XE rates'!A:D,4,0)*K14</f>
        <v>3487.5</v>
      </c>
      <c r="K14" s="38">
        <v>3487.5</v>
      </c>
      <c r="L14" s="1">
        <v>45901</v>
      </c>
      <c r="M14" s="30" t="str">
        <f t="shared" si="18"/>
        <v>Sep</v>
      </c>
      <c r="N14" s="29">
        <f t="shared" ca="1" si="19"/>
        <v>167</v>
      </c>
      <c r="O14" s="29" t="str">
        <f t="shared" ca="1" si="20"/>
        <v>Over 90+ days</v>
      </c>
      <c r="P14" s="2" t="s">
        <v>114</v>
      </c>
      <c r="Q14" s="1">
        <v>45932</v>
      </c>
      <c r="R14" s="1">
        <v>45939</v>
      </c>
      <c r="S14" s="29" t="s">
        <v>115</v>
      </c>
      <c r="T14" s="2" t="s">
        <v>137</v>
      </c>
      <c r="U14" s="29" t="s">
        <v>117</v>
      </c>
      <c r="V14" s="29" t="s">
        <v>125</v>
      </c>
      <c r="W14" s="29" t="s">
        <v>65</v>
      </c>
      <c r="X14" s="2"/>
      <c r="Y14" s="29">
        <f>VLOOKUP(T14,'[1]Query result'!$J:$K,2,0)</f>
        <v>45939</v>
      </c>
      <c r="Z14" s="2">
        <f>VLOOKUP(T14,'[1]Query result'!$J:$W,14,0)</f>
        <v>0</v>
      </c>
      <c r="AA14" s="44">
        <f t="shared" si="4"/>
        <v>3487.5</v>
      </c>
      <c r="AB14" s="2" t="str">
        <f>VLOOKUP(T14,'[2]Query result'!$F:$G,2,0)</f>
        <v>Outstanding</v>
      </c>
    </row>
    <row r="15" spans="1:28">
      <c r="A15" s="2" t="s">
        <v>61</v>
      </c>
      <c r="B15" s="2" t="s">
        <v>26</v>
      </c>
      <c r="C15" s="29" t="str">
        <f>VLOOKUP(B15,Validation!A:B,2,0)</f>
        <v>APAC</v>
      </c>
      <c r="D15" s="29" t="str">
        <f>VLOOKUP(B15,Validation!A:D,4,0)</f>
        <v>XiaoXiao</v>
      </c>
      <c r="E15" s="29" t="str">
        <f>VLOOKUP(B15,Validation!A:E,5,0)</f>
        <v>Gitesh Athavale</v>
      </c>
      <c r="F15" s="29" t="s">
        <v>57</v>
      </c>
      <c r="G15" s="29">
        <f t="shared" si="0"/>
        <v>2025</v>
      </c>
      <c r="H15" s="2" t="s">
        <v>56</v>
      </c>
      <c r="I15" s="2" t="s">
        <v>113</v>
      </c>
      <c r="J15" s="42">
        <f>VLOOKUP(I15,'XE rates'!A:D,4,0)*K15</f>
        <v>1430.625</v>
      </c>
      <c r="K15" s="38">
        <v>1430.625</v>
      </c>
      <c r="L15" s="1">
        <v>45901</v>
      </c>
      <c r="M15" s="30" t="str">
        <f t="shared" ref="M15:M16" si="21">TEXT(L15,"mmm")</f>
        <v>Sep</v>
      </c>
      <c r="N15" s="29">
        <f t="shared" ref="N15:N16" ca="1" si="22">$Y$1-R15</f>
        <v>163</v>
      </c>
      <c r="O15" s="29" t="str">
        <f t="shared" ref="O15:O16" ca="1" si="23">IF(N15&lt;=30, "0-30 days", IF(N15&lt;=60, "31-60 days", IF(N15&lt;=90, "61-90 days", "Over 90+ days")))</f>
        <v>Over 90+ days</v>
      </c>
      <c r="P15" s="2" t="s">
        <v>114</v>
      </c>
      <c r="Q15" s="1">
        <v>45936</v>
      </c>
      <c r="R15" s="1">
        <v>45943</v>
      </c>
      <c r="S15" s="29" t="s">
        <v>115</v>
      </c>
      <c r="T15" s="2" t="s">
        <v>138</v>
      </c>
      <c r="U15" s="29" t="s">
        <v>117</v>
      </c>
      <c r="V15" s="29" t="s">
        <v>125</v>
      </c>
      <c r="W15" s="29" t="s">
        <v>133</v>
      </c>
      <c r="X15" s="2"/>
      <c r="Y15" s="29">
        <f>VLOOKUP(T15,'[1]Query result'!$J:$K,2,0)</f>
        <v>45943</v>
      </c>
      <c r="Z15" s="2">
        <f>VLOOKUP(T15,'[1]Query result'!$J:$W,14,0)</f>
        <v>0</v>
      </c>
      <c r="AA15" s="44">
        <f t="shared" si="4"/>
        <v>1430.625</v>
      </c>
      <c r="AB15" s="2" t="str">
        <f>VLOOKUP(T15,'[2]Query result'!$F:$G,2,0)</f>
        <v>Outstanding</v>
      </c>
    </row>
    <row r="16" spans="1:28">
      <c r="A16" s="2" t="s">
        <v>61</v>
      </c>
      <c r="B16" s="2" t="s">
        <v>126</v>
      </c>
      <c r="C16" s="29" t="str">
        <f>VLOOKUP(B16,Validation!A:B,2,0)</f>
        <v>APAC</v>
      </c>
      <c r="D16" s="29" t="str">
        <f>VLOOKUP(B16,Validation!A:D,4,0)</f>
        <v>Hao Nguyen</v>
      </c>
      <c r="E16" s="29" t="str">
        <f>VLOOKUP(B16,Validation!A:E,5,0)</f>
        <v>NA</v>
      </c>
      <c r="F16" s="29" t="s">
        <v>57</v>
      </c>
      <c r="G16" s="29">
        <f t="shared" si="0"/>
        <v>2025</v>
      </c>
      <c r="H16" s="2" t="s">
        <v>56</v>
      </c>
      <c r="I16" s="2" t="s">
        <v>127</v>
      </c>
      <c r="J16" s="42">
        <f>VLOOKUP(I16,'XE rates'!A:D,4,0)*K16</f>
        <v>4495.6247766902861</v>
      </c>
      <c r="K16" s="38">
        <v>6715.2199999999993</v>
      </c>
      <c r="L16" s="1">
        <v>45901</v>
      </c>
      <c r="M16" s="30" t="str">
        <f t="shared" si="21"/>
        <v>Sep</v>
      </c>
      <c r="N16" s="29">
        <f t="shared" ca="1" si="22"/>
        <v>163</v>
      </c>
      <c r="O16" s="29" t="str">
        <f t="shared" ca="1" si="23"/>
        <v>Over 90+ days</v>
      </c>
      <c r="P16" s="2" t="s">
        <v>114</v>
      </c>
      <c r="Q16" s="1">
        <v>45936</v>
      </c>
      <c r="R16" s="1">
        <v>45943</v>
      </c>
      <c r="S16" s="29" t="s">
        <v>115</v>
      </c>
      <c r="T16" s="2" t="s">
        <v>139</v>
      </c>
      <c r="U16" s="29" t="s">
        <v>117</v>
      </c>
      <c r="V16" s="29" t="s">
        <v>117</v>
      </c>
      <c r="W16" s="2" t="s">
        <v>130</v>
      </c>
      <c r="X16" s="2"/>
      <c r="Y16" s="29">
        <f>VLOOKUP(T16,'[1]Query result'!$J:$K,2,0)</f>
        <v>45943</v>
      </c>
      <c r="Z16" s="2">
        <f>VLOOKUP(T16,'[1]Query result'!$J:$W,14,0)</f>
        <v>0</v>
      </c>
      <c r="AA16" s="44">
        <f t="shared" si="4"/>
        <v>6715.2199999999993</v>
      </c>
      <c r="AB16" s="2" t="str">
        <f>VLOOKUP(T16,'[2]Query result'!$F:$G,2,0)</f>
        <v>Outstanding</v>
      </c>
    </row>
    <row r="17" spans="1:28">
      <c r="A17" s="2" t="s">
        <v>55</v>
      </c>
      <c r="B17" s="2" t="s">
        <v>68</v>
      </c>
      <c r="C17" s="29" t="str">
        <f>VLOOKUP(B17,Validation!A:B,2,0)</f>
        <v>USA</v>
      </c>
      <c r="D17" s="29" t="str">
        <f>VLOOKUP(B17,Validation!A:D,4,0)</f>
        <v>Eduardo Avallone</v>
      </c>
      <c r="E17" s="29" t="str">
        <f>VLOOKUP(B17,Validation!A:E,5,0)</f>
        <v>NA</v>
      </c>
      <c r="F17" s="29" t="s">
        <v>57</v>
      </c>
      <c r="G17" s="29">
        <f t="shared" si="0"/>
        <v>2025</v>
      </c>
      <c r="H17" s="2" t="s">
        <v>69</v>
      </c>
      <c r="I17" s="2" t="s">
        <v>113</v>
      </c>
      <c r="J17" s="42">
        <f>VLOOKUP(I17,'XE rates'!A:D,4,0)*K17</f>
        <v>1000</v>
      </c>
      <c r="K17" s="38">
        <v>1000</v>
      </c>
      <c r="L17" s="1">
        <v>45931</v>
      </c>
      <c r="M17" s="30" t="str">
        <f t="shared" ref="M17:M18" si="24">TEXT(L17,"mmm")</f>
        <v>Oct</v>
      </c>
      <c r="N17" s="29">
        <f t="shared" ref="N17:N18" ca="1" si="25">$Y$1-R17</f>
        <v>138</v>
      </c>
      <c r="O17" s="29" t="str">
        <f t="shared" ref="O17:O18" ca="1" si="26">IF(N17&lt;=30, "0-30 days", IF(N17&lt;=60, "31-60 days", IF(N17&lt;=90, "61-90 days", "Over 90+ days")))</f>
        <v>Over 90+ days</v>
      </c>
      <c r="P17" s="2" t="s">
        <v>114</v>
      </c>
      <c r="Q17" s="1">
        <v>45962</v>
      </c>
      <c r="R17" s="1">
        <v>45968</v>
      </c>
      <c r="S17" s="29" t="s">
        <v>135</v>
      </c>
      <c r="T17" s="2" t="s">
        <v>140</v>
      </c>
      <c r="U17" s="29" t="s">
        <v>117</v>
      </c>
      <c r="V17" s="2" t="s">
        <v>125</v>
      </c>
      <c r="W17" s="36" t="s">
        <v>70</v>
      </c>
      <c r="X17" s="2"/>
      <c r="Y17" s="29">
        <f>VLOOKUP(T17,'[1]Query result'!$J:$K,2,0)</f>
        <v>45968</v>
      </c>
      <c r="Z17" s="2">
        <f>VLOOKUP(T17,'[1]Query result'!$J:$W,14,0)</f>
        <v>0</v>
      </c>
      <c r="AA17" s="44">
        <f t="shared" si="4"/>
        <v>1000</v>
      </c>
      <c r="AB17" s="2" t="str">
        <f>VLOOKUP(T17,'[2]Query result'!$F:$G,2,0)</f>
        <v>Force Settlement</v>
      </c>
    </row>
    <row r="18" spans="1:28">
      <c r="A18" s="2" t="s">
        <v>55</v>
      </c>
      <c r="B18" s="2" t="s">
        <v>141</v>
      </c>
      <c r="C18" s="29" t="str">
        <f>VLOOKUP(B18,Validation!A:B,2,0)</f>
        <v>APAC</v>
      </c>
      <c r="D18" s="29" t="str">
        <f>VLOOKUP(B18,Validation!A:D,4,0)</f>
        <v>Luciana</v>
      </c>
      <c r="E18" s="29" t="str">
        <f>VLOOKUP(B18,Validation!A:E,5,0)</f>
        <v>NA</v>
      </c>
      <c r="F18" s="29" t="s">
        <v>57</v>
      </c>
      <c r="G18" s="29">
        <f t="shared" si="0"/>
        <v>2025</v>
      </c>
      <c r="H18" s="2" t="s">
        <v>56</v>
      </c>
      <c r="I18" s="2" t="s">
        <v>142</v>
      </c>
      <c r="J18" s="42">
        <f>VLOOKUP(I18,'XE rates'!A:D,4,0)*K18</f>
        <v>5.6508548239204046</v>
      </c>
      <c r="K18" s="38">
        <v>95444</v>
      </c>
      <c r="L18" s="1">
        <v>45931</v>
      </c>
      <c r="M18" s="30" t="str">
        <f t="shared" si="24"/>
        <v>Oct</v>
      </c>
      <c r="N18" s="29">
        <f t="shared" ca="1" si="25"/>
        <v>127</v>
      </c>
      <c r="O18" s="29" t="str">
        <f t="shared" ca="1" si="26"/>
        <v>Over 90+ days</v>
      </c>
      <c r="P18" s="2" t="s">
        <v>114</v>
      </c>
      <c r="Q18" s="1">
        <v>45964</v>
      </c>
      <c r="R18" s="1">
        <v>45979</v>
      </c>
      <c r="S18" s="29" t="s">
        <v>143</v>
      </c>
      <c r="T18" s="2" t="s">
        <v>144</v>
      </c>
      <c r="U18" s="29" t="s">
        <v>117</v>
      </c>
      <c r="V18" s="2" t="s">
        <v>125</v>
      </c>
      <c r="W18" s="36" t="s">
        <v>58</v>
      </c>
      <c r="X18" s="2"/>
      <c r="Y18" s="29">
        <f>VLOOKUP(T18,'[1]Query result'!$J:$K,2,0)</f>
        <v>45979</v>
      </c>
      <c r="Z18" s="2">
        <f>VLOOKUP(T18,'[1]Query result'!$J:$W,14,0)</f>
        <v>0</v>
      </c>
      <c r="AA18" s="44">
        <f t="shared" si="4"/>
        <v>95444</v>
      </c>
      <c r="AB18" s="2" t="str">
        <f>VLOOKUP(T18,'[2]Query result'!$F:$G,2,0)</f>
        <v>Overdue</v>
      </c>
    </row>
    <row r="19" spans="1:28">
      <c r="A19" s="2" t="s">
        <v>61</v>
      </c>
      <c r="B19" s="2" t="s">
        <v>145</v>
      </c>
      <c r="C19" s="29" t="str">
        <f>VLOOKUP(B19,Validation!A:B,2,0)</f>
        <v>EU/UK</v>
      </c>
      <c r="D19" s="29" t="str">
        <f>VLOOKUP(B19,Validation!A:D,4,0)</f>
        <v>Sachli Zare</v>
      </c>
      <c r="E19" s="29" t="str">
        <f>VLOOKUP(B19,Validation!A:E,5,0)</f>
        <v>Gitesh Athavale</v>
      </c>
      <c r="F19" s="29" t="s">
        <v>57</v>
      </c>
      <c r="G19" s="29">
        <f t="shared" si="0"/>
        <v>2025</v>
      </c>
      <c r="H19" s="2" t="s">
        <v>56</v>
      </c>
      <c r="I19" s="2" t="s">
        <v>146</v>
      </c>
      <c r="J19" s="42">
        <f>VLOOKUP(I19,'XE rates'!A:D,4,0)*K19</f>
        <v>186.0952808811318</v>
      </c>
      <c r="K19" s="38">
        <v>139.19</v>
      </c>
      <c r="L19" s="1">
        <v>45931</v>
      </c>
      <c r="M19" s="30" t="str">
        <f t="shared" ref="M19:M22" si="27">TEXT(L19,"mmm")</f>
        <v>Oct</v>
      </c>
      <c r="N19" s="29">
        <f t="shared" ref="N19:N23" ca="1" si="28">$Y$1-R19</f>
        <v>135</v>
      </c>
      <c r="O19" s="29" t="str">
        <f t="shared" ref="O19:O23" ca="1" si="29">IF(N19&lt;=30, "0-30 days", IF(N19&lt;=60, "31-60 days", IF(N19&lt;=90, "61-90 days", "Over 90+ days")))</f>
        <v>Over 90+ days</v>
      </c>
      <c r="P19" s="2" t="s">
        <v>114</v>
      </c>
      <c r="Q19" s="1">
        <v>45964</v>
      </c>
      <c r="R19" s="1">
        <v>45971</v>
      </c>
      <c r="S19" s="29" t="s">
        <v>115</v>
      </c>
      <c r="T19" s="2" t="s">
        <v>147</v>
      </c>
      <c r="U19" s="29" t="s">
        <v>117</v>
      </c>
      <c r="V19" s="2" t="s">
        <v>125</v>
      </c>
      <c r="W19" s="36" t="s">
        <v>58</v>
      </c>
      <c r="X19" s="2"/>
      <c r="Y19" s="29">
        <f>VLOOKUP(T19,'[1]Query result'!$J:$K,2,0)</f>
        <v>45971</v>
      </c>
      <c r="Z19" s="2">
        <f>VLOOKUP(T19,'[1]Query result'!$J:$W,14,0)</f>
        <v>0</v>
      </c>
      <c r="AA19" s="44">
        <f t="shared" si="4"/>
        <v>139.19</v>
      </c>
      <c r="AB19" s="2" t="str">
        <f>VLOOKUP(T19,'[2]Query result'!$F:$G,2,0)</f>
        <v>Outstanding</v>
      </c>
    </row>
    <row r="20" spans="1:28">
      <c r="A20" s="2" t="s">
        <v>61</v>
      </c>
      <c r="B20" s="2" t="s">
        <v>148</v>
      </c>
      <c r="C20" s="29" t="str">
        <f>VLOOKUP(B20,Validation!A:B,2,0)</f>
        <v>APAC</v>
      </c>
      <c r="D20" s="29" t="str">
        <f>VLOOKUP(B20,Validation!A:D,4,0)</f>
        <v>Hao Nguyen</v>
      </c>
      <c r="E20" s="29" t="str">
        <f>VLOOKUP(B20,Validation!A:E,5,0)</f>
        <v>Vinoth M</v>
      </c>
      <c r="F20" s="29" t="s">
        <v>57</v>
      </c>
      <c r="G20" s="29">
        <f t="shared" si="0"/>
        <v>2025</v>
      </c>
      <c r="H20" s="2" t="s">
        <v>56</v>
      </c>
      <c r="I20" s="2" t="s">
        <v>127</v>
      </c>
      <c r="J20" s="42">
        <f>VLOOKUP(I20,'XE rates'!A:D,4,0)*K20</f>
        <v>919.11259138465959</v>
      </c>
      <c r="K20" s="62">
        <v>1372.8999999999999</v>
      </c>
      <c r="L20" s="1">
        <v>45901</v>
      </c>
      <c r="M20" s="30" t="str">
        <f t="shared" si="27"/>
        <v>Sep</v>
      </c>
      <c r="N20" s="29">
        <f t="shared" ca="1" si="28"/>
        <v>117</v>
      </c>
      <c r="O20" s="29" t="str">
        <f t="shared" ca="1" si="29"/>
        <v>Over 90+ days</v>
      </c>
      <c r="P20" s="2" t="s">
        <v>149</v>
      </c>
      <c r="Q20" s="1">
        <v>45958</v>
      </c>
      <c r="R20" s="1">
        <v>45989</v>
      </c>
      <c r="S20" s="29" t="s">
        <v>115</v>
      </c>
      <c r="T20" s="2" t="s">
        <v>150</v>
      </c>
      <c r="U20" s="29" t="s">
        <v>117</v>
      </c>
      <c r="V20" s="2" t="s">
        <v>125</v>
      </c>
      <c r="W20" s="36" t="s">
        <v>151</v>
      </c>
      <c r="X20" s="2"/>
      <c r="Y20" s="29">
        <f>VLOOKUP(T20,'[1]Query result'!$J:$K,2,0)</f>
        <v>45989</v>
      </c>
      <c r="Z20" s="2">
        <f>VLOOKUP(T20,'[1]Query result'!$J:$W,14,0)</f>
        <v>0</v>
      </c>
      <c r="AA20" s="44">
        <f t="shared" si="4"/>
        <v>1372.8999999999999</v>
      </c>
      <c r="AB20" s="2" t="str">
        <f>VLOOKUP(T20,'[2]Query result'!$F:$G,2,0)</f>
        <v>Partially Paid</v>
      </c>
    </row>
    <row r="21" spans="1:28">
      <c r="A21" s="2" t="s">
        <v>61</v>
      </c>
      <c r="B21" s="2" t="s">
        <v>152</v>
      </c>
      <c r="C21" s="29" t="str">
        <f>VLOOKUP(B21,Validation!A:B,2,0)</f>
        <v>EU/UK</v>
      </c>
      <c r="D21" s="29" t="str">
        <f>VLOOKUP(B21,Validation!A:D,4,0)</f>
        <v>Sachli Zare</v>
      </c>
      <c r="E21" s="29" t="str">
        <f>VLOOKUP(B21,Validation!A:E,5,0)</f>
        <v>NA</v>
      </c>
      <c r="F21" s="29" t="s">
        <v>57</v>
      </c>
      <c r="G21" s="29">
        <f t="shared" si="0"/>
        <v>2025</v>
      </c>
      <c r="H21" s="2" t="s">
        <v>56</v>
      </c>
      <c r="I21" s="2" t="s">
        <v>113</v>
      </c>
      <c r="J21" s="42">
        <f>VLOOKUP(I21,'XE rates'!A:D,4,0)*K21</f>
        <v>75</v>
      </c>
      <c r="K21" s="38">
        <v>75</v>
      </c>
      <c r="L21" s="1">
        <v>45931</v>
      </c>
      <c r="M21" s="30" t="str">
        <f t="shared" si="27"/>
        <v>Oct</v>
      </c>
      <c r="N21" s="29">
        <f t="shared" ca="1" si="28"/>
        <v>133</v>
      </c>
      <c r="O21" s="29" t="str">
        <f t="shared" ca="1" si="29"/>
        <v>Over 90+ days</v>
      </c>
      <c r="P21" s="2" t="s">
        <v>114</v>
      </c>
      <c r="Q21" s="1">
        <v>45966</v>
      </c>
      <c r="R21" s="1">
        <v>45973</v>
      </c>
      <c r="S21" s="29" t="s">
        <v>128</v>
      </c>
      <c r="T21" s="2" t="s">
        <v>153</v>
      </c>
      <c r="U21" s="29" t="s">
        <v>117</v>
      </c>
      <c r="V21" s="2" t="s">
        <v>125</v>
      </c>
      <c r="W21" s="36" t="s">
        <v>154</v>
      </c>
      <c r="X21" s="2"/>
      <c r="Y21" s="29">
        <f>VLOOKUP(T21,'[1]Query result'!$J:$K,2,0)</f>
        <v>45973</v>
      </c>
      <c r="Z21" s="2">
        <f>VLOOKUP(T21,'[1]Query result'!$J:$W,14,0)</f>
        <v>0</v>
      </c>
      <c r="AA21" s="44">
        <f t="shared" si="4"/>
        <v>75</v>
      </c>
      <c r="AB21" s="2" t="str">
        <f>VLOOKUP(T21,'[2]Query result'!$F:$G,2,0)</f>
        <v>Partially Paid</v>
      </c>
    </row>
    <row r="22" spans="1:28">
      <c r="A22" s="2" t="s">
        <v>61</v>
      </c>
      <c r="B22" s="2" t="s">
        <v>31</v>
      </c>
      <c r="C22" s="29" t="str">
        <f>VLOOKUP(B22,Validation!A:B,2,0)</f>
        <v>USA</v>
      </c>
      <c r="D22" s="29" t="str">
        <f>VLOOKUP(B22,Validation!A:D,4,0)</f>
        <v>Eduardo Avallone</v>
      </c>
      <c r="E22" s="29" t="str">
        <f>VLOOKUP(B22,Validation!A:E,5,0)</f>
        <v>Christina Hutchinson</v>
      </c>
      <c r="F22" s="29" t="s">
        <v>57</v>
      </c>
      <c r="G22" s="29">
        <f t="shared" si="0"/>
        <v>2025</v>
      </c>
      <c r="H22" s="2" t="s">
        <v>56</v>
      </c>
      <c r="I22" s="2" t="s">
        <v>113</v>
      </c>
      <c r="J22" s="42">
        <f>VLOOKUP(I22,'XE rates'!A:D,4,0)*K22</f>
        <v>2602.25</v>
      </c>
      <c r="K22" s="38">
        <v>2602.25</v>
      </c>
      <c r="L22" s="1">
        <v>45931</v>
      </c>
      <c r="M22" s="30" t="str">
        <f t="shared" si="27"/>
        <v>Oct</v>
      </c>
      <c r="N22" s="29">
        <f t="shared" ca="1" si="28"/>
        <v>133</v>
      </c>
      <c r="O22" s="29" t="str">
        <f t="shared" ca="1" si="29"/>
        <v>Over 90+ days</v>
      </c>
      <c r="P22" s="2" t="s">
        <v>114</v>
      </c>
      <c r="Q22" s="1">
        <v>45966</v>
      </c>
      <c r="R22" s="1">
        <v>45973</v>
      </c>
      <c r="S22" s="29" t="s">
        <v>115</v>
      </c>
      <c r="T22" s="2" t="s">
        <v>155</v>
      </c>
      <c r="U22" s="29" t="s">
        <v>117</v>
      </c>
      <c r="V22" s="2" t="s">
        <v>125</v>
      </c>
      <c r="W22" s="29" t="s">
        <v>65</v>
      </c>
      <c r="X22" s="2"/>
      <c r="Y22" s="29">
        <f>VLOOKUP(T22,'[1]Query result'!$J:$K,2,0)</f>
        <v>45973</v>
      </c>
      <c r="Z22" s="2">
        <f>VLOOKUP(T22,'[1]Query result'!$J:$W,14,0)</f>
        <v>0</v>
      </c>
      <c r="AA22" s="44">
        <f t="shared" si="4"/>
        <v>2602.25</v>
      </c>
      <c r="AB22" s="2" t="str">
        <f>VLOOKUP(T22,'[2]Query result'!$F:$G,2,0)</f>
        <v>Outstanding</v>
      </c>
    </row>
    <row r="23" spans="1:28">
      <c r="A23" s="2" t="s">
        <v>61</v>
      </c>
      <c r="B23" s="2" t="s">
        <v>156</v>
      </c>
      <c r="C23" s="29" t="str">
        <f>VLOOKUP(B23,Validation!A:B,2,0)</f>
        <v>APAC</v>
      </c>
      <c r="D23" s="29" t="str">
        <f>VLOOKUP(B23,Validation!A:D,4,0)</f>
        <v>Shi Yin</v>
      </c>
      <c r="E23" s="29" t="str">
        <f>VLOOKUP(B23,Validation!A:E,5,0)</f>
        <v>Vinoth M</v>
      </c>
      <c r="F23" s="29" t="s">
        <v>57</v>
      </c>
      <c r="G23" s="29">
        <v>2025</v>
      </c>
      <c r="H23" s="2" t="s">
        <v>56</v>
      </c>
      <c r="I23" s="2" t="s">
        <v>113</v>
      </c>
      <c r="J23" s="42">
        <f>VLOOKUP(I23,'XE rates'!A:D,4,0)*K23</f>
        <v>2756.75</v>
      </c>
      <c r="K23" s="38">
        <v>2756.75</v>
      </c>
      <c r="L23" s="2" t="s">
        <v>157</v>
      </c>
      <c r="M23" s="30" t="s">
        <v>50</v>
      </c>
      <c r="N23" s="29">
        <f t="shared" ca="1" si="28"/>
        <v>126</v>
      </c>
      <c r="O23" s="29" t="str">
        <f t="shared" ca="1" si="29"/>
        <v>Over 90+ days</v>
      </c>
      <c r="P23" s="2" t="s">
        <v>114</v>
      </c>
      <c r="Q23" s="1">
        <v>45966</v>
      </c>
      <c r="R23" s="1">
        <v>45980</v>
      </c>
      <c r="S23" s="29" t="s">
        <v>128</v>
      </c>
      <c r="T23" s="2" t="s">
        <v>158</v>
      </c>
      <c r="U23" s="29" t="s">
        <v>117</v>
      </c>
      <c r="V23" s="2" t="s">
        <v>125</v>
      </c>
      <c r="W23" s="36" t="s">
        <v>58</v>
      </c>
      <c r="X23" s="2"/>
      <c r="Y23" s="29">
        <f>VLOOKUP(T23,'[1]Query result'!$J:$K,2,0)</f>
        <v>45980</v>
      </c>
      <c r="Z23" s="2">
        <f>VLOOKUP(T23,'[1]Query result'!$J:$W,14,0)</f>
        <v>0</v>
      </c>
      <c r="AA23" s="44">
        <f t="shared" si="4"/>
        <v>2756.75</v>
      </c>
      <c r="AB23" s="2" t="str">
        <f>VLOOKUP(T23,'[2]Query result'!$F:$G,2,0)</f>
        <v>Partially Paid</v>
      </c>
    </row>
    <row r="24" spans="1:28">
      <c r="A24" s="2" t="s">
        <v>61</v>
      </c>
      <c r="B24" s="2" t="s">
        <v>126</v>
      </c>
      <c r="C24" s="29" t="str">
        <f>VLOOKUP(B24,Validation!A:B,2,0)</f>
        <v>APAC</v>
      </c>
      <c r="D24" s="29" t="str">
        <f>VLOOKUP(B24,Validation!A:D,4,0)</f>
        <v>Hao Nguyen</v>
      </c>
      <c r="E24" s="29" t="str">
        <f>VLOOKUP(B24,Validation!A:E,5,0)</f>
        <v>NA</v>
      </c>
      <c r="F24" s="29" t="s">
        <v>57</v>
      </c>
      <c r="G24" s="29">
        <f t="shared" si="0"/>
        <v>2025</v>
      </c>
      <c r="H24" s="2" t="s">
        <v>56</v>
      </c>
      <c r="I24" s="2" t="s">
        <v>127</v>
      </c>
      <c r="J24" s="42">
        <f>VLOOKUP(I24,'XE rates'!A:D,4,0)*K24</f>
        <v>4473.4151764140934</v>
      </c>
      <c r="K24" s="38">
        <v>6682.0450000000001</v>
      </c>
      <c r="L24" s="1">
        <v>45931</v>
      </c>
      <c r="M24" s="30" t="str">
        <f t="shared" ref="M24:M25" si="30">TEXT(L24,"mmm")</f>
        <v>Oct</v>
      </c>
      <c r="N24" s="29">
        <f t="shared" ref="N24" ca="1" si="31">$Y$1-R24</f>
        <v>132</v>
      </c>
      <c r="O24" s="29" t="str">
        <f t="shared" ref="O24" ca="1" si="32">IF(N24&lt;=30, "0-30 days", IF(N24&lt;=60, "31-60 days", IF(N24&lt;=90, "61-90 days", "Over 90+ days")))</f>
        <v>Over 90+ days</v>
      </c>
      <c r="P24" s="2" t="s">
        <v>114</v>
      </c>
      <c r="Q24" s="1">
        <v>45967</v>
      </c>
      <c r="R24" s="1">
        <v>45974</v>
      </c>
      <c r="S24" s="29" t="s">
        <v>115</v>
      </c>
      <c r="T24" s="2" t="s">
        <v>159</v>
      </c>
      <c r="U24" s="29" t="s">
        <v>117</v>
      </c>
      <c r="V24" s="29" t="s">
        <v>117</v>
      </c>
      <c r="W24" s="2" t="s">
        <v>130</v>
      </c>
      <c r="X24" s="2"/>
      <c r="Y24" s="29">
        <f>VLOOKUP(T24,'[1]Query result'!$J:$K,2,0)</f>
        <v>45974</v>
      </c>
      <c r="Z24" s="2">
        <f>VLOOKUP(T24,'[1]Query result'!$J:$W,14,0)</f>
        <v>0</v>
      </c>
      <c r="AA24" s="44">
        <f t="shared" si="4"/>
        <v>6682.0450000000001</v>
      </c>
      <c r="AB24" s="2" t="str">
        <f>VLOOKUP(T24,'[2]Query result'!$F:$G,2,0)</f>
        <v>Outstanding</v>
      </c>
    </row>
    <row r="25" spans="1:28">
      <c r="A25" s="2" t="s">
        <v>61</v>
      </c>
      <c r="B25" s="2" t="s">
        <v>63</v>
      </c>
      <c r="C25" s="29" t="str">
        <f>VLOOKUP(B25,Validation!A:B,2,0)</f>
        <v>USA</v>
      </c>
      <c r="D25" s="29" t="str">
        <f>VLOOKUP(B25,Validation!A:D,4,0)</f>
        <v>NA</v>
      </c>
      <c r="E25" s="29" t="str">
        <f>VLOOKUP(B25,Validation!A:E,5,0)</f>
        <v>Tyler Reed</v>
      </c>
      <c r="F25" s="29" t="s">
        <v>57</v>
      </c>
      <c r="G25" s="29">
        <f t="shared" si="0"/>
        <v>2025</v>
      </c>
      <c r="H25" s="2" t="s">
        <v>56</v>
      </c>
      <c r="I25" s="2" t="s">
        <v>113</v>
      </c>
      <c r="J25" s="42">
        <f>VLOOKUP(I25,'XE rates'!A:D,4,0)*K25</f>
        <v>0.5</v>
      </c>
      <c r="K25" s="38">
        <v>0.5</v>
      </c>
      <c r="L25" s="1">
        <v>45931</v>
      </c>
      <c r="M25" s="30" t="str">
        <f t="shared" si="30"/>
        <v>Oct</v>
      </c>
      <c r="N25" s="29">
        <f t="shared" ref="N25" ca="1" si="33">$Y$1-R25</f>
        <v>133</v>
      </c>
      <c r="O25" s="29" t="str">
        <f t="shared" ref="O25" ca="1" si="34">IF(N25&lt;=30, "0-30 days", IF(N25&lt;=60, "31-60 days", IF(N25&lt;=90, "61-90 days", "Over 90+ days")))</f>
        <v>Over 90+ days</v>
      </c>
      <c r="P25" s="2" t="s">
        <v>114</v>
      </c>
      <c r="Q25" s="1">
        <v>45966</v>
      </c>
      <c r="R25" s="1">
        <v>45973</v>
      </c>
      <c r="S25" s="29" t="s">
        <v>115</v>
      </c>
      <c r="T25" s="2" t="s">
        <v>160</v>
      </c>
      <c r="U25" s="29" t="s">
        <v>117</v>
      </c>
      <c r="V25" s="2" t="s">
        <v>125</v>
      </c>
      <c r="W25" s="36" t="s">
        <v>58</v>
      </c>
      <c r="X25" s="2"/>
      <c r="Y25" s="29">
        <f>VLOOKUP(T25,'[1]Query result'!$J:$K,2,0)</f>
        <v>45973</v>
      </c>
      <c r="Z25" s="2">
        <f>VLOOKUP(T25,'[1]Query result'!$J:$W,14,0)</f>
        <v>0</v>
      </c>
      <c r="AA25" s="44">
        <f t="shared" si="4"/>
        <v>0.5</v>
      </c>
      <c r="AB25" s="2" t="str">
        <f>VLOOKUP(T25,'[2]Query result'!$F:$G,2,0)</f>
        <v>Outstanding</v>
      </c>
    </row>
    <row r="26" spans="1:28">
      <c r="A26" s="2" t="s">
        <v>61</v>
      </c>
      <c r="B26" s="2" t="s">
        <v>148</v>
      </c>
      <c r="C26" s="29" t="str">
        <f>VLOOKUP(B26,Validation!A:B,2,0)</f>
        <v>APAC</v>
      </c>
      <c r="D26" s="29" t="str">
        <f>VLOOKUP(B26,Validation!A:D,4,0)</f>
        <v>Hao Nguyen</v>
      </c>
      <c r="E26" s="29" t="str">
        <f>VLOOKUP(B26,Validation!A:E,5,0)</f>
        <v>Vinoth M</v>
      </c>
      <c r="F26" s="29" t="s">
        <v>57</v>
      </c>
      <c r="G26" s="29">
        <f t="shared" si="0"/>
        <v>2025</v>
      </c>
      <c r="H26" s="2" t="s">
        <v>56</v>
      </c>
      <c r="I26" s="2" t="s">
        <v>127</v>
      </c>
      <c r="J26" s="42">
        <f>VLOOKUP(I26,'XE rates'!A:D,4,0)*K26</f>
        <v>1730.6282888314197</v>
      </c>
      <c r="K26" s="44">
        <v>2585.08</v>
      </c>
      <c r="L26" s="1">
        <v>45931</v>
      </c>
      <c r="M26" s="30" t="str">
        <f t="shared" ref="M26" si="35">TEXT(L26,"mmm")</f>
        <v>Oct</v>
      </c>
      <c r="N26" s="29">
        <f t="shared" ref="N26" ca="1" si="36">$Y$1-R26</f>
        <v>98</v>
      </c>
      <c r="O26" s="29" t="str">
        <f t="shared" ref="O26" ca="1" si="37">IF(N26&lt;=30, "0-30 days", IF(N26&lt;=60, "31-60 days", IF(N26&lt;=90, "61-90 days", "Over 90+ days")))</f>
        <v>Over 90+ days</v>
      </c>
      <c r="P26" s="2" t="s">
        <v>149</v>
      </c>
      <c r="Q26" s="1">
        <v>45978</v>
      </c>
      <c r="R26" s="1">
        <v>46008</v>
      </c>
      <c r="S26" s="29" t="s">
        <v>115</v>
      </c>
      <c r="T26" s="2" t="s">
        <v>161</v>
      </c>
      <c r="U26" s="29" t="s">
        <v>125</v>
      </c>
      <c r="V26" s="2" t="s">
        <v>125</v>
      </c>
      <c r="W26" s="36" t="s">
        <v>151</v>
      </c>
      <c r="X26" s="2"/>
      <c r="Y26" s="29">
        <f>VLOOKUP(T26,'[1]Query result'!$J:$K,2,0)</f>
        <v>46008</v>
      </c>
      <c r="Z26" s="2">
        <f>VLOOKUP(T26,'[1]Query result'!$J:$W,14,0)</f>
        <v>0</v>
      </c>
      <c r="AA26" s="44">
        <f t="shared" si="4"/>
        <v>2585.08</v>
      </c>
      <c r="AB26" s="2" t="str">
        <f>VLOOKUP(T26,'[2]Query result'!$F:$G,2,0)</f>
        <v>Outstanding</v>
      </c>
    </row>
    <row r="27" spans="1:28">
      <c r="A27" s="2" t="s">
        <v>55</v>
      </c>
      <c r="B27" s="2" t="s">
        <v>68</v>
      </c>
      <c r="C27" s="29" t="str">
        <f>VLOOKUP(B27,Validation!A:B,2,0)</f>
        <v>USA</v>
      </c>
      <c r="D27" s="29" t="str">
        <f>VLOOKUP(B27,Validation!A:D,4,0)</f>
        <v>Eduardo Avallone</v>
      </c>
      <c r="E27" s="29" t="str">
        <f>VLOOKUP(B27,Validation!A:E,5,0)</f>
        <v>NA</v>
      </c>
      <c r="F27" s="29" t="s">
        <v>57</v>
      </c>
      <c r="G27" s="29">
        <f t="shared" si="0"/>
        <v>2025</v>
      </c>
      <c r="H27" s="2" t="s">
        <v>69</v>
      </c>
      <c r="I27" s="2" t="s">
        <v>113</v>
      </c>
      <c r="J27" s="42">
        <f>VLOOKUP(I27,'XE rates'!A:D,4,0)*K27</f>
        <v>1000</v>
      </c>
      <c r="K27" s="38">
        <v>1000</v>
      </c>
      <c r="L27" s="1">
        <v>45962</v>
      </c>
      <c r="M27" s="30" t="str">
        <f t="shared" ref="M27:M34" si="38">TEXT(L27,"mmm")</f>
        <v>Nov</v>
      </c>
      <c r="N27" s="29">
        <f t="shared" ref="N27:N34" ca="1" si="39">$Y$1-R27</f>
        <v>107</v>
      </c>
      <c r="O27" s="29" t="str">
        <f t="shared" ref="O27:O34" ca="1" si="40">IF(N27&lt;=30, "0-30 days", IF(N27&lt;=60, "31-60 days", IF(N27&lt;=90, "61-90 days", "Over 90+ days")))</f>
        <v>Over 90+ days</v>
      </c>
      <c r="P27" s="2" t="s">
        <v>114</v>
      </c>
      <c r="Q27" s="1">
        <v>45992</v>
      </c>
      <c r="R27" s="1">
        <v>45999</v>
      </c>
      <c r="S27" s="2" t="s">
        <v>135</v>
      </c>
      <c r="T27" s="2" t="s">
        <v>162</v>
      </c>
      <c r="U27" s="2" t="s">
        <v>117</v>
      </c>
      <c r="V27" s="2" t="s">
        <v>125</v>
      </c>
      <c r="W27" s="36" t="s">
        <v>70</v>
      </c>
      <c r="X27" s="2"/>
      <c r="Y27" s="29">
        <f>VLOOKUP(T27,'[1]Query result'!$J:$K,2,0)</f>
        <v>45999</v>
      </c>
      <c r="Z27" s="2">
        <f>VLOOKUP(T27,'[1]Query result'!$J:$W,14,0)</f>
        <v>0</v>
      </c>
      <c r="AA27" s="44">
        <f t="shared" si="4"/>
        <v>1000</v>
      </c>
      <c r="AB27" s="2" t="str">
        <f>VLOOKUP(T27,'[2]Query result'!$F:$G,2,0)</f>
        <v>Force Settlement</v>
      </c>
    </row>
    <row r="28" spans="1:28">
      <c r="A28" s="2" t="s">
        <v>61</v>
      </c>
      <c r="B28" s="2" t="s">
        <v>145</v>
      </c>
      <c r="C28" s="29" t="str">
        <f>VLOOKUP(B28,Validation!A:B,2,0)</f>
        <v>EU/UK</v>
      </c>
      <c r="D28" s="29" t="str">
        <f>VLOOKUP(B28,Validation!A:D,4,0)</f>
        <v>Sachli Zare</v>
      </c>
      <c r="E28" s="29" t="str">
        <f>VLOOKUP(B28,Validation!A:E,5,0)</f>
        <v>Gitesh Athavale</v>
      </c>
      <c r="F28" s="29" t="s">
        <v>57</v>
      </c>
      <c r="G28" s="29">
        <f t="shared" si="0"/>
        <v>2025</v>
      </c>
      <c r="H28" s="2" t="s">
        <v>56</v>
      </c>
      <c r="I28" s="2" t="s">
        <v>146</v>
      </c>
      <c r="J28" s="42">
        <f>VLOOKUP(I28,'XE rates'!A:D,4,0)*K28</f>
        <v>127.08065556255175</v>
      </c>
      <c r="K28" s="38">
        <v>95.05</v>
      </c>
      <c r="L28" s="1">
        <v>45962</v>
      </c>
      <c r="M28" s="30" t="str">
        <f t="shared" si="38"/>
        <v>Nov</v>
      </c>
      <c r="N28" s="29">
        <f t="shared" ca="1" si="39"/>
        <v>83</v>
      </c>
      <c r="O28" s="29" t="str">
        <f t="shared" ca="1" si="40"/>
        <v>61-90 days</v>
      </c>
      <c r="P28" s="2" t="s">
        <v>114</v>
      </c>
      <c r="Q28" s="1">
        <v>45993</v>
      </c>
      <c r="R28" s="1">
        <v>46023</v>
      </c>
      <c r="S28" s="2" t="s">
        <v>164</v>
      </c>
      <c r="T28" s="2" t="s">
        <v>165</v>
      </c>
      <c r="U28" s="29" t="s">
        <v>117</v>
      </c>
      <c r="V28" s="2" t="s">
        <v>125</v>
      </c>
      <c r="W28" s="36" t="s">
        <v>58</v>
      </c>
      <c r="X28" s="2"/>
      <c r="Y28" s="29">
        <f>VLOOKUP(T28,'[1]Query result'!$J:$K,2,0)</f>
        <v>46023</v>
      </c>
      <c r="Z28" s="2">
        <f>VLOOKUP(T28,'[1]Query result'!$J:$W,14,0)</f>
        <v>0</v>
      </c>
      <c r="AA28" s="44">
        <f t="shared" si="4"/>
        <v>95.05</v>
      </c>
      <c r="AB28" s="2" t="str">
        <f>VLOOKUP(T28,'[2]Query result'!$F:$G,2,0)</f>
        <v>Outstanding</v>
      </c>
    </row>
    <row r="29" spans="1:28">
      <c r="A29" s="2" t="s">
        <v>61</v>
      </c>
      <c r="B29" s="2" t="s">
        <v>148</v>
      </c>
      <c r="C29" s="29" t="str">
        <f>VLOOKUP(B29,Validation!A:B,2,0)</f>
        <v>APAC</v>
      </c>
      <c r="D29" s="29" t="str">
        <f>VLOOKUP(B29,Validation!A:D,4,0)</f>
        <v>Hao Nguyen</v>
      </c>
      <c r="E29" s="29" t="str">
        <f>VLOOKUP(B29,Validation!A:E,5,0)</f>
        <v>Vinoth M</v>
      </c>
      <c r="F29" s="29" t="s">
        <v>57</v>
      </c>
      <c r="G29" s="29">
        <f t="shared" si="0"/>
        <v>2025</v>
      </c>
      <c r="H29" s="2" t="s">
        <v>56</v>
      </c>
      <c r="I29" s="2" t="s">
        <v>127</v>
      </c>
      <c r="J29" s="42">
        <f>VLOOKUP(I29,'XE rates'!A:D,4,0)*K29</f>
        <v>1729.4968879431976</v>
      </c>
      <c r="K29" s="62">
        <v>2583.39</v>
      </c>
      <c r="L29" s="1">
        <v>45962</v>
      </c>
      <c r="M29" s="30" t="str">
        <f t="shared" si="38"/>
        <v>Nov</v>
      </c>
      <c r="N29" s="29">
        <f t="shared" ca="1" si="39"/>
        <v>69</v>
      </c>
      <c r="O29" s="29" t="str">
        <f t="shared" ca="1" si="40"/>
        <v>61-90 days</v>
      </c>
      <c r="P29" s="2" t="s">
        <v>149</v>
      </c>
      <c r="Q29" s="1">
        <v>46006</v>
      </c>
      <c r="R29" s="1">
        <v>46037</v>
      </c>
      <c r="S29" s="2" t="s">
        <v>164</v>
      </c>
      <c r="T29" s="2" t="s">
        <v>166</v>
      </c>
      <c r="U29" s="29" t="s">
        <v>125</v>
      </c>
      <c r="V29" s="2" t="s">
        <v>125</v>
      </c>
      <c r="W29" s="36" t="s">
        <v>151</v>
      </c>
      <c r="X29" s="2"/>
      <c r="Y29" s="29">
        <f>VLOOKUP(T29,'[1]Query result'!$J:$K,2,0)</f>
        <v>46037</v>
      </c>
      <c r="Z29" s="2">
        <f>VLOOKUP(T29,'[1]Query result'!$J:$W,14,0)</f>
        <v>0</v>
      </c>
      <c r="AA29" s="44">
        <f t="shared" si="4"/>
        <v>2583.39</v>
      </c>
      <c r="AB29" s="2" t="str">
        <f>VLOOKUP(T29,'[2]Query result'!$F:$G,2,0)</f>
        <v>Outstanding</v>
      </c>
    </row>
    <row r="30" spans="1:28">
      <c r="A30" s="2" t="s">
        <v>61</v>
      </c>
      <c r="B30" s="2" t="s">
        <v>66</v>
      </c>
      <c r="C30" s="29" t="str">
        <f>VLOOKUP(B30,Validation!A:B,2,0)</f>
        <v>USA</v>
      </c>
      <c r="D30" s="29" t="str">
        <f>VLOOKUP(B30,Validation!A:D,4,0)</f>
        <v>Eduardo Avallone</v>
      </c>
      <c r="E30" s="29" t="str">
        <f>VLOOKUP(B30,Validation!A:E,5,0)</f>
        <v>Greg McAllister</v>
      </c>
      <c r="F30" s="29" t="s">
        <v>57</v>
      </c>
      <c r="G30" s="29">
        <f t="shared" si="0"/>
        <v>2025</v>
      </c>
      <c r="H30" s="2" t="s">
        <v>56</v>
      </c>
      <c r="I30" s="2" t="s">
        <v>113</v>
      </c>
      <c r="J30" s="42">
        <f>VLOOKUP(I30,'XE rates'!A:D,4,0)*K30</f>
        <v>130</v>
      </c>
      <c r="K30" s="38">
        <v>130</v>
      </c>
      <c r="L30" s="1">
        <v>45962</v>
      </c>
      <c r="M30" s="30" t="str">
        <f t="shared" si="38"/>
        <v>Nov</v>
      </c>
      <c r="N30" s="29">
        <f t="shared" ca="1" si="39"/>
        <v>106</v>
      </c>
      <c r="O30" s="29" t="str">
        <f t="shared" ca="1" si="40"/>
        <v>Over 90+ days</v>
      </c>
      <c r="P30" s="2" t="s">
        <v>114</v>
      </c>
      <c r="Q30" s="1">
        <v>45993</v>
      </c>
      <c r="R30" s="1">
        <v>46000</v>
      </c>
      <c r="S30" s="2" t="s">
        <v>115</v>
      </c>
      <c r="T30" s="2" t="s">
        <v>167</v>
      </c>
      <c r="U30" s="2" t="s">
        <v>117</v>
      </c>
      <c r="V30" s="2" t="s">
        <v>125</v>
      </c>
      <c r="W30" s="36" t="s">
        <v>58</v>
      </c>
      <c r="X30" s="2"/>
      <c r="Y30" s="29">
        <f>VLOOKUP(T30,'[1]Query result'!$J:$K,2,0)</f>
        <v>46000</v>
      </c>
      <c r="Z30" s="2">
        <f>VLOOKUP(T30,'[1]Query result'!$J:$W,14,0)</f>
        <v>0</v>
      </c>
      <c r="AA30" s="44">
        <f t="shared" si="4"/>
        <v>130</v>
      </c>
      <c r="AB30" s="2" t="str">
        <f>VLOOKUP(T30,'[2]Query result'!$F:$G,2,0)</f>
        <v>Outstanding</v>
      </c>
    </row>
    <row r="31" spans="1:28">
      <c r="A31" s="2" t="s">
        <v>61</v>
      </c>
      <c r="B31" s="2" t="s">
        <v>169</v>
      </c>
      <c r="C31" s="29" t="str">
        <f>VLOOKUP(B31,Validation!A:B,2,0)</f>
        <v>ME</v>
      </c>
      <c r="D31" s="29" t="str">
        <f>VLOOKUP(B31,Validation!A:D,4,0)</f>
        <v>Jerome Coelho</v>
      </c>
      <c r="E31" s="29" t="str">
        <f>VLOOKUP(B31,Validation!A:E,5,0)</f>
        <v>Ashraf Omran</v>
      </c>
      <c r="F31" s="29" t="s">
        <v>57</v>
      </c>
      <c r="G31" s="29">
        <f t="shared" si="0"/>
        <v>2025</v>
      </c>
      <c r="H31" s="2" t="s">
        <v>56</v>
      </c>
      <c r="I31" s="2" t="s">
        <v>113</v>
      </c>
      <c r="J31" s="42">
        <f>VLOOKUP(I31,'XE rates'!A:D,4,0)*K31</f>
        <v>57.489999999999782</v>
      </c>
      <c r="K31" s="38">
        <v>57.489999999999782</v>
      </c>
      <c r="L31" s="1">
        <v>45962</v>
      </c>
      <c r="M31" s="30" t="str">
        <f t="shared" si="38"/>
        <v>Nov</v>
      </c>
      <c r="N31" s="29">
        <f t="shared" ca="1" si="39"/>
        <v>106</v>
      </c>
      <c r="O31" s="29" t="str">
        <f t="shared" ca="1" si="40"/>
        <v>Over 90+ days</v>
      </c>
      <c r="P31" s="2" t="s">
        <v>114</v>
      </c>
      <c r="Q31" s="1">
        <v>45993</v>
      </c>
      <c r="R31" s="1">
        <v>46000</v>
      </c>
      <c r="S31" s="2" t="s">
        <v>128</v>
      </c>
      <c r="T31" s="2" t="s">
        <v>170</v>
      </c>
      <c r="U31" s="2" t="s">
        <v>117</v>
      </c>
      <c r="V31" s="2" t="s">
        <v>125</v>
      </c>
      <c r="W31" s="36" t="s">
        <v>58</v>
      </c>
      <c r="X31" s="2"/>
      <c r="Y31" s="29">
        <f>VLOOKUP(T31,'[1]Query result'!$J:$K,2,0)</f>
        <v>46000</v>
      </c>
      <c r="Z31" s="2">
        <f>VLOOKUP(T31,'[1]Query result'!$J:$W,14,0)</f>
        <v>0</v>
      </c>
      <c r="AA31" s="44">
        <f t="shared" si="4"/>
        <v>57.489999999999782</v>
      </c>
      <c r="AB31" s="2" t="str">
        <f>VLOOKUP(T31,'[2]Query result'!$F:$G,2,0)</f>
        <v>Partially Paid</v>
      </c>
    </row>
    <row r="32" spans="1:28">
      <c r="A32" s="2" t="s">
        <v>61</v>
      </c>
      <c r="B32" s="2" t="s">
        <v>31</v>
      </c>
      <c r="C32" s="29" t="str">
        <f>VLOOKUP(B32,Validation!A:B,2,0)</f>
        <v>USA</v>
      </c>
      <c r="D32" s="29" t="str">
        <f>VLOOKUP(B32,Validation!A:D,4,0)</f>
        <v>Eduardo Avallone</v>
      </c>
      <c r="E32" s="29" t="str">
        <f>VLOOKUP(B32,Validation!A:E,5,0)</f>
        <v>Christina Hutchinson</v>
      </c>
      <c r="F32" s="29" t="s">
        <v>57</v>
      </c>
      <c r="G32" s="29">
        <f t="shared" si="0"/>
        <v>2025</v>
      </c>
      <c r="H32" s="2" t="s">
        <v>56</v>
      </c>
      <c r="I32" s="2" t="s">
        <v>113</v>
      </c>
      <c r="J32" s="42">
        <f>VLOOKUP(I32,'XE rates'!A:D,4,0)*K32</f>
        <v>1786.14</v>
      </c>
      <c r="K32" s="38">
        <v>1786.14</v>
      </c>
      <c r="L32" s="1">
        <v>45962</v>
      </c>
      <c r="M32" s="30" t="str">
        <f t="shared" si="38"/>
        <v>Nov</v>
      </c>
      <c r="N32" s="29">
        <f t="shared" ca="1" si="39"/>
        <v>106</v>
      </c>
      <c r="O32" s="29" t="str">
        <f t="shared" ca="1" si="40"/>
        <v>Over 90+ days</v>
      </c>
      <c r="P32" s="2" t="s">
        <v>114</v>
      </c>
      <c r="Q32" s="1">
        <v>45993</v>
      </c>
      <c r="R32" s="1">
        <v>46000</v>
      </c>
      <c r="S32" s="2" t="s">
        <v>115</v>
      </c>
      <c r="T32" s="2" t="s">
        <v>171</v>
      </c>
      <c r="U32" s="2" t="s">
        <v>117</v>
      </c>
      <c r="V32" s="2" t="s">
        <v>125</v>
      </c>
      <c r="W32" s="29" t="s">
        <v>65</v>
      </c>
      <c r="X32" s="2"/>
      <c r="Y32" s="29">
        <f>VLOOKUP(T32,'[1]Query result'!$J:$K,2,0)</f>
        <v>46000</v>
      </c>
      <c r="Z32" s="2">
        <f>VLOOKUP(T32,'[1]Query result'!$J:$W,14,0)</f>
        <v>0</v>
      </c>
      <c r="AA32" s="44">
        <f t="shared" ref="AA32:AA48" si="41">K32-Z32</f>
        <v>1786.14</v>
      </c>
      <c r="AB32" s="2" t="str">
        <f>VLOOKUP(T32,'[2]Query result'!$F:$G,2,0)</f>
        <v>Outstanding</v>
      </c>
    </row>
    <row r="33" spans="1:28">
      <c r="A33" s="2" t="s">
        <v>61</v>
      </c>
      <c r="B33" s="2" t="s">
        <v>172</v>
      </c>
      <c r="C33" s="29" t="str">
        <f>VLOOKUP(B33,Validation!A:B,2,0)</f>
        <v>EU/UK</v>
      </c>
      <c r="D33" s="29" t="str">
        <f>VLOOKUP(B33,Validation!A:D,4,0)</f>
        <v>Sachli Zare</v>
      </c>
      <c r="E33" s="29" t="str">
        <f>VLOOKUP(B33,Validation!A:E,5,0)</f>
        <v>NA</v>
      </c>
      <c r="F33" s="29" t="s">
        <v>57</v>
      </c>
      <c r="G33" s="29">
        <f t="shared" si="0"/>
        <v>2025</v>
      </c>
      <c r="H33" s="2" t="s">
        <v>56</v>
      </c>
      <c r="I33" s="2" t="s">
        <v>113</v>
      </c>
      <c r="J33" s="42">
        <f>VLOOKUP(I33,'XE rates'!A:D,4,0)*K33</f>
        <v>66.3</v>
      </c>
      <c r="K33" s="38">
        <v>66.3</v>
      </c>
      <c r="L33" s="1">
        <v>45962</v>
      </c>
      <c r="M33" s="30" t="str">
        <f t="shared" si="38"/>
        <v>Nov</v>
      </c>
      <c r="N33" s="29">
        <f t="shared" ca="1" si="39"/>
        <v>69</v>
      </c>
      <c r="O33" s="29" t="str">
        <f t="shared" ca="1" si="40"/>
        <v>61-90 days</v>
      </c>
      <c r="P33" s="2" t="s">
        <v>149</v>
      </c>
      <c r="Q33" s="1">
        <v>46006</v>
      </c>
      <c r="R33" s="1">
        <v>46037</v>
      </c>
      <c r="S33" s="2" t="s">
        <v>164</v>
      </c>
      <c r="T33" s="2" t="s">
        <v>173</v>
      </c>
      <c r="U33" s="29" t="s">
        <v>125</v>
      </c>
      <c r="V33" s="2" t="s">
        <v>125</v>
      </c>
      <c r="W33" s="29" t="s">
        <v>58</v>
      </c>
      <c r="X33" s="2"/>
      <c r="Y33" s="29">
        <f>VLOOKUP(T33,'[1]Query result'!$J:$K,2,0)</f>
        <v>46037</v>
      </c>
      <c r="Z33" s="2">
        <f>VLOOKUP(T33,'[1]Query result'!$J:$W,14,0)</f>
        <v>0</v>
      </c>
      <c r="AA33" s="44">
        <f t="shared" si="41"/>
        <v>66.3</v>
      </c>
      <c r="AB33" s="2" t="str">
        <f>VLOOKUP(T33,'[2]Query result'!$F:$G,2,0)</f>
        <v>Outstanding</v>
      </c>
    </row>
    <row r="34" spans="1:28">
      <c r="A34" s="2" t="s">
        <v>61</v>
      </c>
      <c r="B34" s="2" t="s">
        <v>156</v>
      </c>
      <c r="C34" s="29" t="str">
        <f>VLOOKUP(B34,Validation!A:B,2,0)</f>
        <v>APAC</v>
      </c>
      <c r="D34" s="29" t="str">
        <f>VLOOKUP(B34,Validation!A:D,4,0)</f>
        <v>Shi Yin</v>
      </c>
      <c r="E34" s="29" t="str">
        <f>VLOOKUP(B34,Validation!A:E,5,0)</f>
        <v>Vinoth M</v>
      </c>
      <c r="F34" s="29" t="s">
        <v>57</v>
      </c>
      <c r="G34" s="29">
        <f t="shared" si="0"/>
        <v>2025</v>
      </c>
      <c r="H34" s="2" t="s">
        <v>56</v>
      </c>
      <c r="I34" s="2" t="s">
        <v>113</v>
      </c>
      <c r="J34" s="42">
        <f>VLOOKUP(I34,'XE rates'!A:D,4,0)*K34</f>
        <v>2743</v>
      </c>
      <c r="K34" s="38">
        <v>2743</v>
      </c>
      <c r="L34" s="1">
        <v>45962</v>
      </c>
      <c r="M34" s="30" t="str">
        <f t="shared" si="38"/>
        <v>Nov</v>
      </c>
      <c r="N34" s="29">
        <f t="shared" ca="1" si="39"/>
        <v>97</v>
      </c>
      <c r="O34" s="29" t="str">
        <f t="shared" ca="1" si="40"/>
        <v>Over 90+ days</v>
      </c>
      <c r="P34" s="2" t="s">
        <v>114</v>
      </c>
      <c r="Q34" s="1">
        <v>45994</v>
      </c>
      <c r="R34" s="1">
        <v>46009</v>
      </c>
      <c r="S34" s="2" t="s">
        <v>164</v>
      </c>
      <c r="T34" s="2" t="s">
        <v>174</v>
      </c>
      <c r="U34" s="29" t="s">
        <v>117</v>
      </c>
      <c r="V34" s="2" t="s">
        <v>125</v>
      </c>
      <c r="W34" s="36" t="s">
        <v>58</v>
      </c>
      <c r="X34" s="2"/>
      <c r="Y34" s="29">
        <f>VLOOKUP(T34,'[1]Query result'!$J:$K,2,0)</f>
        <v>46009</v>
      </c>
      <c r="Z34" s="2">
        <f>VLOOKUP(T34,'[1]Query result'!$J:$W,14,0)</f>
        <v>0</v>
      </c>
      <c r="AA34" s="44">
        <f t="shared" si="41"/>
        <v>2743</v>
      </c>
      <c r="AB34" s="2" t="str">
        <f>VLOOKUP(T34,'[2]Query result'!$F:$G,2,0)</f>
        <v>Outstanding</v>
      </c>
    </row>
    <row r="35" spans="1:28">
      <c r="A35" s="2" t="s">
        <v>61</v>
      </c>
      <c r="B35" s="2" t="s">
        <v>126</v>
      </c>
      <c r="C35" s="29" t="str">
        <f>VLOOKUP(B35,Validation!A:B,2,0)</f>
        <v>APAC</v>
      </c>
      <c r="D35" s="29" t="str">
        <f>VLOOKUP(B35,Validation!A:D,4,0)</f>
        <v>Hao Nguyen</v>
      </c>
      <c r="E35" s="29" t="str">
        <f>VLOOKUP(B35,Validation!A:E,5,0)</f>
        <v>NA</v>
      </c>
      <c r="F35" s="29" t="s">
        <v>57</v>
      </c>
      <c r="G35" s="29">
        <f t="shared" si="0"/>
        <v>2025</v>
      </c>
      <c r="H35" s="2" t="s">
        <v>56</v>
      </c>
      <c r="I35" s="2" t="s">
        <v>127</v>
      </c>
      <c r="J35" s="42">
        <f>VLOOKUP(I35,'XE rates'!A:D,4,0)*K35</f>
        <v>4586.6382792659679</v>
      </c>
      <c r="K35" s="38">
        <v>6851.1689999999999</v>
      </c>
      <c r="L35" s="1">
        <v>45962</v>
      </c>
      <c r="M35" s="30" t="str">
        <f t="shared" ref="M35:M36" si="42">TEXT(L35,"mmm")</f>
        <v>Nov</v>
      </c>
      <c r="N35" s="29">
        <f t="shared" ref="N35:N36" ca="1" si="43">$Y$1-R35</f>
        <v>104</v>
      </c>
      <c r="O35" s="29" t="str">
        <f t="shared" ref="O35:O36" ca="1" si="44">IF(N35&lt;=30, "0-30 days", IF(N35&lt;=60, "31-60 days", IF(N35&lt;=90, "61-90 days", "Over 90+ days")))</f>
        <v>Over 90+ days</v>
      </c>
      <c r="P35" s="2" t="s">
        <v>114</v>
      </c>
      <c r="Q35" s="1">
        <v>45995</v>
      </c>
      <c r="R35" s="1">
        <v>46002</v>
      </c>
      <c r="S35" s="2" t="s">
        <v>115</v>
      </c>
      <c r="T35" s="2" t="s">
        <v>175</v>
      </c>
      <c r="U35" s="29" t="s">
        <v>117</v>
      </c>
      <c r="V35" s="29" t="s">
        <v>117</v>
      </c>
      <c r="W35" s="2" t="s">
        <v>130</v>
      </c>
      <c r="X35" s="2"/>
      <c r="Y35" s="29">
        <f>VLOOKUP(T35,'[1]Query result'!$J:$K,2,0)</f>
        <v>46002</v>
      </c>
      <c r="Z35" s="2">
        <f>VLOOKUP(T35,'[1]Query result'!$J:$W,14,0)</f>
        <v>0</v>
      </c>
      <c r="AA35" s="44">
        <f t="shared" si="41"/>
        <v>6851.1689999999999</v>
      </c>
      <c r="AB35" s="2" t="str">
        <f>VLOOKUP(T35,'[2]Query result'!$F:$G,2,0)</f>
        <v>Outstanding</v>
      </c>
    </row>
    <row r="36" spans="1:28">
      <c r="A36" s="2" t="s">
        <v>61</v>
      </c>
      <c r="B36" s="2" t="s">
        <v>63</v>
      </c>
      <c r="C36" s="29" t="str">
        <f>VLOOKUP(B36,Validation!A:B,2,0)</f>
        <v>USA</v>
      </c>
      <c r="D36" s="29" t="str">
        <f>VLOOKUP(B36,Validation!A:D,4,0)</f>
        <v>NA</v>
      </c>
      <c r="E36" s="29" t="str">
        <f>VLOOKUP(B36,Validation!A:E,5,0)</f>
        <v>Tyler Reed</v>
      </c>
      <c r="F36" s="29" t="s">
        <v>57</v>
      </c>
      <c r="G36" s="29">
        <f t="shared" si="0"/>
        <v>2025</v>
      </c>
      <c r="H36" s="2" t="s">
        <v>56</v>
      </c>
      <c r="I36" s="2" t="s">
        <v>113</v>
      </c>
      <c r="J36" s="42">
        <f>VLOOKUP(I36,'XE rates'!A:D,4,0)*K36</f>
        <v>500</v>
      </c>
      <c r="K36" s="38">
        <v>500</v>
      </c>
      <c r="L36" s="1">
        <v>45962</v>
      </c>
      <c r="M36" s="30" t="str">
        <f t="shared" si="42"/>
        <v>Nov</v>
      </c>
      <c r="N36" s="29">
        <f t="shared" ca="1" si="43"/>
        <v>105</v>
      </c>
      <c r="O36" s="29" t="str">
        <f t="shared" ca="1" si="44"/>
        <v>Over 90+ days</v>
      </c>
      <c r="P36" s="2" t="s">
        <v>114</v>
      </c>
      <c r="Q36" s="1">
        <v>45994</v>
      </c>
      <c r="R36" s="1">
        <v>46001</v>
      </c>
      <c r="S36" s="2" t="s">
        <v>115</v>
      </c>
      <c r="T36" s="2" t="s">
        <v>176</v>
      </c>
      <c r="U36" s="2" t="s">
        <v>117</v>
      </c>
      <c r="V36" s="2" t="s">
        <v>125</v>
      </c>
      <c r="W36" s="36" t="s">
        <v>58</v>
      </c>
      <c r="X36" s="2"/>
      <c r="Y36" s="29">
        <f>VLOOKUP(T36,'[1]Query result'!$J:$K,2,0)</f>
        <v>46001</v>
      </c>
      <c r="Z36" s="2">
        <f>VLOOKUP(T36,'[1]Query result'!$J:$W,14,0)</f>
        <v>0</v>
      </c>
      <c r="AA36" s="44">
        <f t="shared" si="41"/>
        <v>500</v>
      </c>
      <c r="AB36" s="2" t="str">
        <f>VLOOKUP(T36,'[2]Query result'!$F:$G,2,0)</f>
        <v>Outstanding</v>
      </c>
    </row>
    <row r="37" spans="1:28">
      <c r="A37" s="2" t="s">
        <v>55</v>
      </c>
      <c r="B37" s="2" t="s">
        <v>75</v>
      </c>
      <c r="C37" s="29" t="str">
        <f>VLOOKUP(B37,Validation!A:B,2,0)</f>
        <v>USA</v>
      </c>
      <c r="D37" s="29" t="str">
        <f>VLOOKUP(B37,Validation!A:D,4,0)</f>
        <v>Eduardo Avallone</v>
      </c>
      <c r="E37" s="29" t="str">
        <f>VLOOKUP(B37,Validation!A:E,5,0)</f>
        <v>NA</v>
      </c>
      <c r="F37" s="29" t="s">
        <v>57</v>
      </c>
      <c r="G37" s="29">
        <f t="shared" si="0"/>
        <v>2025</v>
      </c>
      <c r="H37" s="2" t="s">
        <v>56</v>
      </c>
      <c r="I37" s="2" t="s">
        <v>113</v>
      </c>
      <c r="J37" s="42">
        <f>VLOOKUP(I37,'XE rates'!A:D,4,0)*K37</f>
        <v>2217.6</v>
      </c>
      <c r="K37" s="38">
        <v>2217.6</v>
      </c>
      <c r="L37" s="1">
        <v>45992</v>
      </c>
      <c r="M37" s="30" t="str">
        <f t="shared" ref="M37:M47" si="45">TEXT(L37,"mmm")</f>
        <v>Dec</v>
      </c>
      <c r="N37" s="29">
        <f t="shared" ref="N37:N47" ca="1" si="46">$Y$1-R37</f>
        <v>67</v>
      </c>
      <c r="O37" s="29" t="str">
        <f t="shared" ref="O37:O47" ca="1" si="47">IF(N37&lt;=30, "0-30 days", IF(N37&lt;=60, "31-60 days", IF(N37&lt;=90, "61-90 days", "Over 90+ days")))</f>
        <v>61-90 days</v>
      </c>
      <c r="P37" s="2" t="s">
        <v>114</v>
      </c>
      <c r="Q37" s="1">
        <v>46024</v>
      </c>
      <c r="R37" s="1">
        <v>46039</v>
      </c>
      <c r="S37" s="2" t="s">
        <v>164</v>
      </c>
      <c r="T37" s="2" t="s">
        <v>177</v>
      </c>
      <c r="U37" s="2" t="s">
        <v>117</v>
      </c>
      <c r="V37" s="2" t="s">
        <v>125</v>
      </c>
      <c r="W37" s="36" t="s">
        <v>58</v>
      </c>
      <c r="X37" s="2"/>
      <c r="Y37" s="29">
        <f>VLOOKUP(T37,'[1]Query result'!$J:$K,2,0)</f>
        <v>46039</v>
      </c>
      <c r="Z37" s="2"/>
      <c r="AA37" s="44"/>
      <c r="AB37" s="2" t="str">
        <f>VLOOKUP(T37,'[2]Query result'!$F:$G,2,0)</f>
        <v>Overdue</v>
      </c>
    </row>
    <row r="38" spans="1:28">
      <c r="A38" s="2" t="s">
        <v>55</v>
      </c>
      <c r="B38" s="2" t="s">
        <v>141</v>
      </c>
      <c r="C38" s="29" t="str">
        <f>VLOOKUP(B38,Validation!A:B,2,0)</f>
        <v>APAC</v>
      </c>
      <c r="D38" s="29" t="str">
        <f>VLOOKUP(B38,Validation!A:D,4,0)</f>
        <v>Luciana</v>
      </c>
      <c r="E38" s="29" t="str">
        <f>VLOOKUP(B38,Validation!A:E,5,0)</f>
        <v>NA</v>
      </c>
      <c r="F38" s="29" t="s">
        <v>57</v>
      </c>
      <c r="G38" s="29">
        <f t="shared" si="0"/>
        <v>2025</v>
      </c>
      <c r="H38" s="2" t="s">
        <v>56</v>
      </c>
      <c r="I38" s="2" t="s">
        <v>142</v>
      </c>
      <c r="J38" s="42">
        <f>VLOOKUP(I38,'XE rates'!A:D,4,0)*K38</f>
        <v>5.6508548239204046</v>
      </c>
      <c r="K38" s="38">
        <v>95444</v>
      </c>
      <c r="L38" s="1">
        <v>45992</v>
      </c>
      <c r="M38" s="30" t="str">
        <f t="shared" si="45"/>
        <v>Dec</v>
      </c>
      <c r="N38" s="29">
        <f t="shared" ca="1" si="46"/>
        <v>67</v>
      </c>
      <c r="O38" s="29" t="str">
        <f t="shared" ca="1" si="47"/>
        <v>61-90 days</v>
      </c>
      <c r="P38" s="2" t="s">
        <v>114</v>
      </c>
      <c r="Q38" s="1">
        <v>46024</v>
      </c>
      <c r="R38" s="1">
        <v>46039</v>
      </c>
      <c r="S38" s="2" t="s">
        <v>164</v>
      </c>
      <c r="T38" s="2" t="s">
        <v>178</v>
      </c>
      <c r="U38" s="2" t="s">
        <v>117</v>
      </c>
      <c r="V38" s="2" t="s">
        <v>125</v>
      </c>
      <c r="W38" s="36" t="s">
        <v>58</v>
      </c>
      <c r="X38" s="2"/>
      <c r="Y38" s="29">
        <f>VLOOKUP(T38,'[1]Query result'!$J:$K,2,0)</f>
        <v>46039</v>
      </c>
      <c r="Z38" s="2">
        <f>VLOOKUP(T38,'[1]Query result'!$J:$W,14,0)</f>
        <v>0</v>
      </c>
      <c r="AA38" s="44">
        <f t="shared" si="41"/>
        <v>95444</v>
      </c>
      <c r="AB38" s="2" t="str">
        <f>VLOOKUP(T38,'[2]Query result'!$F:$G,2,0)</f>
        <v>Overdue</v>
      </c>
    </row>
    <row r="39" spans="1:28">
      <c r="A39" s="2" t="s">
        <v>55</v>
      </c>
      <c r="B39" s="2" t="s">
        <v>54</v>
      </c>
      <c r="C39" s="29" t="str">
        <f>VLOOKUP(B39,Validation!A:B,2,0)</f>
        <v>USA</v>
      </c>
      <c r="D39" s="29" t="str">
        <f>VLOOKUP(B39,Validation!A:D,4,0)</f>
        <v>Tanu Arora</v>
      </c>
      <c r="E39" s="29" t="str">
        <f>VLOOKUP(B39,Validation!A:E,5,0)</f>
        <v>NA</v>
      </c>
      <c r="F39" s="29" t="s">
        <v>57</v>
      </c>
      <c r="G39" s="29">
        <f t="shared" si="0"/>
        <v>2025</v>
      </c>
      <c r="H39" s="2" t="s">
        <v>56</v>
      </c>
      <c r="I39" s="2" t="s">
        <v>113</v>
      </c>
      <c r="J39" s="42">
        <f>VLOOKUP(I39,'XE rates'!A:D,4,0)*K39</f>
        <v>1.5</v>
      </c>
      <c r="K39" s="38">
        <v>1.5</v>
      </c>
      <c r="L39" s="1">
        <v>45992</v>
      </c>
      <c r="M39" s="30" t="str">
        <f t="shared" si="45"/>
        <v>Dec</v>
      </c>
      <c r="N39" s="29">
        <f t="shared" ca="1" si="46"/>
        <v>74</v>
      </c>
      <c r="O39" s="29" t="str">
        <f t="shared" ca="1" si="47"/>
        <v>61-90 days</v>
      </c>
      <c r="P39" s="2" t="s">
        <v>114</v>
      </c>
      <c r="Q39" s="1">
        <v>46025</v>
      </c>
      <c r="R39" s="1">
        <v>46032</v>
      </c>
      <c r="S39" s="2" t="s">
        <v>143</v>
      </c>
      <c r="T39" s="2" t="s">
        <v>179</v>
      </c>
      <c r="U39" s="2" t="s">
        <v>117</v>
      </c>
      <c r="V39" s="2" t="s">
        <v>125</v>
      </c>
      <c r="W39" s="36" t="s">
        <v>58</v>
      </c>
      <c r="X39" s="2"/>
      <c r="Y39" s="29">
        <f>VLOOKUP(T39,'[1]Query result'!$J:$K,2,0)</f>
        <v>46032</v>
      </c>
      <c r="Z39" s="2">
        <f>VLOOKUP(T39,'[1]Query result'!$J:$W,14,0)</f>
        <v>0</v>
      </c>
      <c r="AA39" s="44">
        <f t="shared" si="41"/>
        <v>1.5</v>
      </c>
      <c r="AB39" s="2" t="str">
        <f>VLOOKUP(T39,'[2]Query result'!$F:$G,2,0)</f>
        <v>Overdue</v>
      </c>
    </row>
    <row r="40" spans="1:28">
      <c r="A40" s="2" t="s">
        <v>61</v>
      </c>
      <c r="B40" s="2" t="s">
        <v>145</v>
      </c>
      <c r="C40" s="29" t="str">
        <f>VLOOKUP(B40,Validation!A:B,2,0)</f>
        <v>EU/UK</v>
      </c>
      <c r="D40" s="29" t="str">
        <f>VLOOKUP(B40,Validation!A:D,4,0)</f>
        <v>Sachli Zare</v>
      </c>
      <c r="E40" s="29" t="str">
        <f>VLOOKUP(B40,Validation!A:E,5,0)</f>
        <v>Gitesh Athavale</v>
      </c>
      <c r="F40" s="29" t="s">
        <v>57</v>
      </c>
      <c r="G40" s="29">
        <f t="shared" si="0"/>
        <v>2025</v>
      </c>
      <c r="H40" s="2" t="s">
        <v>56</v>
      </c>
      <c r="I40" s="2" t="s">
        <v>146</v>
      </c>
      <c r="J40" s="42">
        <f>VLOOKUP(I40,'XE rates'!A:D,4,0)*K40</f>
        <v>29.961888386709994</v>
      </c>
      <c r="K40" s="38">
        <v>22.41</v>
      </c>
      <c r="L40" s="1">
        <v>45992</v>
      </c>
      <c r="M40" s="30" t="str">
        <f t="shared" si="45"/>
        <v>Dec</v>
      </c>
      <c r="N40" s="29">
        <f t="shared" ca="1" si="46"/>
        <v>52</v>
      </c>
      <c r="O40" s="29" t="str">
        <f t="shared" ca="1" si="47"/>
        <v>31-60 days</v>
      </c>
      <c r="P40" s="2" t="s">
        <v>114</v>
      </c>
      <c r="Q40" s="1">
        <v>46024</v>
      </c>
      <c r="R40" s="1">
        <v>46054</v>
      </c>
      <c r="S40" s="2" t="s">
        <v>164</v>
      </c>
      <c r="T40" s="2" t="s">
        <v>181</v>
      </c>
      <c r="U40" s="29" t="s">
        <v>117</v>
      </c>
      <c r="V40" s="2" t="s">
        <v>125</v>
      </c>
      <c r="W40" s="36" t="s">
        <v>58</v>
      </c>
      <c r="X40" s="2"/>
      <c r="Y40" s="29">
        <f>VLOOKUP(T40,'[1]Query result'!$J:$K,2,0)</f>
        <v>46054</v>
      </c>
      <c r="Z40" s="2">
        <f>VLOOKUP(T40,'[1]Query result'!$J:$W,14,0)</f>
        <v>0</v>
      </c>
      <c r="AA40" s="44">
        <f t="shared" si="41"/>
        <v>22.41</v>
      </c>
      <c r="AB40" s="2" t="str">
        <f>VLOOKUP(T40,'[2]Query result'!$F:$G,2,0)</f>
        <v>Outstanding</v>
      </c>
    </row>
    <row r="41" spans="1:28">
      <c r="A41" s="2" t="s">
        <v>61</v>
      </c>
      <c r="B41" s="2" t="s">
        <v>148</v>
      </c>
      <c r="C41" s="29" t="str">
        <f>VLOOKUP(B41,Validation!A:B,2,0)</f>
        <v>APAC</v>
      </c>
      <c r="D41" s="29" t="str">
        <f>VLOOKUP(B41,Validation!A:D,4,0)</f>
        <v>Hao Nguyen</v>
      </c>
      <c r="E41" s="29" t="str">
        <f>VLOOKUP(B41,Validation!A:E,5,0)</f>
        <v>Vinoth M</v>
      </c>
      <c r="F41" s="29" t="s">
        <v>57</v>
      </c>
      <c r="G41" s="29">
        <f t="shared" si="0"/>
        <v>2025</v>
      </c>
      <c r="H41" s="2" t="s">
        <v>56</v>
      </c>
      <c r="I41" s="2" t="s">
        <v>127</v>
      </c>
      <c r="J41" s="42">
        <f>VLOOKUP(I41,'XE rates'!A:D,4,0)*K41</f>
        <v>795.00527809449466</v>
      </c>
      <c r="K41" s="38">
        <v>1187.5180000000037</v>
      </c>
      <c r="L41" s="1">
        <v>45992</v>
      </c>
      <c r="M41" s="30" t="str">
        <f t="shared" si="45"/>
        <v>Dec</v>
      </c>
      <c r="N41" s="29">
        <f t="shared" ca="1" si="46"/>
        <v>48</v>
      </c>
      <c r="O41" s="29" t="str">
        <f t="shared" ca="1" si="47"/>
        <v>31-60 days</v>
      </c>
      <c r="P41" s="2" t="s">
        <v>114</v>
      </c>
      <c r="Q41" s="1">
        <v>46028</v>
      </c>
      <c r="R41" s="1">
        <v>46058</v>
      </c>
      <c r="S41" s="2" t="s">
        <v>164</v>
      </c>
      <c r="T41" s="2" t="s">
        <v>182</v>
      </c>
      <c r="U41" s="29" t="s">
        <v>117</v>
      </c>
      <c r="V41" s="2" t="s">
        <v>125</v>
      </c>
      <c r="W41" s="36" t="s">
        <v>151</v>
      </c>
      <c r="X41" s="2"/>
      <c r="Y41" s="29">
        <f>VLOOKUP(T41,'[1]Query result'!$J:$K,2,0)</f>
        <v>46058</v>
      </c>
      <c r="Z41" s="2">
        <f>VLOOKUP(T41,'[1]Query result'!$J:$W,14,0)</f>
        <v>0</v>
      </c>
      <c r="AA41" s="44">
        <f t="shared" si="41"/>
        <v>1187.5180000000037</v>
      </c>
      <c r="AB41" s="2" t="str">
        <f>VLOOKUP(T41,'[2]Query result'!$F:$G,2,0)</f>
        <v>Outstanding</v>
      </c>
    </row>
    <row r="42" spans="1:28">
      <c r="A42" s="2" t="s">
        <v>61</v>
      </c>
      <c r="B42" s="2" t="s">
        <v>183</v>
      </c>
      <c r="C42" s="29" t="str">
        <f>VLOOKUP(B42,Validation!A:B,2,0)</f>
        <v>APAC</v>
      </c>
      <c r="D42" s="29" t="str">
        <f>VLOOKUP(B42,Validation!A:D,4,0)</f>
        <v>NA</v>
      </c>
      <c r="E42" s="29" t="str">
        <f>VLOOKUP(B42,Validation!A:E,5,0)</f>
        <v>Denis Tan</v>
      </c>
      <c r="F42" s="29" t="s">
        <v>57</v>
      </c>
      <c r="G42" s="29">
        <f t="shared" ref="G42:G57" si="48">YEAR(L42)</f>
        <v>2025</v>
      </c>
      <c r="H42" s="2" t="s">
        <v>56</v>
      </c>
      <c r="I42" s="2" t="s">
        <v>113</v>
      </c>
      <c r="J42" s="42">
        <f>VLOOKUP(I42,'XE rates'!A:D,4,0)*K42</f>
        <v>1.72</v>
      </c>
      <c r="K42" s="38">
        <v>1.72</v>
      </c>
      <c r="L42" s="1">
        <v>45992</v>
      </c>
      <c r="M42" s="30" t="str">
        <f t="shared" si="45"/>
        <v>Dec</v>
      </c>
      <c r="N42" s="29">
        <f t="shared" ca="1" si="46"/>
        <v>72</v>
      </c>
      <c r="O42" s="29" t="str">
        <f t="shared" ca="1" si="47"/>
        <v>61-90 days</v>
      </c>
      <c r="P42" s="2" t="s">
        <v>114</v>
      </c>
      <c r="Q42" s="1">
        <v>46027</v>
      </c>
      <c r="R42" s="1">
        <v>46034</v>
      </c>
      <c r="S42" s="2" t="s">
        <v>115</v>
      </c>
      <c r="T42" s="2" t="s">
        <v>184</v>
      </c>
      <c r="U42" s="2" t="s">
        <v>117</v>
      </c>
      <c r="V42" s="2" t="s">
        <v>125</v>
      </c>
      <c r="W42" s="36" t="s">
        <v>185</v>
      </c>
      <c r="X42" s="2"/>
      <c r="Y42" s="29">
        <f>VLOOKUP(T42,'[1]Query result'!$J:$K,2,0)</f>
        <v>46034</v>
      </c>
      <c r="Z42" s="2">
        <f>VLOOKUP(T42,'[1]Query result'!$J:$W,14,0)</f>
        <v>0</v>
      </c>
      <c r="AA42" s="44">
        <f t="shared" si="41"/>
        <v>1.72</v>
      </c>
      <c r="AB42" s="2" t="str">
        <f>VLOOKUP(T42,'[2]Query result'!$F:$G,2,0)</f>
        <v>Outstanding</v>
      </c>
    </row>
    <row r="43" spans="1:28">
      <c r="A43" s="2" t="s">
        <v>61</v>
      </c>
      <c r="B43" s="2" t="s">
        <v>66</v>
      </c>
      <c r="C43" s="29" t="str">
        <f>VLOOKUP(B43,Validation!A:B,2,0)</f>
        <v>USA</v>
      </c>
      <c r="D43" s="29" t="str">
        <f>VLOOKUP(B43,Validation!A:D,4,0)</f>
        <v>Eduardo Avallone</v>
      </c>
      <c r="E43" s="29" t="str">
        <f>VLOOKUP(B43,Validation!A:E,5,0)</f>
        <v>Greg McAllister</v>
      </c>
      <c r="F43" s="29" t="s">
        <v>57</v>
      </c>
      <c r="G43" s="29">
        <f t="shared" si="48"/>
        <v>2025</v>
      </c>
      <c r="H43" s="2" t="s">
        <v>56</v>
      </c>
      <c r="I43" s="2" t="s">
        <v>113</v>
      </c>
      <c r="J43" s="42">
        <f>VLOOKUP(I43,'XE rates'!A:D,4,0)*K43</f>
        <v>100</v>
      </c>
      <c r="K43" s="38">
        <v>100</v>
      </c>
      <c r="L43" s="1">
        <v>45992</v>
      </c>
      <c r="M43" s="30" t="str">
        <f t="shared" si="45"/>
        <v>Dec</v>
      </c>
      <c r="N43" s="29">
        <f t="shared" ca="1" si="46"/>
        <v>75</v>
      </c>
      <c r="O43" s="29" t="str">
        <f t="shared" ca="1" si="47"/>
        <v>61-90 days</v>
      </c>
      <c r="P43" s="2" t="s">
        <v>114</v>
      </c>
      <c r="Q43" s="1">
        <v>46024</v>
      </c>
      <c r="R43" s="1">
        <v>46031</v>
      </c>
      <c r="S43" s="2" t="s">
        <v>115</v>
      </c>
      <c r="T43" s="2" t="s">
        <v>187</v>
      </c>
      <c r="U43" s="2" t="s">
        <v>117</v>
      </c>
      <c r="V43" s="2" t="s">
        <v>125</v>
      </c>
      <c r="W43" s="36" t="s">
        <v>58</v>
      </c>
      <c r="X43" s="2"/>
      <c r="Y43" s="29">
        <f>VLOOKUP(T43,'[1]Query result'!$J:$K,2,0)</f>
        <v>46031</v>
      </c>
      <c r="Z43" s="2">
        <f>VLOOKUP(T43,'[1]Query result'!$J:$W,14,0)</f>
        <v>0</v>
      </c>
      <c r="AA43" s="44">
        <f t="shared" si="41"/>
        <v>100</v>
      </c>
      <c r="AB43" s="2" t="str">
        <f>VLOOKUP(T43,'[2]Query result'!$F:$G,2,0)</f>
        <v>Outstanding</v>
      </c>
    </row>
    <row r="44" spans="1:28">
      <c r="A44" s="2" t="s">
        <v>61</v>
      </c>
      <c r="B44" s="2" t="s">
        <v>188</v>
      </c>
      <c r="C44" s="29" t="str">
        <f>VLOOKUP(B44,Validation!A:B,2,0)</f>
        <v>APAC</v>
      </c>
      <c r="D44" s="29" t="str">
        <f>VLOOKUP(B44,Validation!A:D,4,0)</f>
        <v>NA</v>
      </c>
      <c r="E44" s="29" t="str">
        <f>VLOOKUP(B44,Validation!A:E,5,0)</f>
        <v>Febriali Tan</v>
      </c>
      <c r="F44" s="29" t="s">
        <v>57</v>
      </c>
      <c r="G44" s="29">
        <f t="shared" si="48"/>
        <v>2025</v>
      </c>
      <c r="H44" s="2" t="s">
        <v>56</v>
      </c>
      <c r="I44" s="2" t="s">
        <v>113</v>
      </c>
      <c r="J44" s="42">
        <f>VLOOKUP(I44,'XE rates'!A:D,4,0)*K44</f>
        <v>2000</v>
      </c>
      <c r="K44" s="38">
        <v>2000</v>
      </c>
      <c r="L44" s="1">
        <v>45992</v>
      </c>
      <c r="M44" s="30" t="str">
        <f t="shared" si="45"/>
        <v>Dec</v>
      </c>
      <c r="N44" s="29">
        <f t="shared" ca="1" si="46"/>
        <v>71</v>
      </c>
      <c r="O44" s="29" t="str">
        <f t="shared" ca="1" si="47"/>
        <v>61-90 days</v>
      </c>
      <c r="P44" s="2" t="s">
        <v>114</v>
      </c>
      <c r="Q44" s="1">
        <v>46028</v>
      </c>
      <c r="R44" s="1">
        <v>46035</v>
      </c>
      <c r="S44" s="2" t="s">
        <v>115</v>
      </c>
      <c r="T44" s="2" t="s">
        <v>189</v>
      </c>
      <c r="U44" s="2" t="s">
        <v>117</v>
      </c>
      <c r="V44" s="2" t="s">
        <v>125</v>
      </c>
      <c r="W44" s="36" t="s">
        <v>58</v>
      </c>
      <c r="X44" s="2"/>
      <c r="Y44" s="29">
        <f>VLOOKUP(T44,'[1]Query result'!$J:$K,2,0)</f>
        <v>46035</v>
      </c>
      <c r="Z44" s="2">
        <f>VLOOKUP(T44,'[1]Query result'!$J:$W,14,0)</f>
        <v>0</v>
      </c>
      <c r="AA44" s="44">
        <f t="shared" si="41"/>
        <v>2000</v>
      </c>
      <c r="AB44" s="2" t="str">
        <f>VLOOKUP(T44,'[2]Query result'!$F:$G,2,0)</f>
        <v>Outstanding</v>
      </c>
    </row>
    <row r="45" spans="1:28">
      <c r="A45" s="2" t="s">
        <v>61</v>
      </c>
      <c r="B45" s="2" t="s">
        <v>169</v>
      </c>
      <c r="C45" s="29" t="str">
        <f>VLOOKUP(B45,Validation!A:B,2,0)</f>
        <v>ME</v>
      </c>
      <c r="D45" s="29" t="str">
        <f>VLOOKUP(B45,Validation!A:D,4,0)</f>
        <v>Jerome Coelho</v>
      </c>
      <c r="E45" s="29" t="str">
        <f>VLOOKUP(B45,Validation!A:E,5,0)</f>
        <v>Ashraf Omran</v>
      </c>
      <c r="F45" s="29" t="s">
        <v>57</v>
      </c>
      <c r="G45" s="29">
        <f t="shared" si="48"/>
        <v>2025</v>
      </c>
      <c r="H45" s="2" t="s">
        <v>56</v>
      </c>
      <c r="I45" s="2" t="s">
        <v>113</v>
      </c>
      <c r="J45" s="42">
        <f>VLOOKUP(I45,'XE rates'!A:D,4,0)*K45</f>
        <v>2500</v>
      </c>
      <c r="K45" s="38">
        <v>2500</v>
      </c>
      <c r="L45" s="1">
        <v>45992</v>
      </c>
      <c r="M45" s="30" t="str">
        <f t="shared" si="45"/>
        <v>Dec</v>
      </c>
      <c r="N45" s="29">
        <f t="shared" ca="1" si="46"/>
        <v>72</v>
      </c>
      <c r="O45" s="29" t="str">
        <f t="shared" ca="1" si="47"/>
        <v>61-90 days</v>
      </c>
      <c r="P45" s="2" t="s">
        <v>114</v>
      </c>
      <c r="Q45" s="1">
        <v>46027</v>
      </c>
      <c r="R45" s="1">
        <v>46034</v>
      </c>
      <c r="S45" s="2" t="s">
        <v>135</v>
      </c>
      <c r="T45" s="2" t="s">
        <v>190</v>
      </c>
      <c r="U45" s="2" t="s">
        <v>117</v>
      </c>
      <c r="V45" s="2" t="s">
        <v>125</v>
      </c>
      <c r="W45" s="36" t="s">
        <v>58</v>
      </c>
      <c r="X45" s="2"/>
      <c r="Y45" s="29">
        <f>VLOOKUP(T45,'[1]Query result'!$J:$K,2,0)</f>
        <v>46034</v>
      </c>
      <c r="Z45" s="2">
        <f>VLOOKUP(T45,'[1]Query result'!$J:$W,14,0)</f>
        <v>0</v>
      </c>
      <c r="AA45" s="44">
        <f t="shared" si="41"/>
        <v>2500</v>
      </c>
      <c r="AB45" s="2" t="str">
        <f>VLOOKUP(T45,'[2]Query result'!$F:$G,2,0)</f>
        <v>Force Settlement</v>
      </c>
    </row>
    <row r="46" spans="1:28">
      <c r="A46" s="2" t="s">
        <v>61</v>
      </c>
      <c r="B46" s="2" t="s">
        <v>152</v>
      </c>
      <c r="C46" s="29" t="str">
        <f>VLOOKUP(B46,Validation!A:B,2,0)</f>
        <v>EU/UK</v>
      </c>
      <c r="D46" s="29" t="str">
        <f>VLOOKUP(B46,Validation!A:D,4,0)</f>
        <v>Sachli Zare</v>
      </c>
      <c r="E46" s="29" t="str">
        <f>VLOOKUP(B46,Validation!A:E,5,0)</f>
        <v>NA</v>
      </c>
      <c r="F46" s="29" t="s">
        <v>57</v>
      </c>
      <c r="G46" s="29">
        <f t="shared" si="48"/>
        <v>2025</v>
      </c>
      <c r="H46" s="2" t="s">
        <v>56</v>
      </c>
      <c r="I46" s="2" t="s">
        <v>113</v>
      </c>
      <c r="J46" s="42">
        <f>VLOOKUP(I46,'XE rates'!A:D,4,0)*K46</f>
        <v>2.5</v>
      </c>
      <c r="K46" s="38">
        <v>2.5</v>
      </c>
      <c r="L46" s="1">
        <v>45992</v>
      </c>
      <c r="M46" s="30" t="str">
        <f t="shared" si="45"/>
        <v>Dec</v>
      </c>
      <c r="N46" s="29">
        <f t="shared" ca="1" si="46"/>
        <v>72</v>
      </c>
      <c r="O46" s="29" t="str">
        <f t="shared" ca="1" si="47"/>
        <v>61-90 days</v>
      </c>
      <c r="P46" s="2" t="s">
        <v>114</v>
      </c>
      <c r="Q46" s="1">
        <v>46027</v>
      </c>
      <c r="R46" s="1">
        <v>46034</v>
      </c>
      <c r="S46" s="2" t="s">
        <v>115</v>
      </c>
      <c r="T46" s="2" t="s">
        <v>191</v>
      </c>
      <c r="U46" s="2" t="s">
        <v>117</v>
      </c>
      <c r="V46" s="2" t="s">
        <v>125</v>
      </c>
      <c r="W46" s="36" t="s">
        <v>154</v>
      </c>
      <c r="X46" s="2"/>
      <c r="Y46" s="29">
        <f>VLOOKUP(T46,'[1]Query result'!$J:$K,2,0)</f>
        <v>46034</v>
      </c>
      <c r="Z46" s="2">
        <f>VLOOKUP(T46,'[1]Query result'!$J:$W,14,0)</f>
        <v>0</v>
      </c>
      <c r="AA46" s="44">
        <f t="shared" si="41"/>
        <v>2.5</v>
      </c>
      <c r="AB46" s="2" t="str">
        <f>VLOOKUP(T46,'[2]Query result'!$F:$G,2,0)</f>
        <v>Outstanding</v>
      </c>
    </row>
    <row r="47" spans="1:28">
      <c r="A47" s="2" t="s">
        <v>61</v>
      </c>
      <c r="B47" s="2" t="s">
        <v>31</v>
      </c>
      <c r="C47" s="29" t="str">
        <f>VLOOKUP(B47,Validation!A:B,2,0)</f>
        <v>USA</v>
      </c>
      <c r="D47" s="29" t="str">
        <f>VLOOKUP(B47,Validation!A:D,4,0)</f>
        <v>Eduardo Avallone</v>
      </c>
      <c r="E47" s="29" t="str">
        <f>VLOOKUP(B47,Validation!A:E,5,0)</f>
        <v>Christina Hutchinson</v>
      </c>
      <c r="F47" s="29" t="s">
        <v>57</v>
      </c>
      <c r="G47" s="29">
        <f t="shared" si="48"/>
        <v>2025</v>
      </c>
      <c r="H47" s="2" t="s">
        <v>56</v>
      </c>
      <c r="I47" s="2" t="s">
        <v>113</v>
      </c>
      <c r="J47" s="42">
        <f>VLOOKUP(I47,'XE rates'!A:D,4,0)*K47</f>
        <v>1659.6200000000001</v>
      </c>
      <c r="K47" s="38">
        <v>1659.6200000000001</v>
      </c>
      <c r="L47" s="1">
        <v>45992</v>
      </c>
      <c r="M47" s="30" t="str">
        <f t="shared" si="45"/>
        <v>Dec</v>
      </c>
      <c r="N47" s="29">
        <f t="shared" ca="1" si="46"/>
        <v>72</v>
      </c>
      <c r="O47" s="29" t="str">
        <f t="shared" ca="1" si="47"/>
        <v>61-90 days</v>
      </c>
      <c r="P47" s="2" t="s">
        <v>114</v>
      </c>
      <c r="Q47" s="1">
        <v>46027</v>
      </c>
      <c r="R47" s="1">
        <v>46034</v>
      </c>
      <c r="S47" s="2" t="s">
        <v>115</v>
      </c>
      <c r="T47" s="2" t="s">
        <v>192</v>
      </c>
      <c r="U47" s="2" t="s">
        <v>117</v>
      </c>
      <c r="V47" s="2" t="s">
        <v>125</v>
      </c>
      <c r="W47" s="29" t="s">
        <v>65</v>
      </c>
      <c r="X47" s="2"/>
      <c r="Y47" s="29">
        <f>VLOOKUP(T47,'[1]Query result'!$J:$K,2,0)</f>
        <v>46034</v>
      </c>
      <c r="Z47" s="2">
        <f>VLOOKUP(T47,'[1]Query result'!$J:$W,14,0)</f>
        <v>0</v>
      </c>
      <c r="AA47" s="44">
        <f t="shared" si="41"/>
        <v>1659.6200000000001</v>
      </c>
      <c r="AB47" s="2" t="str">
        <f>VLOOKUP(T47,'[2]Query result'!$F:$G,2,0)</f>
        <v>Outstanding</v>
      </c>
    </row>
    <row r="48" spans="1:28">
      <c r="A48" s="2" t="s">
        <v>61</v>
      </c>
      <c r="B48" s="2" t="s">
        <v>156</v>
      </c>
      <c r="C48" s="29" t="str">
        <f>VLOOKUP(B48,Validation!A:B,2,0)</f>
        <v>APAC</v>
      </c>
      <c r="D48" s="29" t="str">
        <f>VLOOKUP(B48,Validation!A:D,4,0)</f>
        <v>Shi Yin</v>
      </c>
      <c r="E48" s="29" t="str">
        <f>VLOOKUP(B48,Validation!A:E,5,0)</f>
        <v>Vinoth M</v>
      </c>
      <c r="F48" s="29" t="s">
        <v>57</v>
      </c>
      <c r="G48" s="29">
        <f t="shared" si="48"/>
        <v>2025</v>
      </c>
      <c r="H48" s="2" t="s">
        <v>56</v>
      </c>
      <c r="I48" s="2" t="s">
        <v>113</v>
      </c>
      <c r="J48" s="42">
        <f>VLOOKUP(I48,'XE rates'!A:D,4,0)*K48</f>
        <v>2034</v>
      </c>
      <c r="K48" s="38">
        <v>2034</v>
      </c>
      <c r="L48" s="1">
        <v>45992</v>
      </c>
      <c r="M48" s="30" t="str">
        <f t="shared" ref="M48:M49" si="49">TEXT(L48,"mmm")</f>
        <v>Dec</v>
      </c>
      <c r="N48" s="29">
        <f t="shared" ref="N48:N49" ca="1" si="50">$Y$1-R48</f>
        <v>72</v>
      </c>
      <c r="O48" s="29" t="str">
        <f t="shared" ref="O48:O49" ca="1" si="51">IF(N48&lt;=30, "0-30 days", IF(N48&lt;=60, "31-60 days", IF(N48&lt;=90, "61-90 days", "Over 90+ days")))</f>
        <v>61-90 days</v>
      </c>
      <c r="P48" s="2" t="s">
        <v>114</v>
      </c>
      <c r="Q48" s="1">
        <v>46027</v>
      </c>
      <c r="R48" s="1">
        <v>46034</v>
      </c>
      <c r="S48" s="2" t="s">
        <v>115</v>
      </c>
      <c r="T48" s="2" t="s">
        <v>193</v>
      </c>
      <c r="U48" s="2" t="s">
        <v>117</v>
      </c>
      <c r="V48" s="2" t="s">
        <v>125</v>
      </c>
      <c r="W48" s="36" t="s">
        <v>58</v>
      </c>
      <c r="X48" s="2"/>
      <c r="Y48" s="29">
        <f>VLOOKUP(T48,'[1]Query result'!$J:$K,2,0)</f>
        <v>46034</v>
      </c>
      <c r="Z48" s="2">
        <f>VLOOKUP(T48,'[1]Query result'!$J:$W,14,0)</f>
        <v>0</v>
      </c>
      <c r="AA48" s="44">
        <f t="shared" si="41"/>
        <v>2034</v>
      </c>
      <c r="AB48" s="2" t="str">
        <f>VLOOKUP(T48,'[2]Query result'!$F:$G,2,0)</f>
        <v>Outstanding</v>
      </c>
    </row>
    <row r="49" spans="1:28">
      <c r="A49" s="2" t="s">
        <v>61</v>
      </c>
      <c r="B49" s="2" t="s">
        <v>126</v>
      </c>
      <c r="C49" s="29" t="str">
        <f>VLOOKUP(B49,Validation!A:B,2,0)</f>
        <v>APAC</v>
      </c>
      <c r="D49" s="29" t="str">
        <f>VLOOKUP(B49,Validation!A:D,4,0)</f>
        <v>Hao Nguyen</v>
      </c>
      <c r="E49" s="29" t="str">
        <f>VLOOKUP(B49,Validation!A:E,5,0)</f>
        <v>NA</v>
      </c>
      <c r="F49" s="29" t="s">
        <v>57</v>
      </c>
      <c r="G49" s="29">
        <f t="shared" si="48"/>
        <v>2025</v>
      </c>
      <c r="H49" s="2" t="s">
        <v>56</v>
      </c>
      <c r="I49" s="2" t="s">
        <v>127</v>
      </c>
      <c r="J49" s="42">
        <f>VLOOKUP(I49,'XE rates'!A:D,4,0)*K49</f>
        <v>4550.0558709014676</v>
      </c>
      <c r="K49" s="38">
        <v>6796.5250000000005</v>
      </c>
      <c r="L49" s="1">
        <v>45992</v>
      </c>
      <c r="M49" s="30" t="str">
        <f t="shared" si="49"/>
        <v>Dec</v>
      </c>
      <c r="N49" s="29">
        <f t="shared" ca="1" si="50"/>
        <v>71</v>
      </c>
      <c r="O49" s="29" t="str">
        <f t="shared" ca="1" si="51"/>
        <v>61-90 days</v>
      </c>
      <c r="P49" s="2" t="s">
        <v>114</v>
      </c>
      <c r="Q49" s="1">
        <v>46028</v>
      </c>
      <c r="R49" s="1">
        <v>46035</v>
      </c>
      <c r="S49" s="2" t="s">
        <v>115</v>
      </c>
      <c r="T49" s="2" t="s">
        <v>194</v>
      </c>
      <c r="U49" s="29" t="s">
        <v>117</v>
      </c>
      <c r="V49" s="29" t="s">
        <v>117</v>
      </c>
      <c r="W49" s="2" t="s">
        <v>130</v>
      </c>
      <c r="X49" s="2"/>
      <c r="Y49" s="29">
        <f>VLOOKUP(T49,'[1]Query result'!$J:$K,2,0)</f>
        <v>46035</v>
      </c>
      <c r="Z49" s="2">
        <f>VLOOKUP(T49,'[1]Query result'!$J:$W,14,0)</f>
        <v>0</v>
      </c>
      <c r="AA49" s="44">
        <f t="shared" ref="AA49:AA50" si="52">K49-Z49</f>
        <v>6796.5250000000005</v>
      </c>
      <c r="AB49" s="2" t="str">
        <f>VLOOKUP(T49,'[2]Query result'!$F:$G,2,0)</f>
        <v>Outstanding</v>
      </c>
    </row>
    <row r="50" spans="1:28">
      <c r="A50" s="2" t="s">
        <v>61</v>
      </c>
      <c r="B50" s="2" t="s">
        <v>63</v>
      </c>
      <c r="C50" s="29" t="str">
        <f>VLOOKUP(B50,Validation!A:B,2,0)</f>
        <v>USA</v>
      </c>
      <c r="D50" s="29" t="str">
        <f>VLOOKUP(B50,Validation!A:D,4,0)</f>
        <v>NA</v>
      </c>
      <c r="E50" s="29" t="str">
        <f>VLOOKUP(B50,Validation!A:E,5,0)</f>
        <v>Tyler Reed</v>
      </c>
      <c r="F50" s="29" t="s">
        <v>57</v>
      </c>
      <c r="G50" s="29">
        <f t="shared" si="48"/>
        <v>2025</v>
      </c>
      <c r="H50" s="2" t="s">
        <v>56</v>
      </c>
      <c r="I50" s="2" t="s">
        <v>113</v>
      </c>
      <c r="J50" s="42">
        <f>VLOOKUP(I50,'XE rates'!A:D,4,0)*K50</f>
        <v>550</v>
      </c>
      <c r="K50" s="38">
        <v>550</v>
      </c>
      <c r="L50" s="1">
        <v>45992</v>
      </c>
      <c r="M50" s="30" t="str">
        <f t="shared" ref="M50:M51" si="53">TEXT(L50,"mmm")</f>
        <v>Dec</v>
      </c>
      <c r="N50" s="29">
        <f ca="1">$Y$1-R50</f>
        <v>74</v>
      </c>
      <c r="O50" s="29" t="str">
        <f t="shared" ref="O50:O51" ca="1" si="54">IF(N50&lt;=30, "0-30 days", IF(N50&lt;=60, "31-60 days", IF(N50&lt;=90, "61-90 days", "Over 90+ days")))</f>
        <v>61-90 days</v>
      </c>
      <c r="P50" s="2" t="s">
        <v>114</v>
      </c>
      <c r="Q50" s="1">
        <v>46025</v>
      </c>
      <c r="R50" s="1">
        <v>46032</v>
      </c>
      <c r="S50" s="2" t="s">
        <v>115</v>
      </c>
      <c r="T50" s="2" t="s">
        <v>195</v>
      </c>
      <c r="U50" s="2" t="s">
        <v>117</v>
      </c>
      <c r="V50" s="2" t="s">
        <v>125</v>
      </c>
      <c r="W50" s="36" t="s">
        <v>58</v>
      </c>
      <c r="X50" s="2"/>
      <c r="Y50" s="29">
        <f>VLOOKUP(T50,'[1]Query result'!$J:$K,2,0)</f>
        <v>46032</v>
      </c>
      <c r="Z50" s="2">
        <f>VLOOKUP(T50,'[1]Query result'!$J:$W,14,0)</f>
        <v>0</v>
      </c>
      <c r="AA50" s="44">
        <f t="shared" si="52"/>
        <v>550</v>
      </c>
      <c r="AB50" s="2" t="str">
        <f>VLOOKUP(T50,'[2]Query result'!$F:$G,2,0)</f>
        <v>Outstanding</v>
      </c>
    </row>
    <row r="51" spans="1:28">
      <c r="A51" s="2" t="s">
        <v>61</v>
      </c>
      <c r="B51" s="2" t="s">
        <v>148</v>
      </c>
      <c r="C51" s="29" t="str">
        <f>VLOOKUP(B51,Validation!A:B,2,0)</f>
        <v>APAC</v>
      </c>
      <c r="D51" s="29" t="str">
        <f>VLOOKUP(B51,Validation!A:D,4,0)</f>
        <v>Hao Nguyen</v>
      </c>
      <c r="E51" s="29" t="str">
        <f>VLOOKUP(B51,Validation!A:E,5,0)</f>
        <v>Vinoth M</v>
      </c>
      <c r="F51" s="29" t="s">
        <v>57</v>
      </c>
      <c r="G51" s="29">
        <f t="shared" si="48"/>
        <v>2025</v>
      </c>
      <c r="H51" s="2" t="s">
        <v>56</v>
      </c>
      <c r="I51" s="2" t="s">
        <v>127</v>
      </c>
      <c r="J51" s="42">
        <f>VLOOKUP(I51,'XE rates'!A:D,4,0)*K51</f>
        <v>1489.0775465359145</v>
      </c>
      <c r="K51" s="63">
        <v>2224.27</v>
      </c>
      <c r="L51" s="1">
        <v>45992</v>
      </c>
      <c r="M51" s="30" t="str">
        <f t="shared" si="53"/>
        <v>Dec</v>
      </c>
      <c r="N51" s="29">
        <f ca="1">$Y$1-R51</f>
        <v>30</v>
      </c>
      <c r="O51" s="29" t="str">
        <f t="shared" ca="1" si="54"/>
        <v>0-30 days</v>
      </c>
      <c r="P51" s="2" t="s">
        <v>149</v>
      </c>
      <c r="Q51" s="1">
        <v>46045</v>
      </c>
      <c r="R51" s="1">
        <v>46076</v>
      </c>
      <c r="S51" s="2" t="s">
        <v>164</v>
      </c>
      <c r="T51" s="2" t="s">
        <v>196</v>
      </c>
      <c r="U51" s="29" t="s">
        <v>117</v>
      </c>
      <c r="V51" s="2" t="s">
        <v>125</v>
      </c>
      <c r="W51" s="36" t="s">
        <v>151</v>
      </c>
      <c r="X51" s="2"/>
      <c r="Y51" s="2"/>
      <c r="Z51" s="2"/>
      <c r="AA51" s="2"/>
      <c r="AB51" s="2" t="str">
        <f>VLOOKUP(T51,'[2]Query result'!$F:$G,2,0)</f>
        <v>Outstanding</v>
      </c>
    </row>
    <row r="52" spans="1:28">
      <c r="A52" s="2" t="s">
        <v>61</v>
      </c>
      <c r="B52" s="2" t="s">
        <v>197</v>
      </c>
      <c r="C52" s="29" t="str">
        <f>VLOOKUP(B52,Validation!A:B,2,0)</f>
        <v>APAC</v>
      </c>
      <c r="D52" s="29" t="str">
        <f>VLOOKUP(B52,Validation!A:D,4,0)</f>
        <v>Hao Nguyen</v>
      </c>
      <c r="E52" s="29" t="str">
        <f>VLOOKUP(B52,Validation!A:E,5,0)</f>
        <v>Vinoth M</v>
      </c>
      <c r="F52" s="29" t="s">
        <v>57</v>
      </c>
      <c r="G52" s="29">
        <f t="shared" si="48"/>
        <v>2025</v>
      </c>
      <c r="H52" s="2" t="s">
        <v>56</v>
      </c>
      <c r="I52" s="2" t="s">
        <v>127</v>
      </c>
      <c r="J52" s="42">
        <f>VLOOKUP(I52,'XE rates'!A:D,4,0)*K52</f>
        <v>137.8233732889212</v>
      </c>
      <c r="K52" s="63">
        <v>205.87</v>
      </c>
      <c r="L52" s="1">
        <v>45992</v>
      </c>
      <c r="M52" s="30" t="str">
        <f t="shared" ref="M52:M62" si="55">TEXT(L52,"mmm")</f>
        <v>Dec</v>
      </c>
      <c r="N52" s="29">
        <f t="shared" ref="N52:N62" ca="1" si="56">$Y$1-R52</f>
        <v>30</v>
      </c>
      <c r="O52" s="29" t="str">
        <f t="shared" ref="O52:O62" ca="1" si="57">IF(N52&lt;=30, "0-30 days", IF(N52&lt;=60, "31-60 days", IF(N52&lt;=90, "61-90 days", "Over 90+ days")))</f>
        <v>0-30 days</v>
      </c>
      <c r="P52" s="2" t="s">
        <v>149</v>
      </c>
      <c r="Q52" s="1">
        <v>46045</v>
      </c>
      <c r="R52" s="1">
        <v>46076</v>
      </c>
      <c r="S52" s="2" t="s">
        <v>164</v>
      </c>
      <c r="T52" s="2" t="s">
        <v>198</v>
      </c>
      <c r="U52" s="2" t="s">
        <v>125</v>
      </c>
      <c r="V52" s="2" t="s">
        <v>125</v>
      </c>
      <c r="W52" s="36" t="s">
        <v>58</v>
      </c>
      <c r="X52" s="2"/>
      <c r="Y52" s="2"/>
      <c r="Z52" s="2"/>
      <c r="AA52" s="2"/>
      <c r="AB52" s="2" t="str">
        <f>VLOOKUP(T52,'[2]Query result'!$F:$G,2,0)</f>
        <v>Outstanding</v>
      </c>
    </row>
    <row r="53" spans="1:28">
      <c r="A53" s="2" t="s">
        <v>55</v>
      </c>
      <c r="B53" s="2" t="s">
        <v>199</v>
      </c>
      <c r="C53" s="29" t="str">
        <f>VLOOKUP(B53,Validation!A:B,2,0)</f>
        <v>APAC</v>
      </c>
      <c r="D53" s="29" t="str">
        <f>VLOOKUP(B53,Validation!A:D,4,0)</f>
        <v>NA</v>
      </c>
      <c r="E53" s="29" t="str">
        <f>VLOOKUP(B53,Validation!A:E,5,0)</f>
        <v>Lisa Sung</v>
      </c>
      <c r="F53" s="29" t="s">
        <v>57</v>
      </c>
      <c r="G53" s="29">
        <f t="shared" si="48"/>
        <v>2026</v>
      </c>
      <c r="H53" s="2" t="s">
        <v>56</v>
      </c>
      <c r="I53" s="2" t="s">
        <v>113</v>
      </c>
      <c r="J53" s="42">
        <f>VLOOKUP(I53,'XE rates'!A:D,4,0)*K53</f>
        <v>5000</v>
      </c>
      <c r="K53" s="38">
        <v>5000</v>
      </c>
      <c r="L53" s="1">
        <v>46023</v>
      </c>
      <c r="M53" s="30" t="str">
        <f t="shared" si="55"/>
        <v>Jan</v>
      </c>
      <c r="N53" s="29">
        <f t="shared" ca="1" si="56"/>
        <v>44</v>
      </c>
      <c r="O53" s="29" t="str">
        <f t="shared" ca="1" si="57"/>
        <v>31-60 days</v>
      </c>
      <c r="P53" s="2" t="s">
        <v>114</v>
      </c>
      <c r="Q53" s="1">
        <v>46055</v>
      </c>
      <c r="R53" s="1">
        <v>46062</v>
      </c>
      <c r="S53" s="2" t="s">
        <v>143</v>
      </c>
      <c r="T53" s="2" t="s">
        <v>200</v>
      </c>
      <c r="U53" s="2" t="s">
        <v>117</v>
      </c>
      <c r="V53" s="2" t="s">
        <v>125</v>
      </c>
      <c r="W53" s="36" t="s">
        <v>58</v>
      </c>
      <c r="X53" s="2"/>
      <c r="Y53" s="2"/>
      <c r="Z53" s="2"/>
      <c r="AA53" s="2"/>
      <c r="AB53" s="2" t="str">
        <f>VLOOKUP(T53,'[2]Query result'!$F:$G,2,0)</f>
        <v>Overdue</v>
      </c>
    </row>
    <row r="54" spans="1:28">
      <c r="A54" s="2" t="s">
        <v>55</v>
      </c>
      <c r="B54" s="2" t="s">
        <v>75</v>
      </c>
      <c r="C54" s="29" t="str">
        <f>VLOOKUP(B54,Validation!A:B,2,0)</f>
        <v>USA</v>
      </c>
      <c r="D54" s="29" t="str">
        <f>VLOOKUP(B54,Validation!A:D,4,0)</f>
        <v>Eduardo Avallone</v>
      </c>
      <c r="E54" s="29" t="str">
        <f>VLOOKUP(B54,Validation!A:E,5,0)</f>
        <v>NA</v>
      </c>
      <c r="F54" s="29" t="s">
        <v>57</v>
      </c>
      <c r="G54" s="29">
        <f t="shared" si="48"/>
        <v>2026</v>
      </c>
      <c r="H54" s="2" t="s">
        <v>56</v>
      </c>
      <c r="I54" s="2" t="s">
        <v>113</v>
      </c>
      <c r="J54" s="42">
        <f>VLOOKUP(I54,'XE rates'!A:D,4,0)*K54</f>
        <v>1371.03</v>
      </c>
      <c r="K54" s="38">
        <v>1371.03</v>
      </c>
      <c r="L54" s="1">
        <v>46023</v>
      </c>
      <c r="M54" s="30" t="str">
        <f t="shared" si="55"/>
        <v>Jan</v>
      </c>
      <c r="N54" s="29">
        <f t="shared" ca="1" si="56"/>
        <v>36</v>
      </c>
      <c r="O54" s="29" t="str">
        <f t="shared" ca="1" si="57"/>
        <v>31-60 days</v>
      </c>
      <c r="P54" s="2" t="s">
        <v>114</v>
      </c>
      <c r="Q54" s="1">
        <v>46055</v>
      </c>
      <c r="R54" s="1">
        <v>46070</v>
      </c>
      <c r="S54" s="2" t="s">
        <v>143</v>
      </c>
      <c r="T54" s="2" t="s">
        <v>201</v>
      </c>
      <c r="U54" s="2" t="s">
        <v>117</v>
      </c>
      <c r="V54" s="2" t="s">
        <v>125</v>
      </c>
      <c r="W54" s="36" t="s">
        <v>58</v>
      </c>
      <c r="X54" s="2"/>
      <c r="Y54" s="2"/>
      <c r="Z54" s="2"/>
      <c r="AA54" s="2"/>
      <c r="AB54" s="2" t="str">
        <f>VLOOKUP(T54,'[2]Query result'!$F:$G,2,0)</f>
        <v>Overdue</v>
      </c>
    </row>
    <row r="55" spans="1:28">
      <c r="A55" s="2" t="s">
        <v>55</v>
      </c>
      <c r="B55" s="2" t="s">
        <v>202</v>
      </c>
      <c r="C55" s="29" t="str">
        <f>VLOOKUP(B55,Validation!A:B,2,0)</f>
        <v>EU/UK</v>
      </c>
      <c r="D55" s="29" t="str">
        <f>VLOOKUP(B55,Validation!A:D,4,0)</f>
        <v>Unmanaged - Harshita or saloni</v>
      </c>
      <c r="E55" s="29" t="str">
        <f>VLOOKUP(B55,Validation!A:E,5,0)</f>
        <v>NA</v>
      </c>
      <c r="F55" s="29" t="s">
        <v>57</v>
      </c>
      <c r="G55" s="29">
        <f t="shared" si="48"/>
        <v>2026</v>
      </c>
      <c r="H55" s="2" t="s">
        <v>56</v>
      </c>
      <c r="I55" s="2" t="s">
        <v>203</v>
      </c>
      <c r="J55" s="42">
        <f>VLOOKUP(I55,'XE rates'!A:D,4,0)*K55</f>
        <v>1325.4861581426064</v>
      </c>
      <c r="K55" s="38">
        <v>1144.33</v>
      </c>
      <c r="L55" s="1">
        <v>46023</v>
      </c>
      <c r="M55" s="30" t="str">
        <f t="shared" si="55"/>
        <v>Jan</v>
      </c>
      <c r="N55" s="29">
        <f t="shared" ca="1" si="56"/>
        <v>46</v>
      </c>
      <c r="O55" s="29" t="str">
        <f t="shared" ca="1" si="57"/>
        <v>31-60 days</v>
      </c>
      <c r="P55" s="2" t="s">
        <v>114</v>
      </c>
      <c r="Q55" s="1">
        <v>46056</v>
      </c>
      <c r="R55" s="1">
        <v>46060</v>
      </c>
      <c r="S55" s="2" t="s">
        <v>143</v>
      </c>
      <c r="T55" s="2" t="s">
        <v>204</v>
      </c>
      <c r="U55" s="2" t="s">
        <v>117</v>
      </c>
      <c r="V55" s="2" t="s">
        <v>125</v>
      </c>
      <c r="W55" s="36" t="s">
        <v>58</v>
      </c>
      <c r="X55" s="2"/>
      <c r="Y55" s="2"/>
      <c r="Z55" s="2"/>
      <c r="AA55" s="2"/>
      <c r="AB55" s="2" t="str">
        <f>VLOOKUP(T55,'[2]Query result'!$F:$G,2,0)</f>
        <v>Overdue</v>
      </c>
    </row>
    <row r="56" spans="1:28">
      <c r="A56" s="2" t="s">
        <v>55</v>
      </c>
      <c r="B56" s="2" t="s">
        <v>205</v>
      </c>
      <c r="C56" s="29" t="str">
        <f>VLOOKUP(B56,Validation!A:B,2,0)</f>
        <v>APAC</v>
      </c>
      <c r="D56" s="29" t="str">
        <f>VLOOKUP(B56,Validation!A:D,4,0)</f>
        <v>Hao Nguyen</v>
      </c>
      <c r="E56" s="29" t="str">
        <f>VLOOKUP(B56,Validation!A:E,5,0)</f>
        <v>Hari Budiman</v>
      </c>
      <c r="F56" s="29" t="s">
        <v>57</v>
      </c>
      <c r="G56" s="29">
        <f t="shared" si="48"/>
        <v>2026</v>
      </c>
      <c r="H56" s="2" t="s">
        <v>56</v>
      </c>
      <c r="I56" s="2" t="s">
        <v>142</v>
      </c>
      <c r="J56" s="42">
        <f>VLOOKUP(I56,'XE rates'!A:D,4,0)*K56</f>
        <v>356.96162892151295</v>
      </c>
      <c r="K56" s="38">
        <v>6029149</v>
      </c>
      <c r="L56" s="1">
        <v>46023</v>
      </c>
      <c r="M56" s="30" t="str">
        <f t="shared" si="55"/>
        <v>Jan</v>
      </c>
      <c r="N56" s="29">
        <f t="shared" ca="1" si="56"/>
        <v>21</v>
      </c>
      <c r="O56" s="29" t="str">
        <f t="shared" ca="1" si="57"/>
        <v>0-30 days</v>
      </c>
      <c r="P56" s="2" t="s">
        <v>114</v>
      </c>
      <c r="Q56" s="1">
        <v>46055</v>
      </c>
      <c r="R56" s="1">
        <v>46085</v>
      </c>
      <c r="S56" s="2" t="s">
        <v>164</v>
      </c>
      <c r="T56" s="2" t="s">
        <v>206</v>
      </c>
      <c r="U56" s="2" t="s">
        <v>117</v>
      </c>
      <c r="V56" s="2" t="s">
        <v>125</v>
      </c>
      <c r="W56" s="36" t="s">
        <v>58</v>
      </c>
      <c r="X56" s="2"/>
      <c r="Y56" s="2"/>
      <c r="Z56" s="2"/>
      <c r="AA56" s="2"/>
      <c r="AB56" s="2" t="str">
        <f>VLOOKUP(T56,'[2]Query result'!$F:$G,2,0)</f>
        <v>Overdue</v>
      </c>
    </row>
    <row r="57" spans="1:28">
      <c r="A57" s="2" t="s">
        <v>55</v>
      </c>
      <c r="B57" s="2" t="s">
        <v>54</v>
      </c>
      <c r="C57" s="29" t="str">
        <f>VLOOKUP(B57,Validation!A:B,2,0)</f>
        <v>USA</v>
      </c>
      <c r="D57" s="29" t="str">
        <f>VLOOKUP(B57,Validation!A:D,4,0)</f>
        <v>Tanu Arora</v>
      </c>
      <c r="E57" s="29" t="str">
        <f>VLOOKUP(B57,Validation!A:E,5,0)</f>
        <v>NA</v>
      </c>
      <c r="F57" s="29" t="s">
        <v>57</v>
      </c>
      <c r="G57" s="29">
        <f t="shared" si="48"/>
        <v>2026</v>
      </c>
      <c r="H57" s="2" t="s">
        <v>56</v>
      </c>
      <c r="I57" s="2" t="s">
        <v>113</v>
      </c>
      <c r="J57" s="42">
        <f>VLOOKUP(I57,'XE rates'!A:D,4,0)*K57</f>
        <v>5.5</v>
      </c>
      <c r="K57" s="38">
        <v>5.5</v>
      </c>
      <c r="L57" s="1">
        <v>46023</v>
      </c>
      <c r="M57" s="30" t="str">
        <f t="shared" si="55"/>
        <v>Jan</v>
      </c>
      <c r="N57" s="29">
        <f t="shared" ca="1" si="56"/>
        <v>46</v>
      </c>
      <c r="O57" s="29" t="str">
        <f t="shared" ca="1" si="57"/>
        <v>31-60 days</v>
      </c>
      <c r="P57" s="2" t="s">
        <v>114</v>
      </c>
      <c r="Q57" s="1">
        <v>46055</v>
      </c>
      <c r="R57" s="1">
        <v>46060</v>
      </c>
      <c r="S57" s="2" t="s">
        <v>143</v>
      </c>
      <c r="T57" s="2" t="s">
        <v>207</v>
      </c>
      <c r="U57" s="2" t="s">
        <v>117</v>
      </c>
      <c r="V57" s="2" t="s">
        <v>125</v>
      </c>
      <c r="W57" s="36" t="s">
        <v>58</v>
      </c>
      <c r="X57" s="2"/>
      <c r="Y57" s="2"/>
      <c r="Z57" s="2"/>
      <c r="AA57" s="2"/>
      <c r="AB57" s="2" t="str">
        <f>VLOOKUP(T57,'[2]Query result'!$F:$G,2,0)</f>
        <v>Overdue</v>
      </c>
    </row>
    <row r="58" spans="1:28">
      <c r="A58" s="2" t="s">
        <v>61</v>
      </c>
      <c r="B58" s="2" t="s">
        <v>145</v>
      </c>
      <c r="C58" s="29" t="str">
        <f>VLOOKUP(B58,Validation!A:B,2,0)</f>
        <v>EU/UK</v>
      </c>
      <c r="D58" s="29" t="str">
        <f>VLOOKUP(B58,Validation!A:D,4,0)</f>
        <v>Sachli Zare</v>
      </c>
      <c r="E58" s="29" t="str">
        <f>VLOOKUP(B58,Validation!A:E,5,0)</f>
        <v>Gitesh Athavale</v>
      </c>
      <c r="F58" s="29" t="s">
        <v>57</v>
      </c>
      <c r="G58" s="29">
        <f t="shared" ref="G58:G72" si="58">YEAR(L58)</f>
        <v>2026</v>
      </c>
      <c r="H58" s="2" t="s">
        <v>56</v>
      </c>
      <c r="I58" s="2" t="s">
        <v>146</v>
      </c>
      <c r="J58" s="42">
        <f>VLOOKUP(I58,'XE rates'!A:D,4,0)*K58</f>
        <v>117.30727742302251</v>
      </c>
      <c r="K58" s="38">
        <v>87.74</v>
      </c>
      <c r="L58" s="1">
        <v>46023</v>
      </c>
      <c r="M58" s="30" t="str">
        <f t="shared" si="55"/>
        <v>Jan</v>
      </c>
      <c r="N58" s="29">
        <f t="shared" ca="1" si="56"/>
        <v>23</v>
      </c>
      <c r="O58" s="29" t="str">
        <f t="shared" ca="1" si="57"/>
        <v>0-30 days</v>
      </c>
      <c r="P58" s="2" t="s">
        <v>114</v>
      </c>
      <c r="Q58" s="1">
        <v>46055</v>
      </c>
      <c r="R58" s="1">
        <v>46083</v>
      </c>
      <c r="S58" s="2" t="s">
        <v>164</v>
      </c>
      <c r="T58" s="2" t="s">
        <v>209</v>
      </c>
      <c r="U58" s="29" t="s">
        <v>117</v>
      </c>
      <c r="V58" s="2" t="s">
        <v>125</v>
      </c>
      <c r="W58" s="36" t="s">
        <v>58</v>
      </c>
      <c r="X58" s="2"/>
      <c r="Y58" s="2"/>
      <c r="Z58" s="2"/>
      <c r="AA58" s="2"/>
      <c r="AB58" s="2" t="str">
        <f>VLOOKUP(T58,'[2]Query result'!$F:$G,2,0)</f>
        <v>Outstanding</v>
      </c>
    </row>
    <row r="59" spans="1:28">
      <c r="A59" s="2" t="s">
        <v>61</v>
      </c>
      <c r="B59" s="2" t="s">
        <v>148</v>
      </c>
      <c r="C59" s="29" t="str">
        <f>VLOOKUP(B59,Validation!A:B,2,0)</f>
        <v>APAC</v>
      </c>
      <c r="D59" s="29" t="str">
        <f>VLOOKUP(B59,Validation!A:D,4,0)</f>
        <v>Hao Nguyen</v>
      </c>
      <c r="E59" s="29" t="str">
        <f>VLOOKUP(B59,Validation!A:E,5,0)</f>
        <v>Vinoth M</v>
      </c>
      <c r="F59" s="29" t="s">
        <v>57</v>
      </c>
      <c r="G59" s="29">
        <f t="shared" si="58"/>
        <v>2026</v>
      </c>
      <c r="H59" s="2" t="s">
        <v>56</v>
      </c>
      <c r="I59" s="2" t="s">
        <v>127</v>
      </c>
      <c r="J59" s="42">
        <f>VLOOKUP(I59,'XE rates'!A:D,4,0)*K59</f>
        <v>3566.4962748389489</v>
      </c>
      <c r="K59" s="38">
        <v>5327.359000000004</v>
      </c>
      <c r="L59" s="1">
        <v>46023</v>
      </c>
      <c r="M59" s="30" t="str">
        <f t="shared" si="55"/>
        <v>Jan</v>
      </c>
      <c r="N59" s="29">
        <f t="shared" ca="1" si="56"/>
        <v>39</v>
      </c>
      <c r="O59" s="29" t="str">
        <f t="shared" ca="1" si="57"/>
        <v>31-60 days</v>
      </c>
      <c r="P59" s="2" t="s">
        <v>114</v>
      </c>
      <c r="Q59" s="1">
        <v>46060</v>
      </c>
      <c r="R59" s="1">
        <v>46067</v>
      </c>
      <c r="S59" s="2" t="s">
        <v>115</v>
      </c>
      <c r="T59" s="2" t="s">
        <v>210</v>
      </c>
      <c r="U59" s="29" t="s">
        <v>117</v>
      </c>
      <c r="V59" s="2" t="s">
        <v>125</v>
      </c>
      <c r="W59" s="36" t="s">
        <v>151</v>
      </c>
      <c r="X59" s="2"/>
      <c r="Y59" s="2"/>
      <c r="Z59" s="2"/>
      <c r="AA59" s="2"/>
      <c r="AB59" s="2" t="str">
        <f>VLOOKUP(T59,'[2]Query result'!$F:$G,2,0)</f>
        <v>Outstanding</v>
      </c>
    </row>
    <row r="60" spans="1:28">
      <c r="A60" s="2" t="s">
        <v>61</v>
      </c>
      <c r="B60" s="2" t="s">
        <v>211</v>
      </c>
      <c r="C60" s="29" t="str">
        <f>VLOOKUP(B60,Validation!A:B,2,0)</f>
        <v>APAC</v>
      </c>
      <c r="D60" s="29" t="str">
        <f>VLOOKUP(B60,Validation!A:D,4,0)</f>
        <v>NA</v>
      </c>
      <c r="E60" s="29" t="str">
        <f>VLOOKUP(B60,Validation!A:E,5,0)</f>
        <v>Vinoth M</v>
      </c>
      <c r="F60" s="29" t="s">
        <v>57</v>
      </c>
      <c r="G60" s="29">
        <f t="shared" si="58"/>
        <v>2026</v>
      </c>
      <c r="H60" s="2" t="s">
        <v>56</v>
      </c>
      <c r="I60" s="2" t="s">
        <v>127</v>
      </c>
      <c r="J60" s="42">
        <f>VLOOKUP(I60,'XE rates'!A:D,4,0)*K60</f>
        <v>2105.476800862958</v>
      </c>
      <c r="K60" s="38">
        <v>3145</v>
      </c>
      <c r="L60" s="1">
        <v>46023</v>
      </c>
      <c r="M60" s="30" t="str">
        <f t="shared" si="55"/>
        <v>Jan</v>
      </c>
      <c r="N60" s="29">
        <f t="shared" ca="1" si="56"/>
        <v>42</v>
      </c>
      <c r="O60" s="29" t="str">
        <f t="shared" ca="1" si="57"/>
        <v>31-60 days</v>
      </c>
      <c r="P60" s="2" t="s">
        <v>114</v>
      </c>
      <c r="Q60" s="1">
        <v>46057</v>
      </c>
      <c r="R60" s="1">
        <v>46064</v>
      </c>
      <c r="S60" s="2" t="s">
        <v>115</v>
      </c>
      <c r="T60" s="2" t="s">
        <v>212</v>
      </c>
      <c r="U60" s="2" t="s">
        <v>117</v>
      </c>
      <c r="V60" s="2" t="s">
        <v>125</v>
      </c>
      <c r="W60" s="36" t="s">
        <v>58</v>
      </c>
      <c r="X60" s="2"/>
      <c r="Y60" s="2"/>
      <c r="Z60" s="2"/>
      <c r="AA60" s="2"/>
      <c r="AB60" s="2" t="str">
        <f>VLOOKUP(T60,'[2]Query result'!$F:$G,2,0)</f>
        <v>Outstanding</v>
      </c>
    </row>
    <row r="61" spans="1:28">
      <c r="A61" s="2" t="s">
        <v>61</v>
      </c>
      <c r="B61" s="2" t="s">
        <v>213</v>
      </c>
      <c r="C61" s="29" t="str">
        <f>VLOOKUP(B61,Validation!A:B,2,0)</f>
        <v>APAC</v>
      </c>
      <c r="D61" s="29" t="str">
        <f>VLOOKUP(B61,Validation!A:D,4,0)</f>
        <v>NA</v>
      </c>
      <c r="E61" s="29" t="str">
        <f>VLOOKUP(B61,Validation!A:E,5,0)</f>
        <v>Wendy zhai</v>
      </c>
      <c r="F61" s="29" t="s">
        <v>57</v>
      </c>
      <c r="G61" s="29">
        <f t="shared" si="58"/>
        <v>2026</v>
      </c>
      <c r="H61" s="2" t="s">
        <v>56</v>
      </c>
      <c r="I61" s="2" t="s">
        <v>127</v>
      </c>
      <c r="J61" s="42">
        <f>VLOOKUP(I61,'XE rates'!A:D,4,0)*K61</f>
        <v>6666.8031652278687</v>
      </c>
      <c r="K61" s="38">
        <v>9958.36</v>
      </c>
      <c r="L61" s="1">
        <v>46023</v>
      </c>
      <c r="M61" s="30" t="str">
        <f t="shared" si="55"/>
        <v>Jan</v>
      </c>
      <c r="N61" s="29">
        <f t="shared" ca="1" si="56"/>
        <v>40</v>
      </c>
      <c r="O61" s="29" t="str">
        <f t="shared" ca="1" si="57"/>
        <v>31-60 days</v>
      </c>
      <c r="P61" s="2" t="s">
        <v>114</v>
      </c>
      <c r="Q61" s="1">
        <v>46059</v>
      </c>
      <c r="R61" s="1">
        <v>46066</v>
      </c>
      <c r="S61" s="2" t="s">
        <v>115</v>
      </c>
      <c r="T61" s="2" t="s">
        <v>214</v>
      </c>
      <c r="U61" s="2" t="s">
        <v>117</v>
      </c>
      <c r="V61" s="2" t="s">
        <v>125</v>
      </c>
      <c r="W61" s="36" t="s">
        <v>58</v>
      </c>
      <c r="X61" s="2"/>
      <c r="Y61" s="2"/>
      <c r="Z61" s="2"/>
      <c r="AA61" s="2"/>
      <c r="AB61" s="2" t="str">
        <f>VLOOKUP(T61,'[2]Query result'!$F:$G,2,0)</f>
        <v>Outstanding</v>
      </c>
    </row>
    <row r="62" spans="1:28">
      <c r="A62" s="2" t="s">
        <v>61</v>
      </c>
      <c r="B62" s="2" t="s">
        <v>183</v>
      </c>
      <c r="C62" s="29" t="str">
        <f>VLOOKUP(B62,Validation!A:B,2,0)</f>
        <v>APAC</v>
      </c>
      <c r="D62" s="29" t="str">
        <f>VLOOKUP(B62,Validation!A:D,4,0)</f>
        <v>NA</v>
      </c>
      <c r="E62" s="29" t="str">
        <f>VLOOKUP(B62,Validation!A:E,5,0)</f>
        <v>Denis Tan</v>
      </c>
      <c r="F62" s="29" t="s">
        <v>57</v>
      </c>
      <c r="G62" s="29">
        <f t="shared" si="58"/>
        <v>2026</v>
      </c>
      <c r="H62" s="2" t="s">
        <v>56</v>
      </c>
      <c r="I62" s="2" t="s">
        <v>113</v>
      </c>
      <c r="J62" s="42">
        <f>VLOOKUP(I62,'XE rates'!A:D,4,0)*K62</f>
        <v>14.19</v>
      </c>
      <c r="K62" s="38">
        <v>14.19</v>
      </c>
      <c r="L62" s="1">
        <v>46023</v>
      </c>
      <c r="M62" s="30" t="str">
        <f t="shared" si="55"/>
        <v>Jan</v>
      </c>
      <c r="N62" s="29">
        <f t="shared" ca="1" si="56"/>
        <v>40</v>
      </c>
      <c r="O62" s="29" t="str">
        <f t="shared" ca="1" si="57"/>
        <v>31-60 days</v>
      </c>
      <c r="P62" s="2" t="s">
        <v>114</v>
      </c>
      <c r="Q62" s="1">
        <v>46059</v>
      </c>
      <c r="R62" s="1">
        <v>46066</v>
      </c>
      <c r="S62" s="2" t="s">
        <v>115</v>
      </c>
      <c r="T62" s="2" t="s">
        <v>215</v>
      </c>
      <c r="U62" s="2" t="s">
        <v>117</v>
      </c>
      <c r="V62" s="2" t="s">
        <v>125</v>
      </c>
      <c r="W62" s="36" t="s">
        <v>185</v>
      </c>
      <c r="X62" s="2"/>
      <c r="Y62" s="2"/>
      <c r="Z62" s="2"/>
      <c r="AA62" s="2"/>
      <c r="AB62" s="2" t="str">
        <f>VLOOKUP(T62,'[2]Query result'!$F:$G,2,0)</f>
        <v>Outstanding</v>
      </c>
    </row>
    <row r="63" spans="1:28">
      <c r="A63" s="2" t="s">
        <v>61</v>
      </c>
      <c r="B63" s="2" t="s">
        <v>66</v>
      </c>
      <c r="C63" s="29" t="str">
        <f>VLOOKUP(B63,Validation!A:B,2,0)</f>
        <v>USA</v>
      </c>
      <c r="D63" s="29" t="str">
        <f>VLOOKUP(B63,Validation!A:D,4,0)</f>
        <v>Eduardo Avallone</v>
      </c>
      <c r="E63" s="29" t="str">
        <f>VLOOKUP(B63,Validation!A:E,5,0)</f>
        <v>Greg McAllister</v>
      </c>
      <c r="F63" s="29" t="s">
        <v>57</v>
      </c>
      <c r="G63" s="29">
        <f t="shared" si="58"/>
        <v>2026</v>
      </c>
      <c r="H63" s="2" t="s">
        <v>56</v>
      </c>
      <c r="I63" s="2" t="s">
        <v>113</v>
      </c>
      <c r="J63" s="42">
        <f>VLOOKUP(I63,'XE rates'!A:D,4,0)*K63</f>
        <v>130</v>
      </c>
      <c r="K63" s="38">
        <v>130</v>
      </c>
      <c r="L63" s="1">
        <v>46023</v>
      </c>
      <c r="M63" s="30" t="str">
        <f t="shared" ref="M63:M74" si="59">TEXT(L63,"mmm")</f>
        <v>Jan</v>
      </c>
      <c r="N63" s="29">
        <f t="shared" ref="N63:N74" ca="1" si="60">$Y$1-R63</f>
        <v>44</v>
      </c>
      <c r="O63" s="29" t="str">
        <f t="shared" ref="O63:O74" ca="1" si="61">IF(N63&lt;=30, "0-30 days", IF(N63&lt;=60, "31-60 days", IF(N63&lt;=90, "61-90 days", "Over 90+ days")))</f>
        <v>31-60 days</v>
      </c>
      <c r="P63" s="2" t="s">
        <v>114</v>
      </c>
      <c r="Q63" s="1">
        <v>46055</v>
      </c>
      <c r="R63" s="1">
        <v>46062</v>
      </c>
      <c r="S63" s="2" t="s">
        <v>115</v>
      </c>
      <c r="T63" s="2" t="s">
        <v>216</v>
      </c>
      <c r="U63" s="2" t="s">
        <v>117</v>
      </c>
      <c r="V63" s="2" t="s">
        <v>125</v>
      </c>
      <c r="W63" s="36" t="s">
        <v>58</v>
      </c>
      <c r="X63" s="2"/>
      <c r="Y63" s="2"/>
      <c r="Z63" s="2"/>
      <c r="AA63" s="2"/>
      <c r="AB63" s="2" t="str">
        <f>VLOOKUP(T63,'[2]Query result'!$F:$G,2,0)</f>
        <v>Outstanding</v>
      </c>
    </row>
    <row r="64" spans="1:28">
      <c r="A64" s="2" t="s">
        <v>61</v>
      </c>
      <c r="B64" s="2" t="s">
        <v>169</v>
      </c>
      <c r="C64" s="29" t="str">
        <f>VLOOKUP(B64,Validation!A:B,2,0)</f>
        <v>ME</v>
      </c>
      <c r="D64" s="29" t="str">
        <f>VLOOKUP(B64,Validation!A:D,4,0)</f>
        <v>Jerome Coelho</v>
      </c>
      <c r="E64" s="29" t="str">
        <f>VLOOKUP(B64,Validation!A:E,5,0)</f>
        <v>Ashraf Omran</v>
      </c>
      <c r="F64" s="29" t="s">
        <v>57</v>
      </c>
      <c r="G64" s="29">
        <f t="shared" si="58"/>
        <v>2026</v>
      </c>
      <c r="H64" s="2" t="s">
        <v>56</v>
      </c>
      <c r="I64" s="2" t="s">
        <v>113</v>
      </c>
      <c r="J64" s="42">
        <f>VLOOKUP(I64,'XE rates'!A:D,4,0)*K64</f>
        <v>2500</v>
      </c>
      <c r="K64" s="38">
        <v>2500</v>
      </c>
      <c r="L64" s="1">
        <v>46023</v>
      </c>
      <c r="M64" s="30" t="str">
        <f t="shared" si="59"/>
        <v>Jan</v>
      </c>
      <c r="N64" s="29">
        <f t="shared" ca="1" si="60"/>
        <v>44</v>
      </c>
      <c r="O64" s="29" t="str">
        <f t="shared" ca="1" si="61"/>
        <v>31-60 days</v>
      </c>
      <c r="P64" s="2" t="s">
        <v>114</v>
      </c>
      <c r="Q64" s="1">
        <v>46055</v>
      </c>
      <c r="R64" s="1">
        <v>46062</v>
      </c>
      <c r="S64" s="2" t="s">
        <v>135</v>
      </c>
      <c r="T64" s="2" t="s">
        <v>217</v>
      </c>
      <c r="U64" s="2" t="s">
        <v>117</v>
      </c>
      <c r="V64" s="2" t="s">
        <v>125</v>
      </c>
      <c r="W64" s="36" t="s">
        <v>58</v>
      </c>
      <c r="X64" s="2"/>
      <c r="Y64" s="2"/>
      <c r="Z64" s="2"/>
      <c r="AA64" s="2"/>
      <c r="AB64" s="2" t="str">
        <f>VLOOKUP(T64,'[2]Query result'!$F:$G,2,0)</f>
        <v>Force Settlement</v>
      </c>
    </row>
    <row r="65" spans="1:28">
      <c r="A65" s="2" t="s">
        <v>61</v>
      </c>
      <c r="B65" s="2" t="s">
        <v>156</v>
      </c>
      <c r="C65" s="29" t="str">
        <f>VLOOKUP(B65,Validation!A:B,2,0)</f>
        <v>APAC</v>
      </c>
      <c r="D65" s="29" t="str">
        <f>VLOOKUP(B65,Validation!A:D,4,0)</f>
        <v>Shi Yin</v>
      </c>
      <c r="E65" s="29" t="str">
        <f>VLOOKUP(B65,Validation!A:E,5,0)</f>
        <v>Vinoth M</v>
      </c>
      <c r="F65" s="29" t="s">
        <v>57</v>
      </c>
      <c r="G65" s="29">
        <f t="shared" si="58"/>
        <v>2026</v>
      </c>
      <c r="H65" s="2" t="s">
        <v>56</v>
      </c>
      <c r="I65" s="2" t="s">
        <v>113</v>
      </c>
      <c r="J65" s="42">
        <f>VLOOKUP(I65,'XE rates'!A:D,4,0)*K65</f>
        <v>2965</v>
      </c>
      <c r="K65" s="38">
        <v>2965</v>
      </c>
      <c r="L65" s="1">
        <v>46023</v>
      </c>
      <c r="M65" s="30" t="str">
        <f t="shared" si="59"/>
        <v>Jan</v>
      </c>
      <c r="N65" s="29">
        <f t="shared" ca="1" si="60"/>
        <v>41</v>
      </c>
      <c r="O65" s="29" t="str">
        <f t="shared" ca="1" si="61"/>
        <v>31-60 days</v>
      </c>
      <c r="P65" s="2" t="s">
        <v>114</v>
      </c>
      <c r="Q65" s="1">
        <v>46058</v>
      </c>
      <c r="R65" s="1">
        <v>46065</v>
      </c>
      <c r="S65" s="2" t="s">
        <v>115</v>
      </c>
      <c r="T65" s="2" t="s">
        <v>218</v>
      </c>
      <c r="U65" s="2" t="s">
        <v>117</v>
      </c>
      <c r="V65" s="2" t="s">
        <v>125</v>
      </c>
      <c r="W65" s="36" t="s">
        <v>58</v>
      </c>
      <c r="X65" s="2"/>
      <c r="Y65" s="2"/>
      <c r="Z65" s="2"/>
      <c r="AA65" s="2"/>
      <c r="AB65" s="2" t="str">
        <f>VLOOKUP(T65,'[2]Query result'!$F:$G,2,0)</f>
        <v>Outstanding</v>
      </c>
    </row>
    <row r="66" spans="1:28">
      <c r="A66" s="2" t="s">
        <v>61</v>
      </c>
      <c r="B66" s="2" t="s">
        <v>80</v>
      </c>
      <c r="C66" s="29" t="str">
        <f>VLOOKUP(B66,Validation!A:B,2,0)</f>
        <v>USA</v>
      </c>
      <c r="D66" s="29" t="str">
        <f>VLOOKUP(B66,Validation!A:D,4,0)</f>
        <v>NA</v>
      </c>
      <c r="E66" s="29" t="str">
        <f>VLOOKUP(B66,Validation!A:E,5,0)</f>
        <v>Michael Bermingham</v>
      </c>
      <c r="F66" s="29" t="s">
        <v>57</v>
      </c>
      <c r="G66" s="29">
        <f t="shared" si="58"/>
        <v>2026</v>
      </c>
      <c r="H66" s="2" t="s">
        <v>56</v>
      </c>
      <c r="I66" s="2" t="s">
        <v>219</v>
      </c>
      <c r="J66" s="42">
        <f>VLOOKUP(I66,'XE rates'!A:D,4,0)*K66</f>
        <v>260.47031625256835</v>
      </c>
      <c r="K66" s="38">
        <v>362.5</v>
      </c>
      <c r="L66" s="1">
        <v>46023</v>
      </c>
      <c r="M66" s="30" t="str">
        <f t="shared" si="59"/>
        <v>Jan</v>
      </c>
      <c r="N66" s="29">
        <f t="shared" ca="1" si="60"/>
        <v>42</v>
      </c>
      <c r="O66" s="29" t="str">
        <f t="shared" ca="1" si="61"/>
        <v>31-60 days</v>
      </c>
      <c r="P66" s="2" t="s">
        <v>114</v>
      </c>
      <c r="Q66" s="1">
        <v>46057</v>
      </c>
      <c r="R66" s="1">
        <v>46064</v>
      </c>
      <c r="S66" s="2" t="s">
        <v>115</v>
      </c>
      <c r="T66" s="2" t="s">
        <v>220</v>
      </c>
      <c r="U66" s="2" t="s">
        <v>117</v>
      </c>
      <c r="V66" s="2" t="s">
        <v>125</v>
      </c>
      <c r="W66" s="36" t="s">
        <v>58</v>
      </c>
      <c r="X66" s="2"/>
      <c r="Y66" s="2"/>
      <c r="Z66" s="2"/>
      <c r="AA66" s="2"/>
      <c r="AB66" s="2" t="str">
        <f>VLOOKUP(T66,'[2]Query result'!$F:$G,2,0)</f>
        <v>Outstanding</v>
      </c>
    </row>
    <row r="67" spans="1:28">
      <c r="A67" s="2" t="s">
        <v>61</v>
      </c>
      <c r="B67" s="2" t="s">
        <v>81</v>
      </c>
      <c r="C67" s="29" t="str">
        <f>VLOOKUP(B67,Validation!A:B,2,0)</f>
        <v>USA</v>
      </c>
      <c r="D67" s="29" t="str">
        <f>VLOOKUP(B67,Validation!A:D,4,0)</f>
        <v>NA</v>
      </c>
      <c r="E67" s="29" t="str">
        <f>VLOOKUP(B67,Validation!A:E,5,0)</f>
        <v>Michael Bermingham</v>
      </c>
      <c r="F67" s="29" t="s">
        <v>57</v>
      </c>
      <c r="G67" s="29">
        <f t="shared" si="58"/>
        <v>2026</v>
      </c>
      <c r="H67" s="2" t="s">
        <v>56</v>
      </c>
      <c r="I67" s="2" t="s">
        <v>113</v>
      </c>
      <c r="J67" s="42">
        <f>VLOOKUP(I67,'XE rates'!A:D,4,0)*K67</f>
        <v>36.32</v>
      </c>
      <c r="K67" s="38">
        <v>36.32</v>
      </c>
      <c r="L67" s="1">
        <v>46023</v>
      </c>
      <c r="M67" s="30" t="str">
        <f t="shared" si="59"/>
        <v>Jan</v>
      </c>
      <c r="N67" s="29">
        <f t="shared" ca="1" si="60"/>
        <v>42</v>
      </c>
      <c r="O67" s="29" t="str">
        <f t="shared" ca="1" si="61"/>
        <v>31-60 days</v>
      </c>
      <c r="P67" s="2" t="s">
        <v>114</v>
      </c>
      <c r="Q67" s="1">
        <v>46057</v>
      </c>
      <c r="R67" s="1">
        <v>46064</v>
      </c>
      <c r="S67" s="2" t="s">
        <v>115</v>
      </c>
      <c r="T67" s="2" t="s">
        <v>221</v>
      </c>
      <c r="U67" s="2" t="s">
        <v>117</v>
      </c>
      <c r="V67" s="2" t="s">
        <v>125</v>
      </c>
      <c r="W67" s="36" t="s">
        <v>58</v>
      </c>
      <c r="X67" s="2"/>
      <c r="Y67" s="2"/>
      <c r="Z67" s="2"/>
      <c r="AA67" s="2"/>
      <c r="AB67" s="2" t="str">
        <f>VLOOKUP(T67,'[2]Query result'!$F:$G,2,0)</f>
        <v>Outstanding</v>
      </c>
    </row>
    <row r="68" spans="1:28">
      <c r="A68" s="2" t="s">
        <v>61</v>
      </c>
      <c r="B68" s="2" t="s">
        <v>82</v>
      </c>
      <c r="C68" s="29" t="str">
        <f>VLOOKUP(B68,Validation!A:B,2,0)</f>
        <v>USA</v>
      </c>
      <c r="D68" s="29" t="str">
        <f>VLOOKUP(B68,Validation!A:D,4,0)</f>
        <v>Tanu Arora</v>
      </c>
      <c r="E68" s="29" t="str">
        <f>VLOOKUP(B68,Validation!A:E,5,0)</f>
        <v>Rohit Bammi</v>
      </c>
      <c r="F68" s="29" t="s">
        <v>57</v>
      </c>
      <c r="G68" s="29">
        <f t="shared" si="58"/>
        <v>2026</v>
      </c>
      <c r="H68" s="2" t="s">
        <v>56</v>
      </c>
      <c r="I68" s="2" t="s">
        <v>113</v>
      </c>
      <c r="J68" s="42">
        <f>VLOOKUP(I68,'XE rates'!A:D,4,0)*K68</f>
        <v>60</v>
      </c>
      <c r="K68" s="38">
        <v>60</v>
      </c>
      <c r="L68" s="1">
        <v>46023</v>
      </c>
      <c r="M68" s="30" t="str">
        <f t="shared" si="59"/>
        <v>Jan</v>
      </c>
      <c r="N68" s="29">
        <f t="shared" ca="1" si="60"/>
        <v>41</v>
      </c>
      <c r="O68" s="29" t="str">
        <f t="shared" ca="1" si="61"/>
        <v>31-60 days</v>
      </c>
      <c r="P68" s="2" t="s">
        <v>114</v>
      </c>
      <c r="Q68" s="1">
        <v>46058</v>
      </c>
      <c r="R68" s="1">
        <v>46065</v>
      </c>
      <c r="S68" s="2" t="s">
        <v>115</v>
      </c>
      <c r="T68" s="2" t="s">
        <v>222</v>
      </c>
      <c r="U68" s="2" t="s">
        <v>117</v>
      </c>
      <c r="V68" s="2" t="s">
        <v>125</v>
      </c>
      <c r="W68" s="36" t="s">
        <v>58</v>
      </c>
      <c r="X68" s="2"/>
      <c r="Y68" s="2"/>
      <c r="Z68" s="2"/>
      <c r="AA68" s="2"/>
      <c r="AB68" s="2" t="str">
        <f>VLOOKUP(T68,'[2]Query result'!$F:$G,2,0)</f>
        <v>Outstanding</v>
      </c>
    </row>
    <row r="69" spans="1:28">
      <c r="A69" s="2" t="s">
        <v>61</v>
      </c>
      <c r="B69" s="2" t="s">
        <v>83</v>
      </c>
      <c r="C69" s="29" t="str">
        <f>VLOOKUP(B69,Validation!A:B,2,0)</f>
        <v>USA</v>
      </c>
      <c r="D69" s="29" t="str">
        <f>VLOOKUP(B69,Validation!A:D,4,0)</f>
        <v>Tanu Arora</v>
      </c>
      <c r="E69" s="29" t="str">
        <f>VLOOKUP(B69,Validation!A:E,5,0)</f>
        <v>Michael Bermingham</v>
      </c>
      <c r="F69" s="29" t="s">
        <v>57</v>
      </c>
      <c r="G69" s="29">
        <f t="shared" si="58"/>
        <v>2026</v>
      </c>
      <c r="H69" s="2" t="s">
        <v>56</v>
      </c>
      <c r="I69" s="2" t="s">
        <v>113</v>
      </c>
      <c r="J69" s="42">
        <f>VLOOKUP(I69,'XE rates'!A:D,4,0)*K69</f>
        <v>1000</v>
      </c>
      <c r="K69" s="38">
        <v>1000</v>
      </c>
      <c r="L69" s="1">
        <v>46023</v>
      </c>
      <c r="M69" s="30" t="str">
        <f t="shared" si="59"/>
        <v>Jan</v>
      </c>
      <c r="N69" s="29">
        <f t="shared" ca="1" si="60"/>
        <v>41</v>
      </c>
      <c r="O69" s="29" t="str">
        <f t="shared" ca="1" si="61"/>
        <v>31-60 days</v>
      </c>
      <c r="P69" s="2" t="s">
        <v>114</v>
      </c>
      <c r="Q69" s="1">
        <v>46058</v>
      </c>
      <c r="R69" s="1">
        <v>46065</v>
      </c>
      <c r="S69" s="2" t="s">
        <v>115</v>
      </c>
      <c r="T69" s="2" t="s">
        <v>223</v>
      </c>
      <c r="U69" s="2" t="s">
        <v>117</v>
      </c>
      <c r="V69" s="2" t="s">
        <v>125</v>
      </c>
      <c r="W69" s="36" t="s">
        <v>58</v>
      </c>
      <c r="X69" s="2"/>
      <c r="Y69" s="2"/>
      <c r="Z69" s="2"/>
      <c r="AA69" s="2"/>
      <c r="AB69" s="2" t="str">
        <f>VLOOKUP(T69,'[2]Query result'!$F:$G,2,0)</f>
        <v>Outstanding</v>
      </c>
    </row>
    <row r="70" spans="1:28">
      <c r="A70" s="2" t="s">
        <v>61</v>
      </c>
      <c r="B70" s="2" t="s">
        <v>197</v>
      </c>
      <c r="C70" s="29" t="str">
        <f>VLOOKUP(B70,Validation!A:B,2,0)</f>
        <v>APAC</v>
      </c>
      <c r="D70" s="29" t="str">
        <f>VLOOKUP(B70,Validation!A:D,4,0)</f>
        <v>Hao Nguyen</v>
      </c>
      <c r="E70" s="29" t="str">
        <f>VLOOKUP(B70,Validation!A:E,5,0)</f>
        <v>Vinoth M</v>
      </c>
      <c r="F70" s="29" t="s">
        <v>57</v>
      </c>
      <c r="G70" s="29">
        <f t="shared" si="58"/>
        <v>2026</v>
      </c>
      <c r="H70" s="2" t="s">
        <v>56</v>
      </c>
      <c r="I70" s="2" t="s">
        <v>127</v>
      </c>
      <c r="J70" s="42">
        <f>VLOOKUP(I70,'XE rates'!A:D,4,0)*K70</f>
        <v>3439.8135182251167</v>
      </c>
      <c r="K70" s="38">
        <v>5138.130000000001</v>
      </c>
      <c r="L70" s="1">
        <v>46023</v>
      </c>
      <c r="M70" s="30" t="str">
        <f t="shared" si="59"/>
        <v>Jan</v>
      </c>
      <c r="N70" s="29">
        <f t="shared" ca="1" si="60"/>
        <v>40</v>
      </c>
      <c r="O70" s="29" t="str">
        <f t="shared" ca="1" si="61"/>
        <v>31-60 days</v>
      </c>
      <c r="P70" s="2" t="s">
        <v>114</v>
      </c>
      <c r="Q70" s="1">
        <v>46059</v>
      </c>
      <c r="R70" s="1">
        <v>46066</v>
      </c>
      <c r="S70" s="2" t="s">
        <v>115</v>
      </c>
      <c r="T70" s="2" t="s">
        <v>224</v>
      </c>
      <c r="U70" s="2" t="s">
        <v>117</v>
      </c>
      <c r="V70" s="2" t="s">
        <v>125</v>
      </c>
      <c r="W70" s="36" t="s">
        <v>58</v>
      </c>
      <c r="X70" s="2"/>
      <c r="Y70" s="2"/>
      <c r="Z70" s="2"/>
      <c r="AA70" s="2"/>
      <c r="AB70" s="2" t="str">
        <f>VLOOKUP(T70,'[2]Query result'!$F:$G,2,0)</f>
        <v>Outstanding</v>
      </c>
    </row>
    <row r="71" spans="1:28">
      <c r="A71" s="2" t="s">
        <v>61</v>
      </c>
      <c r="B71" s="2" t="s">
        <v>225</v>
      </c>
      <c r="C71" s="29" t="str">
        <f>VLOOKUP(B71,Validation!A:B,2,0)</f>
        <v>APAC</v>
      </c>
      <c r="D71" s="29" t="str">
        <f>VLOOKUP(B71,Validation!A:D,4,0)</f>
        <v>Shi Yin</v>
      </c>
      <c r="E71" s="29" t="str">
        <f>VLOOKUP(B71,Validation!A:E,5,0)</f>
        <v>Gitesh Athavale</v>
      </c>
      <c r="F71" s="29" t="s">
        <v>57</v>
      </c>
      <c r="G71" s="29">
        <f t="shared" si="58"/>
        <v>2026</v>
      </c>
      <c r="H71" s="2" t="s">
        <v>56</v>
      </c>
      <c r="I71" s="2" t="s">
        <v>226</v>
      </c>
      <c r="J71" s="42">
        <f>VLOOKUP(I71,'XE rates'!A:D,4,0)*K71</f>
        <v>30312.630999827154</v>
      </c>
      <c r="K71" s="38">
        <v>39025.269999999997</v>
      </c>
      <c r="L71" s="1">
        <v>46023</v>
      </c>
      <c r="M71" s="30" t="str">
        <f t="shared" si="59"/>
        <v>Jan</v>
      </c>
      <c r="N71" s="29">
        <f t="shared" ca="1" si="60"/>
        <v>36</v>
      </c>
      <c r="O71" s="29" t="str">
        <f t="shared" ca="1" si="61"/>
        <v>31-60 days</v>
      </c>
      <c r="P71" s="2" t="s">
        <v>114</v>
      </c>
      <c r="Q71" s="1">
        <v>46060</v>
      </c>
      <c r="R71" s="1">
        <v>46070</v>
      </c>
      <c r="S71" s="2" t="s">
        <v>115</v>
      </c>
      <c r="T71" s="2" t="s">
        <v>227</v>
      </c>
      <c r="U71" s="2" t="s">
        <v>117</v>
      </c>
      <c r="V71" s="2" t="s">
        <v>125</v>
      </c>
      <c r="W71" s="36" t="s">
        <v>58</v>
      </c>
      <c r="X71" s="2"/>
      <c r="Y71" s="2"/>
      <c r="Z71" s="2"/>
      <c r="AA71" s="2"/>
      <c r="AB71" s="2" t="str">
        <f>VLOOKUP(T71,'[2]Query result'!$F:$G,2,0)</f>
        <v>Outstanding</v>
      </c>
    </row>
    <row r="72" spans="1:28">
      <c r="A72" s="2" t="s">
        <v>61</v>
      </c>
      <c r="B72" s="2" t="s">
        <v>228</v>
      </c>
      <c r="C72" s="29" t="str">
        <f>VLOOKUP(B72,Validation!A:B,2,0)</f>
        <v>Shared Centre</v>
      </c>
      <c r="D72" s="29" t="str">
        <f>VLOOKUP(B72,Validation!A:D,4,0)</f>
        <v>Sanat Patakar</v>
      </c>
      <c r="E72" s="29" t="str">
        <f>VLOOKUP(B72,Validation!A:E,5,0)</f>
        <v>NA</v>
      </c>
      <c r="F72" s="29" t="s">
        <v>57</v>
      </c>
      <c r="G72" s="29">
        <f t="shared" si="58"/>
        <v>2026</v>
      </c>
      <c r="H72" s="2" t="s">
        <v>56</v>
      </c>
      <c r="I72" s="2" t="s">
        <v>127</v>
      </c>
      <c r="J72" s="42">
        <f>VLOOKUP(I72,'XE rates'!A:D,4,0)*K72</f>
        <v>19087.871079874294</v>
      </c>
      <c r="K72" s="38">
        <v>28512</v>
      </c>
      <c r="L72" s="1">
        <v>46054</v>
      </c>
      <c r="M72" s="30" t="str">
        <f t="shared" si="59"/>
        <v>Feb</v>
      </c>
      <c r="N72" s="29">
        <f t="shared" ca="1" si="60"/>
        <v>44</v>
      </c>
      <c r="O72" s="29" t="str">
        <f t="shared" ca="1" si="61"/>
        <v>31-60 days</v>
      </c>
      <c r="P72" s="2" t="s">
        <v>229</v>
      </c>
      <c r="Q72" s="1">
        <v>46055</v>
      </c>
      <c r="R72" s="1">
        <v>46062</v>
      </c>
      <c r="S72" s="2" t="s">
        <v>115</v>
      </c>
      <c r="T72" s="2" t="s">
        <v>230</v>
      </c>
      <c r="U72" s="2" t="s">
        <v>117</v>
      </c>
      <c r="V72" s="2" t="s">
        <v>125</v>
      </c>
      <c r="W72" s="36" t="s">
        <v>58</v>
      </c>
      <c r="X72" s="2"/>
      <c r="Y72" s="2"/>
      <c r="Z72" s="2"/>
      <c r="AA72" s="2"/>
      <c r="AB72" s="2" t="str">
        <f>VLOOKUP(T72,'[2]Query result'!$F:$G,2,0)</f>
        <v>Outstanding</v>
      </c>
    </row>
    <row r="73" spans="1:28">
      <c r="A73" s="2" t="s">
        <v>61</v>
      </c>
      <c r="B73" s="2" t="s">
        <v>126</v>
      </c>
      <c r="C73" s="29" t="str">
        <f>VLOOKUP(B73,Validation!A:B,2,0)</f>
        <v>APAC</v>
      </c>
      <c r="D73" s="29" t="str">
        <f>VLOOKUP(B73,Validation!A:D,4,0)</f>
        <v>Hao Nguyen</v>
      </c>
      <c r="E73" s="29" t="str">
        <f>VLOOKUP(B73,Validation!A:E,5,0)</f>
        <v>NA</v>
      </c>
      <c r="F73" s="29" t="s">
        <v>57</v>
      </c>
      <c r="G73" s="29">
        <f t="shared" ref="G73:G75" si="62">YEAR(L73)</f>
        <v>2026</v>
      </c>
      <c r="H73" s="2" t="s">
        <v>56</v>
      </c>
      <c r="I73" s="2" t="s">
        <v>127</v>
      </c>
      <c r="J73" s="42">
        <f>VLOOKUP(I73,'XE rates'!A:D,4,0)*K73</f>
        <v>4749.1389118097732</v>
      </c>
      <c r="K73" s="38">
        <v>7093.9</v>
      </c>
      <c r="L73" s="1">
        <v>46023</v>
      </c>
      <c r="M73" s="30" t="str">
        <f t="shared" si="59"/>
        <v>Jan</v>
      </c>
      <c r="N73" s="29">
        <f t="shared" ca="1" si="60"/>
        <v>40</v>
      </c>
      <c r="O73" s="29" t="str">
        <f t="shared" ca="1" si="61"/>
        <v>31-60 days</v>
      </c>
      <c r="P73" s="2" t="s">
        <v>114</v>
      </c>
      <c r="Q73" s="1">
        <v>46059</v>
      </c>
      <c r="R73" s="1">
        <v>46066</v>
      </c>
      <c r="S73" s="2" t="s">
        <v>115</v>
      </c>
      <c r="T73" s="2" t="s">
        <v>231</v>
      </c>
      <c r="U73" s="2" t="s">
        <v>117</v>
      </c>
      <c r="V73" s="29" t="s">
        <v>117</v>
      </c>
      <c r="W73" s="2" t="s">
        <v>130</v>
      </c>
      <c r="X73" s="2"/>
      <c r="Y73" s="2"/>
      <c r="Z73" s="2"/>
      <c r="AA73" s="2"/>
      <c r="AB73" s="2" t="str">
        <f>VLOOKUP(T73,'[2]Query result'!$F:$G,2,0)</f>
        <v>Outstanding</v>
      </c>
    </row>
    <row r="74" spans="1:28">
      <c r="A74" s="2" t="s">
        <v>61</v>
      </c>
      <c r="B74" s="2" t="s">
        <v>63</v>
      </c>
      <c r="C74" s="29" t="str">
        <f>VLOOKUP(B74,Validation!A:B,2,0)</f>
        <v>USA</v>
      </c>
      <c r="D74" s="29" t="str">
        <f>VLOOKUP(B74,Validation!A:D,4,0)</f>
        <v>NA</v>
      </c>
      <c r="E74" s="29" t="str">
        <f>VLOOKUP(B74,Validation!A:E,5,0)</f>
        <v>Tyler Reed</v>
      </c>
      <c r="F74" s="29" t="s">
        <v>57</v>
      </c>
      <c r="G74" s="29">
        <f t="shared" si="62"/>
        <v>2026</v>
      </c>
      <c r="H74" s="2" t="s">
        <v>56</v>
      </c>
      <c r="I74" s="2" t="s">
        <v>113</v>
      </c>
      <c r="J74" s="42">
        <f>VLOOKUP(I74,'XE rates'!A:D,4,0)*K74</f>
        <v>500</v>
      </c>
      <c r="K74" s="38">
        <v>500</v>
      </c>
      <c r="L74" s="1">
        <v>46023</v>
      </c>
      <c r="M74" s="30" t="str">
        <f t="shared" si="59"/>
        <v>Jan</v>
      </c>
      <c r="N74" s="29">
        <f t="shared" ca="1" si="60"/>
        <v>41</v>
      </c>
      <c r="O74" s="29" t="str">
        <f t="shared" ca="1" si="61"/>
        <v>31-60 days</v>
      </c>
      <c r="P74" s="2" t="s">
        <v>114</v>
      </c>
      <c r="Q74" s="1">
        <v>46058</v>
      </c>
      <c r="R74" s="1">
        <v>46065</v>
      </c>
      <c r="S74" s="2" t="s">
        <v>115</v>
      </c>
      <c r="T74" s="2" t="s">
        <v>232</v>
      </c>
      <c r="U74" s="2" t="s">
        <v>117</v>
      </c>
      <c r="V74" s="2" t="s">
        <v>125</v>
      </c>
      <c r="W74" s="36" t="s">
        <v>58</v>
      </c>
      <c r="X74" s="2"/>
      <c r="Y74" s="2"/>
      <c r="Z74" s="2"/>
      <c r="AA74" s="2"/>
      <c r="AB74" s="2" t="str">
        <f>VLOOKUP(T74,'[2]Query result'!$F:$G,2,0)</f>
        <v>Outstanding</v>
      </c>
    </row>
    <row r="75" spans="1:28">
      <c r="A75" s="2" t="s">
        <v>61</v>
      </c>
      <c r="B75" s="2" t="s">
        <v>148</v>
      </c>
      <c r="C75" s="29" t="str">
        <f>VLOOKUP(B75,Validation!A:B,2,0)</f>
        <v>APAC</v>
      </c>
      <c r="D75" s="29" t="str">
        <f>VLOOKUP(B75,Validation!A:D,4,0)</f>
        <v>Hao Nguyen</v>
      </c>
      <c r="E75" s="29" t="str">
        <f>VLOOKUP(B75,Validation!A:E,5,0)</f>
        <v>Vinoth M</v>
      </c>
      <c r="F75" s="29" t="s">
        <v>57</v>
      </c>
      <c r="G75" s="29">
        <f t="shared" si="62"/>
        <v>2026</v>
      </c>
      <c r="H75" s="2" t="s">
        <v>56</v>
      </c>
      <c r="I75" s="2" t="s">
        <v>127</v>
      </c>
      <c r="J75" s="42">
        <f>VLOOKUP(I75,'XE rates'!A:D,4,0)*K75</f>
        <v>37.16886231602907</v>
      </c>
      <c r="K75" s="2">
        <v>55.52</v>
      </c>
      <c r="L75" s="1">
        <v>46023</v>
      </c>
      <c r="M75" s="30" t="str">
        <f t="shared" ref="M75" si="63">TEXT(L75,"mmm")</f>
        <v>Jan</v>
      </c>
      <c r="N75" s="29">
        <f t="shared" ref="N75" ca="1" si="64">$Y$1-R75</f>
        <v>5</v>
      </c>
      <c r="O75" s="29" t="str">
        <f t="shared" ref="O75" ca="1" si="65">IF(N75&lt;=30, "0-30 days", IF(N75&lt;=60, "31-60 days", IF(N75&lt;=90, "61-90 days", "Over 90+ days")))</f>
        <v>0-30 days</v>
      </c>
      <c r="P75" s="2" t="s">
        <v>149</v>
      </c>
      <c r="Q75" s="1">
        <v>46073</v>
      </c>
      <c r="R75" s="1">
        <v>46101</v>
      </c>
      <c r="S75" s="2" t="s">
        <v>164</v>
      </c>
      <c r="T75" s="2" t="s">
        <v>233</v>
      </c>
      <c r="U75" s="29" t="s">
        <v>117</v>
      </c>
      <c r="V75" s="2" t="s">
        <v>125</v>
      </c>
      <c r="W75" s="36" t="s">
        <v>151</v>
      </c>
      <c r="X75" s="2"/>
      <c r="Y75" s="2"/>
      <c r="Z75" s="2"/>
      <c r="AA75" s="2"/>
      <c r="AB75" s="2" t="str">
        <f>VLOOKUP(T75,'[2]Query result'!$F:$G,2,0)</f>
        <v>Outstanding</v>
      </c>
    </row>
    <row r="76" spans="1:28">
      <c r="A76" s="2" t="s">
        <v>55</v>
      </c>
      <c r="B76" s="2" t="s">
        <v>87</v>
      </c>
      <c r="C76" s="29" t="str">
        <f>VLOOKUP(B76,Validation!A:B,2,0)</f>
        <v>USA</v>
      </c>
      <c r="D76" s="29" t="str">
        <f>VLOOKUP(B76,Validation!A:D,4,0)</f>
        <v>Eduardo Avallone</v>
      </c>
      <c r="E76" s="29" t="str">
        <f>VLOOKUP(B76,Validation!A:E,5,0)</f>
        <v>NA</v>
      </c>
      <c r="F76" s="29" t="s">
        <v>57</v>
      </c>
      <c r="G76" s="29">
        <f t="shared" ref="G76:G109" si="66">YEAR(L76)</f>
        <v>2026</v>
      </c>
      <c r="H76" s="2" t="s">
        <v>56</v>
      </c>
      <c r="I76" s="2" t="s">
        <v>113</v>
      </c>
      <c r="J76" s="42">
        <f>VLOOKUP(I76,'XE rates'!A:D,4,0)*K76</f>
        <v>8074.55</v>
      </c>
      <c r="K76" s="64">
        <v>8074.55</v>
      </c>
      <c r="L76" s="2" t="s">
        <v>235</v>
      </c>
      <c r="M76" s="30" t="str">
        <f t="shared" ref="M76:M108" si="67">TEXT(L76,"mmm")</f>
        <v>Feb</v>
      </c>
      <c r="N76" s="29">
        <f t="shared" ref="N76:N108" ca="1" si="68">$Y$1-R76</f>
        <v>16</v>
      </c>
      <c r="O76" s="29" t="str">
        <f t="shared" ref="O76:O108" ca="1" si="69">IF(N76&lt;=30, "0-30 days", IF(N76&lt;=60, "31-60 days", IF(N76&lt;=90, "61-90 days", "Over 90+ days")))</f>
        <v>0-30 days</v>
      </c>
      <c r="P76" s="2" t="s">
        <v>114</v>
      </c>
      <c r="Q76" s="1">
        <v>46083</v>
      </c>
      <c r="R76" s="1">
        <v>46090</v>
      </c>
      <c r="S76" s="2" t="s">
        <v>143</v>
      </c>
      <c r="T76" s="2" t="s">
        <v>236</v>
      </c>
      <c r="U76" s="2"/>
      <c r="V76" s="2"/>
      <c r="W76" s="36"/>
      <c r="X76" s="2"/>
      <c r="Y76" s="2"/>
      <c r="Z76" s="2"/>
      <c r="AA76" s="2"/>
      <c r="AB76" s="2" t="str">
        <f>VLOOKUP(T76,'[2]Query result'!$F:$G,2,0)</f>
        <v>Overdue</v>
      </c>
    </row>
    <row r="77" spans="1:28">
      <c r="A77" s="2" t="s">
        <v>55</v>
      </c>
      <c r="B77" s="2" t="s">
        <v>34</v>
      </c>
      <c r="C77" s="29" t="str">
        <f>VLOOKUP(B77,Validation!A:B,2,0)</f>
        <v>USA</v>
      </c>
      <c r="D77" s="29" t="str">
        <f>VLOOKUP(B77,Validation!A:D,4,0)</f>
        <v>Lia Susin</v>
      </c>
      <c r="E77" s="29" t="str">
        <f>VLOOKUP(B77,Validation!A:E,5,0)</f>
        <v>NA</v>
      </c>
      <c r="F77" s="29" t="s">
        <v>57</v>
      </c>
      <c r="G77" s="29">
        <f t="shared" si="66"/>
        <v>2026</v>
      </c>
      <c r="H77" s="2" t="s">
        <v>56</v>
      </c>
      <c r="I77" s="2" t="s">
        <v>113</v>
      </c>
      <c r="J77" s="42">
        <f>VLOOKUP(I77,'XE rates'!A:D,4,0)*K77</f>
        <v>-322.54000000000002</v>
      </c>
      <c r="K77" s="64">
        <v>-322.54000000000002</v>
      </c>
      <c r="L77" s="2" t="s">
        <v>237</v>
      </c>
      <c r="M77" s="30" t="str">
        <f t="shared" si="67"/>
        <v>Feb</v>
      </c>
      <c r="N77" s="29">
        <f t="shared" ca="1" si="68"/>
        <v>6</v>
      </c>
      <c r="O77" s="29" t="str">
        <f t="shared" ca="1" si="69"/>
        <v>0-30 days</v>
      </c>
      <c r="P77" s="2" t="s">
        <v>238</v>
      </c>
      <c r="Q77" s="1">
        <v>46093</v>
      </c>
      <c r="R77" s="1">
        <v>46100</v>
      </c>
      <c r="S77" s="2" t="s">
        <v>164</v>
      </c>
      <c r="T77" s="2" t="s">
        <v>239</v>
      </c>
      <c r="U77" s="2"/>
      <c r="V77" s="2"/>
      <c r="W77" s="36"/>
      <c r="X77" s="2"/>
      <c r="Y77" s="2"/>
      <c r="Z77" s="2"/>
      <c r="AA77" s="2"/>
      <c r="AB77" s="2" t="str">
        <f>VLOOKUP(T77,'[2]Query result'!$F:$G,2,0)</f>
        <v>Invoice Sent</v>
      </c>
    </row>
    <row r="78" spans="1:28">
      <c r="A78" s="2" t="s">
        <v>55</v>
      </c>
      <c r="B78" s="2" t="s">
        <v>240</v>
      </c>
      <c r="C78" s="29" t="str">
        <f>VLOOKUP(B78,Validation!A:B,2,0)</f>
        <v>APAC</v>
      </c>
      <c r="D78" s="29" t="str">
        <f>VLOOKUP(B78,Validation!A:D,4,0)</f>
        <v>Hao Nguyen</v>
      </c>
      <c r="E78" s="29" t="str">
        <f>VLOOKUP(B78,Validation!A:E,5,0)</f>
        <v>Vinoth M</v>
      </c>
      <c r="F78" s="29" t="s">
        <v>57</v>
      </c>
      <c r="G78" s="29">
        <f t="shared" si="66"/>
        <v>2026</v>
      </c>
      <c r="H78" s="2" t="s">
        <v>56</v>
      </c>
      <c r="I78" s="2" t="s">
        <v>127</v>
      </c>
      <c r="J78" s="42">
        <f>VLOOKUP(I78,'XE rates'!A:D,4,0)*K78</f>
        <v>1431.4899107933925</v>
      </c>
      <c r="K78" s="64">
        <v>2138.25</v>
      </c>
      <c r="L78" s="2" t="s">
        <v>235</v>
      </c>
      <c r="M78" s="30" t="str">
        <f t="shared" si="67"/>
        <v>Feb</v>
      </c>
      <c r="N78" s="29">
        <f t="shared" ca="1" si="68"/>
        <v>15</v>
      </c>
      <c r="O78" s="29" t="str">
        <f t="shared" ca="1" si="69"/>
        <v>0-30 days</v>
      </c>
      <c r="P78" s="2" t="s">
        <v>114</v>
      </c>
      <c r="Q78" s="1">
        <v>46084</v>
      </c>
      <c r="R78" s="1">
        <v>46091</v>
      </c>
      <c r="S78" s="2" t="s">
        <v>143</v>
      </c>
      <c r="T78" s="2" t="s">
        <v>241</v>
      </c>
      <c r="U78" s="2"/>
      <c r="V78" s="2"/>
      <c r="W78" s="36"/>
      <c r="X78" s="2"/>
      <c r="Y78" s="2"/>
      <c r="Z78" s="2"/>
      <c r="AA78" s="2"/>
      <c r="AB78" s="2" t="str">
        <f>VLOOKUP(T78,'[2]Query result'!$F:$G,2,0)</f>
        <v>Overdue</v>
      </c>
    </row>
    <row r="79" spans="1:28">
      <c r="A79" s="2" t="s">
        <v>55</v>
      </c>
      <c r="B79" s="2" t="s">
        <v>242</v>
      </c>
      <c r="C79" s="29" t="str">
        <f>VLOOKUP(B79,Validation!A:B,2,0)</f>
        <v>EU/UK</v>
      </c>
      <c r="D79" s="29" t="str">
        <f>VLOOKUP(B79,Validation!A:D,4,0)</f>
        <v>Margarita</v>
      </c>
      <c r="E79" s="29" t="str">
        <f>VLOOKUP(B79,Validation!A:E,5,0)</f>
        <v>NA</v>
      </c>
      <c r="F79" s="29" t="s">
        <v>57</v>
      </c>
      <c r="G79" s="29">
        <f t="shared" si="66"/>
        <v>2026</v>
      </c>
      <c r="H79" s="2" t="s">
        <v>56</v>
      </c>
      <c r="I79" s="2" t="s">
        <v>113</v>
      </c>
      <c r="J79" s="42">
        <f>VLOOKUP(I79,'XE rates'!A:D,4,0)*K79</f>
        <v>689</v>
      </c>
      <c r="K79" s="64">
        <v>689</v>
      </c>
      <c r="L79" s="2" t="s">
        <v>235</v>
      </c>
      <c r="M79" s="30" t="str">
        <f t="shared" si="67"/>
        <v>Feb</v>
      </c>
      <c r="N79" s="29">
        <f t="shared" ca="1" si="68"/>
        <v>18</v>
      </c>
      <c r="O79" s="29" t="str">
        <f t="shared" ca="1" si="69"/>
        <v>0-30 days</v>
      </c>
      <c r="P79" s="2" t="s">
        <v>114</v>
      </c>
      <c r="Q79" s="1">
        <v>46083</v>
      </c>
      <c r="R79" s="1">
        <v>46088</v>
      </c>
      <c r="S79" s="2" t="s">
        <v>143</v>
      </c>
      <c r="T79" s="2" t="s">
        <v>243</v>
      </c>
      <c r="U79" s="2"/>
      <c r="V79" s="2"/>
      <c r="W79" s="36"/>
      <c r="X79" s="2"/>
      <c r="Y79" s="2"/>
      <c r="Z79" s="2"/>
      <c r="AA79" s="2"/>
      <c r="AB79" s="2" t="str">
        <f>VLOOKUP(T79,'[2]Query result'!$F:$G,2,0)</f>
        <v>Overdue</v>
      </c>
    </row>
    <row r="80" spans="1:28">
      <c r="A80" s="2" t="s">
        <v>55</v>
      </c>
      <c r="B80" s="2" t="s">
        <v>244</v>
      </c>
      <c r="C80" s="29" t="str">
        <f>VLOOKUP(B80,Validation!A:B,2,0)</f>
        <v>EU/UK</v>
      </c>
      <c r="D80" s="29" t="str">
        <f>VLOOKUP(B80,Validation!A:D,4,0)</f>
        <v>Margarita</v>
      </c>
      <c r="E80" s="29" t="str">
        <f>VLOOKUP(B80,Validation!A:E,5,0)</f>
        <v>NA</v>
      </c>
      <c r="F80" s="29" t="s">
        <v>57</v>
      </c>
      <c r="G80" s="29">
        <f t="shared" si="66"/>
        <v>2026</v>
      </c>
      <c r="H80" s="2" t="s">
        <v>56</v>
      </c>
      <c r="I80" s="2" t="s">
        <v>113</v>
      </c>
      <c r="J80" s="42">
        <f>VLOOKUP(I80,'XE rates'!A:D,4,0)*K80</f>
        <v>-7567.54</v>
      </c>
      <c r="K80" s="64">
        <v>-7567.54</v>
      </c>
      <c r="L80" s="2" t="s">
        <v>237</v>
      </c>
      <c r="M80" s="30" t="str">
        <f t="shared" si="67"/>
        <v>Feb</v>
      </c>
      <c r="N80" s="29">
        <f t="shared" ca="1" si="68"/>
        <v>15</v>
      </c>
      <c r="O80" s="29" t="str">
        <f t="shared" ca="1" si="69"/>
        <v>0-30 days</v>
      </c>
      <c r="P80" s="2" t="s">
        <v>238</v>
      </c>
      <c r="Q80" s="1">
        <v>46084</v>
      </c>
      <c r="R80" s="1">
        <v>46091</v>
      </c>
      <c r="S80" s="2" t="s">
        <v>143</v>
      </c>
      <c r="T80" s="2" t="s">
        <v>245</v>
      </c>
      <c r="U80" s="2" t="s">
        <v>117</v>
      </c>
      <c r="V80" s="2"/>
      <c r="W80" s="36"/>
      <c r="X80" s="2"/>
      <c r="Y80" s="2"/>
      <c r="Z80" s="2"/>
      <c r="AA80" s="2"/>
      <c r="AB80" s="2" t="str">
        <f>VLOOKUP(T80,'[2]Query result'!$F:$G,2,0)</f>
        <v>Overdue</v>
      </c>
    </row>
    <row r="81" spans="1:28">
      <c r="A81" s="2" t="s">
        <v>55</v>
      </c>
      <c r="B81" s="2" t="s">
        <v>244</v>
      </c>
      <c r="C81" s="29" t="str">
        <f>VLOOKUP(B81,Validation!A:B,2,0)</f>
        <v>EU/UK</v>
      </c>
      <c r="D81" s="29" t="str">
        <f>VLOOKUP(B81,Validation!A:D,4,0)</f>
        <v>Margarita</v>
      </c>
      <c r="E81" s="29" t="str">
        <f>VLOOKUP(B81,Validation!A:E,5,0)</f>
        <v>NA</v>
      </c>
      <c r="F81" s="29" t="s">
        <v>57</v>
      </c>
      <c r="G81" s="29">
        <f t="shared" si="66"/>
        <v>2026</v>
      </c>
      <c r="H81" s="2" t="s">
        <v>56</v>
      </c>
      <c r="I81" s="2" t="s">
        <v>113</v>
      </c>
      <c r="J81" s="42">
        <f>VLOOKUP(I81,'XE rates'!A:D,4,0)*K81</f>
        <v>2317.7399999999998</v>
      </c>
      <c r="K81" s="64">
        <v>2317.7399999999998</v>
      </c>
      <c r="L81" s="2" t="s">
        <v>235</v>
      </c>
      <c r="M81" s="30" t="str">
        <f t="shared" si="67"/>
        <v>Feb</v>
      </c>
      <c r="N81" s="29">
        <f t="shared" ca="1" si="68"/>
        <v>18</v>
      </c>
      <c r="O81" s="29" t="str">
        <f t="shared" ca="1" si="69"/>
        <v>0-30 days</v>
      </c>
      <c r="P81" s="2" t="s">
        <v>114</v>
      </c>
      <c r="Q81" s="1">
        <v>46084</v>
      </c>
      <c r="R81" s="1">
        <v>46088</v>
      </c>
      <c r="S81" s="2" t="s">
        <v>143</v>
      </c>
      <c r="T81" s="2" t="s">
        <v>246</v>
      </c>
      <c r="U81" s="2" t="s">
        <v>117</v>
      </c>
      <c r="V81" s="2"/>
      <c r="W81" s="36"/>
      <c r="X81" s="2"/>
      <c r="Y81" s="2"/>
      <c r="Z81" s="2"/>
      <c r="AA81" s="2"/>
      <c r="AB81" s="2" t="str">
        <f>VLOOKUP(T81,'[2]Query result'!$F:$G,2,0)</f>
        <v>Overdue</v>
      </c>
    </row>
    <row r="82" spans="1:28">
      <c r="A82" s="2" t="s">
        <v>55</v>
      </c>
      <c r="B82" s="2" t="s">
        <v>199</v>
      </c>
      <c r="C82" s="29" t="str">
        <f>VLOOKUP(B82,Validation!A:B,2,0)</f>
        <v>APAC</v>
      </c>
      <c r="D82" s="29" t="str">
        <f>VLOOKUP(B82,Validation!A:D,4,0)</f>
        <v>NA</v>
      </c>
      <c r="E82" s="29" t="str">
        <f>VLOOKUP(B82,Validation!A:E,5,0)</f>
        <v>Lisa Sung</v>
      </c>
      <c r="F82" s="29" t="s">
        <v>57</v>
      </c>
      <c r="G82" s="29">
        <f t="shared" si="66"/>
        <v>2026</v>
      </c>
      <c r="H82" s="2" t="s">
        <v>56</v>
      </c>
      <c r="I82" s="2" t="s">
        <v>113</v>
      </c>
      <c r="J82" s="42">
        <f>VLOOKUP(I82,'XE rates'!A:D,4,0)*K82</f>
        <v>5000</v>
      </c>
      <c r="K82" s="64">
        <v>5000</v>
      </c>
      <c r="L82" s="2" t="s">
        <v>235</v>
      </c>
      <c r="M82" s="30" t="str">
        <f t="shared" si="67"/>
        <v>Feb</v>
      </c>
      <c r="N82" s="29">
        <f t="shared" ca="1" si="68"/>
        <v>16</v>
      </c>
      <c r="O82" s="29" t="str">
        <f t="shared" ca="1" si="69"/>
        <v>0-30 days</v>
      </c>
      <c r="P82" s="2" t="s">
        <v>114</v>
      </c>
      <c r="Q82" s="1">
        <v>46083</v>
      </c>
      <c r="R82" s="1">
        <v>46090</v>
      </c>
      <c r="S82" s="2" t="s">
        <v>143</v>
      </c>
      <c r="T82" s="2" t="s">
        <v>247</v>
      </c>
      <c r="U82" s="2" t="s">
        <v>117</v>
      </c>
      <c r="V82" s="2" t="s">
        <v>125</v>
      </c>
      <c r="W82" s="36" t="s">
        <v>58</v>
      </c>
      <c r="X82" s="2"/>
      <c r="Y82" s="2"/>
      <c r="Z82" s="2"/>
      <c r="AA82" s="2"/>
      <c r="AB82" s="2" t="str">
        <f>VLOOKUP(T82,'[2]Query result'!$F:$G,2,0)</f>
        <v>Overdue</v>
      </c>
    </row>
    <row r="83" spans="1:28">
      <c r="A83" s="2" t="s">
        <v>55</v>
      </c>
      <c r="B83" s="2" t="s">
        <v>75</v>
      </c>
      <c r="C83" s="29" t="str">
        <f>VLOOKUP(B83,Validation!A:B,2,0)</f>
        <v>USA</v>
      </c>
      <c r="D83" s="29" t="str">
        <f>VLOOKUP(B83,Validation!A:D,4,0)</f>
        <v>Eduardo Avallone</v>
      </c>
      <c r="E83" s="29" t="str">
        <f>VLOOKUP(B83,Validation!A:E,5,0)</f>
        <v>NA</v>
      </c>
      <c r="F83" s="29" t="s">
        <v>57</v>
      </c>
      <c r="G83" s="29">
        <f t="shared" si="66"/>
        <v>2026</v>
      </c>
      <c r="H83" s="2" t="s">
        <v>56</v>
      </c>
      <c r="I83" s="2" t="s">
        <v>113</v>
      </c>
      <c r="J83" s="42">
        <f>VLOOKUP(I83,'XE rates'!A:D,4,0)*K83</f>
        <v>1408.4</v>
      </c>
      <c r="K83" s="64">
        <v>1408.4</v>
      </c>
      <c r="L83" s="2" t="s">
        <v>235</v>
      </c>
      <c r="M83" s="30" t="str">
        <f t="shared" si="67"/>
        <v>Feb</v>
      </c>
      <c r="N83" s="29">
        <f t="shared" ca="1" si="68"/>
        <v>7</v>
      </c>
      <c r="O83" s="29" t="str">
        <f t="shared" ca="1" si="69"/>
        <v>0-30 days</v>
      </c>
      <c r="P83" s="2" t="s">
        <v>114</v>
      </c>
      <c r="Q83" s="1">
        <v>46084</v>
      </c>
      <c r="R83" s="1">
        <v>46099</v>
      </c>
      <c r="S83" s="2" t="s">
        <v>164</v>
      </c>
      <c r="T83" s="2" t="s">
        <v>248</v>
      </c>
      <c r="U83" s="2" t="s">
        <v>117</v>
      </c>
      <c r="V83" s="2" t="s">
        <v>125</v>
      </c>
      <c r="W83" s="36" t="s">
        <v>58</v>
      </c>
      <c r="X83" s="2"/>
      <c r="Y83" s="2"/>
      <c r="Z83" s="2"/>
      <c r="AA83" s="2"/>
      <c r="AB83" s="2" t="str">
        <f>VLOOKUP(T83,'[2]Query result'!$F:$G,2,0)</f>
        <v>Overdue</v>
      </c>
    </row>
    <row r="84" spans="1:28">
      <c r="A84" s="2" t="s">
        <v>55</v>
      </c>
      <c r="B84" s="2" t="s">
        <v>249</v>
      </c>
      <c r="C84" s="29" t="str">
        <f>VLOOKUP(B84,Validation!A:B,2,0)</f>
        <v>APAC</v>
      </c>
      <c r="D84" s="29" t="str">
        <f>VLOOKUP(B84,Validation!A:D,4,0)</f>
        <v>Pat Sarisa</v>
      </c>
      <c r="E84" s="29" t="str">
        <f>VLOOKUP(B84,Validation!A:E,5,0)</f>
        <v>NA</v>
      </c>
      <c r="F84" s="29" t="s">
        <v>57</v>
      </c>
      <c r="G84" s="29">
        <f t="shared" si="66"/>
        <v>2026</v>
      </c>
      <c r="H84" s="2" t="s">
        <v>56</v>
      </c>
      <c r="I84" s="2" t="s">
        <v>113</v>
      </c>
      <c r="J84" s="42">
        <f>VLOOKUP(I84,'XE rates'!A:D,4,0)*K84</f>
        <v>22012</v>
      </c>
      <c r="K84" s="64">
        <v>22012</v>
      </c>
      <c r="L84" s="2" t="s">
        <v>235</v>
      </c>
      <c r="M84" s="30" t="str">
        <f t="shared" si="67"/>
        <v>Feb</v>
      </c>
      <c r="N84" s="29">
        <f t="shared" ca="1" si="68"/>
        <v>15</v>
      </c>
      <c r="O84" s="29" t="str">
        <f t="shared" ca="1" si="69"/>
        <v>0-30 days</v>
      </c>
      <c r="P84" s="2" t="s">
        <v>114</v>
      </c>
      <c r="Q84" s="1">
        <v>46084</v>
      </c>
      <c r="R84" s="1">
        <v>46091</v>
      </c>
      <c r="S84" s="2" t="s">
        <v>143</v>
      </c>
      <c r="T84" s="2" t="s">
        <v>250</v>
      </c>
      <c r="U84" s="2"/>
      <c r="V84" s="2"/>
      <c r="W84" s="36"/>
      <c r="X84" s="2"/>
      <c r="Y84" s="2"/>
      <c r="Z84" s="2"/>
      <c r="AA84" s="2"/>
      <c r="AB84" s="2" t="str">
        <f>VLOOKUP(T84,'[2]Query result'!$F:$G,2,0)</f>
        <v>Overdue</v>
      </c>
    </row>
    <row r="85" spans="1:28">
      <c r="A85" s="2" t="s">
        <v>55</v>
      </c>
      <c r="B85" s="2" t="s">
        <v>202</v>
      </c>
      <c r="C85" s="29" t="str">
        <f>VLOOKUP(B85,Validation!A:B,2,0)</f>
        <v>EU/UK</v>
      </c>
      <c r="D85" s="29" t="str">
        <f>VLOOKUP(B85,Validation!A:D,4,0)</f>
        <v>Unmanaged - Harshita or saloni</v>
      </c>
      <c r="E85" s="29" t="str">
        <f>VLOOKUP(B85,Validation!A:E,5,0)</f>
        <v>NA</v>
      </c>
      <c r="F85" s="29" t="s">
        <v>57</v>
      </c>
      <c r="G85" s="29">
        <f t="shared" si="66"/>
        <v>2026</v>
      </c>
      <c r="H85" s="2" t="s">
        <v>56</v>
      </c>
      <c r="I85" s="2" t="s">
        <v>203</v>
      </c>
      <c r="J85" s="42">
        <f>VLOOKUP(I85,'XE rates'!A:D,4,0)*K85</f>
        <v>2001.2659894705971</v>
      </c>
      <c r="K85" s="64">
        <v>1727.75</v>
      </c>
      <c r="L85" s="2" t="s">
        <v>235</v>
      </c>
      <c r="M85" s="30" t="str">
        <f t="shared" si="67"/>
        <v>Feb</v>
      </c>
      <c r="N85" s="29">
        <f t="shared" ca="1" si="68"/>
        <v>18</v>
      </c>
      <c r="O85" s="29" t="str">
        <f t="shared" ca="1" si="69"/>
        <v>0-30 days</v>
      </c>
      <c r="P85" s="2" t="s">
        <v>114</v>
      </c>
      <c r="Q85" s="1">
        <v>46083</v>
      </c>
      <c r="R85" s="1">
        <v>46088</v>
      </c>
      <c r="S85" s="2" t="s">
        <v>143</v>
      </c>
      <c r="T85" s="2" t="s">
        <v>251</v>
      </c>
      <c r="U85" s="2" t="s">
        <v>117</v>
      </c>
      <c r="V85" s="2" t="s">
        <v>125</v>
      </c>
      <c r="W85" s="36" t="s">
        <v>58</v>
      </c>
      <c r="X85" s="2"/>
      <c r="Y85" s="2"/>
      <c r="Z85" s="2"/>
      <c r="AA85" s="2"/>
      <c r="AB85" s="2" t="str">
        <f>VLOOKUP(T85,'[2]Query result'!$F:$G,2,0)</f>
        <v>Overdue</v>
      </c>
    </row>
    <row r="86" spans="1:28">
      <c r="A86" s="2" t="s">
        <v>55</v>
      </c>
      <c r="B86" s="2" t="s">
        <v>252</v>
      </c>
      <c r="C86" s="29" t="str">
        <f>VLOOKUP(B86,Validation!A:B,2,0)</f>
        <v>APAC</v>
      </c>
      <c r="D86" s="29" t="str">
        <f>VLOOKUP(B86,Validation!A:D,4,0)</f>
        <v>XiaoXiao</v>
      </c>
      <c r="E86" s="29" t="str">
        <f>VLOOKUP(B86,Validation!A:E,5,0)</f>
        <v>Rohit Bammi</v>
      </c>
      <c r="F86" s="29" t="s">
        <v>57</v>
      </c>
      <c r="G86" s="29">
        <f t="shared" si="66"/>
        <v>2026</v>
      </c>
      <c r="H86" s="2" t="s">
        <v>56</v>
      </c>
      <c r="I86" s="2" t="s">
        <v>113</v>
      </c>
      <c r="J86" s="42">
        <f>VLOOKUP(I86,'XE rates'!A:D,4,0)*K86</f>
        <v>22670</v>
      </c>
      <c r="K86" s="64">
        <v>22670</v>
      </c>
      <c r="L86" s="2" t="s">
        <v>235</v>
      </c>
      <c r="M86" s="30" t="str">
        <f t="shared" si="67"/>
        <v>Feb</v>
      </c>
      <c r="N86" s="29">
        <f t="shared" ca="1" si="68"/>
        <v>15</v>
      </c>
      <c r="O86" s="29" t="str">
        <f t="shared" ca="1" si="69"/>
        <v>0-30 days</v>
      </c>
      <c r="P86" s="2" t="s">
        <v>114</v>
      </c>
      <c r="Q86" s="1">
        <v>46084</v>
      </c>
      <c r="R86" s="1">
        <v>46091</v>
      </c>
      <c r="S86" s="2" t="s">
        <v>143</v>
      </c>
      <c r="T86" s="2" t="s">
        <v>253</v>
      </c>
      <c r="U86" s="2"/>
      <c r="V86" s="2"/>
      <c r="W86" s="36"/>
      <c r="X86" s="2"/>
      <c r="Y86" s="2"/>
      <c r="Z86" s="2"/>
      <c r="AA86" s="2"/>
      <c r="AB86" s="2" t="str">
        <f>VLOOKUP(T86,'[2]Query result'!$F:$G,2,0)</f>
        <v>Overdue</v>
      </c>
    </row>
    <row r="87" spans="1:28">
      <c r="A87" s="2" t="s">
        <v>55</v>
      </c>
      <c r="B87" s="2" t="s">
        <v>257</v>
      </c>
      <c r="C87" s="29" t="str">
        <f>VLOOKUP(B87,Validation!A:B,2,0)</f>
        <v>Shared Centre</v>
      </c>
      <c r="D87" s="29" t="str">
        <f>VLOOKUP(B87,Validation!A:D,4,0)</f>
        <v>Sanat Patakar</v>
      </c>
      <c r="E87" s="29" t="str">
        <f>VLOOKUP(B87,Validation!A:E,5,0)</f>
        <v>Hari Budiman</v>
      </c>
      <c r="F87" s="29" t="s">
        <v>57</v>
      </c>
      <c r="G87" s="29">
        <f t="shared" si="66"/>
        <v>2026</v>
      </c>
      <c r="H87" s="2" t="s">
        <v>56</v>
      </c>
      <c r="I87" s="2" t="s">
        <v>113</v>
      </c>
      <c r="J87" s="42">
        <f>VLOOKUP(I87,'XE rates'!A:D,4,0)*K87</f>
        <v>2344.3200000000002</v>
      </c>
      <c r="K87" s="64">
        <v>2344.3200000000002</v>
      </c>
      <c r="L87" s="2" t="s">
        <v>237</v>
      </c>
      <c r="M87" s="30" t="str">
        <f t="shared" si="67"/>
        <v>Feb</v>
      </c>
      <c r="N87" s="29">
        <f t="shared" ca="1" si="68"/>
        <v>1</v>
      </c>
      <c r="O87" s="29" t="str">
        <f t="shared" ca="1" si="69"/>
        <v>0-30 days</v>
      </c>
      <c r="P87" s="2" t="s">
        <v>114</v>
      </c>
      <c r="Q87" s="1">
        <v>46084</v>
      </c>
      <c r="R87" s="1">
        <v>46105</v>
      </c>
      <c r="S87" s="2" t="s">
        <v>164</v>
      </c>
      <c r="T87" s="2" t="s">
        <v>258</v>
      </c>
      <c r="U87" s="2"/>
      <c r="V87" s="2"/>
      <c r="W87" s="36"/>
      <c r="X87" s="2"/>
      <c r="Y87" s="2"/>
      <c r="Z87" s="2"/>
      <c r="AA87" s="2"/>
      <c r="AB87" s="2" t="str">
        <f>VLOOKUP(T87,'[2]Query result'!$F:$G,2,0)</f>
        <v>Overdue</v>
      </c>
    </row>
    <row r="88" spans="1:28">
      <c r="A88" s="2" t="s">
        <v>55</v>
      </c>
      <c r="B88" s="2" t="s">
        <v>205</v>
      </c>
      <c r="C88" s="29" t="str">
        <f>VLOOKUP(B88,Validation!A:B,2,0)</f>
        <v>APAC</v>
      </c>
      <c r="D88" s="29" t="str">
        <f>VLOOKUP(B88,Validation!A:D,4,0)</f>
        <v>Hao Nguyen</v>
      </c>
      <c r="E88" s="29" t="str">
        <f>VLOOKUP(B88,Validation!A:E,5,0)</f>
        <v>Hari Budiman</v>
      </c>
      <c r="F88" s="29" t="s">
        <v>57</v>
      </c>
      <c r="G88" s="29">
        <f t="shared" si="66"/>
        <v>2026</v>
      </c>
      <c r="H88" s="2" t="s">
        <v>56</v>
      </c>
      <c r="I88" s="2" t="s">
        <v>142</v>
      </c>
      <c r="J88" s="42">
        <f>VLOOKUP(I88,'XE rates'!A:D,4,0)*K88</f>
        <v>329.55542114969433</v>
      </c>
      <c r="K88" s="64">
        <v>5566253</v>
      </c>
      <c r="L88" s="2" t="s">
        <v>235</v>
      </c>
      <c r="M88" s="30" t="str">
        <f t="shared" si="67"/>
        <v>Feb</v>
      </c>
      <c r="N88" s="29">
        <f t="shared" ca="1" si="68"/>
        <v>-8</v>
      </c>
      <c r="O88" s="29" t="str">
        <f t="shared" ca="1" si="69"/>
        <v>0-30 days</v>
      </c>
      <c r="P88" s="2" t="s">
        <v>114</v>
      </c>
      <c r="Q88" s="1">
        <v>46084</v>
      </c>
      <c r="R88" s="1">
        <v>46114</v>
      </c>
      <c r="S88" s="2" t="s">
        <v>164</v>
      </c>
      <c r="T88" s="2" t="s">
        <v>259</v>
      </c>
      <c r="U88" s="2" t="s">
        <v>125</v>
      </c>
      <c r="V88" s="2" t="s">
        <v>125</v>
      </c>
      <c r="W88" s="36" t="s">
        <v>58</v>
      </c>
      <c r="X88" s="2"/>
      <c r="Y88" s="2"/>
      <c r="Z88" s="2"/>
      <c r="AA88" s="2"/>
      <c r="AB88" s="2" t="str">
        <f>VLOOKUP(T88,'[2]Query result'!$F:$G,2,0)</f>
        <v>Invoice Sent</v>
      </c>
    </row>
    <row r="89" spans="1:28">
      <c r="A89" s="2" t="s">
        <v>55</v>
      </c>
      <c r="B89" s="2" t="s">
        <v>260</v>
      </c>
      <c r="C89" s="29" t="str">
        <f>VLOOKUP(B89,Validation!A:B,2,0)</f>
        <v>APAC</v>
      </c>
      <c r="D89" s="29" t="str">
        <f>VLOOKUP(B89,Validation!A:D,4,0)</f>
        <v>NA</v>
      </c>
      <c r="E89" s="29" t="str">
        <f>VLOOKUP(B89,Validation!A:E,5,0)</f>
        <v>Hari Budiman</v>
      </c>
      <c r="F89" s="29" t="s">
        <v>57</v>
      </c>
      <c r="G89" s="29">
        <f t="shared" si="66"/>
        <v>2026</v>
      </c>
      <c r="H89" s="2" t="s">
        <v>69</v>
      </c>
      <c r="I89" s="2" t="s">
        <v>113</v>
      </c>
      <c r="J89" s="42">
        <f>VLOOKUP(I89,'XE rates'!A:D,4,0)*K89</f>
        <v>109.34</v>
      </c>
      <c r="K89" s="64">
        <v>109.34</v>
      </c>
      <c r="L89" s="2" t="s">
        <v>237</v>
      </c>
      <c r="M89" s="30" t="str">
        <f t="shared" si="67"/>
        <v>Feb</v>
      </c>
      <c r="N89" s="29">
        <f t="shared" ca="1" si="68"/>
        <v>1</v>
      </c>
      <c r="O89" s="29" t="str">
        <f t="shared" ca="1" si="69"/>
        <v>0-30 days</v>
      </c>
      <c r="P89" s="2" t="s">
        <v>114</v>
      </c>
      <c r="Q89" s="1">
        <v>46084</v>
      </c>
      <c r="R89" s="1">
        <v>46105</v>
      </c>
      <c r="S89" s="2" t="s">
        <v>164</v>
      </c>
      <c r="T89" s="2" t="s">
        <v>261</v>
      </c>
      <c r="U89" s="2"/>
      <c r="V89" s="2"/>
      <c r="W89" s="36"/>
      <c r="X89" s="2"/>
      <c r="Y89" s="2"/>
      <c r="Z89" s="2"/>
      <c r="AA89" s="2"/>
      <c r="AB89" s="2" t="str">
        <f>VLOOKUP(T89,'[2]Query result'!$F:$G,2,0)</f>
        <v>Force Settlement</v>
      </c>
    </row>
    <row r="90" spans="1:28">
      <c r="A90" s="2" t="s">
        <v>55</v>
      </c>
      <c r="B90" s="2" t="s">
        <v>266</v>
      </c>
      <c r="C90" s="29" t="str">
        <f>VLOOKUP(B90,Validation!A:B,2,0)</f>
        <v>APAC</v>
      </c>
      <c r="D90" s="29" t="str">
        <f>VLOOKUP(B90,Validation!A:D,4,0)</f>
        <v>XiaoXiao</v>
      </c>
      <c r="E90" s="29" t="str">
        <f>VLOOKUP(B90,Validation!A:E,5,0)</f>
        <v>NA</v>
      </c>
      <c r="F90" s="29" t="s">
        <v>57</v>
      </c>
      <c r="G90" s="29">
        <f t="shared" si="66"/>
        <v>2026</v>
      </c>
      <c r="H90" s="2" t="s">
        <v>56</v>
      </c>
      <c r="I90" s="2" t="s">
        <v>113</v>
      </c>
      <c r="J90" s="42">
        <f>VLOOKUP(I90,'XE rates'!A:D,4,0)*K90</f>
        <v>54089.5</v>
      </c>
      <c r="K90" s="64">
        <v>54089.5</v>
      </c>
      <c r="L90" s="2" t="s">
        <v>235</v>
      </c>
      <c r="M90" s="30" t="str">
        <f t="shared" si="67"/>
        <v>Feb</v>
      </c>
      <c r="N90" s="29">
        <f t="shared" ca="1" si="68"/>
        <v>9</v>
      </c>
      <c r="O90" s="29" t="str">
        <f t="shared" ca="1" si="69"/>
        <v>0-30 days</v>
      </c>
      <c r="P90" s="2" t="s">
        <v>114</v>
      </c>
      <c r="Q90" s="1">
        <v>46084</v>
      </c>
      <c r="R90" s="1">
        <v>46097</v>
      </c>
      <c r="S90" s="2" t="s">
        <v>164</v>
      </c>
      <c r="T90" s="2" t="s">
        <v>267</v>
      </c>
      <c r="U90" s="2"/>
      <c r="V90" s="2"/>
      <c r="W90" s="36"/>
      <c r="X90" s="2"/>
      <c r="Y90" s="2"/>
      <c r="Z90" s="2"/>
      <c r="AA90" s="2"/>
      <c r="AB90" s="2" t="str">
        <f>VLOOKUP(T90,'[2]Query result'!$F:$G,2,0)</f>
        <v>Overdue</v>
      </c>
    </row>
    <row r="91" spans="1:28">
      <c r="A91" s="2" t="s">
        <v>61</v>
      </c>
      <c r="B91" s="2" t="s">
        <v>268</v>
      </c>
      <c r="C91" s="29" t="str">
        <f>VLOOKUP(B91,Validation!A:B,2,0)</f>
        <v>ME</v>
      </c>
      <c r="D91" s="29" t="str">
        <f>VLOOKUP(B91,Validation!A:D,4,0)</f>
        <v>Jerome Coelho</v>
      </c>
      <c r="E91" s="29" t="str">
        <f>VLOOKUP(B91,Validation!A:E,5,0)</f>
        <v>Ashraf Omran</v>
      </c>
      <c r="F91" s="29" t="s">
        <v>57</v>
      </c>
      <c r="G91" s="29">
        <f t="shared" si="66"/>
        <v>2026</v>
      </c>
      <c r="H91" s="2" t="s">
        <v>56</v>
      </c>
      <c r="I91" s="2" t="s">
        <v>113</v>
      </c>
      <c r="J91" s="42">
        <f>VLOOKUP(I91,'XE rates'!A:D,4,0)*K91</f>
        <v>10</v>
      </c>
      <c r="K91" s="64">
        <v>10</v>
      </c>
      <c r="L91" s="2" t="s">
        <v>269</v>
      </c>
      <c r="M91" s="30" t="str">
        <f t="shared" si="67"/>
        <v>Feb</v>
      </c>
      <c r="N91" s="29">
        <f t="shared" ca="1" si="68"/>
        <v>15</v>
      </c>
      <c r="O91" s="29" t="str">
        <f t="shared" ca="1" si="69"/>
        <v>0-30 days</v>
      </c>
      <c r="P91" s="2" t="s">
        <v>114</v>
      </c>
      <c r="Q91" s="1">
        <v>46084</v>
      </c>
      <c r="R91" s="1">
        <v>46091</v>
      </c>
      <c r="S91" s="2" t="s">
        <v>115</v>
      </c>
      <c r="T91" s="2" t="s">
        <v>270</v>
      </c>
      <c r="U91" s="2"/>
      <c r="V91" s="2"/>
      <c r="W91" s="36"/>
      <c r="X91" s="2"/>
      <c r="Y91" s="2"/>
      <c r="Z91" s="2"/>
      <c r="AA91" s="2"/>
      <c r="AB91" s="2" t="str">
        <f>VLOOKUP(T91,'[2]Query result'!$F:$G,2,0)</f>
        <v>Outstanding</v>
      </c>
    </row>
    <row r="92" spans="1:28">
      <c r="A92" s="2" t="s">
        <v>61</v>
      </c>
      <c r="B92" s="2" t="s">
        <v>21</v>
      </c>
      <c r="C92" s="29" t="str">
        <f>VLOOKUP(B92,Validation!A:B,2,0)</f>
        <v>ME</v>
      </c>
      <c r="D92" s="29" t="str">
        <f>VLOOKUP(B92,Validation!A:D,4,0)</f>
        <v>Jerome Coelho</v>
      </c>
      <c r="E92" s="29" t="str">
        <f>VLOOKUP(B92,Validation!A:E,5,0)</f>
        <v>Ashraf Omran</v>
      </c>
      <c r="F92" s="29" t="s">
        <v>57</v>
      </c>
      <c r="G92" s="29">
        <f t="shared" si="66"/>
        <v>2025</v>
      </c>
      <c r="H92" s="2" t="s">
        <v>56</v>
      </c>
      <c r="I92" s="2" t="s">
        <v>113</v>
      </c>
      <c r="J92" s="42">
        <f>VLOOKUP(I92,'XE rates'!A:D,4,0)*K92</f>
        <v>-48</v>
      </c>
      <c r="K92" s="64">
        <f>-68+20</f>
        <v>-48</v>
      </c>
      <c r="L92" s="2" t="s">
        <v>271</v>
      </c>
      <c r="M92" s="30" t="str">
        <f t="shared" si="67"/>
        <v>Aug</v>
      </c>
      <c r="N92" s="29">
        <f t="shared" ca="1" si="68"/>
        <v>196</v>
      </c>
      <c r="O92" s="29" t="str">
        <f t="shared" ca="1" si="69"/>
        <v>Over 90+ days</v>
      </c>
      <c r="P92" s="2" t="s">
        <v>272</v>
      </c>
      <c r="Q92" s="1">
        <v>45903</v>
      </c>
      <c r="R92" s="1">
        <v>45910</v>
      </c>
      <c r="S92" s="2" t="s">
        <v>115</v>
      </c>
      <c r="T92" s="2" t="s">
        <v>273</v>
      </c>
      <c r="U92" s="2" t="s">
        <v>125</v>
      </c>
      <c r="V92" s="2" t="s">
        <v>125</v>
      </c>
      <c r="W92" s="36" t="s">
        <v>180</v>
      </c>
      <c r="X92" s="2"/>
      <c r="Y92" s="2"/>
      <c r="Z92" s="2"/>
      <c r="AA92" s="2"/>
      <c r="AB92" s="2" t="str">
        <f>VLOOKUP(T92,'[2]Query result'!$F:$G,2,0)</f>
        <v>Partially Paid</v>
      </c>
    </row>
    <row r="93" spans="1:28">
      <c r="A93" s="2" t="s">
        <v>61</v>
      </c>
      <c r="B93" s="2" t="s">
        <v>29</v>
      </c>
      <c r="C93" s="29" t="str">
        <f>VLOOKUP(B93,Validation!A:B,2,0)</f>
        <v>APAC</v>
      </c>
      <c r="D93" s="29" t="str">
        <f>VLOOKUP(B93,Validation!A:D,4,0)</f>
        <v>Shi Yin</v>
      </c>
      <c r="E93" s="29" t="str">
        <f>VLOOKUP(B93,Validation!A:E,5,0)</f>
        <v>Gitesh Athavale</v>
      </c>
      <c r="F93" s="29" t="s">
        <v>57</v>
      </c>
      <c r="G93" s="29">
        <f t="shared" si="66"/>
        <v>2026</v>
      </c>
      <c r="H93" s="2" t="s">
        <v>56</v>
      </c>
      <c r="I93" s="2" t="s">
        <v>226</v>
      </c>
      <c r="J93" s="42">
        <f>VLOOKUP(I93,'XE rates'!A:D,4,0)*K93</f>
        <v>-85143.008119189122</v>
      </c>
      <c r="K93" s="64">
        <v>-109615.32439999992</v>
      </c>
      <c r="L93" s="2" t="s">
        <v>276</v>
      </c>
      <c r="M93" s="30" t="str">
        <f t="shared" si="67"/>
        <v>Jan</v>
      </c>
      <c r="N93" s="29">
        <f t="shared" ca="1" si="68"/>
        <v>39</v>
      </c>
      <c r="O93" s="29" t="str">
        <f t="shared" ca="1" si="69"/>
        <v>31-60 days</v>
      </c>
      <c r="P93" s="2" t="s">
        <v>114</v>
      </c>
      <c r="Q93" s="1">
        <v>46060</v>
      </c>
      <c r="R93" s="1">
        <v>46067</v>
      </c>
      <c r="S93" s="2" t="s">
        <v>115</v>
      </c>
      <c r="T93" s="2" t="s">
        <v>277</v>
      </c>
      <c r="U93" s="2"/>
      <c r="V93" s="2"/>
      <c r="W93" s="36"/>
      <c r="X93" s="2"/>
      <c r="Y93" s="2"/>
      <c r="Z93" s="2"/>
      <c r="AA93" s="2"/>
      <c r="AB93" s="2" t="str">
        <f>VLOOKUP(T93,'[2]Query result'!$F:$G,2,0)</f>
        <v>Outstanding</v>
      </c>
    </row>
    <row r="94" spans="1:28">
      <c r="A94" s="2" t="s">
        <v>61</v>
      </c>
      <c r="B94" s="2" t="s">
        <v>29</v>
      </c>
      <c r="C94" s="29" t="str">
        <f>VLOOKUP(B94,Validation!A:B,2,0)</f>
        <v>APAC</v>
      </c>
      <c r="D94" s="29" t="str">
        <f>VLOOKUP(B94,Validation!A:D,4,0)</f>
        <v>Shi Yin</v>
      </c>
      <c r="E94" s="29" t="str">
        <f>VLOOKUP(B94,Validation!A:E,5,0)</f>
        <v>Gitesh Athavale</v>
      </c>
      <c r="F94" s="29" t="s">
        <v>57</v>
      </c>
      <c r="G94" s="29">
        <f t="shared" si="66"/>
        <v>2026</v>
      </c>
      <c r="H94" s="2" t="s">
        <v>56</v>
      </c>
      <c r="I94" s="2" t="s">
        <v>226</v>
      </c>
      <c r="J94" s="42">
        <f>VLOOKUP(I94,'XE rates'!A:D,4,0)*K94</f>
        <v>-18657.243799144137</v>
      </c>
      <c r="K94" s="64">
        <v>-24019.821200000006</v>
      </c>
      <c r="L94" s="2" t="s">
        <v>275</v>
      </c>
      <c r="M94" s="30" t="str">
        <f t="shared" si="67"/>
        <v>Feb</v>
      </c>
      <c r="N94" s="29">
        <f t="shared" ca="1" si="68"/>
        <v>-9</v>
      </c>
      <c r="O94" s="29" t="str">
        <f t="shared" ca="1" si="69"/>
        <v>0-30 days</v>
      </c>
      <c r="P94" s="2" t="s">
        <v>114</v>
      </c>
      <c r="Q94" s="1">
        <v>46085</v>
      </c>
      <c r="R94" s="1">
        <v>46115</v>
      </c>
      <c r="S94" s="2" t="s">
        <v>164</v>
      </c>
      <c r="T94" s="2" t="s">
        <v>278</v>
      </c>
      <c r="U94" s="2"/>
      <c r="V94" s="2"/>
      <c r="W94" s="36"/>
      <c r="X94" s="2"/>
      <c r="Y94" s="2"/>
      <c r="Z94" s="2"/>
      <c r="AA94" s="2"/>
      <c r="AB94" s="2" t="str">
        <f>VLOOKUP(T94,'[2]Query result'!$F:$G,2,0)</f>
        <v>Invoice Sent</v>
      </c>
    </row>
    <row r="95" spans="1:28">
      <c r="A95" s="2" t="s">
        <v>61</v>
      </c>
      <c r="B95" s="2" t="s">
        <v>145</v>
      </c>
      <c r="C95" s="29" t="str">
        <f>VLOOKUP(B95,Validation!A:B,2,0)</f>
        <v>EU/UK</v>
      </c>
      <c r="D95" s="29" t="str">
        <f>VLOOKUP(B95,Validation!A:D,4,0)</f>
        <v>Sachli Zare</v>
      </c>
      <c r="E95" s="29" t="str">
        <f>VLOOKUP(B95,Validation!A:E,5,0)</f>
        <v>Gitesh Athavale</v>
      </c>
      <c r="F95" s="29" t="s">
        <v>57</v>
      </c>
      <c r="G95" s="29">
        <f t="shared" si="66"/>
        <v>2026</v>
      </c>
      <c r="H95" s="2" t="s">
        <v>56</v>
      </c>
      <c r="I95" s="2" t="s">
        <v>146</v>
      </c>
      <c r="J95" s="42">
        <f>VLOOKUP(I95,'XE rates'!A:D,4,0)*K95</f>
        <v>88.775965590251843</v>
      </c>
      <c r="K95" s="64">
        <v>66.400000000000006</v>
      </c>
      <c r="L95" s="2" t="s">
        <v>275</v>
      </c>
      <c r="M95" s="30" t="str">
        <f t="shared" si="67"/>
        <v>Feb</v>
      </c>
      <c r="N95" s="29">
        <f t="shared" ca="1" si="68"/>
        <v>-8</v>
      </c>
      <c r="O95" s="29" t="str">
        <f t="shared" ca="1" si="69"/>
        <v>0-30 days</v>
      </c>
      <c r="P95" s="2" t="s">
        <v>114</v>
      </c>
      <c r="Q95" s="1">
        <v>46084</v>
      </c>
      <c r="R95" s="1">
        <v>46114</v>
      </c>
      <c r="S95" s="2" t="s">
        <v>164</v>
      </c>
      <c r="T95" s="2" t="s">
        <v>279</v>
      </c>
      <c r="U95" s="29" t="s">
        <v>125</v>
      </c>
      <c r="V95" s="2" t="s">
        <v>125</v>
      </c>
      <c r="W95" s="36" t="s">
        <v>58</v>
      </c>
      <c r="X95" s="2"/>
      <c r="Y95" s="2"/>
      <c r="Z95" s="2"/>
      <c r="AA95" s="2"/>
      <c r="AB95" s="2" t="str">
        <f>VLOOKUP(T95,'[2]Query result'!$F:$G,2,0)</f>
        <v>Invoice Sent</v>
      </c>
    </row>
    <row r="96" spans="1:28">
      <c r="A96" s="2" t="s">
        <v>61</v>
      </c>
      <c r="B96" s="2" t="s">
        <v>280</v>
      </c>
      <c r="C96" s="29" t="str">
        <f>VLOOKUP(B96,Validation!A:B,2,0)</f>
        <v>ME</v>
      </c>
      <c r="D96" s="29" t="str">
        <f>VLOOKUP(B96,Validation!A:D,4,0)</f>
        <v>Jerome Coelho</v>
      </c>
      <c r="E96" s="29" t="str">
        <f>VLOOKUP(B96,Validation!A:E,5,0)</f>
        <v>Saikat Roy</v>
      </c>
      <c r="F96" s="29" t="s">
        <v>57</v>
      </c>
      <c r="G96" s="29">
        <f t="shared" si="66"/>
        <v>2026</v>
      </c>
      <c r="H96" s="2" t="s">
        <v>56</v>
      </c>
      <c r="I96" s="2" t="s">
        <v>113</v>
      </c>
      <c r="J96" s="42">
        <f>VLOOKUP(I96,'XE rates'!A:D,4,0)*K96</f>
        <v>3000</v>
      </c>
      <c r="K96" s="64">
        <v>3000</v>
      </c>
      <c r="L96" s="2" t="s">
        <v>269</v>
      </c>
      <c r="M96" s="30" t="str">
        <f t="shared" si="67"/>
        <v>Feb</v>
      </c>
      <c r="N96" s="29">
        <f t="shared" ca="1" si="68"/>
        <v>15</v>
      </c>
      <c r="O96" s="29" t="str">
        <f t="shared" ca="1" si="69"/>
        <v>0-30 days</v>
      </c>
      <c r="P96" s="2" t="s">
        <v>114</v>
      </c>
      <c r="Q96" s="1">
        <v>46084</v>
      </c>
      <c r="R96" s="1">
        <v>46091</v>
      </c>
      <c r="S96" s="2" t="s">
        <v>115</v>
      </c>
      <c r="T96" s="2" t="s">
        <v>281</v>
      </c>
      <c r="U96" s="2"/>
      <c r="V96" s="2"/>
      <c r="W96" s="36"/>
      <c r="X96" s="2"/>
      <c r="Y96" s="2"/>
      <c r="Z96" s="2"/>
      <c r="AA96" s="2"/>
      <c r="AB96" s="2" t="str">
        <f>VLOOKUP(T96,'[2]Query result'!$F:$G,2,0)</f>
        <v>Outstanding</v>
      </c>
    </row>
    <row r="97" spans="1:28">
      <c r="A97" s="2" t="s">
        <v>61</v>
      </c>
      <c r="B97" s="2" t="s">
        <v>148</v>
      </c>
      <c r="C97" s="29" t="str">
        <f>VLOOKUP(B97,Validation!A:B,2,0)</f>
        <v>APAC</v>
      </c>
      <c r="D97" s="29" t="str">
        <f>VLOOKUP(B97,Validation!A:D,4,0)</f>
        <v>Hao Nguyen</v>
      </c>
      <c r="E97" s="29" t="str">
        <f>VLOOKUP(B97,Validation!A:E,5,0)</f>
        <v>Vinoth M</v>
      </c>
      <c r="F97" s="29" t="s">
        <v>57</v>
      </c>
      <c r="G97" s="29">
        <f t="shared" si="66"/>
        <v>2026</v>
      </c>
      <c r="H97" s="2" t="s">
        <v>56</v>
      </c>
      <c r="I97" s="2" t="s">
        <v>127</v>
      </c>
      <c r="J97" s="42">
        <f>VLOOKUP(I97,'XE rates'!A:D,4,0)*K97</f>
        <v>2576.0277692104773</v>
      </c>
      <c r="K97" s="64">
        <v>3847.8729999999996</v>
      </c>
      <c r="L97" s="2" t="s">
        <v>275</v>
      </c>
      <c r="M97" s="30" t="str">
        <f t="shared" si="67"/>
        <v>Feb</v>
      </c>
      <c r="N97" s="29">
        <f t="shared" ca="1" si="68"/>
        <v>-9</v>
      </c>
      <c r="O97" s="29" t="str">
        <f t="shared" ca="1" si="69"/>
        <v>0-30 days</v>
      </c>
      <c r="P97" s="2" t="s">
        <v>114</v>
      </c>
      <c r="Q97" s="1">
        <v>46085</v>
      </c>
      <c r="R97" s="1">
        <v>46115</v>
      </c>
      <c r="S97" s="2" t="s">
        <v>164</v>
      </c>
      <c r="T97" s="2" t="s">
        <v>282</v>
      </c>
      <c r="U97" s="29" t="s">
        <v>117</v>
      </c>
      <c r="V97" s="2" t="s">
        <v>125</v>
      </c>
      <c r="W97" s="36" t="s">
        <v>151</v>
      </c>
      <c r="X97" s="2"/>
      <c r="Y97" s="2"/>
      <c r="Z97" s="2"/>
      <c r="AA97" s="2"/>
      <c r="AB97" s="2" t="str">
        <f>VLOOKUP(T97,'[2]Query result'!$F:$G,2,0)</f>
        <v>Invoice Sent</v>
      </c>
    </row>
    <row r="98" spans="1:28">
      <c r="A98" s="2" t="s">
        <v>61</v>
      </c>
      <c r="B98" s="2" t="s">
        <v>211</v>
      </c>
      <c r="C98" s="29" t="str">
        <f>VLOOKUP(B98,Validation!A:B,2,0)</f>
        <v>APAC</v>
      </c>
      <c r="D98" s="29" t="str">
        <f>VLOOKUP(B98,Validation!A:D,4,0)</f>
        <v>NA</v>
      </c>
      <c r="E98" s="29" t="str">
        <f>VLOOKUP(B98,Validation!A:E,5,0)</f>
        <v>Vinoth M</v>
      </c>
      <c r="F98" s="29" t="s">
        <v>57</v>
      </c>
      <c r="G98" s="29">
        <f t="shared" si="66"/>
        <v>2026</v>
      </c>
      <c r="H98" s="2" t="s">
        <v>56</v>
      </c>
      <c r="I98" s="2" t="s">
        <v>127</v>
      </c>
      <c r="J98" s="42">
        <f>VLOOKUP(I98,'XE rates'!A:D,4,0)*K98</f>
        <v>2105.476800862958</v>
      </c>
      <c r="K98" s="64">
        <v>3145</v>
      </c>
      <c r="L98" s="2" t="s">
        <v>275</v>
      </c>
      <c r="M98" s="30" t="str">
        <f t="shared" si="67"/>
        <v>Feb</v>
      </c>
      <c r="N98" s="29">
        <f t="shared" ca="1" si="68"/>
        <v>15</v>
      </c>
      <c r="O98" s="29" t="str">
        <f t="shared" ca="1" si="69"/>
        <v>0-30 days</v>
      </c>
      <c r="P98" s="2" t="s">
        <v>114</v>
      </c>
      <c r="Q98" s="1">
        <v>46084</v>
      </c>
      <c r="R98" s="1">
        <v>46091</v>
      </c>
      <c r="S98" s="2" t="s">
        <v>115</v>
      </c>
      <c r="T98" s="2" t="s">
        <v>283</v>
      </c>
      <c r="U98" s="2" t="s">
        <v>117</v>
      </c>
      <c r="V98" s="2" t="s">
        <v>125</v>
      </c>
      <c r="W98" s="36" t="s">
        <v>58</v>
      </c>
      <c r="X98" s="2"/>
      <c r="Y98" s="2"/>
      <c r="Z98" s="2"/>
      <c r="AA98" s="2"/>
      <c r="AB98" s="2" t="str">
        <f>VLOOKUP(T98,'[2]Query result'!$F:$G,2,0)</f>
        <v>Outstanding</v>
      </c>
    </row>
    <row r="99" spans="1:28">
      <c r="A99" s="2" t="s">
        <v>61</v>
      </c>
      <c r="B99" s="2" t="s">
        <v>284</v>
      </c>
      <c r="C99" s="29" t="str">
        <f>VLOOKUP(B99,Validation!A:B,2,0)</f>
        <v>Shared Centre</v>
      </c>
      <c r="D99" s="29" t="str">
        <f>VLOOKUP(B99,Validation!A:D,4,0)</f>
        <v>Sanat Patakar</v>
      </c>
      <c r="E99" s="29" t="str">
        <f>VLOOKUP(B99,Validation!A:E,5,0)</f>
        <v>Gitesh Athavale</v>
      </c>
      <c r="F99" s="29" t="s">
        <v>57</v>
      </c>
      <c r="G99" s="29">
        <f t="shared" si="66"/>
        <v>2026</v>
      </c>
      <c r="H99" s="2" t="s">
        <v>56</v>
      </c>
      <c r="I99" s="2" t="s">
        <v>113</v>
      </c>
      <c r="J99" s="42">
        <f>VLOOKUP(I99,'XE rates'!A:D,4,0)*K99</f>
        <v>2971</v>
      </c>
      <c r="K99" s="64">
        <v>2971</v>
      </c>
      <c r="L99" s="2" t="s">
        <v>275</v>
      </c>
      <c r="M99" s="30" t="str">
        <f t="shared" si="67"/>
        <v>Feb</v>
      </c>
      <c r="N99" s="29">
        <f t="shared" ca="1" si="68"/>
        <v>15</v>
      </c>
      <c r="O99" s="29" t="str">
        <f t="shared" ca="1" si="69"/>
        <v>0-30 days</v>
      </c>
      <c r="P99" s="2" t="s">
        <v>114</v>
      </c>
      <c r="Q99" s="1">
        <v>46084</v>
      </c>
      <c r="R99" s="1">
        <v>46091</v>
      </c>
      <c r="S99" s="2" t="s">
        <v>115</v>
      </c>
      <c r="T99" s="2" t="s">
        <v>285</v>
      </c>
      <c r="U99" s="2"/>
      <c r="V99" s="2"/>
      <c r="W99" s="36"/>
      <c r="X99" s="2"/>
      <c r="Y99" s="2"/>
      <c r="Z99" s="2"/>
      <c r="AA99" s="2"/>
      <c r="AB99" s="2" t="str">
        <f>VLOOKUP(T99,'[2]Query result'!$F:$G,2,0)</f>
        <v>Outstanding</v>
      </c>
    </row>
    <row r="100" spans="1:28">
      <c r="A100" s="2" t="s">
        <v>61</v>
      </c>
      <c r="B100" s="2" t="s">
        <v>244</v>
      </c>
      <c r="C100" s="29" t="str">
        <f>VLOOKUP(B100,Validation!A:B,2,0)</f>
        <v>EU/UK</v>
      </c>
      <c r="D100" s="29" t="str">
        <f>VLOOKUP(B100,Validation!A:D,4,0)</f>
        <v>Margarita</v>
      </c>
      <c r="E100" s="29" t="str">
        <f>VLOOKUP(B100,Validation!A:E,5,0)</f>
        <v>NA</v>
      </c>
      <c r="F100" s="29" t="s">
        <v>57</v>
      </c>
      <c r="G100" s="29">
        <f t="shared" si="66"/>
        <v>2026</v>
      </c>
      <c r="H100" s="2" t="s">
        <v>56</v>
      </c>
      <c r="I100" s="2" t="s">
        <v>113</v>
      </c>
      <c r="J100" s="42">
        <f>VLOOKUP(I100,'XE rates'!A:D,4,0)*K100</f>
        <v>187.42</v>
      </c>
      <c r="K100" s="64">
        <v>187.42</v>
      </c>
      <c r="L100" s="2" t="s">
        <v>275</v>
      </c>
      <c r="M100" s="30" t="str">
        <f t="shared" si="67"/>
        <v>Feb</v>
      </c>
      <c r="N100" s="29">
        <f t="shared" ca="1" si="68"/>
        <v>12</v>
      </c>
      <c r="O100" s="29" t="str">
        <f t="shared" ca="1" si="69"/>
        <v>0-30 days</v>
      </c>
      <c r="P100" s="2" t="s">
        <v>114</v>
      </c>
      <c r="Q100" s="1">
        <v>46087</v>
      </c>
      <c r="R100" s="1">
        <v>46094</v>
      </c>
      <c r="S100" s="2" t="s">
        <v>164</v>
      </c>
      <c r="T100" s="2" t="s">
        <v>287</v>
      </c>
      <c r="U100" s="2" t="s">
        <v>117</v>
      </c>
      <c r="V100" s="2"/>
      <c r="W100" s="36"/>
      <c r="X100" s="2"/>
      <c r="Y100" s="2"/>
      <c r="Z100" s="2"/>
      <c r="AA100" s="2"/>
      <c r="AB100" s="2" t="str">
        <f>VLOOKUP(T100,'[2]Query result'!$F:$G,2,0)</f>
        <v>Outstanding</v>
      </c>
    </row>
    <row r="101" spans="1:28">
      <c r="A101" s="2" t="s">
        <v>61</v>
      </c>
      <c r="B101" s="2" t="s">
        <v>288</v>
      </c>
      <c r="C101" s="29" t="str">
        <f>VLOOKUP(B101,Validation!A:B,2,0)</f>
        <v>ME</v>
      </c>
      <c r="D101" s="29" t="str">
        <f>VLOOKUP(B101,Validation!A:D,4,0)</f>
        <v>Jerome Coelho</v>
      </c>
      <c r="E101" s="29" t="str">
        <f>VLOOKUP(B101,Validation!A:E,5,0)</f>
        <v>Rohit Bammi</v>
      </c>
      <c r="F101" s="29" t="s">
        <v>57</v>
      </c>
      <c r="G101" s="29">
        <f t="shared" si="66"/>
        <v>2026</v>
      </c>
      <c r="H101" s="2" t="s">
        <v>56</v>
      </c>
      <c r="I101" s="2" t="s">
        <v>113</v>
      </c>
      <c r="J101" s="42">
        <f>VLOOKUP(I101,'XE rates'!A:D,4,0)*K101</f>
        <v>3284.5</v>
      </c>
      <c r="K101" s="64">
        <v>3284.5</v>
      </c>
      <c r="L101" s="2" t="s">
        <v>275</v>
      </c>
      <c r="M101" s="30" t="str">
        <f t="shared" si="67"/>
        <v>Feb</v>
      </c>
      <c r="N101" s="29">
        <f t="shared" ca="1" si="68"/>
        <v>14</v>
      </c>
      <c r="O101" s="29" t="str">
        <f t="shared" ca="1" si="69"/>
        <v>0-30 days</v>
      </c>
      <c r="P101" s="2" t="s">
        <v>114</v>
      </c>
      <c r="Q101" s="1">
        <v>46085</v>
      </c>
      <c r="R101" s="1">
        <v>46092</v>
      </c>
      <c r="S101" s="2" t="s">
        <v>115</v>
      </c>
      <c r="T101" s="2" t="s">
        <v>289</v>
      </c>
      <c r="U101" s="2"/>
      <c r="V101" s="2"/>
      <c r="W101" s="36"/>
      <c r="X101" s="2"/>
      <c r="Y101" s="2"/>
      <c r="Z101" s="2"/>
      <c r="AA101" s="2"/>
      <c r="AB101" s="2" t="str">
        <f>VLOOKUP(T101,'[2]Query result'!$F:$G,2,0)</f>
        <v>Outstanding</v>
      </c>
    </row>
    <row r="102" spans="1:28">
      <c r="A102" s="2" t="s">
        <v>61</v>
      </c>
      <c r="B102" s="2" t="s">
        <v>290</v>
      </c>
      <c r="C102" s="29" t="str">
        <f>VLOOKUP(B102,Validation!A:B,2,0)</f>
        <v>ME</v>
      </c>
      <c r="D102" s="29" t="str">
        <f>VLOOKUP(B102,Validation!A:D,4,0)</f>
        <v>Jerome Coelho</v>
      </c>
      <c r="E102" s="29" t="str">
        <f>VLOOKUP(B102,Validation!A:E,5,0)</f>
        <v>Rohit Bammi</v>
      </c>
      <c r="F102" s="29" t="s">
        <v>57</v>
      </c>
      <c r="G102" s="29">
        <f t="shared" si="66"/>
        <v>2026</v>
      </c>
      <c r="H102" s="2" t="s">
        <v>56</v>
      </c>
      <c r="I102" s="2" t="s">
        <v>113</v>
      </c>
      <c r="J102" s="42">
        <f>VLOOKUP(I102,'XE rates'!A:D,4,0)*K102</f>
        <v>35903.5</v>
      </c>
      <c r="K102" s="64">
        <v>35903.5</v>
      </c>
      <c r="L102" s="2" t="s">
        <v>275</v>
      </c>
      <c r="M102" s="30" t="str">
        <f t="shared" si="67"/>
        <v>Feb</v>
      </c>
      <c r="N102" s="29">
        <f t="shared" ca="1" si="68"/>
        <v>14</v>
      </c>
      <c r="O102" s="29" t="str">
        <f t="shared" ca="1" si="69"/>
        <v>0-30 days</v>
      </c>
      <c r="P102" s="2" t="s">
        <v>114</v>
      </c>
      <c r="Q102" s="1">
        <v>46085</v>
      </c>
      <c r="R102" s="1">
        <v>46092</v>
      </c>
      <c r="S102" s="2" t="s">
        <v>115</v>
      </c>
      <c r="T102" s="2" t="s">
        <v>291</v>
      </c>
      <c r="U102" s="2"/>
      <c r="V102" s="2"/>
      <c r="W102" s="36"/>
      <c r="X102" s="2"/>
      <c r="Y102" s="2"/>
      <c r="Z102" s="2"/>
      <c r="AA102" s="2"/>
      <c r="AB102" s="2" t="str">
        <f>VLOOKUP(T102,'[2]Query result'!$F:$G,2,0)</f>
        <v>Outstanding</v>
      </c>
    </row>
    <row r="103" spans="1:28">
      <c r="A103" s="2" t="s">
        <v>61</v>
      </c>
      <c r="B103" s="2" t="s">
        <v>213</v>
      </c>
      <c r="C103" s="29" t="str">
        <f>VLOOKUP(B103,Validation!A:B,2,0)</f>
        <v>APAC</v>
      </c>
      <c r="D103" s="29" t="str">
        <f>VLOOKUP(B103,Validation!A:D,4,0)</f>
        <v>NA</v>
      </c>
      <c r="E103" s="29" t="str">
        <f>VLOOKUP(B103,Validation!A:E,5,0)</f>
        <v>Wendy zhai</v>
      </c>
      <c r="F103" s="29" t="s">
        <v>57</v>
      </c>
      <c r="G103" s="29">
        <f t="shared" si="66"/>
        <v>2026</v>
      </c>
      <c r="H103" s="2" t="s">
        <v>56</v>
      </c>
      <c r="I103" s="2" t="s">
        <v>127</v>
      </c>
      <c r="J103" s="42">
        <f>VLOOKUP(I103,'XE rates'!A:D,4,0)*K103</f>
        <v>3319.6975730388417</v>
      </c>
      <c r="K103" s="64">
        <v>4958.71</v>
      </c>
      <c r="L103" s="2" t="s">
        <v>275</v>
      </c>
      <c r="M103" s="30" t="str">
        <f t="shared" si="67"/>
        <v>Feb</v>
      </c>
      <c r="N103" s="29">
        <f t="shared" ca="1" si="68"/>
        <v>15</v>
      </c>
      <c r="O103" s="29" t="str">
        <f t="shared" ca="1" si="69"/>
        <v>0-30 days</v>
      </c>
      <c r="P103" s="2" t="s">
        <v>114</v>
      </c>
      <c r="Q103" s="1">
        <v>46084</v>
      </c>
      <c r="R103" s="1">
        <v>46091</v>
      </c>
      <c r="S103" s="2" t="s">
        <v>115</v>
      </c>
      <c r="T103" s="2" t="s">
        <v>292</v>
      </c>
      <c r="U103" s="2"/>
      <c r="V103" s="2"/>
      <c r="W103" s="36"/>
      <c r="X103" s="2"/>
      <c r="Y103" s="2"/>
      <c r="Z103" s="2"/>
      <c r="AA103" s="2"/>
      <c r="AB103" s="2" t="str">
        <f>VLOOKUP(T103,'[2]Query result'!$F:$G,2,0)</f>
        <v>Outstanding</v>
      </c>
    </row>
    <row r="104" spans="1:28">
      <c r="A104" s="2" t="s">
        <v>61</v>
      </c>
      <c r="B104" s="2" t="s">
        <v>90</v>
      </c>
      <c r="C104" s="29" t="str">
        <f>VLOOKUP(B104,Validation!A:B,2,0)</f>
        <v>USA</v>
      </c>
      <c r="D104" s="29" t="str">
        <f>VLOOKUP(B104,Validation!A:D,4,0)</f>
        <v>NA</v>
      </c>
      <c r="E104" s="29" t="str">
        <f>VLOOKUP(B104,Validation!A:E,5,0)</f>
        <v>Michael Bermingham</v>
      </c>
      <c r="F104" s="29" t="s">
        <v>57</v>
      </c>
      <c r="G104" s="29">
        <f t="shared" si="66"/>
        <v>2026</v>
      </c>
      <c r="H104" s="2" t="s">
        <v>56</v>
      </c>
      <c r="I104" s="2" t="s">
        <v>113</v>
      </c>
      <c r="J104" s="42">
        <f>VLOOKUP(I104,'XE rates'!A:D,4,0)*K104</f>
        <v>610</v>
      </c>
      <c r="K104" s="64">
        <v>610</v>
      </c>
      <c r="L104" s="2" t="s">
        <v>275</v>
      </c>
      <c r="M104" s="30" t="str">
        <f t="shared" si="67"/>
        <v>Feb</v>
      </c>
      <c r="N104" s="29">
        <f t="shared" ca="1" si="68"/>
        <v>12</v>
      </c>
      <c r="O104" s="29" t="str">
        <f t="shared" ca="1" si="69"/>
        <v>0-30 days</v>
      </c>
      <c r="P104" s="2" t="s">
        <v>114</v>
      </c>
      <c r="Q104" s="1">
        <v>46087</v>
      </c>
      <c r="R104" s="1">
        <v>46094</v>
      </c>
      <c r="S104" s="2" t="s">
        <v>164</v>
      </c>
      <c r="T104" s="2" t="s">
        <v>293</v>
      </c>
      <c r="U104" s="2"/>
      <c r="V104" s="2"/>
      <c r="W104" s="36"/>
      <c r="X104" s="2"/>
      <c r="Y104" s="2"/>
      <c r="Z104" s="2"/>
      <c r="AA104" s="2"/>
      <c r="AB104" s="2" t="str">
        <f>VLOOKUP(T104,'[2]Query result'!$F:$G,2,0)</f>
        <v>Partially Paid</v>
      </c>
    </row>
    <row r="105" spans="1:28">
      <c r="A105" s="2" t="s">
        <v>61</v>
      </c>
      <c r="B105" s="2" t="s">
        <v>183</v>
      </c>
      <c r="C105" s="29" t="str">
        <f>VLOOKUP(B105,Validation!A:B,2,0)</f>
        <v>APAC</v>
      </c>
      <c r="D105" s="29" t="str">
        <f>VLOOKUP(B105,Validation!A:D,4,0)</f>
        <v>NA</v>
      </c>
      <c r="E105" s="29" t="str">
        <f>VLOOKUP(B105,Validation!A:E,5,0)</f>
        <v>Denis Tan</v>
      </c>
      <c r="F105" s="29" t="s">
        <v>57</v>
      </c>
      <c r="G105" s="29">
        <f t="shared" si="66"/>
        <v>2026</v>
      </c>
      <c r="H105" s="2" t="s">
        <v>56</v>
      </c>
      <c r="I105" s="2" t="s">
        <v>113</v>
      </c>
      <c r="J105" s="42">
        <f>VLOOKUP(I105,'XE rates'!A:D,4,0)*K105</f>
        <v>6.88</v>
      </c>
      <c r="K105" s="64">
        <v>6.88</v>
      </c>
      <c r="L105" s="2" t="s">
        <v>275</v>
      </c>
      <c r="M105" s="30" t="str">
        <f t="shared" si="67"/>
        <v>Feb</v>
      </c>
      <c r="N105" s="29">
        <f t="shared" ca="1" si="68"/>
        <v>14</v>
      </c>
      <c r="O105" s="29" t="str">
        <f t="shared" ca="1" si="69"/>
        <v>0-30 days</v>
      </c>
      <c r="P105" s="2" t="s">
        <v>114</v>
      </c>
      <c r="Q105" s="1">
        <v>46085</v>
      </c>
      <c r="R105" s="1">
        <v>46092</v>
      </c>
      <c r="S105" s="2" t="s">
        <v>115</v>
      </c>
      <c r="T105" s="2" t="s">
        <v>294</v>
      </c>
      <c r="U105" s="2" t="s">
        <v>117</v>
      </c>
      <c r="V105" s="2" t="s">
        <v>125</v>
      </c>
      <c r="W105" s="36" t="s">
        <v>185</v>
      </c>
      <c r="X105" s="2"/>
      <c r="Y105" s="2"/>
      <c r="Z105" s="2"/>
      <c r="AA105" s="2"/>
      <c r="AB105" s="2" t="str">
        <f>VLOOKUP(T105,'[2]Query result'!$F:$G,2,0)</f>
        <v>Outstanding</v>
      </c>
    </row>
    <row r="106" spans="1:28">
      <c r="A106" s="2" t="s">
        <v>61</v>
      </c>
      <c r="B106" s="2" t="s">
        <v>295</v>
      </c>
      <c r="C106" s="29" t="str">
        <f>VLOOKUP(B106,Validation!A:B,2,0)</f>
        <v>EU/UK</v>
      </c>
      <c r="D106" s="29" t="str">
        <f>VLOOKUP(B106,Validation!A:D,4,0)</f>
        <v>Sachli Zare</v>
      </c>
      <c r="E106" s="29" t="str">
        <f>VLOOKUP(B106,Validation!A:E,5,0)</f>
        <v>Gagan Smara</v>
      </c>
      <c r="F106" s="29" t="s">
        <v>57</v>
      </c>
      <c r="G106" s="29">
        <f t="shared" si="66"/>
        <v>2026</v>
      </c>
      <c r="H106" s="2" t="s">
        <v>56</v>
      </c>
      <c r="I106" s="2" t="s">
        <v>203</v>
      </c>
      <c r="J106" s="42">
        <f>VLOOKUP(I106,'XE rates'!A:D,4,0)*K106</f>
        <v>-91021.735525476513</v>
      </c>
      <c r="K106" s="64">
        <v>-78581.66</v>
      </c>
      <c r="L106" s="2" t="s">
        <v>275</v>
      </c>
      <c r="M106" s="30" t="str">
        <f t="shared" si="67"/>
        <v>Feb</v>
      </c>
      <c r="N106" s="29">
        <f t="shared" ca="1" si="68"/>
        <v>6</v>
      </c>
      <c r="O106" s="29" t="str">
        <f t="shared" ca="1" si="69"/>
        <v>0-30 days</v>
      </c>
      <c r="P106" s="2" t="s">
        <v>114</v>
      </c>
      <c r="Q106" s="1">
        <v>46086</v>
      </c>
      <c r="R106" s="1">
        <v>46100</v>
      </c>
      <c r="S106" s="2" t="s">
        <v>164</v>
      </c>
      <c r="T106" s="2" t="s">
        <v>296</v>
      </c>
      <c r="U106" s="2"/>
      <c r="V106" s="2"/>
      <c r="W106" s="36"/>
      <c r="X106" s="2"/>
      <c r="Y106" s="2"/>
      <c r="Z106" s="2"/>
      <c r="AA106" s="2"/>
      <c r="AB106" s="2" t="str">
        <f>VLOOKUP(T106,'[2]Query result'!$F:$G,2,0)</f>
        <v>Outstanding</v>
      </c>
    </row>
    <row r="107" spans="1:28">
      <c r="A107" s="2" t="s">
        <v>61</v>
      </c>
      <c r="B107" s="2" t="s">
        <v>297</v>
      </c>
      <c r="C107" s="29" t="str">
        <f>VLOOKUP(B107,Validation!A:B,2,0)</f>
        <v>APAC</v>
      </c>
      <c r="D107" s="29" t="str">
        <f>VLOOKUP(B107,Validation!A:D,4,0)</f>
        <v>NA</v>
      </c>
      <c r="E107" s="29" t="str">
        <f>VLOOKUP(B107,Validation!A:E,5,0)</f>
        <v>Vinoth M</v>
      </c>
      <c r="F107" s="29" t="s">
        <v>57</v>
      </c>
      <c r="G107" s="29">
        <f t="shared" si="66"/>
        <v>2026</v>
      </c>
      <c r="H107" s="2" t="s">
        <v>56</v>
      </c>
      <c r="I107" s="2" t="s">
        <v>127</v>
      </c>
      <c r="J107" s="42">
        <f>VLOOKUP(I107,'XE rates'!A:D,4,0)*K107</f>
        <v>1896.9709981193114</v>
      </c>
      <c r="K107" s="64">
        <v>2833.55</v>
      </c>
      <c r="L107" s="2" t="s">
        <v>275</v>
      </c>
      <c r="M107" s="30" t="str">
        <f t="shared" si="67"/>
        <v>Feb</v>
      </c>
      <c r="N107" s="29">
        <f t="shared" ca="1" si="68"/>
        <v>15</v>
      </c>
      <c r="O107" s="29" t="str">
        <f t="shared" ca="1" si="69"/>
        <v>0-30 days</v>
      </c>
      <c r="P107" s="2" t="s">
        <v>114</v>
      </c>
      <c r="Q107" s="1">
        <v>46084</v>
      </c>
      <c r="R107" s="1">
        <v>46091</v>
      </c>
      <c r="S107" s="2" t="s">
        <v>115</v>
      </c>
      <c r="T107" s="2" t="s">
        <v>298</v>
      </c>
      <c r="U107" s="2"/>
      <c r="V107" s="2"/>
      <c r="W107" s="36"/>
      <c r="X107" s="2"/>
      <c r="Y107" s="2"/>
      <c r="Z107" s="2"/>
      <c r="AA107" s="2"/>
      <c r="AB107" s="2" t="str">
        <f>VLOOKUP(T107,'[2]Query result'!$F:$G,2,0)</f>
        <v>Outstanding</v>
      </c>
    </row>
    <row r="108" spans="1:28">
      <c r="A108" s="2" t="s">
        <v>61</v>
      </c>
      <c r="B108" s="2" t="s">
        <v>300</v>
      </c>
      <c r="C108" s="29" t="str">
        <f>VLOOKUP(B108,Validation!A:B,2,0)</f>
        <v>APAC</v>
      </c>
      <c r="D108" s="29" t="str">
        <f>VLOOKUP(B108,Validation!A:D,4,0)</f>
        <v>Pat Sarisa</v>
      </c>
      <c r="E108" s="29" t="str">
        <f>VLOOKUP(B108,Validation!A:E,5,0)</f>
        <v>NA</v>
      </c>
      <c r="F108" s="29" t="s">
        <v>57</v>
      </c>
      <c r="G108" s="29">
        <f t="shared" si="66"/>
        <v>2026</v>
      </c>
      <c r="H108" s="2" t="s">
        <v>56</v>
      </c>
      <c r="I108" s="2" t="s">
        <v>113</v>
      </c>
      <c r="J108" s="42">
        <f>VLOOKUP(I108,'XE rates'!A:D,4,0)*K108</f>
        <v>10000</v>
      </c>
      <c r="K108" s="64">
        <v>10000</v>
      </c>
      <c r="L108" s="2" t="s">
        <v>275</v>
      </c>
      <c r="M108" s="30" t="str">
        <f t="shared" si="67"/>
        <v>Feb</v>
      </c>
      <c r="N108" s="29">
        <f t="shared" ca="1" si="68"/>
        <v>13</v>
      </c>
      <c r="O108" s="29" t="str">
        <f t="shared" ca="1" si="69"/>
        <v>0-30 days</v>
      </c>
      <c r="P108" s="2" t="s">
        <v>114</v>
      </c>
      <c r="Q108" s="1">
        <v>46086</v>
      </c>
      <c r="R108" s="1">
        <v>46093</v>
      </c>
      <c r="S108" s="2" t="s">
        <v>115</v>
      </c>
      <c r="T108" s="2" t="s">
        <v>301</v>
      </c>
      <c r="U108" s="2"/>
      <c r="V108" s="2"/>
      <c r="W108" s="36"/>
      <c r="X108" s="2"/>
      <c r="Y108" s="2"/>
      <c r="Z108" s="2"/>
      <c r="AA108" s="2"/>
      <c r="AB108" s="2" t="str">
        <f>VLOOKUP(T108,'[2]Query result'!$F:$G,2,0)</f>
        <v>Outstanding</v>
      </c>
    </row>
    <row r="109" spans="1:28">
      <c r="A109" s="2" t="s">
        <v>61</v>
      </c>
      <c r="B109" s="2" t="s">
        <v>66</v>
      </c>
      <c r="C109" s="29" t="str">
        <f>VLOOKUP(B109,Validation!A:B,2,0)</f>
        <v>USA</v>
      </c>
      <c r="D109" s="29" t="str">
        <f>VLOOKUP(B109,Validation!A:D,4,0)</f>
        <v>Eduardo Avallone</v>
      </c>
      <c r="E109" s="29" t="str">
        <f>VLOOKUP(B109,Validation!A:E,5,0)</f>
        <v>Greg McAllister</v>
      </c>
      <c r="F109" s="29" t="s">
        <v>57</v>
      </c>
      <c r="G109" s="29">
        <f t="shared" si="66"/>
        <v>2026</v>
      </c>
      <c r="H109" s="2" t="s">
        <v>56</v>
      </c>
      <c r="I109" s="2" t="s">
        <v>113</v>
      </c>
      <c r="J109" s="42">
        <f>VLOOKUP(I109,'XE rates'!A:D,4,0)*K109</f>
        <v>40</v>
      </c>
      <c r="K109" s="64">
        <v>40</v>
      </c>
      <c r="L109" s="2" t="s">
        <v>269</v>
      </c>
      <c r="M109" s="30" t="str">
        <f t="shared" ref="M109:M143" si="70">TEXT(L109,"mmm")</f>
        <v>Feb</v>
      </c>
      <c r="N109" s="29">
        <f t="shared" ref="N109:N143" ca="1" si="71">$Y$1-R109</f>
        <v>16</v>
      </c>
      <c r="O109" s="29" t="str">
        <f t="shared" ref="O109:O143" ca="1" si="72">IF(N109&lt;=30, "0-30 days", IF(N109&lt;=60, "31-60 days", IF(N109&lt;=90, "61-90 days", "Over 90+ days")))</f>
        <v>0-30 days</v>
      </c>
      <c r="P109" s="2" t="s">
        <v>114</v>
      </c>
      <c r="Q109" s="1">
        <v>46083</v>
      </c>
      <c r="R109" s="1">
        <v>46090</v>
      </c>
      <c r="S109" s="2" t="s">
        <v>115</v>
      </c>
      <c r="T109" s="2" t="s">
        <v>302</v>
      </c>
      <c r="U109" s="2" t="s">
        <v>117</v>
      </c>
      <c r="V109" s="2" t="s">
        <v>125</v>
      </c>
      <c r="W109" s="36" t="s">
        <v>58</v>
      </c>
      <c r="X109" s="2"/>
      <c r="Y109" s="2"/>
      <c r="Z109" s="2"/>
      <c r="AA109" s="2"/>
      <c r="AB109" s="2" t="str">
        <f>VLOOKUP(T109,'[2]Query result'!$F:$G,2,0)</f>
        <v>Outstanding</v>
      </c>
    </row>
    <row r="110" spans="1:28">
      <c r="A110" s="2" t="s">
        <v>61</v>
      </c>
      <c r="B110" s="2" t="s">
        <v>303</v>
      </c>
      <c r="C110" s="29" t="str">
        <f>VLOOKUP(B110,Validation!A:B,2,0)</f>
        <v>APAC</v>
      </c>
      <c r="D110" s="29" t="str">
        <f>VLOOKUP(B110,Validation!A:D,4,0)</f>
        <v>Shi Yin</v>
      </c>
      <c r="E110" s="29" t="str">
        <f>VLOOKUP(B110,Validation!A:E,5,0)</f>
        <v>Gitesh Athavale</v>
      </c>
      <c r="F110" s="29" t="s">
        <v>57</v>
      </c>
      <c r="G110" s="29">
        <f t="shared" ref="G110:G143" si="73">YEAR(L110)</f>
        <v>2026</v>
      </c>
      <c r="H110" s="2" t="s">
        <v>56</v>
      </c>
      <c r="I110" s="2" t="s">
        <v>226</v>
      </c>
      <c r="J110" s="42">
        <f>VLOOKUP(I110,'XE rates'!A:D,4,0)*K110</f>
        <v>20255.210464348151</v>
      </c>
      <c r="K110" s="64">
        <v>26077.085070000001</v>
      </c>
      <c r="L110" s="2" t="s">
        <v>275</v>
      </c>
      <c r="M110" s="30" t="str">
        <f t="shared" si="70"/>
        <v>Feb</v>
      </c>
      <c r="N110" s="29">
        <f t="shared" ca="1" si="71"/>
        <v>12</v>
      </c>
      <c r="O110" s="29" t="str">
        <f t="shared" ca="1" si="72"/>
        <v>0-30 days</v>
      </c>
      <c r="P110" s="2" t="s">
        <v>114</v>
      </c>
      <c r="Q110" s="1">
        <v>46087</v>
      </c>
      <c r="R110" s="1">
        <v>46094</v>
      </c>
      <c r="S110" s="2" t="s">
        <v>164</v>
      </c>
      <c r="T110" s="2" t="s">
        <v>304</v>
      </c>
      <c r="U110" s="2"/>
      <c r="V110" s="2"/>
      <c r="W110" s="36"/>
      <c r="X110" s="2"/>
      <c r="Y110" s="2"/>
      <c r="Z110" s="2"/>
      <c r="AA110" s="2"/>
      <c r="AB110" s="2" t="str">
        <f>VLOOKUP(T110,'[2]Query result'!$F:$G,2,0)</f>
        <v>Outstanding</v>
      </c>
    </row>
    <row r="111" spans="1:28">
      <c r="A111" s="2" t="s">
        <v>61</v>
      </c>
      <c r="B111" s="2" t="s">
        <v>169</v>
      </c>
      <c r="C111" s="29" t="str">
        <f>VLOOKUP(B111,Validation!A:B,2,0)</f>
        <v>ME</v>
      </c>
      <c r="D111" s="29" t="str">
        <f>VLOOKUP(B111,Validation!A:D,4,0)</f>
        <v>Jerome Coelho</v>
      </c>
      <c r="E111" s="29" t="str">
        <f>VLOOKUP(B111,Validation!A:E,5,0)</f>
        <v>Ashraf Omran</v>
      </c>
      <c r="F111" s="29" t="s">
        <v>57</v>
      </c>
      <c r="G111" s="29">
        <f t="shared" si="73"/>
        <v>2026</v>
      </c>
      <c r="H111" s="2" t="s">
        <v>56</v>
      </c>
      <c r="I111" s="2" t="s">
        <v>113</v>
      </c>
      <c r="J111" s="42">
        <f>VLOOKUP(I111,'XE rates'!A:D,4,0)*K111</f>
        <v>2500</v>
      </c>
      <c r="K111" s="64">
        <v>2500</v>
      </c>
      <c r="L111" s="2" t="s">
        <v>269</v>
      </c>
      <c r="M111" s="30" t="str">
        <f t="shared" si="70"/>
        <v>Feb</v>
      </c>
      <c r="N111" s="29">
        <f t="shared" ca="1" si="71"/>
        <v>16</v>
      </c>
      <c r="O111" s="29" t="str">
        <f t="shared" ca="1" si="72"/>
        <v>0-30 days</v>
      </c>
      <c r="P111" s="2" t="s">
        <v>114</v>
      </c>
      <c r="Q111" s="1">
        <v>46083</v>
      </c>
      <c r="R111" s="1">
        <v>46090</v>
      </c>
      <c r="S111" s="2" t="s">
        <v>135</v>
      </c>
      <c r="T111" s="2" t="s">
        <v>305</v>
      </c>
      <c r="U111" s="2" t="s">
        <v>117</v>
      </c>
      <c r="V111" s="2" t="s">
        <v>125</v>
      </c>
      <c r="W111" s="36" t="s">
        <v>58</v>
      </c>
      <c r="X111" s="2"/>
      <c r="Y111" s="2"/>
      <c r="Z111" s="2"/>
      <c r="AA111" s="2"/>
      <c r="AB111" s="2" t="str">
        <f>VLOOKUP(T111,'[2]Query result'!$F:$G,2,0)</f>
        <v>Force Settlement</v>
      </c>
    </row>
    <row r="112" spans="1:28">
      <c r="A112" s="2" t="s">
        <v>61</v>
      </c>
      <c r="B112" s="2" t="s">
        <v>152</v>
      </c>
      <c r="C112" s="29" t="str">
        <f>VLOOKUP(B112,Validation!A:B,2,0)</f>
        <v>EU/UK</v>
      </c>
      <c r="D112" s="29" t="str">
        <f>VLOOKUP(B112,Validation!A:D,4,0)</f>
        <v>Sachli Zare</v>
      </c>
      <c r="E112" s="29" t="str">
        <f>VLOOKUP(B112,Validation!A:E,5,0)</f>
        <v>NA</v>
      </c>
      <c r="F112" s="29" t="s">
        <v>57</v>
      </c>
      <c r="G112" s="29">
        <f t="shared" si="73"/>
        <v>2026</v>
      </c>
      <c r="H112" s="2" t="s">
        <v>56</v>
      </c>
      <c r="I112" s="2" t="s">
        <v>113</v>
      </c>
      <c r="J112" s="42">
        <f>VLOOKUP(I112,'XE rates'!A:D,4,0)*K112</f>
        <v>105.1</v>
      </c>
      <c r="K112" s="64">
        <v>105.1</v>
      </c>
      <c r="L112" s="2" t="s">
        <v>275</v>
      </c>
      <c r="M112" s="30" t="str">
        <f t="shared" si="70"/>
        <v>Feb</v>
      </c>
      <c r="N112" s="29">
        <f t="shared" ca="1" si="71"/>
        <v>14</v>
      </c>
      <c r="O112" s="29" t="str">
        <f t="shared" ca="1" si="72"/>
        <v>0-30 days</v>
      </c>
      <c r="P112" s="2" t="s">
        <v>114</v>
      </c>
      <c r="Q112" s="1">
        <v>46085</v>
      </c>
      <c r="R112" s="1">
        <v>46092</v>
      </c>
      <c r="S112" s="2" t="s">
        <v>115</v>
      </c>
      <c r="T112" s="2" t="s">
        <v>306</v>
      </c>
      <c r="U112" s="2" t="s">
        <v>117</v>
      </c>
      <c r="V112" s="2" t="s">
        <v>125</v>
      </c>
      <c r="W112" s="36" t="s">
        <v>154</v>
      </c>
      <c r="X112" s="2"/>
      <c r="Y112" s="2"/>
      <c r="Z112" s="2"/>
      <c r="AA112" s="2"/>
      <c r="AB112" s="2" t="str">
        <f>VLOOKUP(T112,'[2]Query result'!$F:$G,2,0)</f>
        <v>Outstanding</v>
      </c>
    </row>
    <row r="113" spans="1:28">
      <c r="A113" s="2" t="s">
        <v>61</v>
      </c>
      <c r="B113" s="2" t="s">
        <v>31</v>
      </c>
      <c r="C113" s="29" t="str">
        <f>VLOOKUP(B113,Validation!A:B,2,0)</f>
        <v>USA</v>
      </c>
      <c r="D113" s="29" t="str">
        <f>VLOOKUP(B113,Validation!A:D,4,0)</f>
        <v>Eduardo Avallone</v>
      </c>
      <c r="E113" s="29" t="str">
        <f>VLOOKUP(B113,Validation!A:E,5,0)</f>
        <v>Christina Hutchinson</v>
      </c>
      <c r="F113" s="29" t="s">
        <v>57</v>
      </c>
      <c r="G113" s="29">
        <f t="shared" si="73"/>
        <v>2026</v>
      </c>
      <c r="H113" s="2" t="s">
        <v>56</v>
      </c>
      <c r="I113" s="2" t="s">
        <v>113</v>
      </c>
      <c r="J113" s="42">
        <f>VLOOKUP(I113,'XE rates'!A:D,4,0)*K113</f>
        <v>-152.90999999999985</v>
      </c>
      <c r="K113" s="64">
        <v>-152.90999999999985</v>
      </c>
      <c r="L113" s="2" t="s">
        <v>276</v>
      </c>
      <c r="M113" s="30" t="str">
        <f t="shared" si="70"/>
        <v>Jan</v>
      </c>
      <c r="N113" s="29">
        <f t="shared" ca="1" si="71"/>
        <v>43</v>
      </c>
      <c r="O113" s="29" t="str">
        <f t="shared" ca="1" si="72"/>
        <v>31-60 days</v>
      </c>
      <c r="P113" s="2" t="s">
        <v>114</v>
      </c>
      <c r="Q113" s="1">
        <v>46056</v>
      </c>
      <c r="R113" s="1">
        <v>46063</v>
      </c>
      <c r="S113" s="2" t="s">
        <v>115</v>
      </c>
      <c r="T113" s="2" t="s">
        <v>307</v>
      </c>
      <c r="U113" s="2" t="s">
        <v>117</v>
      </c>
      <c r="V113" s="2" t="s">
        <v>125</v>
      </c>
      <c r="W113" s="29" t="s">
        <v>65</v>
      </c>
      <c r="X113" s="2"/>
      <c r="Y113" s="2"/>
      <c r="Z113" s="2"/>
      <c r="AA113" s="2"/>
      <c r="AB113" s="2" t="str">
        <f>VLOOKUP(T113,'[2]Query result'!$F:$G,2,0)</f>
        <v>Outstanding</v>
      </c>
    </row>
    <row r="114" spans="1:28">
      <c r="A114" s="2" t="s">
        <v>61</v>
      </c>
      <c r="B114" s="2" t="s">
        <v>31</v>
      </c>
      <c r="C114" s="29" t="str">
        <f>VLOOKUP(B114,Validation!A:B,2,0)</f>
        <v>USA</v>
      </c>
      <c r="D114" s="29" t="str">
        <f>VLOOKUP(B114,Validation!A:D,4,0)</f>
        <v>Eduardo Avallone</v>
      </c>
      <c r="E114" s="29" t="str">
        <f>VLOOKUP(B114,Validation!A:E,5,0)</f>
        <v>Christina Hutchinson</v>
      </c>
      <c r="F114" s="29" t="s">
        <v>57</v>
      </c>
      <c r="G114" s="29">
        <f t="shared" si="73"/>
        <v>2026</v>
      </c>
      <c r="H114" s="2" t="s">
        <v>56</v>
      </c>
      <c r="I114" s="2" t="s">
        <v>113</v>
      </c>
      <c r="J114" s="42">
        <f>VLOOKUP(I114,'XE rates'!A:D,4,0)*K114</f>
        <v>608.9699999999998</v>
      </c>
      <c r="K114" s="64">
        <v>608.9699999999998</v>
      </c>
      <c r="L114" s="2" t="s">
        <v>275</v>
      </c>
      <c r="M114" s="30" t="str">
        <f t="shared" si="70"/>
        <v>Feb</v>
      </c>
      <c r="N114" s="29">
        <f t="shared" ca="1" si="71"/>
        <v>15</v>
      </c>
      <c r="O114" s="29" t="str">
        <f t="shared" ca="1" si="72"/>
        <v>0-30 days</v>
      </c>
      <c r="P114" s="2" t="s">
        <v>114</v>
      </c>
      <c r="Q114" s="1">
        <v>46084</v>
      </c>
      <c r="R114" s="1">
        <v>46091</v>
      </c>
      <c r="S114" s="2" t="s">
        <v>115</v>
      </c>
      <c r="T114" s="2" t="s">
        <v>308</v>
      </c>
      <c r="U114" s="2" t="s">
        <v>117</v>
      </c>
      <c r="V114" s="2" t="s">
        <v>125</v>
      </c>
      <c r="W114" s="29" t="s">
        <v>65</v>
      </c>
      <c r="X114" s="2"/>
      <c r="Y114" s="2"/>
      <c r="Z114" s="2"/>
      <c r="AA114" s="2"/>
      <c r="AB114" s="2" t="str">
        <f>VLOOKUP(T114,'[2]Query result'!$F:$G,2,0)</f>
        <v>Outstanding</v>
      </c>
    </row>
    <row r="115" spans="1:28">
      <c r="A115" s="2" t="s">
        <v>61</v>
      </c>
      <c r="B115" s="2" t="s">
        <v>309</v>
      </c>
      <c r="C115" s="29" t="str">
        <f>VLOOKUP(B115,Validation!A:B,2,0)</f>
        <v>ME</v>
      </c>
      <c r="D115" s="29" t="str">
        <f>VLOOKUP(B115,Validation!A:D,4,0)</f>
        <v>Jerome Coelho</v>
      </c>
      <c r="E115" s="29" t="str">
        <f>VLOOKUP(B115,Validation!A:E,5,0)</f>
        <v>Ashraf Omran</v>
      </c>
      <c r="F115" s="29" t="s">
        <v>57</v>
      </c>
      <c r="G115" s="29">
        <f t="shared" si="73"/>
        <v>2026</v>
      </c>
      <c r="H115" s="2" t="s">
        <v>56</v>
      </c>
      <c r="I115" s="2" t="s">
        <v>113</v>
      </c>
      <c r="J115" s="42">
        <f>VLOOKUP(I115,'XE rates'!A:D,4,0)*K115</f>
        <v>25</v>
      </c>
      <c r="K115" s="64">
        <v>25</v>
      </c>
      <c r="L115" s="2" t="s">
        <v>269</v>
      </c>
      <c r="M115" s="30" t="str">
        <f t="shared" si="70"/>
        <v>Feb</v>
      </c>
      <c r="N115" s="29">
        <f t="shared" ca="1" si="71"/>
        <v>14</v>
      </c>
      <c r="O115" s="29" t="str">
        <f t="shared" ca="1" si="72"/>
        <v>0-30 days</v>
      </c>
      <c r="P115" s="2" t="s">
        <v>114</v>
      </c>
      <c r="Q115" s="1">
        <v>46085</v>
      </c>
      <c r="R115" s="1">
        <v>46092</v>
      </c>
      <c r="S115" s="2" t="s">
        <v>115</v>
      </c>
      <c r="T115" s="2" t="s">
        <v>310</v>
      </c>
      <c r="U115" s="2"/>
      <c r="V115" s="2"/>
      <c r="W115" s="36"/>
      <c r="X115" s="2"/>
      <c r="Y115" s="2"/>
      <c r="Z115" s="2"/>
      <c r="AA115" s="2"/>
      <c r="AB115" s="2" t="str">
        <f>VLOOKUP(T115,'[2]Query result'!$F:$G,2,0)</f>
        <v>Outstanding</v>
      </c>
    </row>
    <row r="116" spans="1:28">
      <c r="A116" s="2" t="s">
        <v>61</v>
      </c>
      <c r="B116" s="2" t="s">
        <v>79</v>
      </c>
      <c r="C116" s="29" t="str">
        <f>VLOOKUP(B116,Validation!A:B,2,0)</f>
        <v>USA</v>
      </c>
      <c r="D116" s="29" t="str">
        <f>VLOOKUP(B116,Validation!A:D,4,0)</f>
        <v>Eduardo Avallone</v>
      </c>
      <c r="E116" s="29" t="str">
        <f>VLOOKUP(B116,Validation!A:E,5,0)</f>
        <v>Michael Bermingham</v>
      </c>
      <c r="F116" s="29" t="s">
        <v>57</v>
      </c>
      <c r="G116" s="29">
        <f t="shared" si="73"/>
        <v>2026</v>
      </c>
      <c r="H116" s="2" t="s">
        <v>56</v>
      </c>
      <c r="I116" s="2" t="s">
        <v>113</v>
      </c>
      <c r="J116" s="42">
        <f>VLOOKUP(I116,'XE rates'!A:D,4,0)*K116</f>
        <v>-12919.090000000002</v>
      </c>
      <c r="K116" s="64">
        <v>-12919.090000000002</v>
      </c>
      <c r="L116" s="2" t="s">
        <v>269</v>
      </c>
      <c r="M116" s="30" t="str">
        <f t="shared" si="70"/>
        <v>Feb</v>
      </c>
      <c r="N116" s="29">
        <f t="shared" ca="1" si="71"/>
        <v>16</v>
      </c>
      <c r="O116" s="29" t="str">
        <f t="shared" ca="1" si="72"/>
        <v>0-30 days</v>
      </c>
      <c r="P116" s="2" t="s">
        <v>114</v>
      </c>
      <c r="Q116" s="1">
        <v>46083</v>
      </c>
      <c r="R116" s="1">
        <v>46090</v>
      </c>
      <c r="S116" s="2" t="s">
        <v>115</v>
      </c>
      <c r="T116" s="2" t="s">
        <v>311</v>
      </c>
      <c r="U116" s="2"/>
      <c r="V116" s="2"/>
      <c r="W116" s="36"/>
      <c r="X116" s="2"/>
      <c r="Y116" s="2"/>
      <c r="Z116" s="2"/>
      <c r="AA116" s="2"/>
      <c r="AB116" s="2" t="str">
        <f>VLOOKUP(T116,'[2]Query result'!$F:$G,2,0)</f>
        <v>Outstanding</v>
      </c>
    </row>
    <row r="117" spans="1:28">
      <c r="A117" s="2" t="s">
        <v>61</v>
      </c>
      <c r="B117" s="2" t="s">
        <v>156</v>
      </c>
      <c r="C117" s="29" t="str">
        <f>VLOOKUP(B117,Validation!A:B,2,0)</f>
        <v>APAC</v>
      </c>
      <c r="D117" s="29" t="str">
        <f>VLOOKUP(B117,Validation!A:D,4,0)</f>
        <v>Shi Yin</v>
      </c>
      <c r="E117" s="29" t="str">
        <f>VLOOKUP(B117,Validation!A:E,5,0)</f>
        <v>Vinoth M</v>
      </c>
      <c r="F117" s="29" t="s">
        <v>57</v>
      </c>
      <c r="G117" s="29">
        <f t="shared" si="73"/>
        <v>2026</v>
      </c>
      <c r="H117" s="2" t="s">
        <v>56</v>
      </c>
      <c r="I117" s="2" t="s">
        <v>113</v>
      </c>
      <c r="J117" s="42">
        <f>VLOOKUP(I117,'XE rates'!A:D,4,0)*K117</f>
        <v>2963.5</v>
      </c>
      <c r="K117" s="64">
        <v>2963.5</v>
      </c>
      <c r="L117" s="2" t="s">
        <v>275</v>
      </c>
      <c r="M117" s="30" t="str">
        <f t="shared" si="70"/>
        <v>Feb</v>
      </c>
      <c r="N117" s="29">
        <f t="shared" ca="1" si="71"/>
        <v>15</v>
      </c>
      <c r="O117" s="29" t="str">
        <f t="shared" ca="1" si="72"/>
        <v>0-30 days</v>
      </c>
      <c r="P117" s="2" t="s">
        <v>114</v>
      </c>
      <c r="Q117" s="1">
        <v>46084</v>
      </c>
      <c r="R117" s="1">
        <v>46091</v>
      </c>
      <c r="S117" s="2" t="s">
        <v>115</v>
      </c>
      <c r="T117" s="2" t="s">
        <v>316</v>
      </c>
      <c r="U117" s="2" t="s">
        <v>117</v>
      </c>
      <c r="V117" s="2" t="s">
        <v>125</v>
      </c>
      <c r="W117" s="36" t="s">
        <v>58</v>
      </c>
      <c r="X117" s="2"/>
      <c r="Y117" s="2"/>
      <c r="Z117" s="2"/>
      <c r="AA117" s="2"/>
      <c r="AB117" s="2" t="str">
        <f>VLOOKUP(T117,'[2]Query result'!$F:$G,2,0)</f>
        <v>Outstanding</v>
      </c>
    </row>
    <row r="118" spans="1:28">
      <c r="A118" s="2" t="s">
        <v>61</v>
      </c>
      <c r="B118" s="2" t="s">
        <v>80</v>
      </c>
      <c r="C118" s="29" t="str">
        <f>VLOOKUP(B118,Validation!A:B,2,0)</f>
        <v>USA</v>
      </c>
      <c r="D118" s="29" t="str">
        <f>VLOOKUP(B118,Validation!A:D,4,0)</f>
        <v>NA</v>
      </c>
      <c r="E118" s="29" t="str">
        <f>VLOOKUP(B118,Validation!A:E,5,0)</f>
        <v>Michael Bermingham</v>
      </c>
      <c r="F118" s="29" t="s">
        <v>57</v>
      </c>
      <c r="G118" s="29">
        <f t="shared" si="73"/>
        <v>2026</v>
      </c>
      <c r="H118" s="2" t="s">
        <v>56</v>
      </c>
      <c r="I118" s="2" t="s">
        <v>219</v>
      </c>
      <c r="J118" s="42">
        <f>VLOOKUP(I118,'XE rates'!A:D,4,0)*K118</f>
        <v>1001.6086596373117</v>
      </c>
      <c r="K118" s="64">
        <v>1393.95208</v>
      </c>
      <c r="L118" s="2" t="s">
        <v>269</v>
      </c>
      <c r="M118" s="30" t="str">
        <f t="shared" si="70"/>
        <v>Feb</v>
      </c>
      <c r="N118" s="29">
        <f t="shared" ca="1" si="71"/>
        <v>14</v>
      </c>
      <c r="O118" s="29" t="str">
        <f t="shared" ca="1" si="72"/>
        <v>0-30 days</v>
      </c>
      <c r="P118" s="2" t="s">
        <v>114</v>
      </c>
      <c r="Q118" s="1">
        <v>46085</v>
      </c>
      <c r="R118" s="1">
        <v>46092</v>
      </c>
      <c r="S118" s="2" t="s">
        <v>115</v>
      </c>
      <c r="T118" s="2" t="s">
        <v>317</v>
      </c>
      <c r="U118" s="2"/>
      <c r="V118" s="2"/>
      <c r="W118" s="36"/>
      <c r="X118" s="2"/>
      <c r="Y118" s="2"/>
      <c r="Z118" s="2"/>
      <c r="AA118" s="2"/>
      <c r="AB118" s="2" t="str">
        <f>VLOOKUP(T118,'[2]Query result'!$F:$G,2,0)</f>
        <v>Outstanding</v>
      </c>
    </row>
    <row r="119" spans="1:28">
      <c r="A119" s="2" t="s">
        <v>61</v>
      </c>
      <c r="B119" s="2" t="s">
        <v>81</v>
      </c>
      <c r="C119" s="29" t="str">
        <f>VLOOKUP(B119,Validation!A:B,2,0)</f>
        <v>USA</v>
      </c>
      <c r="D119" s="29" t="str">
        <f>VLOOKUP(B119,Validation!A:D,4,0)</f>
        <v>NA</v>
      </c>
      <c r="E119" s="29" t="str">
        <f>VLOOKUP(B119,Validation!A:E,5,0)</f>
        <v>Michael Bermingham</v>
      </c>
      <c r="F119" s="29" t="s">
        <v>57</v>
      </c>
      <c r="G119" s="29">
        <f t="shared" si="73"/>
        <v>2026</v>
      </c>
      <c r="H119" s="2" t="s">
        <v>56</v>
      </c>
      <c r="I119" s="2" t="s">
        <v>113</v>
      </c>
      <c r="J119" s="42">
        <f>VLOOKUP(I119,'XE rates'!A:D,4,0)*K119</f>
        <v>43.5</v>
      </c>
      <c r="K119" s="64">
        <v>43.5</v>
      </c>
      <c r="L119" s="2" t="s">
        <v>275</v>
      </c>
      <c r="M119" s="30" t="str">
        <f t="shared" si="70"/>
        <v>Feb</v>
      </c>
      <c r="N119" s="29">
        <f t="shared" ca="1" si="71"/>
        <v>14</v>
      </c>
      <c r="O119" s="29" t="str">
        <f t="shared" ca="1" si="72"/>
        <v>0-30 days</v>
      </c>
      <c r="P119" s="2" t="s">
        <v>114</v>
      </c>
      <c r="Q119" s="1">
        <v>46085</v>
      </c>
      <c r="R119" s="1">
        <v>46092</v>
      </c>
      <c r="S119" s="2" t="s">
        <v>115</v>
      </c>
      <c r="T119" s="2" t="s">
        <v>318</v>
      </c>
      <c r="U119" s="2" t="s">
        <v>117</v>
      </c>
      <c r="V119" s="2" t="s">
        <v>125</v>
      </c>
      <c r="W119" s="36" t="s">
        <v>58</v>
      </c>
      <c r="X119" s="2"/>
      <c r="Y119" s="2"/>
      <c r="Z119" s="2"/>
      <c r="AA119" s="2"/>
      <c r="AB119" s="2" t="str">
        <f>VLOOKUP(T119,'[2]Query result'!$F:$G,2,0)</f>
        <v>Outstanding</v>
      </c>
    </row>
    <row r="120" spans="1:28">
      <c r="A120" s="2" t="s">
        <v>61</v>
      </c>
      <c r="B120" s="2" t="s">
        <v>82</v>
      </c>
      <c r="C120" s="29" t="str">
        <f>VLOOKUP(B120,Validation!A:B,2,0)</f>
        <v>USA</v>
      </c>
      <c r="D120" s="29" t="str">
        <f>VLOOKUP(B120,Validation!A:D,4,0)</f>
        <v>Tanu Arora</v>
      </c>
      <c r="E120" s="29" t="str">
        <f>VLOOKUP(B120,Validation!A:E,5,0)</f>
        <v>Rohit Bammi</v>
      </c>
      <c r="F120" s="29" t="s">
        <v>57</v>
      </c>
      <c r="G120" s="29">
        <f t="shared" si="73"/>
        <v>2026</v>
      </c>
      <c r="H120" s="2" t="s">
        <v>56</v>
      </c>
      <c r="I120" s="2" t="s">
        <v>113</v>
      </c>
      <c r="J120" s="42">
        <f>VLOOKUP(I120,'XE rates'!A:D,4,0)*K120</f>
        <v>145</v>
      </c>
      <c r="K120" s="64">
        <v>145</v>
      </c>
      <c r="L120" s="2" t="s">
        <v>269</v>
      </c>
      <c r="M120" s="30" t="str">
        <f t="shared" si="70"/>
        <v>Feb</v>
      </c>
      <c r="N120" s="29">
        <f t="shared" ca="1" si="71"/>
        <v>15</v>
      </c>
      <c r="O120" s="29" t="str">
        <f t="shared" ca="1" si="72"/>
        <v>0-30 days</v>
      </c>
      <c r="P120" s="2" t="s">
        <v>114</v>
      </c>
      <c r="Q120" s="1">
        <v>46084</v>
      </c>
      <c r="R120" s="1">
        <v>46091</v>
      </c>
      <c r="S120" s="2" t="s">
        <v>115</v>
      </c>
      <c r="T120" s="2" t="s">
        <v>319</v>
      </c>
      <c r="U120" s="2" t="s">
        <v>117</v>
      </c>
      <c r="V120" s="2" t="s">
        <v>125</v>
      </c>
      <c r="W120" s="36" t="s">
        <v>58</v>
      </c>
      <c r="X120" s="2"/>
      <c r="Y120" s="2"/>
      <c r="Z120" s="2"/>
      <c r="AA120" s="2"/>
      <c r="AB120" s="2" t="str">
        <f>VLOOKUP(T120,'[2]Query result'!$F:$G,2,0)</f>
        <v>Outstanding</v>
      </c>
    </row>
    <row r="121" spans="1:28">
      <c r="A121" s="2" t="s">
        <v>61</v>
      </c>
      <c r="B121" s="2" t="s">
        <v>83</v>
      </c>
      <c r="C121" s="29" t="str">
        <f>VLOOKUP(B121,Validation!A:B,2,0)</f>
        <v>USA</v>
      </c>
      <c r="D121" s="29" t="str">
        <f>VLOOKUP(B121,Validation!A:D,4,0)</f>
        <v>Tanu Arora</v>
      </c>
      <c r="E121" s="29" t="str">
        <f>VLOOKUP(B121,Validation!A:E,5,0)</f>
        <v>Michael Bermingham</v>
      </c>
      <c r="F121" s="29" t="s">
        <v>57</v>
      </c>
      <c r="G121" s="29">
        <f t="shared" si="73"/>
        <v>2026</v>
      </c>
      <c r="H121" s="2" t="s">
        <v>56</v>
      </c>
      <c r="I121" s="2" t="s">
        <v>113</v>
      </c>
      <c r="J121" s="42">
        <f>VLOOKUP(I121,'XE rates'!A:D,4,0)*K121</f>
        <v>1000</v>
      </c>
      <c r="K121" s="64">
        <v>1000</v>
      </c>
      <c r="L121" s="2" t="s">
        <v>269</v>
      </c>
      <c r="M121" s="30" t="str">
        <f t="shared" si="70"/>
        <v>Feb</v>
      </c>
      <c r="N121" s="29">
        <f t="shared" ca="1" si="71"/>
        <v>15</v>
      </c>
      <c r="O121" s="29" t="str">
        <f t="shared" ca="1" si="72"/>
        <v>0-30 days</v>
      </c>
      <c r="P121" s="2" t="s">
        <v>114</v>
      </c>
      <c r="Q121" s="1">
        <v>46084</v>
      </c>
      <c r="R121" s="1">
        <v>46091</v>
      </c>
      <c r="S121" s="2" t="s">
        <v>115</v>
      </c>
      <c r="T121" s="2" t="s">
        <v>320</v>
      </c>
      <c r="U121" s="2" t="s">
        <v>117</v>
      </c>
      <c r="V121" s="2" t="s">
        <v>125</v>
      </c>
      <c r="W121" s="36" t="s">
        <v>58</v>
      </c>
      <c r="X121" s="2"/>
      <c r="Y121" s="2"/>
      <c r="Z121" s="2"/>
      <c r="AA121" s="2"/>
      <c r="AB121" s="2" t="str">
        <f>VLOOKUP(T121,'[2]Query result'!$F:$G,2,0)</f>
        <v>Outstanding</v>
      </c>
    </row>
    <row r="122" spans="1:28">
      <c r="A122" s="2" t="s">
        <v>61</v>
      </c>
      <c r="B122" s="2" t="s">
        <v>322</v>
      </c>
      <c r="C122" s="29" t="str">
        <f>VLOOKUP(B122,Validation!A:B,2,0)</f>
        <v>APAC</v>
      </c>
      <c r="D122" s="29" t="str">
        <f>VLOOKUP(B122,Validation!A:D,4,0)</f>
        <v>NA</v>
      </c>
      <c r="E122" s="29" t="str">
        <f>VLOOKUP(B122,Validation!A:E,5,0)</f>
        <v>Hari Budiman</v>
      </c>
      <c r="F122" s="29" t="s">
        <v>57</v>
      </c>
      <c r="G122" s="29">
        <f t="shared" si="73"/>
        <v>2026</v>
      </c>
      <c r="H122" s="2" t="s">
        <v>56</v>
      </c>
      <c r="I122" s="2" t="s">
        <v>142</v>
      </c>
      <c r="J122" s="42">
        <f>VLOOKUP(I122,'XE rates'!A:D,4,0)*K122</f>
        <v>8.8168349887743478</v>
      </c>
      <c r="K122" s="64">
        <v>148918</v>
      </c>
      <c r="L122" s="2" t="s">
        <v>269</v>
      </c>
      <c r="M122" s="30" t="str">
        <f t="shared" si="70"/>
        <v>Feb</v>
      </c>
      <c r="N122" s="29">
        <f t="shared" ca="1" si="71"/>
        <v>1</v>
      </c>
      <c r="O122" s="29" t="str">
        <f t="shared" ca="1" si="72"/>
        <v>0-30 days</v>
      </c>
      <c r="P122" s="2" t="s">
        <v>114</v>
      </c>
      <c r="Q122" s="1">
        <v>46084</v>
      </c>
      <c r="R122" s="1">
        <v>46105</v>
      </c>
      <c r="S122" s="2" t="s">
        <v>164</v>
      </c>
      <c r="T122" s="2" t="s">
        <v>323</v>
      </c>
      <c r="U122" s="2"/>
      <c r="V122" s="2"/>
      <c r="W122" s="36"/>
      <c r="X122" s="2"/>
      <c r="Y122" s="2"/>
      <c r="Z122" s="2"/>
      <c r="AA122" s="2"/>
      <c r="AB122" s="2" t="str">
        <f>VLOOKUP(T122,'[2]Query result'!$F:$G,2,0)</f>
        <v>Outstanding</v>
      </c>
    </row>
    <row r="123" spans="1:28">
      <c r="A123" s="2" t="s">
        <v>61</v>
      </c>
      <c r="B123" s="2" t="s">
        <v>322</v>
      </c>
      <c r="C123" s="29" t="str">
        <f>VLOOKUP(B123,Validation!A:B,2,0)</f>
        <v>APAC</v>
      </c>
      <c r="D123" s="29" t="str">
        <f>VLOOKUP(B123,Validation!A:D,4,0)</f>
        <v>NA</v>
      </c>
      <c r="E123" s="29" t="str">
        <f>VLOOKUP(B123,Validation!A:E,5,0)</f>
        <v>Hari Budiman</v>
      </c>
      <c r="F123" s="29" t="s">
        <v>57</v>
      </c>
      <c r="G123" s="29">
        <f t="shared" si="73"/>
        <v>2026</v>
      </c>
      <c r="H123" s="2" t="s">
        <v>56</v>
      </c>
      <c r="I123" s="2" t="s">
        <v>142</v>
      </c>
      <c r="J123" s="42">
        <f>VLOOKUP(I123,'XE rates'!A:D,4,0)*K123</f>
        <v>832.88504838607264</v>
      </c>
      <c r="K123" s="64">
        <v>14067585</v>
      </c>
      <c r="L123" s="2" t="s">
        <v>324</v>
      </c>
      <c r="M123" s="30" t="str">
        <f t="shared" si="70"/>
        <v>Mar</v>
      </c>
      <c r="N123" s="29">
        <f t="shared" ca="1" si="71"/>
        <v>1</v>
      </c>
      <c r="O123" s="29" t="str">
        <f t="shared" ca="1" si="72"/>
        <v>0-30 days</v>
      </c>
      <c r="P123" s="2" t="s">
        <v>325</v>
      </c>
      <c r="Q123" s="1">
        <v>46084</v>
      </c>
      <c r="R123" s="1">
        <v>46105</v>
      </c>
      <c r="S123" s="2" t="s">
        <v>164</v>
      </c>
      <c r="T123" s="2" t="s">
        <v>326</v>
      </c>
      <c r="U123" s="2"/>
      <c r="V123" s="2"/>
      <c r="W123" s="36"/>
      <c r="X123" s="2"/>
      <c r="Y123" s="2"/>
      <c r="Z123" s="2"/>
      <c r="AA123" s="2"/>
      <c r="AB123" s="2" t="str">
        <f>VLOOKUP(T123,'[2]Query result'!$F:$G,2,0)</f>
        <v>Outstanding</v>
      </c>
    </row>
    <row r="124" spans="1:28">
      <c r="A124" s="2" t="s">
        <v>61</v>
      </c>
      <c r="B124" s="2" t="s">
        <v>77</v>
      </c>
      <c r="C124" s="29" t="str">
        <f>VLOOKUP(B124,Validation!A:B,2,0)</f>
        <v>USA</v>
      </c>
      <c r="D124" s="29" t="str">
        <f>VLOOKUP(B124,Validation!A:D,4,0)</f>
        <v>NA</v>
      </c>
      <c r="E124" s="29" t="str">
        <f>VLOOKUP(B124,Validation!A:E,5,0)</f>
        <v>Michael Bermingham</v>
      </c>
      <c r="F124" s="29" t="s">
        <v>57</v>
      </c>
      <c r="G124" s="29">
        <f t="shared" si="73"/>
        <v>2026</v>
      </c>
      <c r="H124" s="2" t="s">
        <v>56</v>
      </c>
      <c r="I124" s="2" t="s">
        <v>113</v>
      </c>
      <c r="J124" s="42">
        <f>VLOOKUP(I124,'XE rates'!A:D,4,0)*K124</f>
        <v>8563.7300000000032</v>
      </c>
      <c r="K124" s="64">
        <v>8563.7300000000032</v>
      </c>
      <c r="L124" s="2" t="s">
        <v>275</v>
      </c>
      <c r="M124" s="30" t="str">
        <f t="shared" si="70"/>
        <v>Feb</v>
      </c>
      <c r="N124" s="29">
        <f t="shared" ca="1" si="71"/>
        <v>13</v>
      </c>
      <c r="O124" s="29" t="str">
        <f t="shared" ca="1" si="72"/>
        <v>0-30 days</v>
      </c>
      <c r="P124" s="2" t="s">
        <v>114</v>
      </c>
      <c r="Q124" s="1">
        <v>46086</v>
      </c>
      <c r="R124" s="1">
        <v>46093</v>
      </c>
      <c r="S124" s="2" t="s">
        <v>115</v>
      </c>
      <c r="T124" s="2" t="s">
        <v>327</v>
      </c>
      <c r="U124" s="2"/>
      <c r="V124" s="2"/>
      <c r="W124" s="36"/>
      <c r="X124" s="2"/>
      <c r="Y124" s="2"/>
      <c r="Z124" s="2"/>
      <c r="AA124" s="2"/>
      <c r="AB124" s="2" t="str">
        <f>VLOOKUP(T124,'[2]Query result'!$F:$G,2,0)</f>
        <v>Outstanding</v>
      </c>
    </row>
    <row r="125" spans="1:28">
      <c r="A125" s="2" t="s">
        <v>61</v>
      </c>
      <c r="B125" s="2" t="s">
        <v>84</v>
      </c>
      <c r="C125" s="29" t="str">
        <f>VLOOKUP(B125,Validation!A:B,2,0)</f>
        <v>USA</v>
      </c>
      <c r="D125" s="29" t="str">
        <f>VLOOKUP(B125,Validation!A:D,4,0)</f>
        <v>Lia Susin</v>
      </c>
      <c r="E125" s="29" t="str">
        <f>VLOOKUP(B125,Validation!A:E,5,0)</f>
        <v>Danny May</v>
      </c>
      <c r="F125" s="29" t="s">
        <v>57</v>
      </c>
      <c r="G125" s="29">
        <f t="shared" si="73"/>
        <v>2026</v>
      </c>
      <c r="H125" s="2" t="s">
        <v>56</v>
      </c>
      <c r="I125" s="2" t="s">
        <v>113</v>
      </c>
      <c r="J125" s="42">
        <f>VLOOKUP(I125,'XE rates'!A:D,4,0)*K125</f>
        <v>10902.5</v>
      </c>
      <c r="K125" s="64">
        <v>10902.5</v>
      </c>
      <c r="L125" s="2" t="s">
        <v>275</v>
      </c>
      <c r="M125" s="30" t="str">
        <f t="shared" si="70"/>
        <v>Feb</v>
      </c>
      <c r="N125" s="29">
        <f t="shared" ca="1" si="71"/>
        <v>14</v>
      </c>
      <c r="O125" s="29" t="str">
        <f t="shared" ca="1" si="72"/>
        <v>0-30 days</v>
      </c>
      <c r="P125" s="2" t="s">
        <v>114</v>
      </c>
      <c r="Q125" s="1">
        <v>46085</v>
      </c>
      <c r="R125" s="1">
        <v>46092</v>
      </c>
      <c r="S125" s="2" t="s">
        <v>115</v>
      </c>
      <c r="T125" s="2" t="s">
        <v>328</v>
      </c>
      <c r="U125" s="2"/>
      <c r="V125" s="2"/>
      <c r="W125" s="36"/>
      <c r="X125" s="2"/>
      <c r="Y125" s="2"/>
      <c r="Z125" s="2"/>
      <c r="AA125" s="2"/>
      <c r="AB125" s="2" t="str">
        <f>VLOOKUP(T125,'[2]Query result'!$F:$G,2,0)</f>
        <v>Outstanding</v>
      </c>
    </row>
    <row r="126" spans="1:28">
      <c r="A126" s="2" t="s">
        <v>61</v>
      </c>
      <c r="B126" s="2" t="s">
        <v>24</v>
      </c>
      <c r="C126" s="29" t="str">
        <f>VLOOKUP(B126,Validation!A:B,2,0)</f>
        <v>Shared Centre</v>
      </c>
      <c r="D126" s="29" t="str">
        <f>VLOOKUP(B126,Validation!A:D,4,0)</f>
        <v>Sanat Patakar</v>
      </c>
      <c r="E126" s="29" t="str">
        <f>VLOOKUP(B126,Validation!A:E,5,0)</f>
        <v>Rohit Bammi</v>
      </c>
      <c r="F126" s="29" t="s">
        <v>57</v>
      </c>
      <c r="G126" s="29">
        <f t="shared" si="73"/>
        <v>2025</v>
      </c>
      <c r="H126" s="2" t="s">
        <v>56</v>
      </c>
      <c r="I126" s="2" t="s">
        <v>113</v>
      </c>
      <c r="J126" s="42">
        <f>VLOOKUP(I126,'XE rates'!A:D,4,0)*K126</f>
        <v>-10</v>
      </c>
      <c r="K126" s="64">
        <v>-10</v>
      </c>
      <c r="L126" s="2" t="s">
        <v>329</v>
      </c>
      <c r="M126" s="30" t="str">
        <f t="shared" si="70"/>
        <v>Sep</v>
      </c>
      <c r="N126" s="29">
        <f t="shared" ca="1" si="71"/>
        <v>163</v>
      </c>
      <c r="O126" s="29" t="str">
        <f t="shared" ca="1" si="72"/>
        <v>Over 90+ days</v>
      </c>
      <c r="P126" s="2" t="s">
        <v>330</v>
      </c>
      <c r="Q126" s="1">
        <v>45936</v>
      </c>
      <c r="R126" s="1">
        <v>45943</v>
      </c>
      <c r="S126" s="2" t="s">
        <v>115</v>
      </c>
      <c r="T126" s="2" t="s">
        <v>331</v>
      </c>
      <c r="U126" s="2"/>
      <c r="V126" s="2"/>
      <c r="W126" s="36"/>
      <c r="X126" s="2"/>
      <c r="Y126" s="2"/>
      <c r="Z126" s="2"/>
      <c r="AA126" s="2"/>
      <c r="AB126" s="2" t="str">
        <f>VLOOKUP(T126,'[2]Query result'!$F:$G,2,0)</f>
        <v>Outstanding</v>
      </c>
    </row>
    <row r="127" spans="1:28">
      <c r="A127" s="2" t="s">
        <v>61</v>
      </c>
      <c r="B127" s="2" t="s">
        <v>24</v>
      </c>
      <c r="C127" s="29" t="str">
        <f>VLOOKUP(B127,Validation!A:B,2,0)</f>
        <v>Shared Centre</v>
      </c>
      <c r="D127" s="29" t="str">
        <f>VLOOKUP(B127,Validation!A:D,4,0)</f>
        <v>Sanat Patakar</v>
      </c>
      <c r="E127" s="29" t="str">
        <f>VLOOKUP(B127,Validation!A:E,5,0)</f>
        <v>Rohit Bammi</v>
      </c>
      <c r="F127" s="29" t="s">
        <v>57</v>
      </c>
      <c r="G127" s="29">
        <f t="shared" si="73"/>
        <v>2025</v>
      </c>
      <c r="H127" s="2" t="s">
        <v>56</v>
      </c>
      <c r="I127" s="2" t="s">
        <v>113</v>
      </c>
      <c r="J127" s="42">
        <f>VLOOKUP(I127,'XE rates'!A:D,4,0)*K127</f>
        <v>-25</v>
      </c>
      <c r="K127" s="64">
        <v>-25</v>
      </c>
      <c r="L127" s="2" t="s">
        <v>332</v>
      </c>
      <c r="M127" s="30" t="str">
        <f t="shared" si="70"/>
        <v>Oct</v>
      </c>
      <c r="N127" s="29">
        <f t="shared" ca="1" si="71"/>
        <v>133</v>
      </c>
      <c r="O127" s="29" t="str">
        <f t="shared" ca="1" si="72"/>
        <v>Over 90+ days</v>
      </c>
      <c r="P127" s="2" t="s">
        <v>238</v>
      </c>
      <c r="Q127" s="1">
        <v>45966</v>
      </c>
      <c r="R127" s="1">
        <v>45973</v>
      </c>
      <c r="S127" s="2" t="s">
        <v>115</v>
      </c>
      <c r="T127" s="2" t="s">
        <v>333</v>
      </c>
      <c r="U127" s="2"/>
      <c r="V127" s="2"/>
      <c r="W127" s="36"/>
      <c r="X127" s="2"/>
      <c r="Y127" s="2"/>
      <c r="Z127" s="2"/>
      <c r="AA127" s="2"/>
      <c r="AB127" s="2" t="str">
        <f>VLOOKUP(T127,'[2]Query result'!$F:$G,2,0)</f>
        <v>Outstanding</v>
      </c>
    </row>
    <row r="128" spans="1:28">
      <c r="A128" s="2" t="s">
        <v>61</v>
      </c>
      <c r="B128" s="2" t="s">
        <v>24</v>
      </c>
      <c r="C128" s="29" t="str">
        <f>VLOOKUP(B128,Validation!A:B,2,0)</f>
        <v>Shared Centre</v>
      </c>
      <c r="D128" s="29" t="str">
        <f>VLOOKUP(B128,Validation!A:D,4,0)</f>
        <v>Sanat Patakar</v>
      </c>
      <c r="E128" s="29" t="str">
        <f>VLOOKUP(B128,Validation!A:E,5,0)</f>
        <v>Rohit Bammi</v>
      </c>
      <c r="F128" s="29" t="s">
        <v>57</v>
      </c>
      <c r="G128" s="29">
        <f t="shared" si="73"/>
        <v>2025</v>
      </c>
      <c r="H128" s="2" t="s">
        <v>56</v>
      </c>
      <c r="I128" s="2" t="s">
        <v>113</v>
      </c>
      <c r="J128" s="42">
        <f>VLOOKUP(I128,'XE rates'!A:D,4,0)*K128</f>
        <v>-115</v>
      </c>
      <c r="K128" s="64">
        <v>-115</v>
      </c>
      <c r="L128" s="2" t="s">
        <v>334</v>
      </c>
      <c r="M128" s="30" t="str">
        <f t="shared" si="70"/>
        <v>Nov</v>
      </c>
      <c r="N128" s="29">
        <f t="shared" ca="1" si="71"/>
        <v>105</v>
      </c>
      <c r="O128" s="29" t="str">
        <f t="shared" ca="1" si="72"/>
        <v>Over 90+ days</v>
      </c>
      <c r="P128" s="2" t="s">
        <v>238</v>
      </c>
      <c r="Q128" s="1">
        <v>45994</v>
      </c>
      <c r="R128" s="1">
        <v>46001</v>
      </c>
      <c r="S128" s="2" t="s">
        <v>115</v>
      </c>
      <c r="T128" s="2" t="s">
        <v>335</v>
      </c>
      <c r="U128" s="2"/>
      <c r="V128" s="2"/>
      <c r="W128" s="36"/>
      <c r="X128" s="2"/>
      <c r="Y128" s="2"/>
      <c r="Z128" s="2"/>
      <c r="AA128" s="2"/>
      <c r="AB128" s="2" t="str">
        <f>VLOOKUP(T128,'[2]Query result'!$F:$G,2,0)</f>
        <v>Outstanding</v>
      </c>
    </row>
    <row r="129" spans="1:28">
      <c r="A129" s="2" t="s">
        <v>61</v>
      </c>
      <c r="B129" s="2" t="s">
        <v>24</v>
      </c>
      <c r="C129" s="29" t="str">
        <f>VLOOKUP(B129,Validation!A:B,2,0)</f>
        <v>Shared Centre</v>
      </c>
      <c r="D129" s="29" t="str">
        <f>VLOOKUP(B129,Validation!A:D,4,0)</f>
        <v>Sanat Patakar</v>
      </c>
      <c r="E129" s="29" t="str">
        <f>VLOOKUP(B129,Validation!A:E,5,0)</f>
        <v>Rohit Bammi</v>
      </c>
      <c r="F129" s="29" t="s">
        <v>57</v>
      </c>
      <c r="G129" s="29">
        <f t="shared" si="73"/>
        <v>2025</v>
      </c>
      <c r="H129" s="2" t="s">
        <v>56</v>
      </c>
      <c r="I129" s="2" t="s">
        <v>113</v>
      </c>
      <c r="J129" s="42">
        <f>VLOOKUP(I129,'XE rates'!A:D,4,0)*K129</f>
        <v>-96</v>
      </c>
      <c r="K129" s="64">
        <v>-96</v>
      </c>
      <c r="L129" s="2" t="s">
        <v>336</v>
      </c>
      <c r="M129" s="30" t="str">
        <f t="shared" si="70"/>
        <v>Dec</v>
      </c>
      <c r="N129" s="29">
        <f t="shared" ca="1" si="71"/>
        <v>72</v>
      </c>
      <c r="O129" s="29" t="str">
        <f t="shared" ca="1" si="72"/>
        <v>61-90 days</v>
      </c>
      <c r="P129" s="2" t="s">
        <v>238</v>
      </c>
      <c r="Q129" s="1">
        <v>46027</v>
      </c>
      <c r="R129" s="1">
        <v>46034</v>
      </c>
      <c r="S129" s="2" t="s">
        <v>115</v>
      </c>
      <c r="T129" s="2" t="s">
        <v>337</v>
      </c>
      <c r="U129" s="2"/>
      <c r="V129" s="2"/>
      <c r="W129" s="36"/>
      <c r="X129" s="2"/>
      <c r="Y129" s="2"/>
      <c r="Z129" s="2"/>
      <c r="AA129" s="2"/>
      <c r="AB129" s="2" t="str">
        <f>VLOOKUP(T129,'[2]Query result'!$F:$G,2,0)</f>
        <v>Outstanding</v>
      </c>
    </row>
    <row r="130" spans="1:28">
      <c r="A130" s="2" t="s">
        <v>61</v>
      </c>
      <c r="B130" s="2" t="s">
        <v>24</v>
      </c>
      <c r="C130" s="29" t="str">
        <f>VLOOKUP(B130,Validation!A:B,2,0)</f>
        <v>Shared Centre</v>
      </c>
      <c r="D130" s="29" t="str">
        <f>VLOOKUP(B130,Validation!A:D,4,0)</f>
        <v>Sanat Patakar</v>
      </c>
      <c r="E130" s="29" t="str">
        <f>VLOOKUP(B130,Validation!A:E,5,0)</f>
        <v>Rohit Bammi</v>
      </c>
      <c r="F130" s="29" t="s">
        <v>57</v>
      </c>
      <c r="G130" s="29">
        <f t="shared" si="73"/>
        <v>2026</v>
      </c>
      <c r="H130" s="2" t="s">
        <v>56</v>
      </c>
      <c r="I130" s="2" t="s">
        <v>113</v>
      </c>
      <c r="J130" s="42">
        <f>VLOOKUP(I130,'XE rates'!A:D,4,0)*K130</f>
        <v>-52</v>
      </c>
      <c r="K130" s="64">
        <v>-52</v>
      </c>
      <c r="L130" s="2" t="s">
        <v>338</v>
      </c>
      <c r="M130" s="30" t="str">
        <f t="shared" si="70"/>
        <v>Jan</v>
      </c>
      <c r="N130" s="29">
        <f t="shared" ca="1" si="71"/>
        <v>40</v>
      </c>
      <c r="O130" s="29" t="str">
        <f t="shared" ca="1" si="72"/>
        <v>31-60 days</v>
      </c>
      <c r="P130" s="2" t="s">
        <v>238</v>
      </c>
      <c r="Q130" s="1">
        <v>46059</v>
      </c>
      <c r="R130" s="1">
        <v>46066</v>
      </c>
      <c r="S130" s="2" t="s">
        <v>115</v>
      </c>
      <c r="T130" s="2" t="s">
        <v>339</v>
      </c>
      <c r="U130" s="2"/>
      <c r="V130" s="2"/>
      <c r="W130" s="36"/>
      <c r="X130" s="2"/>
      <c r="Y130" s="2"/>
      <c r="Z130" s="2"/>
      <c r="AA130" s="2"/>
      <c r="AB130" s="2" t="str">
        <f>VLOOKUP(T130,'[2]Query result'!$F:$G,2,0)</f>
        <v>Outstanding</v>
      </c>
    </row>
    <row r="131" spans="1:28">
      <c r="A131" s="2" t="s">
        <v>61</v>
      </c>
      <c r="B131" s="2" t="s">
        <v>24</v>
      </c>
      <c r="C131" s="29" t="str">
        <f>VLOOKUP(B131,Validation!A:B,2,0)</f>
        <v>Shared Centre</v>
      </c>
      <c r="D131" s="29" t="str">
        <f>VLOOKUP(B131,Validation!A:D,4,0)</f>
        <v>Sanat Patakar</v>
      </c>
      <c r="E131" s="29" t="str">
        <f>VLOOKUP(B131,Validation!A:E,5,0)</f>
        <v>Rohit Bammi</v>
      </c>
      <c r="F131" s="29" t="s">
        <v>57</v>
      </c>
      <c r="G131" s="29">
        <f t="shared" si="73"/>
        <v>2026</v>
      </c>
      <c r="H131" s="2" t="s">
        <v>56</v>
      </c>
      <c r="I131" s="2" t="s">
        <v>113</v>
      </c>
      <c r="J131" s="42">
        <f>VLOOKUP(I131,'XE rates'!A:D,4,0)*K131</f>
        <v>-135</v>
      </c>
      <c r="K131" s="64">
        <v>-135</v>
      </c>
      <c r="L131" s="2" t="s">
        <v>269</v>
      </c>
      <c r="M131" s="30" t="str">
        <f t="shared" si="70"/>
        <v>Feb</v>
      </c>
      <c r="N131" s="29">
        <f t="shared" ca="1" si="71"/>
        <v>12</v>
      </c>
      <c r="O131" s="29" t="str">
        <f t="shared" ca="1" si="72"/>
        <v>0-30 days</v>
      </c>
      <c r="P131" s="2" t="s">
        <v>238</v>
      </c>
      <c r="Q131" s="1">
        <v>46087</v>
      </c>
      <c r="R131" s="1">
        <v>46094</v>
      </c>
      <c r="S131" s="2" t="s">
        <v>164</v>
      </c>
      <c r="T131" s="2" t="s">
        <v>340</v>
      </c>
      <c r="U131" s="2"/>
      <c r="V131" s="2"/>
      <c r="W131" s="36"/>
      <c r="X131" s="2"/>
      <c r="Y131" s="2"/>
      <c r="Z131" s="2"/>
      <c r="AA131" s="2"/>
      <c r="AB131" s="2" t="str">
        <f>VLOOKUP(T131,'[2]Query result'!$F:$G,2,0)</f>
        <v>Outstanding</v>
      </c>
    </row>
    <row r="132" spans="1:28">
      <c r="A132" s="2" t="s">
        <v>61</v>
      </c>
      <c r="B132" s="2" t="s">
        <v>341</v>
      </c>
      <c r="C132" s="29" t="str">
        <f>VLOOKUP(B132,Validation!A:B,2,0)</f>
        <v>EU/UK</v>
      </c>
      <c r="D132" s="29" t="str">
        <f>VLOOKUP(B132,Validation!A:D,4,0)</f>
        <v>Margarita</v>
      </c>
      <c r="E132" s="29" t="str">
        <f>VLOOKUP(B132,Validation!A:E,5,0)</f>
        <v>Danny May</v>
      </c>
      <c r="F132" s="29" t="s">
        <v>57</v>
      </c>
      <c r="G132" s="29">
        <f t="shared" si="73"/>
        <v>2026</v>
      </c>
      <c r="H132" s="2" t="s">
        <v>56</v>
      </c>
      <c r="I132" s="2" t="s">
        <v>146</v>
      </c>
      <c r="J132" s="42">
        <f>VLOOKUP(I132,'XE rates'!A:D,4,0)*K132</f>
        <v>4061.6341244973801</v>
      </c>
      <c r="K132" s="64">
        <v>3037.9</v>
      </c>
      <c r="L132" s="2" t="s">
        <v>275</v>
      </c>
      <c r="M132" s="30" t="str">
        <f t="shared" si="70"/>
        <v>Feb</v>
      </c>
      <c r="N132" s="29">
        <f t="shared" ca="1" si="71"/>
        <v>7</v>
      </c>
      <c r="O132" s="29" t="str">
        <f t="shared" ca="1" si="72"/>
        <v>0-30 days</v>
      </c>
      <c r="P132" s="2" t="s">
        <v>114</v>
      </c>
      <c r="Q132" s="1">
        <v>46085</v>
      </c>
      <c r="R132" s="1">
        <v>46099</v>
      </c>
      <c r="S132" s="2" t="s">
        <v>164</v>
      </c>
      <c r="T132" s="2" t="s">
        <v>342</v>
      </c>
      <c r="U132" s="2"/>
      <c r="V132" s="2"/>
      <c r="W132" s="36"/>
      <c r="X132" s="2"/>
      <c r="Y132" s="2"/>
      <c r="Z132" s="2"/>
      <c r="AA132" s="2"/>
      <c r="AB132" s="2" t="str">
        <f>VLOOKUP(T132,'[2]Query result'!$F:$G,2,0)</f>
        <v>Outstanding</v>
      </c>
    </row>
    <row r="133" spans="1:28">
      <c r="A133" s="2" t="s">
        <v>61</v>
      </c>
      <c r="B133" s="2" t="s">
        <v>228</v>
      </c>
      <c r="C133" s="29" t="str">
        <f>VLOOKUP(B133,Validation!A:B,2,0)</f>
        <v>Shared Centre</v>
      </c>
      <c r="D133" s="29" t="str">
        <f>VLOOKUP(B133,Validation!A:D,4,0)</f>
        <v>Sanat Patakar</v>
      </c>
      <c r="E133" s="29" t="str">
        <f>VLOOKUP(B133,Validation!A:E,5,0)</f>
        <v>NA</v>
      </c>
      <c r="F133" s="29" t="s">
        <v>57</v>
      </c>
      <c r="G133" s="29">
        <f t="shared" si="73"/>
        <v>2026</v>
      </c>
      <c r="H133" s="2" t="s">
        <v>56</v>
      </c>
      <c r="I133" s="2" t="s">
        <v>127</v>
      </c>
      <c r="J133" s="42">
        <f>VLOOKUP(I133,'XE rates'!A:D,4,0)*K133</f>
        <v>7523.8513884797449</v>
      </c>
      <c r="K133" s="64">
        <v>11238.553</v>
      </c>
      <c r="L133" s="2" t="s">
        <v>275</v>
      </c>
      <c r="M133" s="30" t="str">
        <f t="shared" si="70"/>
        <v>Feb</v>
      </c>
      <c r="N133" s="29">
        <f t="shared" ca="1" si="71"/>
        <v>14</v>
      </c>
      <c r="O133" s="29" t="str">
        <f t="shared" ca="1" si="72"/>
        <v>0-30 days</v>
      </c>
      <c r="P133" s="2" t="s">
        <v>114</v>
      </c>
      <c r="Q133" s="1">
        <v>46085</v>
      </c>
      <c r="R133" s="1">
        <v>46092</v>
      </c>
      <c r="S133" s="2" t="s">
        <v>115</v>
      </c>
      <c r="T133" s="2" t="s">
        <v>343</v>
      </c>
      <c r="U133" s="2"/>
      <c r="V133" s="2"/>
      <c r="W133" s="36"/>
      <c r="X133" s="2"/>
      <c r="Y133" s="2"/>
      <c r="Z133" s="2"/>
      <c r="AA133" s="2"/>
      <c r="AB133" s="2" t="str">
        <f>VLOOKUP(T133,'[2]Query result'!$F:$G,2,0)</f>
        <v>Outstanding</v>
      </c>
    </row>
    <row r="134" spans="1:28">
      <c r="A134" s="2" t="s">
        <v>61</v>
      </c>
      <c r="B134" s="2" t="s">
        <v>26</v>
      </c>
      <c r="C134" s="29" t="str">
        <f>VLOOKUP(B134,Validation!A:B,2,0)</f>
        <v>APAC</v>
      </c>
      <c r="D134" s="29" t="str">
        <f>VLOOKUP(B134,Validation!A:D,4,0)</f>
        <v>XiaoXiao</v>
      </c>
      <c r="E134" s="29" t="str">
        <f>VLOOKUP(B134,Validation!A:E,5,0)</f>
        <v>Gitesh Athavale</v>
      </c>
      <c r="F134" s="29" t="s">
        <v>57</v>
      </c>
      <c r="G134" s="29">
        <f t="shared" si="73"/>
        <v>2026</v>
      </c>
      <c r="H134" s="2" t="s">
        <v>56</v>
      </c>
      <c r="I134" s="2" t="s">
        <v>113</v>
      </c>
      <c r="J134" s="42">
        <f>VLOOKUP(I134,'XE rates'!A:D,4,0)*K134</f>
        <v>-1754.3781999999992</v>
      </c>
      <c r="K134" s="64">
        <v>-1754.3781999999992</v>
      </c>
      <c r="L134" s="2" t="s">
        <v>276</v>
      </c>
      <c r="M134" s="30" t="str">
        <f t="shared" si="70"/>
        <v>Jan</v>
      </c>
      <c r="N134" s="29">
        <f t="shared" ca="1" si="71"/>
        <v>39</v>
      </c>
      <c r="O134" s="29" t="str">
        <f t="shared" ca="1" si="72"/>
        <v>31-60 days</v>
      </c>
      <c r="P134" s="2" t="s">
        <v>114</v>
      </c>
      <c r="Q134" s="1">
        <v>46060</v>
      </c>
      <c r="R134" s="1">
        <v>46067</v>
      </c>
      <c r="S134" s="2" t="s">
        <v>115</v>
      </c>
      <c r="T134" s="2" t="s">
        <v>344</v>
      </c>
      <c r="U134" s="29" t="s">
        <v>117</v>
      </c>
      <c r="V134" s="29" t="s">
        <v>125</v>
      </c>
      <c r="W134" s="29" t="s">
        <v>133</v>
      </c>
      <c r="X134" s="2"/>
      <c r="Y134" s="2"/>
      <c r="Z134" s="2"/>
      <c r="AA134" s="2"/>
      <c r="AB134" s="2" t="str">
        <f>VLOOKUP(T134,'[2]Query result'!$F:$G,2,0)</f>
        <v>Outstanding</v>
      </c>
    </row>
    <row r="135" spans="1:28">
      <c r="A135" s="2" t="s">
        <v>61</v>
      </c>
      <c r="B135" s="2" t="s">
        <v>26</v>
      </c>
      <c r="C135" s="29" t="str">
        <f>VLOOKUP(B135,Validation!A:B,2,0)</f>
        <v>APAC</v>
      </c>
      <c r="D135" s="29" t="str">
        <f>VLOOKUP(B135,Validation!A:D,4,0)</f>
        <v>XiaoXiao</v>
      </c>
      <c r="E135" s="29" t="str">
        <f>VLOOKUP(B135,Validation!A:E,5,0)</f>
        <v>Gitesh Athavale</v>
      </c>
      <c r="F135" s="29" t="s">
        <v>57</v>
      </c>
      <c r="G135" s="29">
        <f t="shared" si="73"/>
        <v>2025</v>
      </c>
      <c r="H135" s="2" t="s">
        <v>56</v>
      </c>
      <c r="I135" s="2" t="s">
        <v>113</v>
      </c>
      <c r="J135" s="42">
        <f>VLOOKUP(I135,'XE rates'!A:D,4,0)*K135</f>
        <v>-527.48510000000533</v>
      </c>
      <c r="K135" s="64">
        <v>-527.48510000000533</v>
      </c>
      <c r="L135" s="2" t="s">
        <v>345</v>
      </c>
      <c r="M135" s="30" t="str">
        <f t="shared" si="70"/>
        <v>Oct</v>
      </c>
      <c r="N135" s="29">
        <f t="shared" ca="1" si="71"/>
        <v>132</v>
      </c>
      <c r="O135" s="29" t="str">
        <f t="shared" ca="1" si="72"/>
        <v>Over 90+ days</v>
      </c>
      <c r="P135" s="2" t="s">
        <v>114</v>
      </c>
      <c r="Q135" s="1">
        <v>45967</v>
      </c>
      <c r="R135" s="1">
        <v>45974</v>
      </c>
      <c r="S135" s="2" t="s">
        <v>115</v>
      </c>
      <c r="T135" s="2" t="s">
        <v>346</v>
      </c>
      <c r="U135" s="29" t="s">
        <v>117</v>
      </c>
      <c r="V135" s="29" t="s">
        <v>125</v>
      </c>
      <c r="W135" s="29" t="s">
        <v>133</v>
      </c>
      <c r="X135" s="2"/>
      <c r="Y135" s="2"/>
      <c r="Z135" s="2"/>
      <c r="AA135" s="2"/>
      <c r="AB135" s="2" t="str">
        <f>VLOOKUP(T135,'[2]Query result'!$F:$G,2,0)</f>
        <v>Outstanding</v>
      </c>
    </row>
    <row r="136" spans="1:28">
      <c r="A136" s="2" t="s">
        <v>61</v>
      </c>
      <c r="B136" s="2" t="s">
        <v>26</v>
      </c>
      <c r="C136" s="29" t="str">
        <f>VLOOKUP(B136,Validation!A:B,2,0)</f>
        <v>APAC</v>
      </c>
      <c r="D136" s="29" t="str">
        <f>VLOOKUP(B136,Validation!A:D,4,0)</f>
        <v>XiaoXiao</v>
      </c>
      <c r="E136" s="29" t="str">
        <f>VLOOKUP(B136,Validation!A:E,5,0)</f>
        <v>Gitesh Athavale</v>
      </c>
      <c r="F136" s="29" t="s">
        <v>57</v>
      </c>
      <c r="G136" s="29">
        <f t="shared" si="73"/>
        <v>2025</v>
      </c>
      <c r="H136" s="2" t="s">
        <v>56</v>
      </c>
      <c r="I136" s="2" t="s">
        <v>113</v>
      </c>
      <c r="J136" s="42">
        <f>VLOOKUP(I136,'XE rates'!A:D,4,0)*K136</f>
        <v>-3888.0024000000049</v>
      </c>
      <c r="K136" s="64">
        <v>-3888.0024000000049</v>
      </c>
      <c r="L136" s="2" t="s">
        <v>347</v>
      </c>
      <c r="M136" s="30" t="str">
        <f t="shared" si="70"/>
        <v>Nov</v>
      </c>
      <c r="N136" s="29">
        <f t="shared" ca="1" si="71"/>
        <v>104</v>
      </c>
      <c r="O136" s="29" t="str">
        <f t="shared" ca="1" si="72"/>
        <v>Over 90+ days</v>
      </c>
      <c r="P136" s="2" t="s">
        <v>114</v>
      </c>
      <c r="Q136" s="1">
        <v>45995</v>
      </c>
      <c r="R136" s="1">
        <v>46002</v>
      </c>
      <c r="S136" s="2" t="s">
        <v>115</v>
      </c>
      <c r="T136" s="2" t="s">
        <v>348</v>
      </c>
      <c r="U136" s="29" t="s">
        <v>117</v>
      </c>
      <c r="V136" s="29" t="s">
        <v>125</v>
      </c>
      <c r="W136" s="29" t="s">
        <v>133</v>
      </c>
      <c r="X136" s="2"/>
      <c r="Y136" s="2"/>
      <c r="Z136" s="2"/>
      <c r="AA136" s="2"/>
      <c r="AB136" s="2" t="str">
        <f>VLOOKUP(T136,'[2]Query result'!$F:$G,2,0)</f>
        <v>Outstanding</v>
      </c>
    </row>
    <row r="137" spans="1:28">
      <c r="A137" s="2" t="s">
        <v>61</v>
      </c>
      <c r="B137" s="2" t="s">
        <v>26</v>
      </c>
      <c r="C137" s="29" t="str">
        <f>VLOOKUP(B137,Validation!A:B,2,0)</f>
        <v>APAC</v>
      </c>
      <c r="D137" s="29" t="str">
        <f>VLOOKUP(B137,Validation!A:D,4,0)</f>
        <v>XiaoXiao</v>
      </c>
      <c r="E137" s="29" t="str">
        <f>VLOOKUP(B137,Validation!A:E,5,0)</f>
        <v>Gitesh Athavale</v>
      </c>
      <c r="F137" s="29" t="s">
        <v>57</v>
      </c>
      <c r="G137" s="29">
        <f t="shared" si="73"/>
        <v>2025</v>
      </c>
      <c r="H137" s="2" t="s">
        <v>56</v>
      </c>
      <c r="I137" s="2" t="s">
        <v>113</v>
      </c>
      <c r="J137" s="42">
        <f>VLOOKUP(I137,'XE rates'!A:D,4,0)*K137</f>
        <v>-1738.4406000000017</v>
      </c>
      <c r="K137" s="64">
        <v>-1738.4406000000017</v>
      </c>
      <c r="L137" s="2" t="s">
        <v>336</v>
      </c>
      <c r="M137" s="30" t="str">
        <f t="shared" si="70"/>
        <v>Dec</v>
      </c>
      <c r="N137" s="29">
        <f t="shared" ca="1" si="71"/>
        <v>71</v>
      </c>
      <c r="O137" s="29" t="str">
        <f t="shared" ca="1" si="72"/>
        <v>61-90 days</v>
      </c>
      <c r="P137" s="2" t="s">
        <v>114</v>
      </c>
      <c r="Q137" s="1">
        <v>46028</v>
      </c>
      <c r="R137" s="1">
        <v>46035</v>
      </c>
      <c r="S137" s="2" t="s">
        <v>115</v>
      </c>
      <c r="T137" s="2" t="s">
        <v>349</v>
      </c>
      <c r="U137" s="29" t="s">
        <v>117</v>
      </c>
      <c r="V137" s="29" t="s">
        <v>125</v>
      </c>
      <c r="W137" s="29" t="s">
        <v>133</v>
      </c>
      <c r="X137" s="2"/>
      <c r="Y137" s="2"/>
      <c r="Z137" s="2"/>
      <c r="AA137" s="2"/>
      <c r="AB137" s="2" t="str">
        <f>VLOOKUP(T137,'[2]Query result'!$F:$G,2,0)</f>
        <v>Outstanding</v>
      </c>
    </row>
    <row r="138" spans="1:28">
      <c r="A138" s="2" t="s">
        <v>61</v>
      </c>
      <c r="B138" s="2" t="s">
        <v>26</v>
      </c>
      <c r="C138" s="29" t="str">
        <f>VLOOKUP(B138,Validation!A:B,2,0)</f>
        <v>APAC</v>
      </c>
      <c r="D138" s="29" t="str">
        <f>VLOOKUP(B138,Validation!A:D,4,0)</f>
        <v>XiaoXiao</v>
      </c>
      <c r="E138" s="29" t="str">
        <f>VLOOKUP(B138,Validation!A:E,5,0)</f>
        <v>Gitesh Athavale</v>
      </c>
      <c r="F138" s="29" t="s">
        <v>57</v>
      </c>
      <c r="G138" s="29">
        <f t="shared" si="73"/>
        <v>2026</v>
      </c>
      <c r="H138" s="2" t="s">
        <v>56</v>
      </c>
      <c r="I138" s="2" t="s">
        <v>113</v>
      </c>
      <c r="J138" s="42">
        <f>VLOOKUP(I138,'XE rates'!A:D,4,0)*K138</f>
        <v>606.26570000000356</v>
      </c>
      <c r="K138" s="64">
        <v>606.26570000000356</v>
      </c>
      <c r="L138" s="2" t="s">
        <v>275</v>
      </c>
      <c r="M138" s="30" t="str">
        <f t="shared" si="70"/>
        <v>Feb</v>
      </c>
      <c r="N138" s="29">
        <f t="shared" ca="1" si="71"/>
        <v>14</v>
      </c>
      <c r="O138" s="29" t="str">
        <f t="shared" ca="1" si="72"/>
        <v>0-30 days</v>
      </c>
      <c r="P138" s="2" t="s">
        <v>114</v>
      </c>
      <c r="Q138" s="1">
        <v>46085</v>
      </c>
      <c r="R138" s="1">
        <v>46092</v>
      </c>
      <c r="S138" s="2" t="s">
        <v>115</v>
      </c>
      <c r="T138" s="2" t="s">
        <v>350</v>
      </c>
      <c r="U138" s="29" t="s">
        <v>117</v>
      </c>
      <c r="V138" s="29" t="s">
        <v>125</v>
      </c>
      <c r="W138" s="29" t="s">
        <v>133</v>
      </c>
      <c r="X138" s="2"/>
      <c r="Y138" s="2"/>
      <c r="Z138" s="2"/>
      <c r="AA138" s="2"/>
      <c r="AB138" s="2" t="str">
        <f>VLOOKUP(T138,'[2]Query result'!$F:$G,2,0)</f>
        <v>Outstanding</v>
      </c>
    </row>
    <row r="139" spans="1:28">
      <c r="A139" s="2" t="s">
        <v>61</v>
      </c>
      <c r="B139" s="2" t="s">
        <v>351</v>
      </c>
      <c r="C139" s="29" t="str">
        <f>VLOOKUP(B139,Validation!A:B,2,0)</f>
        <v>EU/UK</v>
      </c>
      <c r="D139" s="29" t="str">
        <f>VLOOKUP(B139,Validation!A:D,4,0)</f>
        <v>Sachli Zare</v>
      </c>
      <c r="E139" s="29" t="str">
        <f>VLOOKUP(B139,Validation!A:E,5,0)</f>
        <v>Gagan Smara</v>
      </c>
      <c r="F139" s="29" t="s">
        <v>57</v>
      </c>
      <c r="G139" s="29">
        <f t="shared" si="73"/>
        <v>2026</v>
      </c>
      <c r="H139" s="2" t="s">
        <v>56</v>
      </c>
      <c r="I139" s="2" t="s">
        <v>203</v>
      </c>
      <c r="J139" s="42">
        <f>VLOOKUP(I139,'XE rates'!A:D,4,0)*K139</f>
        <v>5210.0615331668369</v>
      </c>
      <c r="K139" s="64">
        <v>4497.9947000000002</v>
      </c>
      <c r="L139" s="2" t="s">
        <v>269</v>
      </c>
      <c r="M139" s="30" t="str">
        <f t="shared" si="70"/>
        <v>Feb</v>
      </c>
      <c r="N139" s="29">
        <f t="shared" ca="1" si="71"/>
        <v>14</v>
      </c>
      <c r="O139" s="29" t="str">
        <f t="shared" ca="1" si="72"/>
        <v>0-30 days</v>
      </c>
      <c r="P139" s="2" t="s">
        <v>114</v>
      </c>
      <c r="Q139" s="1">
        <v>46085</v>
      </c>
      <c r="R139" s="1">
        <v>46092</v>
      </c>
      <c r="S139" s="2" t="s">
        <v>115</v>
      </c>
      <c r="T139" s="2" t="s">
        <v>352</v>
      </c>
      <c r="U139" s="2"/>
      <c r="V139" s="2"/>
      <c r="W139" s="36"/>
      <c r="X139" s="2"/>
      <c r="Y139" s="2"/>
      <c r="Z139" s="2"/>
      <c r="AA139" s="2"/>
      <c r="AB139" s="2" t="str">
        <f>VLOOKUP(T139,'[2]Query result'!$F:$G,2,0)</f>
        <v>Outstanding</v>
      </c>
    </row>
    <row r="140" spans="1:28">
      <c r="A140" s="2" t="s">
        <v>61</v>
      </c>
      <c r="B140" s="2" t="s">
        <v>353</v>
      </c>
      <c r="C140" s="29" t="str">
        <f>VLOOKUP(B140,Validation!A:B,2,0)</f>
        <v>APAC</v>
      </c>
      <c r="D140" s="29" t="str">
        <f>VLOOKUP(B140,Validation!A:D,4,0)</f>
        <v>NA</v>
      </c>
      <c r="E140" s="29" t="str">
        <f>VLOOKUP(B140,Validation!A:E,5,0)</f>
        <v>Lisa Sung</v>
      </c>
      <c r="F140" s="29" t="s">
        <v>57</v>
      </c>
      <c r="G140" s="29">
        <f t="shared" si="73"/>
        <v>2026</v>
      </c>
      <c r="H140" s="2" t="s">
        <v>56</v>
      </c>
      <c r="I140" s="2" t="s">
        <v>113</v>
      </c>
      <c r="J140" s="42">
        <f>VLOOKUP(I140,'XE rates'!A:D,4,0)*K140</f>
        <v>25075</v>
      </c>
      <c r="K140" s="64">
        <v>25075</v>
      </c>
      <c r="L140" s="2" t="s">
        <v>275</v>
      </c>
      <c r="M140" s="30" t="str">
        <f t="shared" si="70"/>
        <v>Feb</v>
      </c>
      <c r="N140" s="29">
        <f t="shared" ca="1" si="71"/>
        <v>-8</v>
      </c>
      <c r="O140" s="29" t="str">
        <f t="shared" ca="1" si="72"/>
        <v>0-30 days</v>
      </c>
      <c r="P140" s="2" t="s">
        <v>114</v>
      </c>
      <c r="Q140" s="1">
        <v>46084</v>
      </c>
      <c r="R140" s="1">
        <v>46114</v>
      </c>
      <c r="S140" s="2" t="s">
        <v>164</v>
      </c>
      <c r="T140" s="2" t="s">
        <v>354</v>
      </c>
      <c r="U140" s="2"/>
      <c r="V140" s="2"/>
      <c r="W140" s="36"/>
      <c r="X140" s="2"/>
      <c r="Y140" s="2"/>
      <c r="Z140" s="2"/>
      <c r="AA140" s="2"/>
      <c r="AB140" s="2" t="str">
        <f>VLOOKUP(T140,'[2]Query result'!$F:$G,2,0)</f>
        <v>Invoice Sent</v>
      </c>
    </row>
    <row r="141" spans="1:28">
      <c r="A141" s="2" t="s">
        <v>61</v>
      </c>
      <c r="B141" s="2" t="s">
        <v>60</v>
      </c>
      <c r="C141" s="29" t="str">
        <f>VLOOKUP(B141,Validation!A:B,2,0)</f>
        <v>USA</v>
      </c>
      <c r="D141" s="29" t="str">
        <f>VLOOKUP(B141,Validation!A:D,4,0)</f>
        <v>Lia Susin</v>
      </c>
      <c r="E141" s="29" t="str">
        <f>VLOOKUP(B141,Validation!A:E,5,0)</f>
        <v>Andrew Gyenis</v>
      </c>
      <c r="F141" s="29" t="s">
        <v>57</v>
      </c>
      <c r="G141" s="29">
        <f t="shared" si="73"/>
        <v>2026</v>
      </c>
      <c r="H141" s="2" t="s">
        <v>56</v>
      </c>
      <c r="I141" s="2" t="s">
        <v>113</v>
      </c>
      <c r="J141" s="42">
        <f>VLOOKUP(I141,'XE rates'!A:D,4,0)*K141</f>
        <v>2493.44</v>
      </c>
      <c r="K141" s="64">
        <v>2493.44</v>
      </c>
      <c r="L141" s="2" t="s">
        <v>275</v>
      </c>
      <c r="M141" s="30" t="str">
        <f t="shared" si="70"/>
        <v>Feb</v>
      </c>
      <c r="N141" s="29">
        <f t="shared" ca="1" si="71"/>
        <v>-8</v>
      </c>
      <c r="O141" s="29" t="str">
        <f t="shared" ca="1" si="72"/>
        <v>0-30 days</v>
      </c>
      <c r="P141" s="2" t="s">
        <v>114</v>
      </c>
      <c r="Q141" s="1">
        <v>46084</v>
      </c>
      <c r="R141" s="1">
        <v>46114</v>
      </c>
      <c r="S141" s="2" t="s">
        <v>164</v>
      </c>
      <c r="T141" s="2" t="s">
        <v>355</v>
      </c>
      <c r="U141" s="29" t="s">
        <v>117</v>
      </c>
      <c r="V141" s="2" t="s">
        <v>125</v>
      </c>
      <c r="W141" s="36" t="s">
        <v>58</v>
      </c>
      <c r="X141" s="2"/>
      <c r="Y141" s="2"/>
      <c r="Z141" s="2"/>
      <c r="AA141" s="2"/>
      <c r="AB141" s="2" t="str">
        <f>VLOOKUP(T141,'[2]Query result'!$F:$G,2,0)</f>
        <v>Invoice Sent</v>
      </c>
    </row>
    <row r="142" spans="1:28">
      <c r="A142" s="2" t="s">
        <v>61</v>
      </c>
      <c r="B142" s="2" t="s">
        <v>63</v>
      </c>
      <c r="C142" s="29" t="str">
        <f>VLOOKUP(B142,Validation!A:B,2,0)</f>
        <v>USA</v>
      </c>
      <c r="D142" s="29" t="str">
        <f>VLOOKUP(B142,Validation!A:D,4,0)</f>
        <v>NA</v>
      </c>
      <c r="E142" s="29" t="str">
        <f>VLOOKUP(B142,Validation!A:E,5,0)</f>
        <v>Tyler Reed</v>
      </c>
      <c r="F142" s="29" t="s">
        <v>57</v>
      </c>
      <c r="G142" s="29">
        <f t="shared" si="73"/>
        <v>2026</v>
      </c>
      <c r="H142" s="2" t="s">
        <v>56</v>
      </c>
      <c r="I142" s="2" t="s">
        <v>113</v>
      </c>
      <c r="J142" s="42">
        <f>VLOOKUP(I142,'XE rates'!A:D,4,0)*K142</f>
        <v>532.5</v>
      </c>
      <c r="K142" s="64">
        <v>532.5</v>
      </c>
      <c r="L142" s="2" t="s">
        <v>269</v>
      </c>
      <c r="M142" s="30" t="str">
        <f t="shared" si="70"/>
        <v>Feb</v>
      </c>
      <c r="N142" s="29">
        <f t="shared" ca="1" si="71"/>
        <v>15</v>
      </c>
      <c r="O142" s="29" t="str">
        <f t="shared" ca="1" si="72"/>
        <v>0-30 days</v>
      </c>
      <c r="P142" s="2" t="s">
        <v>114</v>
      </c>
      <c r="Q142" s="1">
        <v>46084</v>
      </c>
      <c r="R142" s="1">
        <v>46091</v>
      </c>
      <c r="S142" s="2" t="s">
        <v>115</v>
      </c>
      <c r="T142" s="2" t="s">
        <v>356</v>
      </c>
      <c r="U142" s="2" t="s">
        <v>117</v>
      </c>
      <c r="V142" s="2" t="s">
        <v>125</v>
      </c>
      <c r="W142" s="36" t="s">
        <v>58</v>
      </c>
      <c r="X142" s="2"/>
      <c r="Y142" s="2"/>
      <c r="Z142" s="2"/>
      <c r="AA142" s="2"/>
      <c r="AB142" s="2" t="str">
        <f>VLOOKUP(T142,'[2]Query result'!$F:$G,2,0)</f>
        <v>Outstanding</v>
      </c>
    </row>
    <row r="143" spans="1:28">
      <c r="A143" s="2" t="s">
        <v>61</v>
      </c>
      <c r="B143" s="2" t="s">
        <v>86</v>
      </c>
      <c r="C143" s="29" t="str">
        <f>VLOOKUP(B143,Validation!A:B,2,0)</f>
        <v>USA</v>
      </c>
      <c r="D143" s="29" t="str">
        <f>VLOOKUP(B143,Validation!A:D,4,0)</f>
        <v>Tanu Arora</v>
      </c>
      <c r="E143" s="29" t="str">
        <f>VLOOKUP(B143,Validation!A:E,5,0)</f>
        <v>NA</v>
      </c>
      <c r="F143" s="29" t="s">
        <v>57</v>
      </c>
      <c r="G143" s="29">
        <f t="shared" si="73"/>
        <v>2026</v>
      </c>
      <c r="H143" s="2" t="s">
        <v>56</v>
      </c>
      <c r="I143" s="2" t="s">
        <v>113</v>
      </c>
      <c r="J143" s="42">
        <f>VLOOKUP(I143,'XE rates'!A:D,4,0)*K143</f>
        <v>-42336.01</v>
      </c>
      <c r="K143" s="64">
        <v>-42336.01</v>
      </c>
      <c r="L143" s="2" t="s">
        <v>275</v>
      </c>
      <c r="M143" s="30" t="str">
        <f t="shared" si="70"/>
        <v>Feb</v>
      </c>
      <c r="N143" s="29">
        <f t="shared" ca="1" si="71"/>
        <v>14</v>
      </c>
      <c r="O143" s="29" t="str">
        <f t="shared" ca="1" si="72"/>
        <v>0-30 days</v>
      </c>
      <c r="P143" s="2" t="s">
        <v>114</v>
      </c>
      <c r="Q143" s="1">
        <v>46085</v>
      </c>
      <c r="R143" s="1">
        <v>46092</v>
      </c>
      <c r="S143" s="2" t="s">
        <v>115</v>
      </c>
      <c r="T143" s="2" t="s">
        <v>357</v>
      </c>
      <c r="U143" s="2"/>
      <c r="V143" s="2"/>
      <c r="W143" s="36"/>
      <c r="X143" s="2"/>
      <c r="Y143" s="2"/>
      <c r="Z143" s="2"/>
      <c r="AA143" s="2"/>
      <c r="AB143" s="2" t="str">
        <f>VLOOKUP(T143,'[2]Query result'!$F:$G,2,0)</f>
        <v>Outstanding</v>
      </c>
    </row>
    <row r="156" spans="6:9">
      <c r="F156" s="72"/>
      <c r="I156" s="72"/>
    </row>
    <row r="157" spans="6:9">
      <c r="F157" s="72"/>
    </row>
  </sheetData>
  <autoFilter ref="A1:AB143" xr:uid="{D6B92A82-F0E8-4346-B54C-8E5D5C11883E}"/>
  <conditionalFormatting sqref="T1:T1048576">
    <cfRule type="duplicateValues" dxfId="32" priority="102"/>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X15"/>
  <sheetViews>
    <sheetView zoomScale="85" zoomScaleNormal="85" workbookViewId="0">
      <selection activeCell="D10" sqref="D10"/>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8" customWidth="1"/>
    <col min="12" max="12" width="13.1796875" style="13"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54296875" customWidth="1"/>
    <col min="21" max="21" width="25.81640625" bestFit="1" customWidth="1"/>
    <col min="22" max="22" width="12.26953125" bestFit="1" customWidth="1"/>
    <col min="23" max="23" width="41.26953125" customWidth="1"/>
    <col min="24" max="24" width="46.81640625" customWidth="1"/>
  </cols>
  <sheetData>
    <row r="1" spans="1:24">
      <c r="A1" s="33" t="s">
        <v>42</v>
      </c>
      <c r="B1" s="33" t="s">
        <v>17</v>
      </c>
      <c r="C1" s="33" t="s">
        <v>14</v>
      </c>
      <c r="D1" s="33" t="s">
        <v>18</v>
      </c>
      <c r="E1" s="33" t="s">
        <v>19</v>
      </c>
      <c r="F1" s="33" t="s">
        <v>44</v>
      </c>
      <c r="G1" s="33" t="s">
        <v>46</v>
      </c>
      <c r="H1" s="33" t="s">
        <v>43</v>
      </c>
      <c r="I1" s="33" t="s">
        <v>98</v>
      </c>
      <c r="J1" s="43" t="s">
        <v>99</v>
      </c>
      <c r="K1" s="55" t="s">
        <v>100</v>
      </c>
      <c r="L1" s="35" t="s">
        <v>101</v>
      </c>
      <c r="M1" s="34" t="s">
        <v>41</v>
      </c>
      <c r="N1" s="33" t="s">
        <v>102</v>
      </c>
      <c r="O1" s="33" t="s">
        <v>103</v>
      </c>
      <c r="P1" s="33" t="s">
        <v>104</v>
      </c>
      <c r="Q1" s="35" t="s">
        <v>105</v>
      </c>
      <c r="R1" s="35" t="s">
        <v>106</v>
      </c>
      <c r="S1" s="33" t="s">
        <v>107</v>
      </c>
      <c r="T1" s="35" t="s">
        <v>108</v>
      </c>
      <c r="U1" s="35" t="s">
        <v>109</v>
      </c>
      <c r="V1" s="35" t="s">
        <v>110</v>
      </c>
      <c r="W1" s="35" t="s">
        <v>45</v>
      </c>
      <c r="X1" s="35" t="s">
        <v>111</v>
      </c>
    </row>
    <row r="2" spans="1:24">
      <c r="A2" s="2" t="s">
        <v>61</v>
      </c>
      <c r="B2" s="2" t="s">
        <v>21</v>
      </c>
      <c r="C2" s="29" t="s">
        <v>11</v>
      </c>
      <c r="D2" s="29" t="s">
        <v>22</v>
      </c>
      <c r="E2" s="29" t="s">
        <v>23</v>
      </c>
      <c r="F2" s="29" t="s">
        <v>57</v>
      </c>
      <c r="G2" s="29">
        <v>2025</v>
      </c>
      <c r="H2" s="2" t="s">
        <v>56</v>
      </c>
      <c r="I2" s="2" t="s">
        <v>113</v>
      </c>
      <c r="J2" s="42">
        <v>-68</v>
      </c>
      <c r="K2" s="56">
        <v>-68</v>
      </c>
      <c r="L2" s="32">
        <v>45870</v>
      </c>
      <c r="M2" s="30" t="s">
        <v>53</v>
      </c>
      <c r="N2" s="29">
        <v>170</v>
      </c>
      <c r="O2" s="29" t="s">
        <v>7</v>
      </c>
      <c r="P2" s="2" t="s">
        <v>272</v>
      </c>
      <c r="Q2" s="1">
        <v>45903</v>
      </c>
      <c r="R2" s="1">
        <v>45910</v>
      </c>
      <c r="S2" s="2" t="s">
        <v>115</v>
      </c>
      <c r="T2" s="2" t="s">
        <v>273</v>
      </c>
      <c r="U2" s="2" t="s">
        <v>125</v>
      </c>
      <c r="V2" s="2" t="s">
        <v>125</v>
      </c>
      <c r="W2" s="2" t="s">
        <v>180</v>
      </c>
      <c r="X2" s="2"/>
    </row>
    <row r="3" spans="1:24">
      <c r="A3" s="2" t="s">
        <v>61</v>
      </c>
      <c r="B3" s="2" t="s">
        <v>24</v>
      </c>
      <c r="C3" s="29" t="s">
        <v>11</v>
      </c>
      <c r="D3" s="29" t="s">
        <v>22</v>
      </c>
      <c r="E3" s="29" t="s">
        <v>25</v>
      </c>
      <c r="F3" s="29" t="s">
        <v>57</v>
      </c>
      <c r="G3" s="29">
        <v>2025</v>
      </c>
      <c r="H3" s="2" t="s">
        <v>56</v>
      </c>
      <c r="I3" s="2" t="s">
        <v>113</v>
      </c>
      <c r="J3" s="42">
        <v>-10</v>
      </c>
      <c r="K3" s="56">
        <v>-10</v>
      </c>
      <c r="L3" s="1">
        <v>45901</v>
      </c>
      <c r="M3" s="30" t="s">
        <v>49</v>
      </c>
      <c r="N3" s="29">
        <v>137</v>
      </c>
      <c r="O3" s="29" t="s">
        <v>7</v>
      </c>
      <c r="P3" s="2" t="s">
        <v>238</v>
      </c>
      <c r="Q3" s="1">
        <v>45936</v>
      </c>
      <c r="R3" s="1">
        <v>45943</v>
      </c>
      <c r="S3" s="2" t="s">
        <v>115</v>
      </c>
      <c r="T3" s="2" t="s">
        <v>331</v>
      </c>
      <c r="U3" s="2" t="s">
        <v>125</v>
      </c>
      <c r="V3" s="2" t="s">
        <v>125</v>
      </c>
      <c r="W3" s="2" t="s">
        <v>180</v>
      </c>
      <c r="X3" s="2"/>
    </row>
    <row r="4" spans="1:24">
      <c r="A4" s="2" t="s">
        <v>61</v>
      </c>
      <c r="B4" s="2" t="s">
        <v>24</v>
      </c>
      <c r="C4" s="29" t="s">
        <v>11</v>
      </c>
      <c r="D4" s="29" t="s">
        <v>22</v>
      </c>
      <c r="E4" s="29" t="s">
        <v>25</v>
      </c>
      <c r="F4" s="29" t="s">
        <v>57</v>
      </c>
      <c r="G4" s="29">
        <v>2025</v>
      </c>
      <c r="H4" s="2" t="s">
        <v>56</v>
      </c>
      <c r="I4" s="2" t="s">
        <v>113</v>
      </c>
      <c r="J4" s="42">
        <v>-25</v>
      </c>
      <c r="K4" s="56">
        <v>-25</v>
      </c>
      <c r="L4" s="1">
        <v>45931</v>
      </c>
      <c r="M4" s="30" t="s">
        <v>50</v>
      </c>
      <c r="N4" s="29">
        <v>107</v>
      </c>
      <c r="O4" s="29" t="s">
        <v>7</v>
      </c>
      <c r="P4" s="2" t="s">
        <v>238</v>
      </c>
      <c r="Q4" s="1">
        <v>45966</v>
      </c>
      <c r="R4" s="1">
        <v>45973</v>
      </c>
      <c r="S4" s="2" t="s">
        <v>115</v>
      </c>
      <c r="T4" s="2" t="s">
        <v>333</v>
      </c>
      <c r="U4" s="2" t="s">
        <v>125</v>
      </c>
      <c r="V4" s="2" t="s">
        <v>125</v>
      </c>
      <c r="W4" s="2" t="s">
        <v>180</v>
      </c>
      <c r="X4" s="2"/>
    </row>
    <row r="5" spans="1:24">
      <c r="A5" s="2" t="s">
        <v>61</v>
      </c>
      <c r="B5" s="2" t="s">
        <v>24</v>
      </c>
      <c r="C5" s="29" t="s">
        <v>11</v>
      </c>
      <c r="D5" s="29" t="s">
        <v>22</v>
      </c>
      <c r="E5" s="29" t="s">
        <v>25</v>
      </c>
      <c r="F5" s="29" t="s">
        <v>57</v>
      </c>
      <c r="G5" s="29">
        <v>2025</v>
      </c>
      <c r="H5" s="2" t="s">
        <v>56</v>
      </c>
      <c r="I5" s="2" t="s">
        <v>113</v>
      </c>
      <c r="J5" s="42">
        <v>-115</v>
      </c>
      <c r="K5" s="56">
        <v>-115</v>
      </c>
      <c r="L5" s="1">
        <v>45962</v>
      </c>
      <c r="M5" s="30" t="s">
        <v>51</v>
      </c>
      <c r="N5" s="29">
        <v>79</v>
      </c>
      <c r="O5" s="29" t="s">
        <v>6</v>
      </c>
      <c r="P5" s="2" t="s">
        <v>238</v>
      </c>
      <c r="Q5" s="1">
        <v>45994</v>
      </c>
      <c r="R5" s="1">
        <v>46001</v>
      </c>
      <c r="S5" s="2" t="s">
        <v>115</v>
      </c>
      <c r="T5" s="2" t="s">
        <v>335</v>
      </c>
      <c r="U5" s="2" t="s">
        <v>125</v>
      </c>
      <c r="V5" s="2" t="s">
        <v>125</v>
      </c>
      <c r="W5" s="2" t="s">
        <v>180</v>
      </c>
      <c r="X5" s="2"/>
    </row>
    <row r="6" spans="1:24">
      <c r="A6" s="2" t="s">
        <v>61</v>
      </c>
      <c r="B6" s="2" t="s">
        <v>24</v>
      </c>
      <c r="C6" s="29" t="s">
        <v>11</v>
      </c>
      <c r="D6" s="29" t="s">
        <v>22</v>
      </c>
      <c r="E6" s="29" t="s">
        <v>25</v>
      </c>
      <c r="F6" s="29" t="s">
        <v>57</v>
      </c>
      <c r="G6" s="29">
        <v>2025</v>
      </c>
      <c r="H6" s="2" t="s">
        <v>56</v>
      </c>
      <c r="I6" s="2" t="s">
        <v>113</v>
      </c>
      <c r="J6" s="42">
        <v>-96</v>
      </c>
      <c r="K6" s="56">
        <v>-96</v>
      </c>
      <c r="L6" s="1">
        <v>45992</v>
      </c>
      <c r="M6" s="30" t="s">
        <v>52</v>
      </c>
      <c r="N6" s="29">
        <v>46</v>
      </c>
      <c r="O6" s="29" t="s">
        <v>5</v>
      </c>
      <c r="P6" s="2" t="s">
        <v>238</v>
      </c>
      <c r="Q6" s="1">
        <v>46027</v>
      </c>
      <c r="R6" s="1">
        <v>46034</v>
      </c>
      <c r="S6" s="2" t="s">
        <v>115</v>
      </c>
      <c r="T6" s="2" t="s">
        <v>337</v>
      </c>
      <c r="U6" s="2" t="s">
        <v>117</v>
      </c>
      <c r="V6" s="2" t="s">
        <v>125</v>
      </c>
      <c r="W6" s="2" t="s">
        <v>180</v>
      </c>
      <c r="X6" s="2"/>
    </row>
    <row r="7" spans="1:24">
      <c r="A7" s="2" t="s">
        <v>61</v>
      </c>
      <c r="B7" s="2" t="s">
        <v>26</v>
      </c>
      <c r="C7" s="29" t="s">
        <v>12</v>
      </c>
      <c r="D7" s="29" t="s">
        <v>27</v>
      </c>
      <c r="E7" s="29" t="s">
        <v>28</v>
      </c>
      <c r="F7" s="29" t="s">
        <v>57</v>
      </c>
      <c r="G7" s="29">
        <v>2025</v>
      </c>
      <c r="H7" s="2" t="s">
        <v>56</v>
      </c>
      <c r="I7" s="2" t="s">
        <v>113</v>
      </c>
      <c r="J7" s="42">
        <v>-527.48510000000533</v>
      </c>
      <c r="K7" s="56">
        <v>-527.48510000000533</v>
      </c>
      <c r="L7" s="1">
        <v>45931</v>
      </c>
      <c r="M7" s="30" t="s">
        <v>50</v>
      </c>
      <c r="N7" s="29">
        <v>106</v>
      </c>
      <c r="O7" s="29" t="s">
        <v>7</v>
      </c>
      <c r="P7" s="2" t="s">
        <v>114</v>
      </c>
      <c r="Q7" s="1">
        <v>45967</v>
      </c>
      <c r="R7" s="1">
        <v>45974</v>
      </c>
      <c r="S7" s="2" t="s">
        <v>115</v>
      </c>
      <c r="T7" s="2" t="s">
        <v>346</v>
      </c>
      <c r="U7" s="2" t="s">
        <v>117</v>
      </c>
      <c r="V7" s="2" t="s">
        <v>125</v>
      </c>
      <c r="W7" s="2" t="s">
        <v>358</v>
      </c>
      <c r="X7" s="2"/>
    </row>
    <row r="8" spans="1:24">
      <c r="A8" s="2" t="s">
        <v>61</v>
      </c>
      <c r="B8" s="2" t="s">
        <v>26</v>
      </c>
      <c r="C8" s="29" t="s">
        <v>12</v>
      </c>
      <c r="D8" s="29" t="s">
        <v>27</v>
      </c>
      <c r="E8" s="29" t="s">
        <v>28</v>
      </c>
      <c r="F8" s="29" t="s">
        <v>57</v>
      </c>
      <c r="G8" s="29">
        <v>2025</v>
      </c>
      <c r="H8" s="2" t="s">
        <v>56</v>
      </c>
      <c r="I8" s="2" t="s">
        <v>113</v>
      </c>
      <c r="J8" s="42">
        <v>-3888.0024000000049</v>
      </c>
      <c r="K8" s="56">
        <v>-3888.0024000000049</v>
      </c>
      <c r="L8" s="1">
        <v>45962</v>
      </c>
      <c r="M8" s="30" t="s">
        <v>51</v>
      </c>
      <c r="N8" s="29">
        <v>78</v>
      </c>
      <c r="O8" s="29" t="s">
        <v>6</v>
      </c>
      <c r="P8" s="2" t="s">
        <v>114</v>
      </c>
      <c r="Q8" s="1">
        <v>45995</v>
      </c>
      <c r="R8" s="1">
        <v>46002</v>
      </c>
      <c r="S8" s="2" t="s">
        <v>115</v>
      </c>
      <c r="T8" s="2" t="s">
        <v>348</v>
      </c>
      <c r="U8" s="2" t="s">
        <v>117</v>
      </c>
      <c r="V8" s="2" t="s">
        <v>125</v>
      </c>
      <c r="W8" s="2" t="s">
        <v>358</v>
      </c>
      <c r="X8" s="2"/>
    </row>
    <row r="9" spans="1:24">
      <c r="A9" s="2" t="s">
        <v>61</v>
      </c>
      <c r="B9" s="2" t="s">
        <v>26</v>
      </c>
      <c r="C9" s="29" t="s">
        <v>12</v>
      </c>
      <c r="D9" s="29" t="s">
        <v>27</v>
      </c>
      <c r="E9" s="29" t="s">
        <v>28</v>
      </c>
      <c r="F9" s="29" t="s">
        <v>57</v>
      </c>
      <c r="G9" s="29">
        <v>2025</v>
      </c>
      <c r="H9" s="2" t="s">
        <v>56</v>
      </c>
      <c r="I9" s="2" t="s">
        <v>113</v>
      </c>
      <c r="J9" s="42">
        <v>-1738.4406000000017</v>
      </c>
      <c r="K9" s="56">
        <v>-1738.4406000000017</v>
      </c>
      <c r="L9" s="1">
        <v>45992</v>
      </c>
      <c r="M9" s="30" t="s">
        <v>52</v>
      </c>
      <c r="N9" s="29">
        <v>45</v>
      </c>
      <c r="O9" s="29" t="s">
        <v>5</v>
      </c>
      <c r="P9" s="2" t="s">
        <v>114</v>
      </c>
      <c r="Q9" s="1">
        <v>46028</v>
      </c>
      <c r="R9" s="1">
        <v>46035</v>
      </c>
      <c r="S9" s="2" t="s">
        <v>115</v>
      </c>
      <c r="T9" s="2" t="s">
        <v>349</v>
      </c>
      <c r="U9" s="2" t="s">
        <v>117</v>
      </c>
      <c r="V9" s="2" t="s">
        <v>125</v>
      </c>
      <c r="W9" s="2" t="s">
        <v>358</v>
      </c>
      <c r="X9" s="2"/>
    </row>
    <row r="10" spans="1:24">
      <c r="A10" s="2" t="s">
        <v>61</v>
      </c>
      <c r="B10" s="2" t="s">
        <v>29</v>
      </c>
      <c r="C10" s="29" t="s">
        <v>12</v>
      </c>
      <c r="D10" s="29" t="s">
        <v>30</v>
      </c>
      <c r="E10" s="29" t="s">
        <v>28</v>
      </c>
      <c r="F10" s="29" t="s">
        <v>57</v>
      </c>
      <c r="G10" s="29">
        <v>2026</v>
      </c>
      <c r="H10" s="2" t="s">
        <v>56</v>
      </c>
      <c r="I10" s="2" t="s">
        <v>226</v>
      </c>
      <c r="J10" s="42">
        <v>-85143.008119189122</v>
      </c>
      <c r="K10" s="56">
        <v>-109615.32439999992</v>
      </c>
      <c r="L10" s="1">
        <v>46023</v>
      </c>
      <c r="M10" s="30" t="s">
        <v>47</v>
      </c>
      <c r="N10" s="29">
        <v>13</v>
      </c>
      <c r="O10" s="29" t="s">
        <v>4</v>
      </c>
      <c r="P10" s="2" t="s">
        <v>114</v>
      </c>
      <c r="Q10" s="1">
        <v>46060</v>
      </c>
      <c r="R10" s="1">
        <v>46067</v>
      </c>
      <c r="S10" s="2" t="s">
        <v>115</v>
      </c>
      <c r="T10" s="2" t="s">
        <v>277</v>
      </c>
      <c r="U10" s="2" t="s">
        <v>117</v>
      </c>
      <c r="V10" s="2" t="s">
        <v>125</v>
      </c>
      <c r="W10" s="2" t="s">
        <v>58</v>
      </c>
      <c r="X10" s="2"/>
    </row>
    <row r="11" spans="1:24">
      <c r="A11" s="2" t="s">
        <v>61</v>
      </c>
      <c r="B11" s="2" t="s">
        <v>31</v>
      </c>
      <c r="C11" s="29" t="s">
        <v>10</v>
      </c>
      <c r="D11" s="29" t="s">
        <v>32</v>
      </c>
      <c r="E11" s="29" t="s">
        <v>33</v>
      </c>
      <c r="F11" s="29" t="s">
        <v>57</v>
      </c>
      <c r="G11" s="29">
        <v>2026</v>
      </c>
      <c r="H11" s="2" t="s">
        <v>56</v>
      </c>
      <c r="I11" s="2" t="s">
        <v>113</v>
      </c>
      <c r="J11" s="42">
        <v>-152.90999999999985</v>
      </c>
      <c r="K11" s="56">
        <v>-152.90999999999985</v>
      </c>
      <c r="L11" s="1">
        <v>46023</v>
      </c>
      <c r="M11" s="30" t="s">
        <v>47</v>
      </c>
      <c r="N11" s="29">
        <v>17</v>
      </c>
      <c r="O11" s="29" t="s">
        <v>4</v>
      </c>
      <c r="P11" s="2" t="s">
        <v>114</v>
      </c>
      <c r="Q11" s="1">
        <v>46056</v>
      </c>
      <c r="R11" s="1">
        <v>46063</v>
      </c>
      <c r="S11" s="2" t="s">
        <v>115</v>
      </c>
      <c r="T11" s="2" t="s">
        <v>307</v>
      </c>
      <c r="U11" s="2" t="s">
        <v>117</v>
      </c>
      <c r="V11" s="2" t="s">
        <v>125</v>
      </c>
      <c r="W11" s="2" t="s">
        <v>58</v>
      </c>
      <c r="X11" s="2"/>
    </row>
    <row r="12" spans="1:24">
      <c r="A12" s="2" t="s">
        <v>61</v>
      </c>
      <c r="B12" s="2" t="s">
        <v>24</v>
      </c>
      <c r="C12" s="29" t="s">
        <v>11</v>
      </c>
      <c r="D12" s="29" t="s">
        <v>22</v>
      </c>
      <c r="E12" s="29" t="s">
        <v>25</v>
      </c>
      <c r="F12" s="29" t="s">
        <v>57</v>
      </c>
      <c r="G12" s="29">
        <v>2026</v>
      </c>
      <c r="H12" s="2" t="s">
        <v>56</v>
      </c>
      <c r="I12" s="2" t="s">
        <v>113</v>
      </c>
      <c r="J12" s="42">
        <v>-52</v>
      </c>
      <c r="K12" s="56">
        <v>-52</v>
      </c>
      <c r="L12" s="1">
        <v>46023</v>
      </c>
      <c r="M12" s="30" t="s">
        <v>47</v>
      </c>
      <c r="N12" s="29">
        <v>14</v>
      </c>
      <c r="O12" s="29" t="s">
        <v>4</v>
      </c>
      <c r="P12" s="2" t="s">
        <v>238</v>
      </c>
      <c r="Q12" s="1">
        <v>46059</v>
      </c>
      <c r="R12" s="1">
        <v>46066</v>
      </c>
      <c r="S12" s="2" t="s">
        <v>115</v>
      </c>
      <c r="T12" s="2" t="s">
        <v>339</v>
      </c>
      <c r="U12" s="2" t="s">
        <v>117</v>
      </c>
      <c r="V12" s="2" t="s">
        <v>125</v>
      </c>
      <c r="W12" s="2" t="s">
        <v>58</v>
      </c>
      <c r="X12" s="2"/>
    </row>
    <row r="13" spans="1:24">
      <c r="A13" s="2" t="s">
        <v>61</v>
      </c>
      <c r="B13" s="2" t="s">
        <v>26</v>
      </c>
      <c r="C13" s="29" t="s">
        <v>12</v>
      </c>
      <c r="D13" s="29" t="s">
        <v>27</v>
      </c>
      <c r="E13" s="29" t="s">
        <v>28</v>
      </c>
      <c r="F13" s="29" t="s">
        <v>57</v>
      </c>
      <c r="G13" s="29">
        <v>2026</v>
      </c>
      <c r="H13" s="2" t="s">
        <v>56</v>
      </c>
      <c r="I13" s="2" t="s">
        <v>113</v>
      </c>
      <c r="J13" s="42">
        <v>-1754.3781999999992</v>
      </c>
      <c r="K13" s="56">
        <v>-1754.3781999999992</v>
      </c>
      <c r="L13" s="1">
        <v>46023</v>
      </c>
      <c r="M13" s="30" t="s">
        <v>47</v>
      </c>
      <c r="N13" s="29">
        <v>13</v>
      </c>
      <c r="O13" s="29" t="s">
        <v>4</v>
      </c>
      <c r="P13" s="2" t="s">
        <v>114</v>
      </c>
      <c r="Q13" s="1">
        <v>46060</v>
      </c>
      <c r="R13" s="1">
        <v>46067</v>
      </c>
      <c r="S13" s="2" t="s">
        <v>115</v>
      </c>
      <c r="T13" s="2" t="s">
        <v>344</v>
      </c>
      <c r="U13" s="2" t="s">
        <v>117</v>
      </c>
      <c r="V13" s="2" t="s">
        <v>125</v>
      </c>
      <c r="W13" s="2" t="s">
        <v>358</v>
      </c>
      <c r="X13" s="2"/>
    </row>
    <row r="14" spans="1:24">
      <c r="A14" s="2" t="s">
        <v>55</v>
      </c>
      <c r="B14" s="2" t="s">
        <v>34</v>
      </c>
      <c r="C14" s="29" t="s">
        <v>10</v>
      </c>
      <c r="D14" s="29" t="s">
        <v>35</v>
      </c>
      <c r="E14" s="29" t="s">
        <v>36</v>
      </c>
      <c r="F14" s="29" t="s">
        <v>57</v>
      </c>
      <c r="G14" s="29">
        <v>2026</v>
      </c>
      <c r="H14" s="2" t="s">
        <v>69</v>
      </c>
      <c r="I14" s="2" t="s">
        <v>113</v>
      </c>
      <c r="J14" s="42">
        <v>-105.02</v>
      </c>
      <c r="K14" s="51">
        <v>-105.02</v>
      </c>
      <c r="L14" s="1">
        <v>46023</v>
      </c>
      <c r="M14" s="30" t="s">
        <v>47</v>
      </c>
      <c r="N14" s="29">
        <v>-27</v>
      </c>
      <c r="O14" s="29" t="s">
        <v>4</v>
      </c>
      <c r="P14" s="2" t="s">
        <v>238</v>
      </c>
      <c r="Q14" s="1">
        <v>46079</v>
      </c>
      <c r="R14" s="1">
        <v>46107</v>
      </c>
      <c r="S14" s="2" t="s">
        <v>164</v>
      </c>
      <c r="T14" s="2" t="s">
        <v>359</v>
      </c>
      <c r="U14" s="2" t="s">
        <v>125</v>
      </c>
      <c r="V14" s="2" t="s">
        <v>125</v>
      </c>
      <c r="W14" s="2" t="s">
        <v>180</v>
      </c>
      <c r="X14" s="2"/>
    </row>
    <row r="15" spans="1:24">
      <c r="I15" s="58" t="s">
        <v>40</v>
      </c>
      <c r="J15" s="59">
        <f>SUM(J2:J14)</f>
        <v>-93675.244419189155</v>
      </c>
    </row>
  </sheetData>
  <conditionalFormatting sqref="T2:T9">
    <cfRule type="duplicateValues" dxfId="31" priority="1"/>
  </conditionalFormatting>
  <conditionalFormatting sqref="T10:T14 T1">
    <cfRule type="duplicateValues" dxfId="3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89"/>
  <sheetViews>
    <sheetView workbookViewId="0">
      <selection sqref="A1:D189"/>
    </sheetView>
  </sheetViews>
  <sheetFormatPr defaultRowHeight="14.5"/>
  <sheetData>
    <row r="1" spans="1:4">
      <c r="A1" s="23" t="s">
        <v>98</v>
      </c>
      <c r="B1" s="24" t="s">
        <v>360</v>
      </c>
      <c r="C1" s="24" t="s">
        <v>361</v>
      </c>
      <c r="D1" s="25" t="s">
        <v>362</v>
      </c>
    </row>
    <row r="2" spans="1:4" ht="15" thickBot="1">
      <c r="A2" s="17" t="s">
        <v>113</v>
      </c>
      <c r="B2" s="26" t="s">
        <v>363</v>
      </c>
      <c r="C2" s="26">
        <v>1</v>
      </c>
      <c r="D2" s="27">
        <v>1</v>
      </c>
    </row>
    <row r="3" spans="1:4" ht="15" thickBot="1">
      <c r="A3" s="17" t="s">
        <v>203</v>
      </c>
      <c r="B3" s="26" t="s">
        <v>364</v>
      </c>
      <c r="C3" s="26">
        <v>0.86332851759352403</v>
      </c>
      <c r="D3" s="27">
        <v>1.15830761943024</v>
      </c>
    </row>
    <row r="4" spans="1:4" ht="15" thickBot="1">
      <c r="A4" s="17" t="s">
        <v>146</v>
      </c>
      <c r="B4" s="26" t="s">
        <v>365</v>
      </c>
      <c r="C4" s="26">
        <v>0.74795018627531495</v>
      </c>
      <c r="D4" s="27">
        <v>1.33698743358813</v>
      </c>
    </row>
    <row r="5" spans="1:4" ht="15" thickBot="1">
      <c r="A5" s="17" t="s">
        <v>366</v>
      </c>
      <c r="B5" s="26" t="s">
        <v>367</v>
      </c>
      <c r="C5" s="26">
        <v>90.7255604633974</v>
      </c>
      <c r="D5" s="27">
        <v>1.1022252107259701E-2</v>
      </c>
    </row>
    <row r="6" spans="1:4" ht="15" thickBot="1">
      <c r="A6" s="17" t="s">
        <v>127</v>
      </c>
      <c r="B6" s="26" t="s">
        <v>368</v>
      </c>
      <c r="C6" s="26">
        <v>1.4937234163354201</v>
      </c>
      <c r="D6" s="27">
        <v>0.66946798119648898</v>
      </c>
    </row>
    <row r="7" spans="1:4" ht="15" thickBot="1">
      <c r="A7" s="17" t="s">
        <v>219</v>
      </c>
      <c r="B7" s="26" t="s">
        <v>369</v>
      </c>
      <c r="C7" s="26">
        <v>1.3917132870084701</v>
      </c>
      <c r="D7" s="27">
        <v>0.71853880345536103</v>
      </c>
    </row>
    <row r="8" spans="1:4" ht="15" thickBot="1">
      <c r="A8" s="17" t="s">
        <v>226</v>
      </c>
      <c r="B8" s="26" t="s">
        <v>370</v>
      </c>
      <c r="C8" s="26">
        <v>1.28742602383219</v>
      </c>
      <c r="D8" s="27">
        <v>0.77674365865571604</v>
      </c>
    </row>
    <row r="9" spans="1:4" ht="15" thickBot="1">
      <c r="A9" s="17" t="s">
        <v>371</v>
      </c>
      <c r="B9" s="26" t="s">
        <v>372</v>
      </c>
      <c r="C9" s="26">
        <v>0.802601939251531</v>
      </c>
      <c r="D9" s="27">
        <v>1.24594764988052</v>
      </c>
    </row>
    <row r="10" spans="1:4" ht="15" thickBot="1">
      <c r="A10" s="17" t="s">
        <v>373</v>
      </c>
      <c r="B10" s="26" t="s">
        <v>374</v>
      </c>
      <c r="C10" s="26">
        <v>4.0571159243179498</v>
      </c>
      <c r="D10" s="27">
        <v>0.24648050946883099</v>
      </c>
    </row>
    <row r="11" spans="1:4" ht="15" thickBot="1">
      <c r="A11" s="17" t="s">
        <v>375</v>
      </c>
      <c r="B11" s="26" t="s">
        <v>376</v>
      </c>
      <c r="C11" s="26">
        <v>158.30924187616799</v>
      </c>
      <c r="D11" s="27">
        <v>6.31675060880029E-3</v>
      </c>
    </row>
    <row r="12" spans="1:4" ht="15" thickBot="1">
      <c r="A12" s="17" t="s">
        <v>377</v>
      </c>
      <c r="B12" s="26" t="s">
        <v>378</v>
      </c>
      <c r="C12" s="26">
        <v>6.9689280619704697</v>
      </c>
      <c r="D12" s="27">
        <v>0.143494091359187</v>
      </c>
    </row>
    <row r="13" spans="1:4" ht="15" thickBot="1">
      <c r="A13" s="17" t="s">
        <v>379</v>
      </c>
      <c r="B13" s="26" t="s">
        <v>380</v>
      </c>
      <c r="C13" s="26">
        <v>1.7386016333558201</v>
      </c>
      <c r="D13" s="27">
        <v>0.57517488814836304</v>
      </c>
    </row>
    <row r="14" spans="1:4" ht="15" thickBot="1">
      <c r="A14" s="17" t="s">
        <v>381</v>
      </c>
      <c r="B14" s="26" t="s">
        <v>382</v>
      </c>
      <c r="C14" s="26">
        <v>31.403352360655902</v>
      </c>
      <c r="D14" s="27">
        <v>3.1843734022895601E-2</v>
      </c>
    </row>
    <row r="15" spans="1:4" ht="15" thickBot="1">
      <c r="A15" s="17" t="s">
        <v>383</v>
      </c>
      <c r="B15" s="26" t="s">
        <v>384</v>
      </c>
      <c r="C15" s="26">
        <v>332.01060443199799</v>
      </c>
      <c r="D15" s="27">
        <v>3.0119519878312102E-3</v>
      </c>
    </row>
    <row r="16" spans="1:4" ht="15" thickBot="1">
      <c r="A16" s="17" t="s">
        <v>385</v>
      </c>
      <c r="B16" s="26" t="s">
        <v>386</v>
      </c>
      <c r="C16" s="26">
        <v>3.6724999999999999</v>
      </c>
      <c r="D16" s="27">
        <v>0.27229407760381202</v>
      </c>
    </row>
    <row r="17" spans="1:4" ht="15" thickBot="1">
      <c r="A17" s="17" t="s">
        <v>387</v>
      </c>
      <c r="B17" s="26" t="s">
        <v>388</v>
      </c>
      <c r="C17" s="26">
        <v>7.7983679720627999</v>
      </c>
      <c r="D17" s="27">
        <v>0.128231958735781</v>
      </c>
    </row>
    <row r="18" spans="1:4" ht="15" thickBot="1">
      <c r="A18" s="17" t="s">
        <v>389</v>
      </c>
      <c r="B18" s="26" t="s">
        <v>390</v>
      </c>
      <c r="C18" s="26">
        <v>17.633512861489201</v>
      </c>
      <c r="D18" s="27">
        <v>5.6710197670479599E-2</v>
      </c>
    </row>
    <row r="19" spans="1:4" ht="15" thickBot="1">
      <c r="A19" s="17" t="s">
        <v>391</v>
      </c>
      <c r="B19" s="26" t="s">
        <v>392</v>
      </c>
      <c r="C19" s="26">
        <v>16.4428379153963</v>
      </c>
      <c r="D19" s="27">
        <v>6.0816752262919598E-2</v>
      </c>
    </row>
    <row r="20" spans="1:4" ht="15" thickBot="1">
      <c r="A20" s="17" t="s">
        <v>393</v>
      </c>
      <c r="B20" s="26" t="s">
        <v>394</v>
      </c>
      <c r="C20" s="26">
        <v>59.390383088343199</v>
      </c>
      <c r="D20" s="27">
        <v>1.6837742880231901E-2</v>
      </c>
    </row>
    <row r="21" spans="1:4" ht="15" thickBot="1">
      <c r="A21" s="17" t="s">
        <v>395</v>
      </c>
      <c r="B21" s="26" t="s">
        <v>396</v>
      </c>
      <c r="C21" s="26">
        <v>9.2224502729053004</v>
      </c>
      <c r="D21" s="27">
        <v>0.108431053614667</v>
      </c>
    </row>
    <row r="22" spans="1:4" ht="15" thickBot="1">
      <c r="A22" s="17" t="s">
        <v>142</v>
      </c>
      <c r="B22" s="26" t="s">
        <v>397</v>
      </c>
      <c r="C22" s="26">
        <v>16890.187940412001</v>
      </c>
      <c r="D22" s="27">
        <v>5.9205972338967399E-5</v>
      </c>
    </row>
    <row r="23" spans="1:4" ht="15" thickBot="1">
      <c r="A23" s="17" t="s">
        <v>398</v>
      </c>
      <c r="B23" s="26" t="s">
        <v>399</v>
      </c>
      <c r="C23" s="26">
        <v>5.3699209321742503</v>
      </c>
      <c r="D23" s="27">
        <v>0.186222481230297</v>
      </c>
    </row>
    <row r="24" spans="1:4" ht="15" thickBot="1">
      <c r="A24" s="17" t="s">
        <v>400</v>
      </c>
      <c r="B24" s="26" t="s">
        <v>401</v>
      </c>
      <c r="C24" s="26">
        <v>3.75</v>
      </c>
      <c r="D24" s="27">
        <v>0.266666666666666</v>
      </c>
    </row>
    <row r="25" spans="1:4" ht="15" thickBot="1">
      <c r="A25" s="17" t="s">
        <v>402</v>
      </c>
      <c r="B25" s="26" t="s">
        <v>403</v>
      </c>
      <c r="C25" s="26">
        <v>43.291782256654898</v>
      </c>
      <c r="D25" s="27">
        <v>2.30990721072999E-2</v>
      </c>
    </row>
    <row r="26" spans="1:4" ht="15" thickBot="1">
      <c r="A26" s="17" t="s">
        <v>404</v>
      </c>
      <c r="B26" s="26" t="s">
        <v>405</v>
      </c>
      <c r="C26" s="26">
        <v>129.02504805674599</v>
      </c>
      <c r="D26" s="27">
        <v>7.7504330752908596E-3</v>
      </c>
    </row>
    <row r="27" spans="1:4" ht="15" thickBot="1">
      <c r="A27" s="17" t="s">
        <v>406</v>
      </c>
      <c r="B27" s="26" t="s">
        <v>407</v>
      </c>
      <c r="C27" s="26">
        <v>1473.5676450001499</v>
      </c>
      <c r="D27" s="27">
        <v>6.7862510648426604E-4</v>
      </c>
    </row>
    <row r="28" spans="1:4" ht="15" thickBot="1">
      <c r="A28" s="17" t="s">
        <v>408</v>
      </c>
      <c r="B28" s="26" t="s">
        <v>409</v>
      </c>
      <c r="C28" s="26">
        <v>47.253185268525698</v>
      </c>
      <c r="D28" s="27">
        <v>2.1162594528121199E-2</v>
      </c>
    </row>
    <row r="29" spans="1:4" ht="15" thickBot="1">
      <c r="A29" s="17" t="s">
        <v>410</v>
      </c>
      <c r="B29" s="26" t="s">
        <v>411</v>
      </c>
      <c r="C29" s="26">
        <v>1310.1946660762001</v>
      </c>
      <c r="D29" s="27">
        <v>7.6324536032101203E-4</v>
      </c>
    </row>
    <row r="30" spans="1:4" ht="15" thickBot="1">
      <c r="A30" s="17" t="s">
        <v>412</v>
      </c>
      <c r="B30" s="26" t="s">
        <v>413</v>
      </c>
      <c r="C30" s="26">
        <v>10.0961353011557</v>
      </c>
      <c r="D30" s="27">
        <v>9.9047800982374298E-2</v>
      </c>
    </row>
    <row r="31" spans="1:4" ht="15" thickBot="1">
      <c r="A31" s="17" t="s">
        <v>414</v>
      </c>
      <c r="B31" s="26" t="s">
        <v>415</v>
      </c>
      <c r="C31" s="26">
        <v>0.30754743078237801</v>
      </c>
      <c r="D31" s="27">
        <v>3.2515309832245101</v>
      </c>
    </row>
    <row r="32" spans="1:4" ht="15" thickBot="1">
      <c r="A32" s="17" t="s">
        <v>416</v>
      </c>
      <c r="B32" s="26" t="s">
        <v>417</v>
      </c>
      <c r="C32" s="26">
        <v>77.846324276423701</v>
      </c>
      <c r="D32" s="27">
        <v>1.2845821678736E-2</v>
      </c>
    </row>
    <row r="33" spans="1:4" ht="15" thickBot="1">
      <c r="A33" s="17" t="s">
        <v>418</v>
      </c>
      <c r="B33" s="26" t="s">
        <v>419</v>
      </c>
      <c r="C33" s="26">
        <v>6.44157051470994</v>
      </c>
      <c r="D33" s="27">
        <v>0.155241644520758</v>
      </c>
    </row>
    <row r="34" spans="1:4" ht="15" thickBot="1">
      <c r="A34" s="17" t="s">
        <v>420</v>
      </c>
      <c r="B34" s="26" t="s">
        <v>421</v>
      </c>
      <c r="C34" s="26">
        <v>279.84213013753401</v>
      </c>
      <c r="D34" s="27">
        <v>3.5734433536098601E-3</v>
      </c>
    </row>
    <row r="35" spans="1:4" ht="15" thickBot="1">
      <c r="A35" s="17" t="s">
        <v>422</v>
      </c>
      <c r="B35" s="26" t="s">
        <v>423</v>
      </c>
      <c r="C35" s="26">
        <v>3.14449460624928</v>
      </c>
      <c r="D35" s="27">
        <v>0.318016128255595</v>
      </c>
    </row>
    <row r="36" spans="1:4" ht="15" thickBot="1">
      <c r="A36" s="17" t="s">
        <v>424</v>
      </c>
      <c r="B36" s="26" t="s">
        <v>425</v>
      </c>
      <c r="C36" s="26">
        <v>3.63739342040087</v>
      </c>
      <c r="D36" s="27">
        <v>0.27492214463009301</v>
      </c>
    </row>
    <row r="37" spans="1:4" ht="15" thickBot="1">
      <c r="A37" s="17" t="s">
        <v>426</v>
      </c>
      <c r="B37" s="26" t="s">
        <v>427</v>
      </c>
      <c r="C37" s="26">
        <v>3.64</v>
      </c>
      <c r="D37" s="27">
        <v>0.27472527472527403</v>
      </c>
    </row>
    <row r="38" spans="1:4" ht="15" thickBot="1">
      <c r="A38" s="17" t="s">
        <v>428</v>
      </c>
      <c r="B38" s="26" t="s">
        <v>429</v>
      </c>
      <c r="C38" s="26">
        <v>2.1761488547268401E-4</v>
      </c>
      <c r="D38" s="27">
        <v>4595.27388408143</v>
      </c>
    </row>
    <row r="39" spans="1:4" ht="15" thickBot="1">
      <c r="A39" s="17" t="s">
        <v>430</v>
      </c>
      <c r="B39" s="26" t="s">
        <v>431</v>
      </c>
      <c r="C39" s="26">
        <v>0.384688766998797</v>
      </c>
      <c r="D39" s="27">
        <v>2.5995040297163801</v>
      </c>
    </row>
    <row r="40" spans="1:4" ht="15" thickBot="1">
      <c r="A40" s="17" t="s">
        <v>432</v>
      </c>
      <c r="B40" s="26" t="s">
        <v>433</v>
      </c>
      <c r="C40" s="26">
        <v>3693.6449615850001</v>
      </c>
      <c r="D40" s="27">
        <v>2.7073527921613798E-4</v>
      </c>
    </row>
    <row r="41" spans="1:4" ht="15" thickBot="1">
      <c r="A41" s="17" t="s">
        <v>434</v>
      </c>
      <c r="B41" s="26" t="s">
        <v>435</v>
      </c>
      <c r="C41" s="26">
        <v>886.62358162478199</v>
      </c>
      <c r="D41" s="27">
        <v>1.1278743547148201E-3</v>
      </c>
    </row>
    <row r="42" spans="1:4" ht="15" thickBot="1">
      <c r="A42" s="17" t="s">
        <v>436</v>
      </c>
      <c r="B42" s="26" t="s">
        <v>437</v>
      </c>
      <c r="C42" s="26">
        <v>31.635115245569501</v>
      </c>
      <c r="D42" s="27">
        <v>3.1610442770239201E-2</v>
      </c>
    </row>
    <row r="43" spans="1:4" ht="15" thickBot="1">
      <c r="A43" s="17" t="s">
        <v>438</v>
      </c>
      <c r="B43" s="26" t="s">
        <v>439</v>
      </c>
      <c r="C43" s="26">
        <v>1428.03585330948</v>
      </c>
      <c r="D43" s="27">
        <v>7.0026253030166803E-4</v>
      </c>
    </row>
    <row r="44" spans="1:4" ht="15" thickBot="1">
      <c r="A44" s="17" t="s">
        <v>440</v>
      </c>
      <c r="B44" s="26" t="s">
        <v>441</v>
      </c>
      <c r="C44" s="26">
        <v>20.912671361874398</v>
      </c>
      <c r="D44" s="27">
        <v>4.7817898665164303E-2</v>
      </c>
    </row>
    <row r="45" spans="1:4" ht="15" thickBot="1">
      <c r="A45" s="17" t="s">
        <v>442</v>
      </c>
      <c r="B45" s="26" t="s">
        <v>443</v>
      </c>
      <c r="C45" s="26">
        <v>26267.084603644998</v>
      </c>
      <c r="D45" s="27">
        <v>3.80704602390944E-5</v>
      </c>
    </row>
    <row r="46" spans="1:4" ht="15" thickBot="1">
      <c r="A46" s="17" t="s">
        <v>444</v>
      </c>
      <c r="B46" s="26" t="s">
        <v>445</v>
      </c>
      <c r="C46" s="26">
        <v>9.2214935576988104</v>
      </c>
      <c r="D46" s="27">
        <v>0.10844230316304</v>
      </c>
    </row>
    <row r="47" spans="1:4" ht="15" thickBot="1">
      <c r="A47" s="17" t="s">
        <v>446</v>
      </c>
      <c r="B47" s="26" t="s">
        <v>447</v>
      </c>
      <c r="C47" s="26">
        <v>0.70899999999999996</v>
      </c>
      <c r="D47" s="27">
        <v>1.4104372355430099</v>
      </c>
    </row>
    <row r="48" spans="1:4" ht="15" thickBot="1">
      <c r="A48" s="17" t="s">
        <v>448</v>
      </c>
      <c r="B48" s="26" t="s">
        <v>449</v>
      </c>
      <c r="C48" s="26">
        <v>0.376</v>
      </c>
      <c r="D48" s="27">
        <v>2.6595744680851001</v>
      </c>
    </row>
    <row r="49" spans="1:4" ht="15" thickBot="1">
      <c r="A49" s="17" t="s">
        <v>450</v>
      </c>
      <c r="B49" s="26" t="s">
        <v>451</v>
      </c>
      <c r="C49" s="26">
        <v>566.30638441509495</v>
      </c>
      <c r="D49" s="27">
        <v>1.7658285824074501E-3</v>
      </c>
    </row>
    <row r="50" spans="1:4" ht="15" thickBot="1">
      <c r="A50" s="17" t="s">
        <v>452</v>
      </c>
      <c r="B50" s="26" t="s">
        <v>453</v>
      </c>
      <c r="C50" s="26">
        <v>309.64495014877099</v>
      </c>
      <c r="D50" s="27">
        <v>3.2295052753792399E-3</v>
      </c>
    </row>
    <row r="51" spans="1:4" ht="15" thickBot="1">
      <c r="A51" s="17" t="s">
        <v>454</v>
      </c>
      <c r="B51" s="26" t="s">
        <v>455</v>
      </c>
      <c r="C51" s="26">
        <v>43.431569533586497</v>
      </c>
      <c r="D51" s="27">
        <v>2.3024726270292301E-2</v>
      </c>
    </row>
    <row r="52" spans="1:4" ht="15" thickBot="1">
      <c r="A52" s="17" t="s">
        <v>456</v>
      </c>
      <c r="B52" s="26" t="s">
        <v>457</v>
      </c>
      <c r="C52" s="26">
        <v>1417.8414449171401</v>
      </c>
      <c r="D52" s="27">
        <v>7.0529748131212201E-4</v>
      </c>
    </row>
    <row r="53" spans="1:4" ht="15" thickBot="1">
      <c r="A53" s="17" t="s">
        <v>458</v>
      </c>
      <c r="B53" s="26" t="s">
        <v>459</v>
      </c>
      <c r="C53" s="26">
        <v>2.89474953895277</v>
      </c>
      <c r="D53" s="27">
        <v>0.34545303023410001</v>
      </c>
    </row>
    <row r="54" spans="1:4" ht="15" thickBot="1">
      <c r="A54" s="17" t="s">
        <v>460</v>
      </c>
      <c r="B54" s="26" t="s">
        <v>461</v>
      </c>
      <c r="C54" s="26">
        <v>3560.3273150561599</v>
      </c>
      <c r="D54" s="27">
        <v>2.8087305225312501E-4</v>
      </c>
    </row>
    <row r="55" spans="1:4" ht="15" thickBot="1">
      <c r="A55" s="17" t="s">
        <v>462</v>
      </c>
      <c r="B55" s="26" t="s">
        <v>463</v>
      </c>
      <c r="C55" s="26">
        <v>4.38742097277885</v>
      </c>
      <c r="D55" s="27">
        <v>0.22792433327104</v>
      </c>
    </row>
    <row r="56" spans="1:4" ht="15" thickBot="1">
      <c r="A56" s="17" t="s">
        <v>464</v>
      </c>
      <c r="B56" s="26" t="s">
        <v>465</v>
      </c>
      <c r="C56" s="26">
        <v>122.338236703855</v>
      </c>
      <c r="D56" s="27">
        <v>8.1740592879452692E-3</v>
      </c>
    </row>
    <row r="57" spans="1:4" ht="15" thickBot="1">
      <c r="A57" s="17" t="s">
        <v>466</v>
      </c>
      <c r="B57" s="26" t="s">
        <v>467</v>
      </c>
      <c r="C57" s="26">
        <v>3.3610339764459098</v>
      </c>
      <c r="D57" s="27">
        <v>0.29752748916196198</v>
      </c>
    </row>
    <row r="58" spans="1:4" ht="15" thickBot="1">
      <c r="A58" s="17" t="s">
        <v>468</v>
      </c>
      <c r="B58" s="26" t="s">
        <v>469</v>
      </c>
      <c r="C58" s="26">
        <v>2.6919654062417</v>
      </c>
      <c r="D58" s="27">
        <v>0.37147579893907801</v>
      </c>
    </row>
    <row r="59" spans="1:4" ht="15" thickBot="1">
      <c r="A59" s="17" t="s">
        <v>470</v>
      </c>
      <c r="B59" s="26" t="s">
        <v>471</v>
      </c>
      <c r="C59" s="26">
        <v>566.30638441509495</v>
      </c>
      <c r="D59" s="27">
        <v>1.7658285824074501E-3</v>
      </c>
    </row>
    <row r="60" spans="1:4" ht="15" thickBot="1">
      <c r="A60" s="17" t="s">
        <v>472</v>
      </c>
      <c r="B60" s="26" t="s">
        <v>473</v>
      </c>
      <c r="C60" s="26">
        <v>2.2795789241790199</v>
      </c>
      <c r="D60" s="27">
        <v>0.43867750723311499</v>
      </c>
    </row>
    <row r="61" spans="1:4" ht="15" thickBot="1">
      <c r="A61" s="17" t="s">
        <v>474</v>
      </c>
      <c r="B61" s="26" t="s">
        <v>475</v>
      </c>
      <c r="C61" s="26">
        <v>342.66355734621197</v>
      </c>
      <c r="D61" s="27">
        <v>2.9183144182141399E-3</v>
      </c>
    </row>
    <row r="62" spans="1:4" ht="15" thickBot="1">
      <c r="A62" s="17" t="s">
        <v>476</v>
      </c>
      <c r="B62" s="26" t="s">
        <v>477</v>
      </c>
      <c r="C62" s="26">
        <v>2.8842644166448799</v>
      </c>
      <c r="D62" s="27">
        <v>0.34670885034987398</v>
      </c>
    </row>
    <row r="63" spans="1:4" ht="15" thickBot="1">
      <c r="A63" s="17" t="s">
        <v>478</v>
      </c>
      <c r="B63" s="26" t="s">
        <v>479</v>
      </c>
      <c r="C63" s="26">
        <v>11964.618602245901</v>
      </c>
      <c r="D63" s="27">
        <v>8.3579764073071598E-5</v>
      </c>
    </row>
    <row r="64" spans="1:4" ht="15" thickBot="1">
      <c r="A64" s="17" t="s">
        <v>480</v>
      </c>
      <c r="B64" s="26" t="s">
        <v>481</v>
      </c>
      <c r="C64" s="26">
        <v>130.30550433652101</v>
      </c>
      <c r="D64" s="27">
        <v>7.6742728950071198E-3</v>
      </c>
    </row>
    <row r="65" spans="1:4" ht="15" thickBot="1">
      <c r="A65" s="17" t="s">
        <v>482</v>
      </c>
      <c r="B65" s="26" t="s">
        <v>483</v>
      </c>
      <c r="C65" s="26">
        <v>1064638.4774297799</v>
      </c>
      <c r="D65" s="54">
        <v>9.3928598411562405E-7</v>
      </c>
    </row>
    <row r="66" spans="1:4" ht="15" thickBot="1">
      <c r="A66" s="17" t="s">
        <v>484</v>
      </c>
      <c r="B66" s="26" t="s">
        <v>485</v>
      </c>
      <c r="C66" s="26">
        <v>63.5007411022412</v>
      </c>
      <c r="D66" s="27">
        <v>1.5747847704484501E-2</v>
      </c>
    </row>
    <row r="67" spans="1:4" ht="15" thickBot="1">
      <c r="A67" s="17" t="s">
        <v>486</v>
      </c>
      <c r="B67" s="26" t="s">
        <v>487</v>
      </c>
      <c r="C67" s="26">
        <v>126.047388237864</v>
      </c>
      <c r="D67" s="27">
        <v>7.9335241608726806E-3</v>
      </c>
    </row>
    <row r="68" spans="1:4" ht="15" thickBot="1">
      <c r="A68" s="17" t="s">
        <v>488</v>
      </c>
      <c r="B68" s="26" t="s">
        <v>489</v>
      </c>
      <c r="C68" s="26">
        <v>488.90449782010501</v>
      </c>
      <c r="D68" s="27">
        <v>2.0453892415773002E-3</v>
      </c>
    </row>
    <row r="69" spans="1:4" ht="15" thickBot="1">
      <c r="A69" s="17" t="s">
        <v>490</v>
      </c>
      <c r="B69" s="26" t="s">
        <v>491</v>
      </c>
      <c r="C69" s="26">
        <v>1.10960397497237E-2</v>
      </c>
      <c r="D69" s="27">
        <v>90.122243841537795</v>
      </c>
    </row>
    <row r="70" spans="1:4" ht="15" thickBot="1">
      <c r="A70" s="17" t="s">
        <v>492</v>
      </c>
      <c r="B70" s="26" t="s">
        <v>493</v>
      </c>
      <c r="C70" s="26">
        <v>110.57747801196901</v>
      </c>
      <c r="D70" s="27">
        <v>9.0434328760125894E-3</v>
      </c>
    </row>
    <row r="71" spans="1:4" ht="15" thickBot="1">
      <c r="A71" s="17" t="s">
        <v>494</v>
      </c>
      <c r="B71" s="26" t="s">
        <v>495</v>
      </c>
      <c r="C71" s="26">
        <v>157.58462721383501</v>
      </c>
      <c r="D71" s="27">
        <v>6.3457966533946603E-3</v>
      </c>
    </row>
    <row r="72" spans="1:4" ht="15" thickBot="1">
      <c r="A72" s="17" t="s">
        <v>496</v>
      </c>
      <c r="B72" s="26" t="s">
        <v>497</v>
      </c>
      <c r="C72" s="26">
        <v>5.4308837773983401</v>
      </c>
      <c r="D72" s="27">
        <v>0.184132093594359</v>
      </c>
    </row>
    <row r="73" spans="1:4" ht="15" thickBot="1">
      <c r="A73" s="17" t="s">
        <v>498</v>
      </c>
      <c r="B73" s="26" t="s">
        <v>499</v>
      </c>
      <c r="C73" s="26">
        <v>10.8175755941405</v>
      </c>
      <c r="D73" s="27">
        <v>9.2442155018696001E-2</v>
      </c>
    </row>
    <row r="74" spans="1:4" ht="15" thickBot="1">
      <c r="A74" s="17" t="s">
        <v>500</v>
      </c>
      <c r="B74" s="26" t="s">
        <v>501</v>
      </c>
      <c r="C74" s="26">
        <v>46.300965853270696</v>
      </c>
      <c r="D74" s="27">
        <v>2.1597821591217599E-2</v>
      </c>
    </row>
    <row r="75" spans="1:4" ht="15" thickBot="1">
      <c r="A75" s="17" t="s">
        <v>502</v>
      </c>
      <c r="B75" s="26" t="s">
        <v>503</v>
      </c>
      <c r="C75" s="26">
        <v>912.62578689704401</v>
      </c>
      <c r="D75" s="27">
        <v>1.09573936476201E-3</v>
      </c>
    </row>
    <row r="76" spans="1:4" ht="15" thickBot="1">
      <c r="A76" s="17" t="s">
        <v>504</v>
      </c>
      <c r="B76" s="26" t="s">
        <v>505</v>
      </c>
      <c r="C76" s="26">
        <v>38.652654656151903</v>
      </c>
      <c r="D76" s="27">
        <v>2.5871444248676899E-2</v>
      </c>
    </row>
    <row r="77" spans="1:4" ht="15" thickBot="1">
      <c r="A77" s="17" t="s">
        <v>506</v>
      </c>
      <c r="B77" s="26" t="s">
        <v>507</v>
      </c>
      <c r="C77" s="26">
        <v>66.377452992272893</v>
      </c>
      <c r="D77" s="27">
        <v>1.50653566071058E-2</v>
      </c>
    </row>
    <row r="78" spans="1:4" ht="15" thickBot="1">
      <c r="A78" s="17" t="s">
        <v>508</v>
      </c>
      <c r="B78" s="26" t="s">
        <v>509</v>
      </c>
      <c r="C78" s="26">
        <v>89858.076821694296</v>
      </c>
      <c r="D78" s="27">
        <v>1.11286601646761E-5</v>
      </c>
    </row>
    <row r="79" spans="1:4" ht="15" thickBot="1">
      <c r="A79" s="17" t="s">
        <v>510</v>
      </c>
      <c r="B79" s="26" t="s">
        <v>511</v>
      </c>
      <c r="C79" s="26">
        <v>103.022496132501</v>
      </c>
      <c r="D79" s="27">
        <v>9.7066178508610004E-3</v>
      </c>
    </row>
    <row r="80" spans="1:4" ht="15" thickBot="1">
      <c r="A80" s="17" t="s">
        <v>512</v>
      </c>
      <c r="B80" s="26" t="s">
        <v>513</v>
      </c>
      <c r="C80" s="26">
        <v>6.75829639119089</v>
      </c>
      <c r="D80" s="27">
        <v>0.14796628353018801</v>
      </c>
    </row>
    <row r="81" spans="1:4" ht="15" thickBot="1">
      <c r="A81" s="17" t="s">
        <v>514</v>
      </c>
      <c r="B81" s="26" t="s">
        <v>515</v>
      </c>
      <c r="C81" s="26">
        <v>2506.0943218879402</v>
      </c>
      <c r="D81" s="27">
        <v>3.9902727972611102E-4</v>
      </c>
    </row>
    <row r="82" spans="1:4" ht="15" thickBot="1">
      <c r="A82" s="17" t="s">
        <v>516</v>
      </c>
      <c r="B82" s="26" t="s">
        <v>517</v>
      </c>
      <c r="C82" s="26">
        <v>83.022837237687597</v>
      </c>
      <c r="D82" s="27">
        <v>1.2044878653533301E-2</v>
      </c>
    </row>
    <row r="83" spans="1:4" ht="15" thickBot="1">
      <c r="A83" s="17" t="s">
        <v>518</v>
      </c>
      <c r="B83" s="26" t="s">
        <v>519</v>
      </c>
      <c r="C83" s="26">
        <v>2.70128508695641</v>
      </c>
      <c r="D83" s="27">
        <v>0.37019417344309802</v>
      </c>
    </row>
    <row r="84" spans="1:4" ht="15" thickBot="1">
      <c r="A84" s="17" t="s">
        <v>520</v>
      </c>
      <c r="B84" s="26" t="s">
        <v>521</v>
      </c>
      <c r="C84" s="26">
        <v>7.6644343536073603</v>
      </c>
      <c r="D84" s="27">
        <v>0.130472772531392</v>
      </c>
    </row>
    <row r="85" spans="1:4" ht="15" thickBot="1">
      <c r="A85" s="17" t="s">
        <v>522</v>
      </c>
      <c r="B85" s="26" t="s">
        <v>523</v>
      </c>
      <c r="C85" s="26">
        <v>145.22894091178301</v>
      </c>
      <c r="D85" s="27">
        <v>6.8856799045820399E-3</v>
      </c>
    </row>
    <row r="86" spans="1:4" ht="15" thickBot="1">
      <c r="A86" s="17" t="s">
        <v>524</v>
      </c>
      <c r="B86" s="26" t="s">
        <v>525</v>
      </c>
      <c r="C86" s="26">
        <v>6.9201341503047198</v>
      </c>
      <c r="D86" s="27">
        <v>0.14450586914647601</v>
      </c>
    </row>
    <row r="87" spans="1:4" ht="15" thickBot="1">
      <c r="A87" s="17" t="s">
        <v>526</v>
      </c>
      <c r="B87" s="26" t="s">
        <v>527</v>
      </c>
      <c r="C87" s="26">
        <v>2</v>
      </c>
      <c r="D87" s="27">
        <v>0.5</v>
      </c>
    </row>
    <row r="88" spans="1:4" ht="15" thickBot="1">
      <c r="A88" s="17" t="s">
        <v>528</v>
      </c>
      <c r="B88" s="26" t="s">
        <v>529</v>
      </c>
      <c r="C88" s="26">
        <v>1</v>
      </c>
      <c r="D88" s="27">
        <v>1</v>
      </c>
    </row>
    <row r="89" spans="1:4" ht="15" thickBot="1">
      <c r="A89" s="17" t="s">
        <v>530</v>
      </c>
      <c r="B89" s="26" t="s">
        <v>531</v>
      </c>
      <c r="C89" s="26">
        <v>21599.4532872829</v>
      </c>
      <c r="D89" s="27">
        <v>4.6297468121045698E-5</v>
      </c>
    </row>
    <row r="90" spans="1:4" ht="15" thickBot="1">
      <c r="A90" s="17" t="s">
        <v>532</v>
      </c>
      <c r="B90" s="26" t="s">
        <v>533</v>
      </c>
      <c r="C90" s="26">
        <v>1.28742602383219</v>
      </c>
      <c r="D90" s="27">
        <v>0.77674365865571604</v>
      </c>
    </row>
    <row r="91" spans="1:4" ht="15" thickBot="1">
      <c r="A91" s="17" t="s">
        <v>534</v>
      </c>
      <c r="B91" s="26" t="s">
        <v>535</v>
      </c>
      <c r="C91" s="26">
        <v>13.3644908356973</v>
      </c>
      <c r="D91" s="27">
        <v>7.4825147646398804E-2</v>
      </c>
    </row>
    <row r="92" spans="1:4" ht="15" thickBot="1">
      <c r="A92" s="17" t="s">
        <v>536</v>
      </c>
      <c r="B92" s="26" t="s">
        <v>537</v>
      </c>
      <c r="C92" s="26">
        <v>26.456045017319699</v>
      </c>
      <c r="D92" s="27">
        <v>3.7798544693484502E-2</v>
      </c>
    </row>
    <row r="93" spans="1:4" ht="15" thickBot="1">
      <c r="A93" s="17" t="s">
        <v>538</v>
      </c>
      <c r="B93" s="26" t="s">
        <v>539</v>
      </c>
      <c r="C93" s="26">
        <v>6766.3228050741</v>
      </c>
      <c r="D93" s="27">
        <v>1.4779076151230801E-4</v>
      </c>
    </row>
    <row r="94" spans="1:4" ht="15" thickBot="1">
      <c r="A94" s="17" t="s">
        <v>540</v>
      </c>
      <c r="B94" s="26" t="s">
        <v>541</v>
      </c>
      <c r="C94" s="26">
        <v>155.59306753704101</v>
      </c>
      <c r="D94" s="27">
        <v>6.42702156226808E-3</v>
      </c>
    </row>
    <row r="95" spans="1:4" ht="15" thickBot="1">
      <c r="A95" s="17" t="s">
        <v>542</v>
      </c>
      <c r="B95" s="26" t="s">
        <v>543</v>
      </c>
      <c r="C95" s="26">
        <v>16.4428379153963</v>
      </c>
      <c r="D95" s="27">
        <v>6.0816752262919598E-2</v>
      </c>
    </row>
    <row r="96" spans="1:4" ht="15" thickBot="1">
      <c r="A96" s="17" t="s">
        <v>544</v>
      </c>
      <c r="B96" s="26" t="s">
        <v>545</v>
      </c>
      <c r="C96" s="26">
        <v>4.2630236293300303</v>
      </c>
      <c r="D96" s="27">
        <v>0.23457528903191999</v>
      </c>
    </row>
    <row r="97" spans="1:4" ht="15" thickBot="1">
      <c r="A97" s="17" t="s">
        <v>546</v>
      </c>
      <c r="B97" s="26" t="s">
        <v>547</v>
      </c>
      <c r="C97" s="26">
        <v>599.28149629594998</v>
      </c>
      <c r="D97" s="27">
        <v>1.66866490318959E-3</v>
      </c>
    </row>
    <row r="98" spans="1:4" ht="15" thickBot="1">
      <c r="A98" s="17" t="s">
        <v>548</v>
      </c>
      <c r="B98" s="26" t="s">
        <v>549</v>
      </c>
      <c r="C98" s="26">
        <v>8.0323190112246792</v>
      </c>
      <c r="D98" s="27">
        <v>0.12449704731629301</v>
      </c>
    </row>
    <row r="99" spans="1:4" ht="15" thickBot="1">
      <c r="A99" s="17" t="s">
        <v>550</v>
      </c>
      <c r="B99" s="26" t="s">
        <v>551</v>
      </c>
      <c r="C99" s="26">
        <v>1</v>
      </c>
      <c r="D99" s="27">
        <v>1</v>
      </c>
    </row>
    <row r="100" spans="1:4" ht="15" thickBot="1">
      <c r="A100" s="17" t="s">
        <v>552</v>
      </c>
      <c r="B100" s="26" t="s">
        <v>553</v>
      </c>
      <c r="C100" s="26">
        <v>36.681713240555602</v>
      </c>
      <c r="D100" s="27">
        <v>2.7261540196939001E-2</v>
      </c>
    </row>
    <row r="101" spans="1:4" ht="15" thickBot="1">
      <c r="A101" s="17" t="s">
        <v>554</v>
      </c>
      <c r="B101" s="26" t="s">
        <v>555</v>
      </c>
      <c r="C101" s="26">
        <v>1.6885238145649399</v>
      </c>
      <c r="D101" s="27">
        <v>0.59223328174240497</v>
      </c>
    </row>
    <row r="102" spans="1:4" ht="15" thickBot="1">
      <c r="A102" s="17" t="s">
        <v>556</v>
      </c>
      <c r="B102" s="26" t="s">
        <v>557</v>
      </c>
      <c r="C102" s="26">
        <v>511.268718467761</v>
      </c>
      <c r="D102" s="27">
        <v>1.9559186077273199E-3</v>
      </c>
    </row>
    <row r="103" spans="1:4" ht="15" thickBot="1">
      <c r="A103" s="17" t="s">
        <v>558</v>
      </c>
      <c r="B103" s="26" t="s">
        <v>559</v>
      </c>
      <c r="C103" s="26">
        <v>1</v>
      </c>
      <c r="D103" s="27">
        <v>1</v>
      </c>
    </row>
    <row r="104" spans="1:4" ht="15" thickBot="1">
      <c r="A104" s="17" t="s">
        <v>560</v>
      </c>
      <c r="B104" s="26" t="s">
        <v>561</v>
      </c>
      <c r="C104" s="26">
        <v>209.19367590352701</v>
      </c>
      <c r="D104" s="27">
        <v>4.78025922954365E-3</v>
      </c>
    </row>
    <row r="105" spans="1:4" ht="15" thickBot="1">
      <c r="A105" s="17" t="s">
        <v>562</v>
      </c>
      <c r="B105" s="26" t="s">
        <v>563</v>
      </c>
      <c r="C105" s="26">
        <v>238.42645397647601</v>
      </c>
      <c r="D105" s="27">
        <v>4.1941654683110702E-3</v>
      </c>
    </row>
    <row r="106" spans="1:4" ht="15" thickBot="1">
      <c r="A106" s="17" t="s">
        <v>564</v>
      </c>
      <c r="B106" s="26" t="s">
        <v>565</v>
      </c>
      <c r="C106" s="26">
        <v>4600.55033567398</v>
      </c>
      <c r="D106" s="27">
        <v>2.1736529915686599E-4</v>
      </c>
    </row>
    <row r="107" spans="1:4" ht="15" thickBot="1">
      <c r="A107" s="17" t="s">
        <v>566</v>
      </c>
      <c r="B107" s="26" t="s">
        <v>567</v>
      </c>
      <c r="C107" s="26">
        <v>0.82254662977208803</v>
      </c>
      <c r="D107" s="27">
        <v>1.21573654769831</v>
      </c>
    </row>
    <row r="108" spans="1:4" ht="15" thickBot="1">
      <c r="A108" s="17" t="s">
        <v>568</v>
      </c>
      <c r="B108" s="26" t="s">
        <v>569</v>
      </c>
      <c r="C108" s="26">
        <v>63.720316726059103</v>
      </c>
      <c r="D108" s="27">
        <v>1.5693581755079899E-2</v>
      </c>
    </row>
    <row r="109" spans="1:4" ht="15" thickBot="1">
      <c r="A109" s="17" t="s">
        <v>570</v>
      </c>
      <c r="B109" s="26" t="s">
        <v>571</v>
      </c>
      <c r="C109" s="26">
        <v>101.186620101806</v>
      </c>
      <c r="D109" s="27">
        <v>9.8827295446163692E-3</v>
      </c>
    </row>
    <row r="110" spans="1:4" ht="15" thickBot="1">
      <c r="A110" s="17" t="s">
        <v>572</v>
      </c>
      <c r="B110" s="26" t="s">
        <v>573</v>
      </c>
      <c r="C110" s="26">
        <v>15.105804000873199</v>
      </c>
      <c r="D110" s="27">
        <v>6.6199720315594499E-2</v>
      </c>
    </row>
    <row r="111" spans="1:4" ht="15" thickBot="1">
      <c r="A111" s="17" t="s">
        <v>574</v>
      </c>
      <c r="B111" s="26" t="s">
        <v>575</v>
      </c>
      <c r="C111" s="26">
        <v>380.32794996032902</v>
      </c>
      <c r="D111" s="27">
        <v>2.62930978410686E-3</v>
      </c>
    </row>
    <row r="112" spans="1:4" ht="15" thickBot="1">
      <c r="A112" s="17" t="s">
        <v>576</v>
      </c>
      <c r="B112" s="26" t="s">
        <v>577</v>
      </c>
      <c r="C112" s="26">
        <v>1.7016119955073199</v>
      </c>
      <c r="D112" s="27">
        <v>0.58767803861294399</v>
      </c>
    </row>
    <row r="113" spans="1:4" ht="15" thickBot="1">
      <c r="A113" s="17" t="s">
        <v>578</v>
      </c>
      <c r="B113" s="26" t="s">
        <v>579</v>
      </c>
      <c r="C113" s="26">
        <v>8.1240150785696397</v>
      </c>
      <c r="D113" s="27">
        <v>0.12309184440559399</v>
      </c>
    </row>
    <row r="114" spans="1:4" ht="15" thickBot="1">
      <c r="A114" s="17" t="s">
        <v>580</v>
      </c>
      <c r="B114" s="26" t="s">
        <v>581</v>
      </c>
      <c r="C114" s="26">
        <v>2.3918618708424</v>
      </c>
      <c r="D114" s="27">
        <v>0.41808434349421902</v>
      </c>
    </row>
    <row r="115" spans="1:4" ht="15" thickBot="1">
      <c r="A115" s="17" t="s">
        <v>582</v>
      </c>
      <c r="B115" s="26" t="s">
        <v>583</v>
      </c>
      <c r="C115" s="26">
        <v>2.0135713654477101</v>
      </c>
      <c r="D115" s="27">
        <v>0.496630026210991</v>
      </c>
    </row>
    <row r="116" spans="1:4" ht="15" thickBot="1">
      <c r="A116" s="17" t="s">
        <v>584</v>
      </c>
      <c r="B116" s="26" t="s">
        <v>585</v>
      </c>
      <c r="C116" s="26">
        <v>73.839617615902796</v>
      </c>
      <c r="D116" s="27">
        <v>1.35428653653351E-2</v>
      </c>
    </row>
    <row r="117" spans="1:4" ht="15" thickBot="1">
      <c r="A117" s="17" t="s">
        <v>586</v>
      </c>
      <c r="B117" s="26" t="s">
        <v>587</v>
      </c>
      <c r="C117" s="26">
        <v>1732.4980033741101</v>
      </c>
      <c r="D117" s="27">
        <v>5.7720124239823598E-4</v>
      </c>
    </row>
    <row r="118" spans="1:4" ht="15" thickBot="1">
      <c r="A118" s="17" t="s">
        <v>588</v>
      </c>
      <c r="B118" s="26" t="s">
        <v>589</v>
      </c>
      <c r="C118" s="26">
        <v>2957.6533298342702</v>
      </c>
      <c r="D118" s="27">
        <v>3.38105886147256E-4</v>
      </c>
    </row>
    <row r="119" spans="1:4" ht="15" thickBot="1">
      <c r="A119" s="17" t="s">
        <v>590</v>
      </c>
      <c r="B119" s="26" t="s">
        <v>591</v>
      </c>
      <c r="C119" s="26">
        <v>131.66954949378399</v>
      </c>
      <c r="D119" s="27">
        <v>7.5947704222015496E-3</v>
      </c>
    </row>
    <row r="120" spans="1:4" ht="15" thickBot="1">
      <c r="A120" s="17" t="s">
        <v>592</v>
      </c>
      <c r="B120" s="26" t="s">
        <v>593</v>
      </c>
      <c r="C120" s="26">
        <v>571.01401385999202</v>
      </c>
      <c r="D120" s="27">
        <v>1.7512705042738001E-3</v>
      </c>
    </row>
    <row r="121" spans="1:4" ht="15" thickBot="1">
      <c r="A121" s="17" t="s">
        <v>594</v>
      </c>
      <c r="B121" s="26" t="s">
        <v>595</v>
      </c>
      <c r="C121" s="26">
        <v>8755.0942933264396</v>
      </c>
      <c r="D121" s="27">
        <v>1.14219215293003E-4</v>
      </c>
    </row>
    <row r="122" spans="1:4" ht="15" thickBot="1">
      <c r="A122" s="17" t="s">
        <v>596</v>
      </c>
      <c r="B122" s="26" t="s">
        <v>597</v>
      </c>
      <c r="C122" s="26">
        <v>3564.0349337519401</v>
      </c>
      <c r="D122" s="27">
        <v>2.8058086370867099E-4</v>
      </c>
    </row>
    <row r="123" spans="1:4" ht="15" thickBot="1">
      <c r="A123" s="17" t="s">
        <v>598</v>
      </c>
      <c r="B123" s="26" t="s">
        <v>599</v>
      </c>
      <c r="C123" s="26">
        <v>15.4599350438207</v>
      </c>
      <c r="D123" s="27">
        <v>6.4683324811231804E-2</v>
      </c>
    </row>
    <row r="124" spans="1:4" ht="15" thickBot="1">
      <c r="A124" s="17" t="s">
        <v>600</v>
      </c>
      <c r="B124" s="26" t="s">
        <v>601</v>
      </c>
      <c r="C124" s="26">
        <v>2151.3380144390198</v>
      </c>
      <c r="D124" s="27">
        <v>4.6482700221366801E-4</v>
      </c>
    </row>
    <row r="125" spans="1:4" ht="15" thickBot="1">
      <c r="A125" s="17" t="s">
        <v>602</v>
      </c>
      <c r="B125" s="26" t="s">
        <v>603</v>
      </c>
      <c r="C125" s="26">
        <v>21.156416482487199</v>
      </c>
      <c r="D125" s="27">
        <v>4.7266984029538897E-2</v>
      </c>
    </row>
    <row r="126" spans="1:4" ht="15" thickBot="1">
      <c r="A126" s="17" t="s">
        <v>604</v>
      </c>
      <c r="B126" s="26" t="s">
        <v>605</v>
      </c>
      <c r="C126" s="26">
        <v>9.3287972535901194</v>
      </c>
      <c r="D126" s="27">
        <v>0.107194954806757</v>
      </c>
    </row>
    <row r="127" spans="1:4" ht="15" thickBot="1">
      <c r="A127" s="17" t="s">
        <v>606</v>
      </c>
      <c r="B127" s="26" t="s">
        <v>607</v>
      </c>
      <c r="C127" s="26">
        <v>899.99909630755599</v>
      </c>
      <c r="D127" s="27">
        <v>1.1111122267819099E-3</v>
      </c>
    </row>
    <row r="128" spans="1:4" ht="15" thickBot="1">
      <c r="A128" s="17" t="s">
        <v>608</v>
      </c>
      <c r="B128" s="26" t="s">
        <v>609</v>
      </c>
      <c r="C128" s="26">
        <v>87.447960820298903</v>
      </c>
      <c r="D128" s="27">
        <v>1.14353724274365E-2</v>
      </c>
    </row>
    <row r="129" spans="1:4" ht="15" thickBot="1">
      <c r="A129" s="17" t="s">
        <v>610</v>
      </c>
      <c r="B129" s="26" t="s">
        <v>611</v>
      </c>
      <c r="C129" s="26">
        <v>180.76397010825499</v>
      </c>
      <c r="D129" s="27">
        <v>5.5320758854827002E-3</v>
      </c>
    </row>
    <row r="130" spans="1:4" ht="15" thickBot="1">
      <c r="A130" s="17" t="s">
        <v>612</v>
      </c>
      <c r="B130" s="26" t="s">
        <v>613</v>
      </c>
      <c r="C130" s="26">
        <v>16.4428379153963</v>
      </c>
      <c r="D130" s="27">
        <v>6.0816752262919598E-2</v>
      </c>
    </row>
    <row r="131" spans="1:4" ht="15" thickBot="1">
      <c r="A131" s="17" t="s">
        <v>614</v>
      </c>
      <c r="B131" s="26" t="s">
        <v>615</v>
      </c>
      <c r="C131" s="26">
        <v>2099.72994864764</v>
      </c>
      <c r="D131" s="27">
        <v>4.7625172020052402E-4</v>
      </c>
    </row>
    <row r="132" spans="1:4" ht="15" thickBot="1">
      <c r="A132" s="17" t="s">
        <v>616</v>
      </c>
      <c r="B132" s="26" t="s">
        <v>617</v>
      </c>
      <c r="C132" s="26">
        <v>0.74795018627531495</v>
      </c>
      <c r="D132" s="27">
        <v>1.33698743358813</v>
      </c>
    </row>
    <row r="133" spans="1:4" ht="15" thickBot="1">
      <c r="A133" s="17" t="s">
        <v>618</v>
      </c>
      <c r="B133" s="26" t="s">
        <v>619</v>
      </c>
      <c r="C133" s="26">
        <v>4.2671519180736598E-4</v>
      </c>
      <c r="D133" s="27">
        <v>2343.4834737532201</v>
      </c>
    </row>
    <row r="134" spans="1:4" ht="15" thickBot="1">
      <c r="A134" s="17" t="s">
        <v>620</v>
      </c>
      <c r="B134" s="26" t="s">
        <v>621</v>
      </c>
      <c r="C134" s="26">
        <v>17.0840011225099</v>
      </c>
      <c r="D134" s="27">
        <v>5.8534297254429102E-2</v>
      </c>
    </row>
    <row r="135" spans="1:4" ht="15" thickBot="1">
      <c r="A135" s="17" t="s">
        <v>622</v>
      </c>
      <c r="B135" s="26" t="s">
        <v>623</v>
      </c>
      <c r="C135" s="26">
        <v>24.004320504268399</v>
      </c>
      <c r="D135" s="27">
        <v>4.1659167141272602E-2</v>
      </c>
    </row>
    <row r="136" spans="1:4" ht="15" thickBot="1">
      <c r="A136" s="17" t="s">
        <v>624</v>
      </c>
      <c r="B136" s="26" t="s">
        <v>625</v>
      </c>
      <c r="C136" s="26">
        <v>4024.6375118713199</v>
      </c>
      <c r="D136" s="27">
        <v>2.4846958193137502E-4</v>
      </c>
    </row>
    <row r="137" spans="1:4" ht="15" thickBot="1">
      <c r="A137" s="17" t="s">
        <v>626</v>
      </c>
      <c r="B137" s="26" t="s">
        <v>627</v>
      </c>
      <c r="C137" s="26">
        <v>53.007361676971101</v>
      </c>
      <c r="D137" s="27">
        <v>1.88653041457531E-2</v>
      </c>
    </row>
    <row r="138" spans="1:4" ht="15" thickBot="1">
      <c r="A138" s="17" t="s">
        <v>628</v>
      </c>
      <c r="B138" s="26" t="s">
        <v>629</v>
      </c>
      <c r="C138" s="26">
        <v>120.335140433718</v>
      </c>
      <c r="D138" s="27">
        <v>8.3101245105606202E-3</v>
      </c>
    </row>
    <row r="139" spans="1:4" ht="15" thickBot="1">
      <c r="A139" s="17" t="s">
        <v>630</v>
      </c>
      <c r="B139" s="26" t="s">
        <v>631</v>
      </c>
      <c r="C139" s="26">
        <v>39.919350594405401</v>
      </c>
      <c r="D139" s="27">
        <v>2.5050507713924201E-2</v>
      </c>
    </row>
    <row r="140" spans="1:4" ht="15" thickBot="1">
      <c r="A140" s="17" t="s">
        <v>632</v>
      </c>
      <c r="B140" s="26" t="s">
        <v>633</v>
      </c>
      <c r="C140" s="26">
        <v>16.4428379153963</v>
      </c>
      <c r="D140" s="27">
        <v>6.0816752262919598E-2</v>
      </c>
    </row>
    <row r="141" spans="1:4" ht="15" thickBot="1">
      <c r="A141" s="17" t="s">
        <v>634</v>
      </c>
      <c r="B141" s="26" t="s">
        <v>635</v>
      </c>
      <c r="C141" s="26">
        <v>95.199235635037894</v>
      </c>
      <c r="D141" s="27">
        <v>1.05042860200439E-2</v>
      </c>
    </row>
    <row r="142" spans="1:4" ht="15" thickBot="1">
      <c r="A142" s="17" t="s">
        <v>636</v>
      </c>
      <c r="B142" s="26" t="s">
        <v>637</v>
      </c>
      <c r="C142" s="26">
        <v>38.291953976694202</v>
      </c>
      <c r="D142" s="27">
        <v>2.6115146816708099E-2</v>
      </c>
    </row>
    <row r="143" spans="1:4" ht="15" thickBot="1">
      <c r="A143" s="17" t="s">
        <v>638</v>
      </c>
      <c r="B143" s="26" t="s">
        <v>639</v>
      </c>
      <c r="C143" s="26">
        <v>8.75</v>
      </c>
      <c r="D143" s="27">
        <v>0.114285714285714</v>
      </c>
    </row>
    <row r="144" spans="1:4" ht="15" thickBot="1">
      <c r="A144" s="17" t="s">
        <v>640</v>
      </c>
      <c r="B144" s="26" t="s">
        <v>641</v>
      </c>
      <c r="C144" s="26">
        <v>5.5203709249982899E-4</v>
      </c>
      <c r="D144" s="27">
        <v>1811.4724781837101</v>
      </c>
    </row>
    <row r="145" spans="1:4" ht="15" thickBot="1">
      <c r="A145" s="17" t="s">
        <v>642</v>
      </c>
      <c r="B145" s="26" t="s">
        <v>643</v>
      </c>
      <c r="C145" s="26">
        <v>1</v>
      </c>
      <c r="D145" s="27">
        <v>1</v>
      </c>
    </row>
    <row r="146" spans="1:4" ht="15" thickBot="1">
      <c r="A146" s="17" t="s">
        <v>644</v>
      </c>
      <c r="B146" s="26" t="s">
        <v>645</v>
      </c>
      <c r="C146" s="26">
        <v>0.73322383202810304</v>
      </c>
      <c r="D146" s="27">
        <v>1.3638400121747101</v>
      </c>
    </row>
    <row r="147" spans="1:4" ht="15" thickBot="1">
      <c r="A147" s="17" t="s">
        <v>646</v>
      </c>
      <c r="B147" s="26" t="s">
        <v>647</v>
      </c>
      <c r="C147" s="26">
        <v>1455.9093656493601</v>
      </c>
      <c r="D147" s="27">
        <v>6.8685594281755005E-4</v>
      </c>
    </row>
    <row r="148" spans="1:4" ht="15" thickBot="1">
      <c r="A148" s="17" t="s">
        <v>648</v>
      </c>
      <c r="B148" s="26" t="s">
        <v>649</v>
      </c>
      <c r="C148" s="26">
        <v>1.79</v>
      </c>
      <c r="D148" s="27">
        <v>0.55865921787709405</v>
      </c>
    </row>
    <row r="149" spans="1:4" ht="15" thickBot="1">
      <c r="A149" s="17" t="s">
        <v>650</v>
      </c>
      <c r="B149" s="26" t="s">
        <v>651</v>
      </c>
      <c r="C149" s="26">
        <v>90.7255604633974</v>
      </c>
      <c r="D149" s="27">
        <v>1.1022252107259701E-2</v>
      </c>
    </row>
    <row r="150" spans="1:4" ht="15" thickBot="1">
      <c r="A150" s="17" t="s">
        <v>652</v>
      </c>
      <c r="B150" s="26" t="s">
        <v>653</v>
      </c>
      <c r="C150" s="26">
        <v>178.42087580611101</v>
      </c>
      <c r="D150" s="27">
        <v>5.60472531861514E-3</v>
      </c>
    </row>
    <row r="151" spans="1:4" ht="15" thickBot="1">
      <c r="A151" s="17" t="s">
        <v>654</v>
      </c>
      <c r="B151" s="26" t="s">
        <v>655</v>
      </c>
      <c r="C151" s="26">
        <v>424.72978831132099</v>
      </c>
      <c r="D151" s="27">
        <v>2.3544381098765999E-3</v>
      </c>
    </row>
    <row r="152" spans="1:4" ht="15" thickBot="1">
      <c r="A152" s="17" t="s">
        <v>656</v>
      </c>
      <c r="B152" s="26" t="s">
        <v>657</v>
      </c>
      <c r="C152" s="26">
        <v>15</v>
      </c>
      <c r="D152" s="27">
        <v>6.6666666666666596E-2</v>
      </c>
    </row>
    <row r="153" spans="1:4" ht="15" thickBot="1">
      <c r="A153" s="17" t="s">
        <v>658</v>
      </c>
      <c r="B153" s="26" t="s">
        <v>659</v>
      </c>
      <c r="C153" s="26">
        <v>0.74795018627531495</v>
      </c>
      <c r="D153" s="27">
        <v>1.33698743358813</v>
      </c>
    </row>
    <row r="154" spans="1:4" ht="15" thickBot="1">
      <c r="A154" s="17" t="s">
        <v>660</v>
      </c>
      <c r="B154" s="26" t="s">
        <v>661</v>
      </c>
      <c r="C154" s="26">
        <v>0.74795018627531495</v>
      </c>
      <c r="D154" s="27">
        <v>1.33698743358813</v>
      </c>
    </row>
    <row r="155" spans="1:4" ht="15" thickBot="1">
      <c r="A155" s="17" t="s">
        <v>662</v>
      </c>
      <c r="B155" s="26" t="s">
        <v>663</v>
      </c>
      <c r="C155" s="26">
        <v>0.16666666599999999</v>
      </c>
      <c r="D155" s="27">
        <v>6.0000000240000002</v>
      </c>
    </row>
    <row r="156" spans="1:4" ht="15" thickBot="1">
      <c r="A156" s="17" t="s">
        <v>664</v>
      </c>
      <c r="B156" s="26" t="s">
        <v>665</v>
      </c>
      <c r="C156" s="26">
        <v>2.7901890085037602</v>
      </c>
      <c r="D156" s="27">
        <v>0.35839865935686099</v>
      </c>
    </row>
    <row r="157" spans="1:4" ht="15" thickBot="1">
      <c r="A157" s="17" t="s">
        <v>666</v>
      </c>
      <c r="B157" s="26" t="s">
        <v>667</v>
      </c>
      <c r="C157" s="26">
        <v>0.74795018627531495</v>
      </c>
      <c r="D157" s="27">
        <v>1.33698743358813</v>
      </c>
    </row>
    <row r="158" spans="1:4" ht="15" thickBot="1">
      <c r="A158" s="17" t="s">
        <v>668</v>
      </c>
      <c r="B158" s="26" t="s">
        <v>669</v>
      </c>
      <c r="C158" s="26">
        <v>3.5065827267351701</v>
      </c>
      <c r="D158" s="27">
        <v>0.285177929034931</v>
      </c>
    </row>
    <row r="159" spans="1:4" ht="15" thickBot="1">
      <c r="A159" s="17" t="s">
        <v>670</v>
      </c>
      <c r="B159" s="26" t="s">
        <v>671</v>
      </c>
      <c r="C159" s="26">
        <v>0.74795018627531495</v>
      </c>
      <c r="D159" s="27">
        <v>1.33698743358813</v>
      </c>
    </row>
    <row r="160" spans="1:4" ht="15" thickBot="1">
      <c r="A160" s="17" t="s">
        <v>672</v>
      </c>
      <c r="B160" s="26" t="s">
        <v>673</v>
      </c>
      <c r="C160" s="26">
        <v>0.74795018627531495</v>
      </c>
      <c r="D160" s="27">
        <v>1.33698743358813</v>
      </c>
    </row>
    <row r="161" spans="1:4" ht="15" thickBot="1">
      <c r="A161" s="17" t="s">
        <v>674</v>
      </c>
      <c r="B161" s="26" t="s">
        <v>675</v>
      </c>
      <c r="C161" s="26">
        <v>1.4937234163354201</v>
      </c>
      <c r="D161" s="27">
        <v>0.66946798119648898</v>
      </c>
    </row>
    <row r="162" spans="1:4" ht="15" thickBot="1">
      <c r="A162" s="17" t="s">
        <v>676</v>
      </c>
      <c r="B162" s="26" t="s">
        <v>677</v>
      </c>
      <c r="C162" s="26">
        <v>20.1734705534375</v>
      </c>
      <c r="D162" s="27">
        <v>4.9570052775554797E-2</v>
      </c>
    </row>
    <row r="163" spans="1:4" ht="15" thickBot="1">
      <c r="A163" s="17" t="s">
        <v>678</v>
      </c>
      <c r="B163" s="26" t="s">
        <v>679</v>
      </c>
      <c r="C163" s="26">
        <v>2.5495798251562798</v>
      </c>
      <c r="D163" s="27">
        <v>0.39222149082494401</v>
      </c>
    </row>
    <row r="164" spans="1:4" ht="15" thickBot="1">
      <c r="A164" s="17" t="s">
        <v>680</v>
      </c>
      <c r="B164" s="26" t="s">
        <v>681</v>
      </c>
      <c r="C164" s="26">
        <v>1.69291938280738E-3</v>
      </c>
      <c r="D164" s="27">
        <v>590.69558193709599</v>
      </c>
    </row>
    <row r="165" spans="1:4" ht="15" thickBot="1">
      <c r="A165" s="17" t="s">
        <v>682</v>
      </c>
      <c r="B165" s="26" t="s">
        <v>682</v>
      </c>
      <c r="C165" s="26">
        <v>1.0526650937934701E-3</v>
      </c>
      <c r="D165" s="27">
        <v>949.96975381439995</v>
      </c>
    </row>
    <row r="166" spans="1:4" ht="15" thickBot="1">
      <c r="A166" s="17" t="s">
        <v>683</v>
      </c>
      <c r="B166" s="26" t="s">
        <v>684</v>
      </c>
      <c r="C166" s="26">
        <v>1.05131254031352E-5</v>
      </c>
      <c r="D166" s="27">
        <v>95119.192595360902</v>
      </c>
    </row>
    <row r="167" spans="1:4" ht="15" thickBot="1">
      <c r="A167" s="28" t="s">
        <v>685</v>
      </c>
      <c r="B167" s="26" t="s">
        <v>685</v>
      </c>
      <c r="C167" s="26">
        <v>2.2456045000000001E-2</v>
      </c>
      <c r="D167" s="27">
        <v>44.531439084665102</v>
      </c>
    </row>
    <row r="168" spans="1:4" ht="15" thickBot="1">
      <c r="A168" s="28" t="s">
        <v>686</v>
      </c>
      <c r="B168" s="26" t="s">
        <v>687</v>
      </c>
      <c r="C168" s="26">
        <v>6.9725002720255702</v>
      </c>
      <c r="D168" s="27">
        <v>0.143420575257932</v>
      </c>
    </row>
    <row r="169" spans="1:4" ht="15" thickBot="1">
      <c r="A169" s="17" t="s">
        <v>688</v>
      </c>
      <c r="B169" s="26" t="s">
        <v>689</v>
      </c>
      <c r="C169" s="26">
        <v>7.3123863323813598</v>
      </c>
      <c r="D169" s="27">
        <v>0.13675426250001399</v>
      </c>
    </row>
    <row r="170" spans="1:4" ht="15" thickBot="1">
      <c r="A170" s="17" t="s">
        <v>690</v>
      </c>
      <c r="B170" s="26" t="s">
        <v>691</v>
      </c>
      <c r="C170" s="26">
        <v>0.46160091837013201</v>
      </c>
      <c r="D170" s="27">
        <v>2.1663735062115999</v>
      </c>
    </row>
    <row r="171" spans="1:4" ht="15" thickBot="1">
      <c r="A171" s="17" t="s">
        <v>692</v>
      </c>
      <c r="B171" s="26" t="s">
        <v>693</v>
      </c>
      <c r="C171" s="26">
        <v>2.9996984798833903E-4</v>
      </c>
      <c r="D171" s="27">
        <v>3333.66838936049</v>
      </c>
    </row>
    <row r="172" spans="1:4" ht="15" thickBot="1">
      <c r="A172" s="28" t="s">
        <v>694</v>
      </c>
      <c r="B172" s="26" t="s">
        <v>694</v>
      </c>
      <c r="C172" s="26">
        <v>0.86327551389539703</v>
      </c>
      <c r="D172" s="27">
        <v>1.15837873761489</v>
      </c>
    </row>
    <row r="173" spans="1:4" ht="15" thickBot="1">
      <c r="A173" s="17" t="s">
        <v>695</v>
      </c>
      <c r="B173" s="26" t="s">
        <v>696</v>
      </c>
      <c r="C173" s="26">
        <v>7.2637180748351696E-2</v>
      </c>
      <c r="D173" s="27">
        <v>13.767054140832499</v>
      </c>
    </row>
    <row r="174" spans="1:4" ht="15" thickBot="1">
      <c r="A174" s="17" t="s">
        <v>697</v>
      </c>
      <c r="B174" s="26" t="s">
        <v>698</v>
      </c>
      <c r="C174" s="26">
        <v>1.33439760646215E-2</v>
      </c>
      <c r="D174" s="27">
        <v>74.940182383215699</v>
      </c>
    </row>
    <row r="175" spans="1:4" ht="15" thickBot="1">
      <c r="A175" s="17" t="s">
        <v>699</v>
      </c>
      <c r="B175" s="26" t="s">
        <v>700</v>
      </c>
      <c r="C175" s="26">
        <v>11.461060744006</v>
      </c>
      <c r="D175" s="27">
        <v>8.72519588139333E-2</v>
      </c>
    </row>
    <row r="176" spans="1:4" ht="15" thickBot="1">
      <c r="A176" s="28" t="s">
        <v>701</v>
      </c>
      <c r="B176" s="26" t="s">
        <v>701</v>
      </c>
      <c r="C176" s="26">
        <v>2.0387340866271</v>
      </c>
      <c r="D176" s="27">
        <v>0.490500456415289</v>
      </c>
    </row>
    <row r="177" spans="1:4" ht="15" thickBot="1">
      <c r="A177" s="17" t="s">
        <v>702</v>
      </c>
      <c r="B177" s="26" t="s">
        <v>703</v>
      </c>
      <c r="C177" s="26">
        <v>22.835108216231699</v>
      </c>
      <c r="D177" s="27">
        <v>4.3792216377112399E-2</v>
      </c>
    </row>
    <row r="178" spans="1:4" ht="15" thickBot="1">
      <c r="A178" s="28" t="s">
        <v>704</v>
      </c>
      <c r="B178" s="26" t="s">
        <v>704</v>
      </c>
      <c r="C178" s="26">
        <v>7.0398671071998402E-3</v>
      </c>
      <c r="D178" s="27">
        <v>142.048135962293</v>
      </c>
    </row>
    <row r="179" spans="1:4" ht="15" thickBot="1">
      <c r="A179" s="17" t="s">
        <v>705</v>
      </c>
      <c r="B179" s="26" t="s">
        <v>705</v>
      </c>
      <c r="C179" s="26">
        <v>4550.0577194904899</v>
      </c>
      <c r="D179" s="27">
        <v>2.19777431771124E-4</v>
      </c>
    </row>
    <row r="180" spans="1:4" ht="15" thickBot="1">
      <c r="A180" s="28" t="s">
        <v>706</v>
      </c>
      <c r="B180" s="26" t="s">
        <v>707</v>
      </c>
      <c r="C180" s="26">
        <v>0.18701458142292701</v>
      </c>
      <c r="D180" s="27">
        <v>5.34717663398947</v>
      </c>
    </row>
    <row r="181" spans="1:4" ht="15" thickBot="1">
      <c r="A181" s="28" t="s">
        <v>708</v>
      </c>
      <c r="B181" s="26" t="s">
        <v>708</v>
      </c>
      <c r="C181" s="26">
        <v>1.00008746864405</v>
      </c>
      <c r="D181" s="27">
        <v>0.99991253900604204</v>
      </c>
    </row>
    <row r="182" spans="1:4" ht="15" thickBot="1">
      <c r="A182" s="28" t="s">
        <v>709</v>
      </c>
      <c r="B182" s="26" t="s">
        <v>709</v>
      </c>
      <c r="C182" s="26">
        <v>1.0014389607640899</v>
      </c>
      <c r="D182" s="27">
        <v>0.99856310686873995</v>
      </c>
    </row>
    <row r="183" spans="1:4" ht="15" thickBot="1">
      <c r="A183" s="28" t="s">
        <v>710</v>
      </c>
      <c r="B183" s="26" t="s">
        <v>710</v>
      </c>
      <c r="C183" s="26">
        <v>1.00028803581712</v>
      </c>
      <c r="D183" s="27">
        <v>0.99971204712361905</v>
      </c>
    </row>
    <row r="184" spans="1:4" ht="15" thickBot="1">
      <c r="A184" s="17" t="s">
        <v>711</v>
      </c>
      <c r="B184" s="26" t="s">
        <v>711</v>
      </c>
      <c r="C184" s="26">
        <v>342.66355734621197</v>
      </c>
      <c r="D184" s="27">
        <v>2.9183144182141399E-3</v>
      </c>
    </row>
    <row r="185" spans="1:4" ht="15" thickBot="1">
      <c r="A185" s="17" t="s">
        <v>712</v>
      </c>
      <c r="B185" s="26" t="s">
        <v>712</v>
      </c>
      <c r="C185" s="26">
        <v>1.05131254031352E-5</v>
      </c>
      <c r="D185" s="27">
        <v>95119.192595360902</v>
      </c>
    </row>
    <row r="186" spans="1:4" ht="15" thickBot="1">
      <c r="A186" s="17" t="s">
        <v>713</v>
      </c>
      <c r="B186" s="26" t="s">
        <v>714</v>
      </c>
      <c r="C186" s="26">
        <v>1.7971551547262601</v>
      </c>
      <c r="D186" s="27">
        <v>0.55643498413041204</v>
      </c>
    </row>
    <row r="187" spans="1:4" ht="15" thickBot="1">
      <c r="A187" s="17" t="s">
        <v>715</v>
      </c>
      <c r="B187" s="26" t="s">
        <v>716</v>
      </c>
      <c r="C187" s="26">
        <v>4.4489257024547797</v>
      </c>
      <c r="D187" s="27">
        <v>0.22477336482563101</v>
      </c>
    </row>
    <row r="188" spans="1:4">
      <c r="A188" t="s">
        <v>717</v>
      </c>
      <c r="B188" t="s">
        <v>718</v>
      </c>
      <c r="C188">
        <v>0.48700231878865402</v>
      </c>
      <c r="D188">
        <v>2.053378313449</v>
      </c>
    </row>
    <row r="189" spans="1:4">
      <c r="A189" t="s">
        <v>719</v>
      </c>
      <c r="B189" t="s">
        <v>720</v>
      </c>
      <c r="C189">
        <v>25.677679592315599</v>
      </c>
      <c r="D189">
        <v>3.8944328922121997E-2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1"/>
  <sheetViews>
    <sheetView tabSelected="1" workbookViewId="0">
      <selection activeCell="D1" sqref="D1"/>
    </sheetView>
  </sheetViews>
  <sheetFormatPr defaultRowHeight="14.5"/>
  <cols>
    <col min="1" max="1" width="37" style="5" customWidth="1"/>
    <col min="4" max="4" width="27.26953125" customWidth="1"/>
    <col min="5" max="5" width="9.1796875" customWidth="1"/>
  </cols>
  <sheetData>
    <row r="2" spans="1:5">
      <c r="A2" s="65" t="s">
        <v>17</v>
      </c>
      <c r="B2" s="19" t="s">
        <v>14</v>
      </c>
      <c r="C2" s="19" t="s">
        <v>721</v>
      </c>
      <c r="D2" s="19" t="s">
        <v>18</v>
      </c>
      <c r="E2" s="19" t="s">
        <v>19</v>
      </c>
    </row>
    <row r="3" spans="1:5">
      <c r="A3" s="66" t="s">
        <v>722</v>
      </c>
      <c r="B3" s="6" t="s">
        <v>12</v>
      </c>
      <c r="C3" s="6" t="s">
        <v>12</v>
      </c>
      <c r="D3" s="12" t="s">
        <v>27</v>
      </c>
      <c r="E3" s="12" t="s">
        <v>36</v>
      </c>
    </row>
    <row r="4" spans="1:5">
      <c r="A4" s="66" t="s">
        <v>723</v>
      </c>
      <c r="B4" s="6" t="s">
        <v>10</v>
      </c>
      <c r="C4" s="6" t="s">
        <v>10</v>
      </c>
      <c r="D4" s="12" t="s">
        <v>32</v>
      </c>
      <c r="E4" s="12" t="s">
        <v>724</v>
      </c>
    </row>
    <row r="5" spans="1:5">
      <c r="A5" s="66" t="s">
        <v>725</v>
      </c>
      <c r="B5" s="6" t="s">
        <v>12</v>
      </c>
      <c r="C5" s="6" t="s">
        <v>12</v>
      </c>
      <c r="D5" s="12" t="s">
        <v>22</v>
      </c>
      <c r="E5" s="12" t="s">
        <v>28</v>
      </c>
    </row>
    <row r="6" spans="1:5">
      <c r="A6" s="66" t="s">
        <v>726</v>
      </c>
      <c r="B6" s="6" t="s">
        <v>12</v>
      </c>
      <c r="C6" s="6" t="s">
        <v>12</v>
      </c>
      <c r="D6" s="12" t="s">
        <v>22</v>
      </c>
      <c r="E6" s="12" t="s">
        <v>28</v>
      </c>
    </row>
    <row r="7" spans="1:5">
      <c r="A7" s="66" t="s">
        <v>727</v>
      </c>
      <c r="B7" s="6" t="s">
        <v>10</v>
      </c>
      <c r="C7" s="6" t="s">
        <v>10</v>
      </c>
      <c r="D7" s="12" t="s">
        <v>59</v>
      </c>
      <c r="E7" s="12" t="s">
        <v>36</v>
      </c>
    </row>
    <row r="8" spans="1:5">
      <c r="A8" s="66" t="s">
        <v>54</v>
      </c>
      <c r="B8" s="6" t="s">
        <v>10</v>
      </c>
      <c r="C8" s="6" t="s">
        <v>10</v>
      </c>
      <c r="D8" s="12" t="s">
        <v>59</v>
      </c>
      <c r="E8" s="12" t="s">
        <v>36</v>
      </c>
    </row>
    <row r="9" spans="1:5">
      <c r="A9" s="66" t="s">
        <v>97</v>
      </c>
      <c r="B9" s="6" t="s">
        <v>12</v>
      </c>
      <c r="C9" s="6" t="s">
        <v>12</v>
      </c>
      <c r="D9" s="12" t="s">
        <v>22</v>
      </c>
      <c r="E9" s="12" t="s">
        <v>28</v>
      </c>
    </row>
    <row r="10" spans="1:5">
      <c r="A10" s="66" t="s">
        <v>728</v>
      </c>
      <c r="B10" s="6" t="s">
        <v>12</v>
      </c>
      <c r="C10" s="6" t="s">
        <v>12</v>
      </c>
      <c r="D10" s="12" t="s">
        <v>36</v>
      </c>
      <c r="E10" s="12" t="s">
        <v>74</v>
      </c>
    </row>
    <row r="11" spans="1:5">
      <c r="A11" s="66" t="s">
        <v>729</v>
      </c>
      <c r="B11" s="6" t="s">
        <v>9</v>
      </c>
      <c r="C11" s="6" t="s">
        <v>730</v>
      </c>
      <c r="D11" t="s">
        <v>731</v>
      </c>
      <c r="E11" s="12" t="s">
        <v>28</v>
      </c>
    </row>
    <row r="12" spans="1:5">
      <c r="A12" s="66" t="s">
        <v>732</v>
      </c>
      <c r="B12" s="6" t="s">
        <v>9</v>
      </c>
      <c r="C12" s="6" t="s">
        <v>730</v>
      </c>
      <c r="D12" t="s">
        <v>731</v>
      </c>
      <c r="E12" s="12" t="s">
        <v>28</v>
      </c>
    </row>
    <row r="13" spans="1:5">
      <c r="A13" s="66" t="s">
        <v>733</v>
      </c>
      <c r="B13" s="6" t="s">
        <v>12</v>
      </c>
      <c r="C13" s="6" t="s">
        <v>12</v>
      </c>
      <c r="D13" s="12" t="s">
        <v>30</v>
      </c>
      <c r="E13" s="12" t="s">
        <v>28</v>
      </c>
    </row>
    <row r="14" spans="1:5">
      <c r="A14" s="66" t="s">
        <v>234</v>
      </c>
      <c r="B14" s="6" t="s">
        <v>12</v>
      </c>
      <c r="C14" s="6" t="s">
        <v>12</v>
      </c>
      <c r="D14" s="12" t="s">
        <v>734</v>
      </c>
      <c r="E14" s="12" t="s">
        <v>74</v>
      </c>
    </row>
    <row r="15" spans="1:5">
      <c r="A15" s="66" t="s">
        <v>735</v>
      </c>
      <c r="B15" s="6" t="s">
        <v>736</v>
      </c>
      <c r="C15" s="6" t="s">
        <v>736</v>
      </c>
      <c r="D15" s="12" t="s">
        <v>737</v>
      </c>
      <c r="E15" s="12" t="s">
        <v>36</v>
      </c>
    </row>
    <row r="16" spans="1:5">
      <c r="A16" s="66" t="s">
        <v>738</v>
      </c>
      <c r="B16" s="6" t="s">
        <v>11</v>
      </c>
      <c r="C16" s="6" t="s">
        <v>11</v>
      </c>
      <c r="D16" s="12" t="s">
        <v>22</v>
      </c>
      <c r="E16" s="12" t="s">
        <v>25</v>
      </c>
    </row>
    <row r="17" spans="1:5">
      <c r="A17" s="66" t="s">
        <v>739</v>
      </c>
      <c r="B17" s="6" t="s">
        <v>736</v>
      </c>
      <c r="C17" s="6" t="s">
        <v>736</v>
      </c>
      <c r="D17" s="12" t="s">
        <v>740</v>
      </c>
      <c r="E17" s="12" t="s">
        <v>36</v>
      </c>
    </row>
    <row r="18" spans="1:5">
      <c r="A18" s="66" t="s">
        <v>741</v>
      </c>
      <c r="B18" s="6" t="s">
        <v>12</v>
      </c>
      <c r="C18" s="6" t="s">
        <v>12</v>
      </c>
      <c r="D18" s="12" t="s">
        <v>22</v>
      </c>
      <c r="E18" s="12" t="s">
        <v>28</v>
      </c>
    </row>
    <row r="19" spans="1:5" ht="29">
      <c r="A19" s="66" t="s">
        <v>742</v>
      </c>
      <c r="B19" s="6" t="s">
        <v>9</v>
      </c>
      <c r="C19" s="6" t="s">
        <v>743</v>
      </c>
      <c r="D19" s="12" t="s">
        <v>744</v>
      </c>
      <c r="E19" s="12" t="s">
        <v>36</v>
      </c>
    </row>
    <row r="20" spans="1:5" ht="29">
      <c r="A20" s="66" t="s">
        <v>745</v>
      </c>
      <c r="B20" s="6" t="s">
        <v>9</v>
      </c>
      <c r="C20" s="6" t="s">
        <v>743</v>
      </c>
      <c r="D20" s="12" t="s">
        <v>744</v>
      </c>
      <c r="E20" s="12" t="s">
        <v>36</v>
      </c>
    </row>
    <row r="21" spans="1:5" ht="29">
      <c r="A21" s="66" t="s">
        <v>746</v>
      </c>
      <c r="B21" s="6" t="s">
        <v>9</v>
      </c>
      <c r="C21" s="6" t="s">
        <v>743</v>
      </c>
      <c r="D21" s="12" t="s">
        <v>744</v>
      </c>
      <c r="E21" s="12" t="s">
        <v>36</v>
      </c>
    </row>
    <row r="22" spans="1:5" ht="29">
      <c r="A22" s="66" t="s">
        <v>747</v>
      </c>
      <c r="B22" s="6" t="s">
        <v>9</v>
      </c>
      <c r="C22" s="6" t="s">
        <v>743</v>
      </c>
      <c r="D22" s="12" t="s">
        <v>744</v>
      </c>
      <c r="E22" s="12" t="s">
        <v>36</v>
      </c>
    </row>
    <row r="23" spans="1:5">
      <c r="A23" s="66" t="s">
        <v>313</v>
      </c>
      <c r="B23" s="6" t="s">
        <v>9</v>
      </c>
      <c r="C23" s="6" t="s">
        <v>743</v>
      </c>
      <c r="D23" t="s">
        <v>731</v>
      </c>
      <c r="E23" s="12" t="s">
        <v>28</v>
      </c>
    </row>
    <row r="24" spans="1:5">
      <c r="A24" s="66" t="s">
        <v>748</v>
      </c>
      <c r="B24" s="6" t="s">
        <v>9</v>
      </c>
      <c r="C24" s="6" t="s">
        <v>743</v>
      </c>
      <c r="D24" t="s">
        <v>731</v>
      </c>
      <c r="E24" s="12" t="s">
        <v>36</v>
      </c>
    </row>
    <row r="25" spans="1:5">
      <c r="A25" s="66" t="s">
        <v>749</v>
      </c>
      <c r="B25" s="6" t="s">
        <v>12</v>
      </c>
      <c r="C25" s="6" t="s">
        <v>12</v>
      </c>
      <c r="D25" s="12" t="s">
        <v>36</v>
      </c>
      <c r="E25" s="12" t="s">
        <v>28</v>
      </c>
    </row>
    <row r="26" spans="1:5">
      <c r="A26" s="66" t="s">
        <v>750</v>
      </c>
      <c r="B26" s="6" t="s">
        <v>12</v>
      </c>
      <c r="C26" s="6" t="s">
        <v>12</v>
      </c>
      <c r="D26" s="12" t="s">
        <v>22</v>
      </c>
      <c r="E26" s="12" t="s">
        <v>28</v>
      </c>
    </row>
    <row r="27" spans="1:5">
      <c r="A27" s="66" t="s">
        <v>126</v>
      </c>
      <c r="B27" s="6" t="s">
        <v>12</v>
      </c>
      <c r="C27" s="6" t="s">
        <v>12</v>
      </c>
      <c r="D27" s="12" t="s">
        <v>734</v>
      </c>
      <c r="E27" s="12" t="s">
        <v>36</v>
      </c>
    </row>
    <row r="28" spans="1:5">
      <c r="A28" s="66" t="s">
        <v>265</v>
      </c>
      <c r="B28" s="6" t="s">
        <v>9</v>
      </c>
      <c r="C28" s="6" t="s">
        <v>743</v>
      </c>
      <c r="D28" s="12" t="s">
        <v>751</v>
      </c>
      <c r="E28" s="12" t="s">
        <v>36</v>
      </c>
    </row>
    <row r="29" spans="1:5">
      <c r="A29" s="66" t="s">
        <v>254</v>
      </c>
      <c r="B29" s="6" t="s">
        <v>9</v>
      </c>
      <c r="C29" s="6" t="s">
        <v>743</v>
      </c>
      <c r="D29" s="12" t="s">
        <v>751</v>
      </c>
      <c r="E29" s="12" t="s">
        <v>36</v>
      </c>
    </row>
    <row r="30" spans="1:5">
      <c r="A30" s="66" t="s">
        <v>752</v>
      </c>
      <c r="B30" s="6" t="s">
        <v>11</v>
      </c>
      <c r="C30" s="6" t="s">
        <v>11</v>
      </c>
      <c r="D30" s="12" t="s">
        <v>22</v>
      </c>
      <c r="E30" s="12" t="s">
        <v>25</v>
      </c>
    </row>
    <row r="31" spans="1:5">
      <c r="A31" s="66" t="s">
        <v>753</v>
      </c>
      <c r="B31" s="6" t="s">
        <v>10</v>
      </c>
      <c r="C31" s="6" t="s">
        <v>10</v>
      </c>
      <c r="D31" s="12" t="s">
        <v>32</v>
      </c>
      <c r="E31" s="7" t="s">
        <v>724</v>
      </c>
    </row>
    <row r="32" spans="1:5">
      <c r="A32" s="67" t="s">
        <v>145</v>
      </c>
      <c r="B32" s="6" t="s">
        <v>9</v>
      </c>
      <c r="C32" s="6" t="s">
        <v>730</v>
      </c>
      <c r="D32" t="s">
        <v>731</v>
      </c>
      <c r="E32" s="12" t="s">
        <v>28</v>
      </c>
    </row>
    <row r="33" spans="1:5">
      <c r="A33" s="67" t="s">
        <v>71</v>
      </c>
      <c r="B33" s="6" t="s">
        <v>10</v>
      </c>
      <c r="C33" s="6" t="s">
        <v>10</v>
      </c>
      <c r="D33" s="12" t="s">
        <v>36</v>
      </c>
      <c r="E33" s="12" t="s">
        <v>72</v>
      </c>
    </row>
    <row r="34" spans="1:5">
      <c r="A34" s="67" t="s">
        <v>754</v>
      </c>
      <c r="B34" s="6" t="s">
        <v>12</v>
      </c>
      <c r="C34" s="6" t="s">
        <v>12</v>
      </c>
      <c r="D34" s="12" t="s">
        <v>36</v>
      </c>
      <c r="E34" s="12" t="s">
        <v>28</v>
      </c>
    </row>
    <row r="35" spans="1:5">
      <c r="A35" s="67" t="s">
        <v>755</v>
      </c>
      <c r="B35" s="6" t="s">
        <v>12</v>
      </c>
      <c r="C35" s="6" t="s">
        <v>12</v>
      </c>
      <c r="D35" s="12" t="s">
        <v>734</v>
      </c>
      <c r="E35" s="12" t="s">
        <v>28</v>
      </c>
    </row>
    <row r="36" spans="1:5">
      <c r="A36" s="67" t="s">
        <v>756</v>
      </c>
      <c r="B36" s="6" t="s">
        <v>12</v>
      </c>
      <c r="C36" s="6" t="s">
        <v>12</v>
      </c>
      <c r="D36" s="12" t="s">
        <v>36</v>
      </c>
      <c r="E36" s="12" t="s">
        <v>757</v>
      </c>
    </row>
    <row r="37" spans="1:5">
      <c r="A37" s="5" t="s">
        <v>26</v>
      </c>
      <c r="B37" s="6" t="s">
        <v>12</v>
      </c>
      <c r="C37" s="6" t="s">
        <v>12</v>
      </c>
      <c r="D37" s="12" t="s">
        <v>27</v>
      </c>
      <c r="E37" s="12" t="s">
        <v>28</v>
      </c>
    </row>
    <row r="38" spans="1:5">
      <c r="A38" s="67" t="s">
        <v>758</v>
      </c>
      <c r="B38" s="6" t="s">
        <v>12</v>
      </c>
      <c r="C38" s="6" t="s">
        <v>12</v>
      </c>
      <c r="D38" s="12" t="s">
        <v>734</v>
      </c>
      <c r="E38" s="12" t="s">
        <v>74</v>
      </c>
    </row>
    <row r="39" spans="1:5">
      <c r="A39" s="67" t="s">
        <v>759</v>
      </c>
      <c r="B39" s="6" t="s">
        <v>12</v>
      </c>
      <c r="C39" s="6" t="s">
        <v>12</v>
      </c>
      <c r="D39" s="12" t="s">
        <v>30</v>
      </c>
      <c r="E39" s="12" t="s">
        <v>28</v>
      </c>
    </row>
    <row r="40" spans="1:5">
      <c r="A40" s="67" t="s">
        <v>29</v>
      </c>
      <c r="B40" s="6" t="s">
        <v>12</v>
      </c>
      <c r="C40" s="6" t="s">
        <v>12</v>
      </c>
      <c r="D40" s="12" t="s">
        <v>30</v>
      </c>
      <c r="E40" s="12" t="s">
        <v>28</v>
      </c>
    </row>
    <row r="41" spans="1:5">
      <c r="A41" s="67" t="s">
        <v>148</v>
      </c>
      <c r="B41" s="6" t="s">
        <v>12</v>
      </c>
      <c r="C41" s="6" t="s">
        <v>12</v>
      </c>
      <c r="D41" s="12" t="s">
        <v>734</v>
      </c>
      <c r="E41" s="12" t="s">
        <v>74</v>
      </c>
    </row>
    <row r="42" spans="1:5">
      <c r="A42" s="67" t="s">
        <v>760</v>
      </c>
      <c r="B42" s="6" t="s">
        <v>12</v>
      </c>
      <c r="C42" s="6" t="s">
        <v>12</v>
      </c>
      <c r="D42" s="12" t="s">
        <v>36</v>
      </c>
      <c r="E42" s="12" t="s">
        <v>35</v>
      </c>
    </row>
    <row r="43" spans="1:5">
      <c r="A43" s="67" t="s">
        <v>761</v>
      </c>
      <c r="B43" s="6" t="s">
        <v>11</v>
      </c>
      <c r="C43" s="6" t="s">
        <v>11</v>
      </c>
      <c r="D43" s="12" t="s">
        <v>22</v>
      </c>
      <c r="E43" s="12" t="s">
        <v>23</v>
      </c>
    </row>
    <row r="44" spans="1:5">
      <c r="A44" s="67" t="s">
        <v>762</v>
      </c>
      <c r="B44" s="6" t="s">
        <v>10</v>
      </c>
      <c r="C44" s="6" t="s">
        <v>10</v>
      </c>
      <c r="D44" s="20" t="s">
        <v>35</v>
      </c>
      <c r="E44" s="12" t="s">
        <v>28</v>
      </c>
    </row>
    <row r="45" spans="1:5">
      <c r="A45" s="67" t="s">
        <v>763</v>
      </c>
      <c r="B45" s="6" t="s">
        <v>12</v>
      </c>
      <c r="C45" s="6" t="s">
        <v>12</v>
      </c>
      <c r="D45" s="16" t="s">
        <v>27</v>
      </c>
      <c r="E45" s="12" t="s">
        <v>28</v>
      </c>
    </row>
    <row r="46" spans="1:5">
      <c r="A46" s="67" t="s">
        <v>286</v>
      </c>
      <c r="B46" s="6" t="s">
        <v>12</v>
      </c>
      <c r="C46" s="6" t="s">
        <v>12</v>
      </c>
      <c r="D46" s="12" t="s">
        <v>36</v>
      </c>
      <c r="E46" s="12" t="s">
        <v>764</v>
      </c>
    </row>
    <row r="47" spans="1:5">
      <c r="A47" s="67" t="s">
        <v>295</v>
      </c>
      <c r="B47" s="6" t="s">
        <v>9</v>
      </c>
      <c r="C47" s="6" t="s">
        <v>743</v>
      </c>
      <c r="D47" t="s">
        <v>731</v>
      </c>
      <c r="E47" s="12" t="s">
        <v>765</v>
      </c>
    </row>
    <row r="48" spans="1:5">
      <c r="A48" s="67" t="s">
        <v>754</v>
      </c>
      <c r="B48" s="6" t="s">
        <v>12</v>
      </c>
      <c r="C48" s="6" t="s">
        <v>12</v>
      </c>
      <c r="D48" s="12" t="s">
        <v>766</v>
      </c>
      <c r="E48" s="12" t="s">
        <v>28</v>
      </c>
    </row>
    <row r="49" spans="1:5">
      <c r="A49" s="67" t="s">
        <v>299</v>
      </c>
      <c r="B49" s="6" t="s">
        <v>12</v>
      </c>
      <c r="C49" s="6" t="s">
        <v>12</v>
      </c>
      <c r="D49" s="12" t="s">
        <v>766</v>
      </c>
      <c r="E49" s="12" t="s">
        <v>28</v>
      </c>
    </row>
    <row r="50" spans="1:5">
      <c r="A50" s="67" t="s">
        <v>95</v>
      </c>
      <c r="B50" s="6" t="s">
        <v>12</v>
      </c>
      <c r="C50" s="6" t="s">
        <v>12</v>
      </c>
      <c r="D50" s="12" t="s">
        <v>36</v>
      </c>
      <c r="E50" s="12" t="s">
        <v>28</v>
      </c>
    </row>
    <row r="51" spans="1:5">
      <c r="A51" s="67" t="s">
        <v>767</v>
      </c>
      <c r="B51" s="6" t="s">
        <v>12</v>
      </c>
      <c r="C51" s="6" t="s">
        <v>12</v>
      </c>
      <c r="D51" s="12" t="s">
        <v>30</v>
      </c>
      <c r="E51" s="12" t="s">
        <v>28</v>
      </c>
    </row>
    <row r="52" spans="1:5">
      <c r="A52" s="67" t="s">
        <v>96</v>
      </c>
      <c r="B52" s="6" t="s">
        <v>12</v>
      </c>
      <c r="C52" s="6" t="s">
        <v>12</v>
      </c>
      <c r="D52" s="16" t="s">
        <v>766</v>
      </c>
      <c r="E52" s="12" t="s">
        <v>28</v>
      </c>
    </row>
    <row r="53" spans="1:5" ht="29">
      <c r="A53" s="67" t="s">
        <v>768</v>
      </c>
      <c r="B53" s="6" t="s">
        <v>11</v>
      </c>
      <c r="C53" s="6" t="s">
        <v>11</v>
      </c>
      <c r="D53" s="12" t="s">
        <v>22</v>
      </c>
      <c r="E53" s="12" t="s">
        <v>23</v>
      </c>
    </row>
    <row r="54" spans="1:5">
      <c r="A54" s="67" t="s">
        <v>769</v>
      </c>
      <c r="B54" s="6" t="s">
        <v>9</v>
      </c>
      <c r="C54" s="6" t="s">
        <v>730</v>
      </c>
      <c r="D54" s="12" t="s">
        <v>751</v>
      </c>
      <c r="E54" s="12" t="s">
        <v>85</v>
      </c>
    </row>
    <row r="55" spans="1:5">
      <c r="A55" s="67" t="s">
        <v>770</v>
      </c>
      <c r="B55" s="6" t="s">
        <v>12</v>
      </c>
      <c r="C55" s="6" t="s">
        <v>12</v>
      </c>
      <c r="D55" s="12" t="s">
        <v>766</v>
      </c>
      <c r="E55" s="12" t="s">
        <v>28</v>
      </c>
    </row>
    <row r="56" spans="1:5" ht="29">
      <c r="A56" s="67" t="s">
        <v>79</v>
      </c>
      <c r="B56" s="6" t="s">
        <v>10</v>
      </c>
      <c r="C56" s="6" t="s">
        <v>10</v>
      </c>
      <c r="D56" s="12" t="s">
        <v>32</v>
      </c>
      <c r="E56" s="12" t="s">
        <v>72</v>
      </c>
    </row>
    <row r="57" spans="1:5">
      <c r="A57" s="67" t="s">
        <v>312</v>
      </c>
      <c r="B57" s="6" t="s">
        <v>9</v>
      </c>
      <c r="C57" s="6" t="s">
        <v>743</v>
      </c>
      <c r="D57" t="s">
        <v>731</v>
      </c>
      <c r="E57" s="12" t="s">
        <v>28</v>
      </c>
    </row>
    <row r="58" spans="1:5">
      <c r="A58" s="67" t="s">
        <v>313</v>
      </c>
      <c r="B58" s="6" t="s">
        <v>9</v>
      </c>
      <c r="C58" s="6" t="s">
        <v>743</v>
      </c>
      <c r="D58" t="s">
        <v>731</v>
      </c>
      <c r="E58" s="12" t="s">
        <v>28</v>
      </c>
    </row>
    <row r="59" spans="1:5">
      <c r="A59" s="67" t="s">
        <v>314</v>
      </c>
      <c r="B59" s="6" t="s">
        <v>9</v>
      </c>
      <c r="C59" s="6" t="s">
        <v>743</v>
      </c>
      <c r="D59" t="s">
        <v>731</v>
      </c>
      <c r="E59" s="12" t="s">
        <v>28</v>
      </c>
    </row>
    <row r="60" spans="1:5">
      <c r="A60" s="67" t="s">
        <v>315</v>
      </c>
      <c r="B60" s="6" t="s">
        <v>9</v>
      </c>
      <c r="C60" s="6" t="s">
        <v>730</v>
      </c>
      <c r="D60" t="s">
        <v>731</v>
      </c>
      <c r="E60" s="12" t="s">
        <v>28</v>
      </c>
    </row>
    <row r="61" spans="1:5">
      <c r="A61" s="67" t="s">
        <v>771</v>
      </c>
      <c r="B61" s="6" t="s">
        <v>12</v>
      </c>
      <c r="C61" s="6" t="s">
        <v>12</v>
      </c>
      <c r="D61" s="12" t="s">
        <v>22</v>
      </c>
      <c r="E61" s="12" t="s">
        <v>25</v>
      </c>
    </row>
    <row r="62" spans="1:5">
      <c r="A62" s="67" t="s">
        <v>321</v>
      </c>
      <c r="B62" s="6" t="s">
        <v>12</v>
      </c>
      <c r="C62" s="6" t="s">
        <v>12</v>
      </c>
      <c r="D62" s="12" t="s">
        <v>734</v>
      </c>
      <c r="E62" s="12" t="s">
        <v>28</v>
      </c>
    </row>
    <row r="63" spans="1:5">
      <c r="A63" s="67" t="s">
        <v>755</v>
      </c>
      <c r="B63" s="6" t="s">
        <v>12</v>
      </c>
      <c r="C63" s="6" t="s">
        <v>12</v>
      </c>
      <c r="D63" s="12" t="s">
        <v>734</v>
      </c>
      <c r="E63" s="12" t="s">
        <v>28</v>
      </c>
    </row>
    <row r="64" spans="1:5">
      <c r="A64" s="67" t="s">
        <v>772</v>
      </c>
      <c r="B64" s="6" t="s">
        <v>9</v>
      </c>
      <c r="C64" s="6" t="s">
        <v>730</v>
      </c>
      <c r="D64" s="12" t="s">
        <v>751</v>
      </c>
      <c r="E64" s="12" t="s">
        <v>773</v>
      </c>
    </row>
    <row r="65" spans="1:5">
      <c r="A65" s="67" t="s">
        <v>756</v>
      </c>
      <c r="B65" s="6" t="s">
        <v>12</v>
      </c>
      <c r="C65" s="6" t="s">
        <v>12</v>
      </c>
      <c r="D65" s="12" t="s">
        <v>36</v>
      </c>
      <c r="E65" s="12" t="s">
        <v>757</v>
      </c>
    </row>
    <row r="66" spans="1:5">
      <c r="A66" s="67" t="s">
        <v>749</v>
      </c>
      <c r="B66" s="6" t="s">
        <v>12</v>
      </c>
      <c r="C66" s="6" t="s">
        <v>12</v>
      </c>
      <c r="D66" s="12" t="s">
        <v>36</v>
      </c>
      <c r="E66" s="12" t="s">
        <v>28</v>
      </c>
    </row>
    <row r="67" spans="1:5">
      <c r="A67" s="67" t="s">
        <v>774</v>
      </c>
      <c r="B67" s="6" t="s">
        <v>12</v>
      </c>
      <c r="C67" s="6" t="s">
        <v>12</v>
      </c>
      <c r="D67" s="12" t="s">
        <v>766</v>
      </c>
      <c r="E67" s="12" t="s">
        <v>28</v>
      </c>
    </row>
    <row r="68" spans="1:5">
      <c r="A68" s="67" t="s">
        <v>84</v>
      </c>
      <c r="B68" s="6" t="s">
        <v>10</v>
      </c>
      <c r="C68" s="6" t="s">
        <v>10</v>
      </c>
      <c r="D68" s="12" t="s">
        <v>35</v>
      </c>
      <c r="E68" s="12" t="s">
        <v>85</v>
      </c>
    </row>
    <row r="69" spans="1:5" ht="29">
      <c r="A69" s="67" t="s">
        <v>775</v>
      </c>
      <c r="B69" s="6" t="s">
        <v>11</v>
      </c>
      <c r="C69" s="6" t="s">
        <v>11</v>
      </c>
      <c r="D69" s="12" t="s">
        <v>22</v>
      </c>
      <c r="E69" s="12" t="s">
        <v>23</v>
      </c>
    </row>
    <row r="70" spans="1:5">
      <c r="A70" s="67" t="s">
        <v>776</v>
      </c>
      <c r="B70" s="6" t="s">
        <v>12</v>
      </c>
      <c r="C70" s="6" t="s">
        <v>12</v>
      </c>
      <c r="D70" s="12" t="s">
        <v>30</v>
      </c>
      <c r="E70" s="12" t="s">
        <v>28</v>
      </c>
    </row>
    <row r="71" spans="1:5">
      <c r="A71" s="67" t="s">
        <v>777</v>
      </c>
      <c r="B71" s="6" t="s">
        <v>12</v>
      </c>
      <c r="C71" s="6" t="s">
        <v>12</v>
      </c>
      <c r="D71" s="12" t="s">
        <v>766</v>
      </c>
      <c r="E71" s="12" t="s">
        <v>28</v>
      </c>
    </row>
    <row r="72" spans="1:5">
      <c r="A72" s="67" t="s">
        <v>733</v>
      </c>
      <c r="B72" s="6" t="s">
        <v>12</v>
      </c>
      <c r="C72" s="6" t="s">
        <v>12</v>
      </c>
      <c r="D72" s="12" t="s">
        <v>734</v>
      </c>
      <c r="E72" s="12" t="s">
        <v>28</v>
      </c>
    </row>
    <row r="73" spans="1:5">
      <c r="A73" s="67" t="s">
        <v>112</v>
      </c>
      <c r="B73" s="6" t="s">
        <v>12</v>
      </c>
      <c r="C73" s="6" t="s">
        <v>12</v>
      </c>
      <c r="D73" s="12" t="s">
        <v>36</v>
      </c>
      <c r="E73" s="12" t="s">
        <v>74</v>
      </c>
    </row>
    <row r="74" spans="1:5" ht="29">
      <c r="A74" s="67" t="s">
        <v>778</v>
      </c>
      <c r="B74" s="6" t="s">
        <v>10</v>
      </c>
      <c r="C74" s="6" t="s">
        <v>10</v>
      </c>
      <c r="D74" s="12" t="s">
        <v>36</v>
      </c>
      <c r="E74" s="12" t="s">
        <v>779</v>
      </c>
    </row>
    <row r="75" spans="1:5">
      <c r="A75" s="67" t="s">
        <v>341</v>
      </c>
      <c r="B75" s="6" t="s">
        <v>9</v>
      </c>
      <c r="C75" s="6" t="s">
        <v>730</v>
      </c>
      <c r="D75" s="12" t="s">
        <v>751</v>
      </c>
      <c r="E75" s="12" t="s">
        <v>85</v>
      </c>
    </row>
    <row r="76" spans="1:5">
      <c r="A76" s="67" t="s">
        <v>780</v>
      </c>
      <c r="B76" s="6" t="s">
        <v>12</v>
      </c>
      <c r="C76" s="6" t="s">
        <v>12</v>
      </c>
      <c r="D76" s="12" t="s">
        <v>27</v>
      </c>
      <c r="E76" s="12" t="s">
        <v>28</v>
      </c>
    </row>
    <row r="77" spans="1:5">
      <c r="A77" s="67" t="s">
        <v>234</v>
      </c>
      <c r="B77" s="6" t="s">
        <v>12</v>
      </c>
      <c r="C77" s="6" t="s">
        <v>12</v>
      </c>
      <c r="D77" s="12" t="s">
        <v>734</v>
      </c>
      <c r="E77" s="12" t="s">
        <v>36</v>
      </c>
    </row>
    <row r="78" spans="1:5">
      <c r="A78" s="67" t="s">
        <v>126</v>
      </c>
      <c r="B78" s="6" t="s">
        <v>12</v>
      </c>
      <c r="C78" s="6" t="s">
        <v>12</v>
      </c>
      <c r="D78" s="12" t="s">
        <v>734</v>
      </c>
      <c r="E78" s="12" t="s">
        <v>36</v>
      </c>
    </row>
    <row r="79" spans="1:5">
      <c r="A79" s="67" t="s">
        <v>60</v>
      </c>
      <c r="B79" s="6" t="s">
        <v>10</v>
      </c>
      <c r="C79" s="6" t="s">
        <v>10</v>
      </c>
      <c r="D79" s="12" t="s">
        <v>35</v>
      </c>
      <c r="E79" s="7" t="s">
        <v>62</v>
      </c>
    </row>
    <row r="80" spans="1:5">
      <c r="A80" s="66" t="s">
        <v>244</v>
      </c>
      <c r="B80" s="6" t="s">
        <v>9</v>
      </c>
      <c r="C80" s="6" t="s">
        <v>730</v>
      </c>
      <c r="D80" s="12" t="s">
        <v>751</v>
      </c>
      <c r="E80" s="12" t="s">
        <v>36</v>
      </c>
    </row>
    <row r="81" spans="1:5">
      <c r="A81" s="66" t="s">
        <v>781</v>
      </c>
      <c r="B81" s="6" t="s">
        <v>10</v>
      </c>
      <c r="C81" s="6" t="s">
        <v>10</v>
      </c>
      <c r="D81" s="12" t="s">
        <v>32</v>
      </c>
      <c r="E81" s="12" t="s">
        <v>72</v>
      </c>
    </row>
    <row r="82" spans="1:5">
      <c r="A82" s="66" t="s">
        <v>266</v>
      </c>
      <c r="B82" s="6" t="s">
        <v>12</v>
      </c>
      <c r="C82" s="6" t="s">
        <v>12</v>
      </c>
      <c r="D82" s="12" t="s">
        <v>27</v>
      </c>
      <c r="E82" s="12" t="s">
        <v>36</v>
      </c>
    </row>
    <row r="83" spans="1:5">
      <c r="A83" s="66" t="s">
        <v>202</v>
      </c>
      <c r="B83" s="6" t="s">
        <v>9</v>
      </c>
      <c r="C83" s="6" t="s">
        <v>743</v>
      </c>
      <c r="D83" s="12" t="s">
        <v>782</v>
      </c>
      <c r="E83" s="12" t="s">
        <v>36</v>
      </c>
    </row>
    <row r="84" spans="1:5">
      <c r="A84" s="66" t="s">
        <v>255</v>
      </c>
      <c r="B84" s="6" t="s">
        <v>9</v>
      </c>
      <c r="C84" s="6" t="s">
        <v>743</v>
      </c>
      <c r="D84" s="12" t="s">
        <v>751</v>
      </c>
      <c r="E84" s="12" t="s">
        <v>36</v>
      </c>
    </row>
    <row r="85" spans="1:5">
      <c r="A85" s="66" t="s">
        <v>256</v>
      </c>
      <c r="B85" s="6" t="s">
        <v>9</v>
      </c>
      <c r="C85" s="6" t="s">
        <v>743</v>
      </c>
      <c r="D85" s="12" t="s">
        <v>751</v>
      </c>
      <c r="E85" s="12" t="s">
        <v>36</v>
      </c>
    </row>
    <row r="86" spans="1:5">
      <c r="A86" s="66" t="s">
        <v>265</v>
      </c>
      <c r="B86" s="6" t="s">
        <v>9</v>
      </c>
      <c r="C86" s="6" t="s">
        <v>743</v>
      </c>
      <c r="D86" s="12" t="s">
        <v>751</v>
      </c>
      <c r="E86" s="12" t="s">
        <v>36</v>
      </c>
    </row>
    <row r="87" spans="1:5">
      <c r="A87" s="66" t="s">
        <v>76</v>
      </c>
      <c r="B87" s="6" t="s">
        <v>10</v>
      </c>
      <c r="C87" s="6" t="s">
        <v>10</v>
      </c>
      <c r="D87" s="12" t="s">
        <v>32</v>
      </c>
      <c r="E87" s="12" t="s">
        <v>72</v>
      </c>
    </row>
    <row r="88" spans="1:5">
      <c r="A88" s="66" t="s">
        <v>783</v>
      </c>
      <c r="B88" s="6" t="s">
        <v>10</v>
      </c>
      <c r="C88" s="6" t="s">
        <v>10</v>
      </c>
      <c r="D88" s="12" t="s">
        <v>59</v>
      </c>
      <c r="E88" s="12" t="s">
        <v>72</v>
      </c>
    </row>
    <row r="89" spans="1:5">
      <c r="A89" s="66" t="s">
        <v>784</v>
      </c>
      <c r="B89" s="12" t="s">
        <v>736</v>
      </c>
      <c r="C89" s="6" t="s">
        <v>736</v>
      </c>
      <c r="D89" s="12" t="s">
        <v>785</v>
      </c>
      <c r="E89" s="12" t="s">
        <v>785</v>
      </c>
    </row>
    <row r="90" spans="1:5">
      <c r="A90" s="66" t="s">
        <v>786</v>
      </c>
      <c r="B90" s="6" t="s">
        <v>10</v>
      </c>
      <c r="C90" s="6" t="s">
        <v>10</v>
      </c>
      <c r="D90" s="12" t="s">
        <v>59</v>
      </c>
      <c r="E90" s="7" t="s">
        <v>787</v>
      </c>
    </row>
    <row r="91" spans="1:5">
      <c r="A91" s="66" t="s">
        <v>254</v>
      </c>
      <c r="B91" s="6" t="s">
        <v>9</v>
      </c>
      <c r="C91" s="6" t="s">
        <v>743</v>
      </c>
      <c r="D91" s="12" t="s">
        <v>751</v>
      </c>
      <c r="E91" s="12" t="s">
        <v>36</v>
      </c>
    </row>
    <row r="92" spans="1:5">
      <c r="A92" s="66" t="s">
        <v>788</v>
      </c>
      <c r="B92" s="6" t="s">
        <v>12</v>
      </c>
      <c r="C92" s="6" t="s">
        <v>12</v>
      </c>
      <c r="D92" s="12" t="s">
        <v>22</v>
      </c>
      <c r="E92" s="12" t="s">
        <v>36</v>
      </c>
    </row>
    <row r="93" spans="1:5">
      <c r="A93" s="66" t="s">
        <v>789</v>
      </c>
      <c r="B93" s="6" t="s">
        <v>12</v>
      </c>
      <c r="C93" s="6" t="s">
        <v>12</v>
      </c>
      <c r="D93" s="12" t="s">
        <v>790</v>
      </c>
      <c r="E93" s="12" t="s">
        <v>790</v>
      </c>
    </row>
    <row r="94" spans="1:5">
      <c r="A94" s="66" t="s">
        <v>264</v>
      </c>
      <c r="B94" s="6" t="s">
        <v>9</v>
      </c>
      <c r="C94" s="6" t="s">
        <v>743</v>
      </c>
      <c r="D94" s="12" t="s">
        <v>751</v>
      </c>
      <c r="E94" s="12" t="s">
        <v>724</v>
      </c>
    </row>
    <row r="95" spans="1:5">
      <c r="A95" s="66" t="s">
        <v>752</v>
      </c>
      <c r="B95" s="6" t="s">
        <v>11</v>
      </c>
      <c r="C95" s="6" t="s">
        <v>11</v>
      </c>
      <c r="D95" s="12" t="s">
        <v>22</v>
      </c>
      <c r="E95" s="12" t="s">
        <v>25</v>
      </c>
    </row>
    <row r="96" spans="1:5">
      <c r="A96" s="66" t="s">
        <v>738</v>
      </c>
      <c r="B96" s="6" t="s">
        <v>11</v>
      </c>
      <c r="C96" s="6" t="s">
        <v>11</v>
      </c>
      <c r="D96" s="12" t="s">
        <v>22</v>
      </c>
      <c r="E96" s="12" t="s">
        <v>25</v>
      </c>
    </row>
    <row r="97" spans="1:5">
      <c r="A97" s="66" t="s">
        <v>240</v>
      </c>
      <c r="B97" s="6" t="s">
        <v>12</v>
      </c>
      <c r="C97" s="6" t="s">
        <v>12</v>
      </c>
      <c r="D97" s="12" t="s">
        <v>734</v>
      </c>
      <c r="E97" s="12" t="s">
        <v>74</v>
      </c>
    </row>
    <row r="98" spans="1:5">
      <c r="A98" s="66" t="s">
        <v>791</v>
      </c>
      <c r="B98" s="12" t="s">
        <v>10</v>
      </c>
      <c r="C98" s="6" t="s">
        <v>10</v>
      </c>
      <c r="D98" s="12" t="s">
        <v>32</v>
      </c>
      <c r="E98" s="7" t="s">
        <v>33</v>
      </c>
    </row>
    <row r="99" spans="1:5">
      <c r="A99" s="66" t="s">
        <v>792</v>
      </c>
      <c r="B99" s="6" t="s">
        <v>12</v>
      </c>
      <c r="C99" s="6" t="s">
        <v>12</v>
      </c>
      <c r="D99" s="12" t="s">
        <v>22</v>
      </c>
      <c r="E99" s="12" t="s">
        <v>28</v>
      </c>
    </row>
    <row r="100" spans="1:5">
      <c r="A100" s="66" t="s">
        <v>793</v>
      </c>
      <c r="B100" s="6" t="s">
        <v>10</v>
      </c>
      <c r="C100" s="6" t="s">
        <v>10</v>
      </c>
      <c r="D100" s="12" t="s">
        <v>32</v>
      </c>
      <c r="E100" s="7" t="s">
        <v>724</v>
      </c>
    </row>
    <row r="101" spans="1:5">
      <c r="A101" s="66" t="s">
        <v>728</v>
      </c>
      <c r="B101" s="6" t="s">
        <v>12</v>
      </c>
      <c r="C101" s="6" t="s">
        <v>12</v>
      </c>
      <c r="D101" s="12" t="s">
        <v>36</v>
      </c>
      <c r="E101" s="12" t="s">
        <v>74</v>
      </c>
    </row>
    <row r="102" spans="1:5">
      <c r="A102" s="66" t="s">
        <v>794</v>
      </c>
      <c r="B102" s="6" t="s">
        <v>10</v>
      </c>
      <c r="C102" s="6" t="s">
        <v>10</v>
      </c>
      <c r="D102" s="12" t="s">
        <v>59</v>
      </c>
      <c r="E102" s="7" t="s">
        <v>787</v>
      </c>
    </row>
    <row r="103" spans="1:5">
      <c r="A103" s="66" t="s">
        <v>795</v>
      </c>
      <c r="B103" s="6" t="s">
        <v>12</v>
      </c>
      <c r="C103" s="6" t="s">
        <v>12</v>
      </c>
      <c r="D103" s="12" t="s">
        <v>22</v>
      </c>
      <c r="E103" s="12" t="s">
        <v>28</v>
      </c>
    </row>
    <row r="104" spans="1:5">
      <c r="A104" s="66" t="s">
        <v>796</v>
      </c>
      <c r="B104" s="6" t="s">
        <v>10</v>
      </c>
      <c r="C104" s="6" t="s">
        <v>10</v>
      </c>
      <c r="D104" s="12" t="s">
        <v>59</v>
      </c>
      <c r="E104" s="7" t="s">
        <v>787</v>
      </c>
    </row>
    <row r="105" spans="1:5">
      <c r="A105" s="66" t="s">
        <v>252</v>
      </c>
      <c r="B105" s="6" t="s">
        <v>12</v>
      </c>
      <c r="C105" s="6" t="s">
        <v>12</v>
      </c>
      <c r="D105" s="12" t="s">
        <v>27</v>
      </c>
      <c r="E105" s="12" t="s">
        <v>25</v>
      </c>
    </row>
    <row r="106" spans="1:5">
      <c r="A106" s="66" t="s">
        <v>797</v>
      </c>
      <c r="B106" s="6" t="s">
        <v>9</v>
      </c>
      <c r="C106" s="6" t="s">
        <v>743</v>
      </c>
      <c r="D106" s="12" t="s">
        <v>744</v>
      </c>
      <c r="E106" s="12" t="s">
        <v>36</v>
      </c>
    </row>
    <row r="107" spans="1:5">
      <c r="A107" s="66" t="s">
        <v>798</v>
      </c>
      <c r="B107" s="6" t="s">
        <v>10</v>
      </c>
      <c r="C107" s="6" t="s">
        <v>10</v>
      </c>
      <c r="D107" s="12" t="s">
        <v>32</v>
      </c>
      <c r="E107" s="7" t="s">
        <v>33</v>
      </c>
    </row>
    <row r="108" spans="1:5">
      <c r="A108" s="66" t="s">
        <v>799</v>
      </c>
      <c r="B108" s="6" t="s">
        <v>11</v>
      </c>
      <c r="C108" s="6" t="s">
        <v>11</v>
      </c>
      <c r="D108" s="12" t="s">
        <v>22</v>
      </c>
      <c r="E108" s="12" t="s">
        <v>25</v>
      </c>
    </row>
    <row r="109" spans="1:5">
      <c r="A109" s="66" t="s">
        <v>800</v>
      </c>
      <c r="B109" s="6" t="s">
        <v>12</v>
      </c>
      <c r="C109" s="6" t="s">
        <v>12</v>
      </c>
      <c r="D109" s="12" t="s">
        <v>22</v>
      </c>
      <c r="E109" s="12" t="s">
        <v>36</v>
      </c>
    </row>
    <row r="110" spans="1:5">
      <c r="A110" s="66" t="s">
        <v>801</v>
      </c>
      <c r="B110" s="6" t="s">
        <v>12</v>
      </c>
      <c r="C110" s="6" t="s">
        <v>12</v>
      </c>
      <c r="D110" s="12" t="s">
        <v>734</v>
      </c>
      <c r="E110" s="12" t="s">
        <v>36</v>
      </c>
    </row>
    <row r="111" spans="1:5">
      <c r="A111" s="66" t="s">
        <v>802</v>
      </c>
      <c r="B111" s="6" t="s">
        <v>11</v>
      </c>
      <c r="C111" s="6" t="s">
        <v>11</v>
      </c>
      <c r="D111" s="12" t="s">
        <v>22</v>
      </c>
      <c r="E111" s="12" t="s">
        <v>25</v>
      </c>
    </row>
    <row r="112" spans="1:5">
      <c r="A112" s="66" t="s">
        <v>803</v>
      </c>
      <c r="B112" s="12" t="s">
        <v>10</v>
      </c>
      <c r="C112" s="6" t="s">
        <v>10</v>
      </c>
      <c r="D112" s="12" t="s">
        <v>59</v>
      </c>
      <c r="E112" s="12" t="s">
        <v>36</v>
      </c>
    </row>
    <row r="113" spans="1:5">
      <c r="A113" s="66" t="s">
        <v>804</v>
      </c>
      <c r="B113" s="12" t="s">
        <v>10</v>
      </c>
      <c r="C113" s="6" t="s">
        <v>10</v>
      </c>
      <c r="D113" s="12" t="s">
        <v>35</v>
      </c>
      <c r="E113" s="12" t="s">
        <v>36</v>
      </c>
    </row>
    <row r="114" spans="1:5">
      <c r="A114" s="66" t="s">
        <v>805</v>
      </c>
      <c r="B114" s="6" t="s">
        <v>12</v>
      </c>
      <c r="C114" s="6" t="s">
        <v>12</v>
      </c>
      <c r="D114" s="12" t="s">
        <v>36</v>
      </c>
      <c r="E114" s="12" t="s">
        <v>757</v>
      </c>
    </row>
    <row r="115" spans="1:5">
      <c r="A115" s="66" t="s">
        <v>806</v>
      </c>
      <c r="B115" s="12" t="s">
        <v>10</v>
      </c>
      <c r="C115" s="6" t="s">
        <v>10</v>
      </c>
      <c r="D115" s="12" t="s">
        <v>59</v>
      </c>
      <c r="E115" s="12" t="s">
        <v>72</v>
      </c>
    </row>
    <row r="116" spans="1:5">
      <c r="A116" s="66" t="s">
        <v>807</v>
      </c>
      <c r="B116" s="12" t="s">
        <v>10</v>
      </c>
      <c r="C116" s="6" t="s">
        <v>10</v>
      </c>
      <c r="D116" s="21" t="s">
        <v>59</v>
      </c>
      <c r="E116" s="12" t="s">
        <v>72</v>
      </c>
    </row>
    <row r="117" spans="1:5">
      <c r="A117" s="67" t="s">
        <v>808</v>
      </c>
      <c r="B117" s="12" t="s">
        <v>10</v>
      </c>
      <c r="C117" s="6" t="s">
        <v>10</v>
      </c>
      <c r="D117" s="12" t="s">
        <v>32</v>
      </c>
      <c r="E117" s="12" t="s">
        <v>33</v>
      </c>
    </row>
    <row r="118" spans="1:5">
      <c r="A118" s="67" t="s">
        <v>809</v>
      </c>
      <c r="B118" s="12" t="s">
        <v>10</v>
      </c>
      <c r="C118" s="6" t="s">
        <v>10</v>
      </c>
      <c r="D118" s="12" t="s">
        <v>59</v>
      </c>
      <c r="E118" s="12" t="s">
        <v>36</v>
      </c>
    </row>
    <row r="119" spans="1:5">
      <c r="A119" s="67" t="s">
        <v>810</v>
      </c>
      <c r="B119" s="12" t="s">
        <v>10</v>
      </c>
      <c r="C119" s="6" t="s">
        <v>10</v>
      </c>
      <c r="D119" s="12" t="s">
        <v>59</v>
      </c>
      <c r="E119" s="12" t="s">
        <v>36</v>
      </c>
    </row>
    <row r="120" spans="1:5">
      <c r="A120" s="67" t="s">
        <v>811</v>
      </c>
      <c r="B120" s="6" t="s">
        <v>9</v>
      </c>
      <c r="C120" s="6" t="s">
        <v>743</v>
      </c>
      <c r="D120" s="12" t="s">
        <v>751</v>
      </c>
      <c r="E120" s="12" t="s">
        <v>36</v>
      </c>
    </row>
    <row r="121" spans="1:5">
      <c r="A121" s="67" t="s">
        <v>86</v>
      </c>
      <c r="B121" s="12" t="s">
        <v>10</v>
      </c>
      <c r="C121" s="6" t="s">
        <v>10</v>
      </c>
      <c r="D121" s="12" t="s">
        <v>59</v>
      </c>
      <c r="E121" s="12" t="s">
        <v>36</v>
      </c>
    </row>
    <row r="122" spans="1:5">
      <c r="A122" s="66" t="s">
        <v>242</v>
      </c>
      <c r="B122" s="6" t="s">
        <v>9</v>
      </c>
      <c r="C122" s="6" t="s">
        <v>743</v>
      </c>
      <c r="D122" s="12" t="s">
        <v>751</v>
      </c>
      <c r="E122" s="12" t="s">
        <v>36</v>
      </c>
    </row>
    <row r="123" spans="1:5">
      <c r="A123" s="66" t="s">
        <v>34</v>
      </c>
      <c r="B123" s="12" t="s">
        <v>10</v>
      </c>
      <c r="C123" s="6" t="s">
        <v>10</v>
      </c>
      <c r="D123" s="12" t="s">
        <v>35</v>
      </c>
      <c r="E123" s="12" t="s">
        <v>36</v>
      </c>
    </row>
    <row r="124" spans="1:5">
      <c r="A124" s="66" t="s">
        <v>34</v>
      </c>
      <c r="B124" s="12" t="s">
        <v>10</v>
      </c>
      <c r="C124" s="6" t="s">
        <v>10</v>
      </c>
      <c r="D124" s="12" t="s">
        <v>35</v>
      </c>
      <c r="E124" s="12" t="s">
        <v>36</v>
      </c>
    </row>
    <row r="125" spans="1:5">
      <c r="A125" s="66" t="s">
        <v>812</v>
      </c>
      <c r="B125" s="6" t="s">
        <v>12</v>
      </c>
      <c r="C125" s="6" t="s">
        <v>12</v>
      </c>
      <c r="D125" s="12" t="s">
        <v>36</v>
      </c>
      <c r="E125" s="12" t="s">
        <v>74</v>
      </c>
    </row>
    <row r="126" spans="1:5">
      <c r="A126" s="66" t="s">
        <v>813</v>
      </c>
      <c r="B126" s="6" t="s">
        <v>12</v>
      </c>
      <c r="C126" s="6" t="s">
        <v>12</v>
      </c>
      <c r="D126" s="12" t="s">
        <v>734</v>
      </c>
      <c r="E126" s="12" t="s">
        <v>74</v>
      </c>
    </row>
    <row r="127" spans="1:5">
      <c r="A127" s="67" t="s">
        <v>814</v>
      </c>
      <c r="B127" s="12" t="s">
        <v>10</v>
      </c>
      <c r="C127" s="6" t="s">
        <v>10</v>
      </c>
      <c r="D127" s="12" t="s">
        <v>59</v>
      </c>
      <c r="E127" s="12" t="s">
        <v>36</v>
      </c>
    </row>
    <row r="128" spans="1:5">
      <c r="A128" s="67" t="s">
        <v>815</v>
      </c>
      <c r="B128" s="12" t="s">
        <v>10</v>
      </c>
      <c r="C128" s="6" t="s">
        <v>10</v>
      </c>
      <c r="D128" s="12" t="s">
        <v>36</v>
      </c>
      <c r="E128" s="12" t="s">
        <v>764</v>
      </c>
    </row>
    <row r="129" spans="1:5">
      <c r="A129" s="67" t="s">
        <v>816</v>
      </c>
      <c r="B129" s="6" t="s">
        <v>12</v>
      </c>
      <c r="C129" s="6" t="s">
        <v>12</v>
      </c>
      <c r="D129" s="16" t="s">
        <v>766</v>
      </c>
      <c r="E129" s="12" t="s">
        <v>36</v>
      </c>
    </row>
    <row r="130" spans="1:5">
      <c r="A130" s="67" t="s">
        <v>817</v>
      </c>
      <c r="B130" s="6" t="s">
        <v>9</v>
      </c>
      <c r="C130" s="6" t="s">
        <v>743</v>
      </c>
      <c r="D130" s="12" t="s">
        <v>36</v>
      </c>
      <c r="E130" s="12" t="s">
        <v>765</v>
      </c>
    </row>
    <row r="131" spans="1:5">
      <c r="A131" s="67" t="s">
        <v>818</v>
      </c>
      <c r="B131" s="6" t="s">
        <v>12</v>
      </c>
      <c r="C131" s="6" t="s">
        <v>12</v>
      </c>
      <c r="D131" s="16" t="s">
        <v>766</v>
      </c>
      <c r="E131" s="12" t="s">
        <v>36</v>
      </c>
    </row>
    <row r="132" spans="1:5">
      <c r="A132" s="67" t="s">
        <v>819</v>
      </c>
      <c r="B132" s="6" t="s">
        <v>12</v>
      </c>
      <c r="C132" s="6" t="s">
        <v>12</v>
      </c>
      <c r="D132" s="12" t="s">
        <v>36</v>
      </c>
      <c r="E132" s="12" t="s">
        <v>74</v>
      </c>
    </row>
    <row r="133" spans="1:5">
      <c r="A133" s="67" t="s">
        <v>820</v>
      </c>
      <c r="B133" s="6" t="s">
        <v>12</v>
      </c>
      <c r="C133" s="6" t="s">
        <v>12</v>
      </c>
      <c r="D133" s="12" t="s">
        <v>734</v>
      </c>
      <c r="E133" s="12" t="s">
        <v>36</v>
      </c>
    </row>
    <row r="134" spans="1:5">
      <c r="A134" s="67" t="s">
        <v>821</v>
      </c>
      <c r="B134" s="6" t="s">
        <v>12</v>
      </c>
      <c r="C134" s="6" t="s">
        <v>12</v>
      </c>
      <c r="D134" s="12" t="s">
        <v>766</v>
      </c>
      <c r="E134" s="12" t="s">
        <v>36</v>
      </c>
    </row>
    <row r="135" spans="1:5">
      <c r="A135" s="67" t="s">
        <v>822</v>
      </c>
      <c r="B135" s="12" t="s">
        <v>10</v>
      </c>
      <c r="C135" s="6" t="s">
        <v>10</v>
      </c>
      <c r="D135" s="12" t="s">
        <v>32</v>
      </c>
      <c r="E135" s="12" t="s">
        <v>33</v>
      </c>
    </row>
    <row r="136" spans="1:5">
      <c r="A136" s="67" t="s">
        <v>823</v>
      </c>
      <c r="B136" s="6" t="s">
        <v>12</v>
      </c>
      <c r="C136" s="6" t="s">
        <v>12</v>
      </c>
      <c r="D136" s="16" t="s">
        <v>27</v>
      </c>
      <c r="E136" s="12" t="s">
        <v>36</v>
      </c>
    </row>
    <row r="137" spans="1:5">
      <c r="A137" s="67" t="s">
        <v>824</v>
      </c>
      <c r="B137" s="6" t="s">
        <v>12</v>
      </c>
      <c r="C137" s="6" t="s">
        <v>12</v>
      </c>
      <c r="D137" s="12" t="s">
        <v>36</v>
      </c>
      <c r="E137" s="12" t="s">
        <v>825</v>
      </c>
    </row>
    <row r="138" spans="1:5">
      <c r="A138" s="66" t="s">
        <v>826</v>
      </c>
      <c r="B138" s="6" t="s">
        <v>12</v>
      </c>
      <c r="C138" s="6" t="s">
        <v>12</v>
      </c>
      <c r="D138" s="22" t="s">
        <v>734</v>
      </c>
      <c r="E138" s="12" t="s">
        <v>36</v>
      </c>
    </row>
    <row r="139" spans="1:5">
      <c r="A139" s="66" t="s">
        <v>262</v>
      </c>
      <c r="B139" s="6" t="s">
        <v>12</v>
      </c>
      <c r="C139" s="6" t="s">
        <v>12</v>
      </c>
      <c r="D139" s="22" t="s">
        <v>827</v>
      </c>
      <c r="E139" s="12" t="s">
        <v>36</v>
      </c>
    </row>
    <row r="140" spans="1:5">
      <c r="A140" s="66" t="s">
        <v>260</v>
      </c>
      <c r="B140" s="6" t="s">
        <v>12</v>
      </c>
      <c r="C140" s="6" t="s">
        <v>12</v>
      </c>
      <c r="D140" s="22" t="s">
        <v>36</v>
      </c>
      <c r="E140" s="12" t="s">
        <v>827</v>
      </c>
    </row>
    <row r="141" spans="1:5">
      <c r="A141" s="67" t="s">
        <v>828</v>
      </c>
      <c r="B141" s="6" t="s">
        <v>12</v>
      </c>
      <c r="C141" s="6" t="s">
        <v>12</v>
      </c>
      <c r="D141" s="6" t="s">
        <v>36</v>
      </c>
      <c r="E141" s="6" t="s">
        <v>829</v>
      </c>
    </row>
    <row r="142" spans="1:5">
      <c r="A142" s="67" t="s">
        <v>284</v>
      </c>
      <c r="B142" s="6" t="s">
        <v>830</v>
      </c>
      <c r="C142" s="6" t="str">
        <f>B142</f>
        <v>Shared Centre</v>
      </c>
      <c r="D142" s="6" t="s">
        <v>831</v>
      </c>
      <c r="E142" s="6" t="s">
        <v>28</v>
      </c>
    </row>
    <row r="143" spans="1:5">
      <c r="A143" s="67" t="s">
        <v>832</v>
      </c>
      <c r="B143" s="6" t="s">
        <v>12</v>
      </c>
      <c r="C143" s="6" t="s">
        <v>12</v>
      </c>
      <c r="D143" s="12" t="s">
        <v>734</v>
      </c>
      <c r="E143" s="12" t="s">
        <v>74</v>
      </c>
    </row>
    <row r="144" spans="1:5">
      <c r="A144" s="66" t="s">
        <v>141</v>
      </c>
      <c r="B144" s="6" t="s">
        <v>12</v>
      </c>
      <c r="C144" s="6" t="s">
        <v>12</v>
      </c>
      <c r="D144" s="12" t="s">
        <v>833</v>
      </c>
      <c r="E144" s="12" t="s">
        <v>36</v>
      </c>
    </row>
    <row r="145" spans="1:5">
      <c r="A145" s="66" t="s">
        <v>834</v>
      </c>
      <c r="B145" s="15" t="s">
        <v>10</v>
      </c>
      <c r="C145" s="6" t="s">
        <v>10</v>
      </c>
      <c r="D145" s="12" t="s">
        <v>32</v>
      </c>
      <c r="E145" s="12" t="s">
        <v>36</v>
      </c>
    </row>
    <row r="146" spans="1:5">
      <c r="A146" s="66" t="s">
        <v>835</v>
      </c>
      <c r="B146" s="6" t="s">
        <v>12</v>
      </c>
      <c r="C146" s="6" t="s">
        <v>12</v>
      </c>
      <c r="D146" s="12" t="s">
        <v>827</v>
      </c>
      <c r="E146" s="12" t="s">
        <v>827</v>
      </c>
    </row>
    <row r="147" spans="1:5">
      <c r="A147" s="68" t="s">
        <v>836</v>
      </c>
      <c r="B147" s="15" t="s">
        <v>10</v>
      </c>
      <c r="C147" s="6" t="s">
        <v>10</v>
      </c>
      <c r="D147" s="22" t="s">
        <v>59</v>
      </c>
      <c r="E147" s="22" t="s">
        <v>36</v>
      </c>
    </row>
    <row r="148" spans="1:5">
      <c r="A148" s="68" t="s">
        <v>837</v>
      </c>
      <c r="B148" s="15" t="s">
        <v>10</v>
      </c>
      <c r="C148" s="6" t="s">
        <v>10</v>
      </c>
      <c r="D148" s="15" t="s">
        <v>36</v>
      </c>
      <c r="E148" s="15" t="s">
        <v>838</v>
      </c>
    </row>
    <row r="149" spans="1:5">
      <c r="A149" s="68" t="s">
        <v>839</v>
      </c>
      <c r="B149" s="15" t="s">
        <v>10</v>
      </c>
      <c r="C149" s="6" t="s">
        <v>10</v>
      </c>
      <c r="D149" s="15" t="s">
        <v>36</v>
      </c>
      <c r="E149" s="15" t="s">
        <v>72</v>
      </c>
    </row>
    <row r="150" spans="1:5">
      <c r="A150" s="68" t="s">
        <v>840</v>
      </c>
      <c r="B150" s="15" t="s">
        <v>10</v>
      </c>
      <c r="C150" s="6" t="s">
        <v>10</v>
      </c>
      <c r="D150" s="15" t="s">
        <v>36</v>
      </c>
      <c r="E150" s="15" t="s">
        <v>72</v>
      </c>
    </row>
    <row r="151" spans="1:5">
      <c r="A151" s="68" t="s">
        <v>841</v>
      </c>
      <c r="B151" s="6" t="s">
        <v>12</v>
      </c>
      <c r="C151" s="6" t="s">
        <v>12</v>
      </c>
      <c r="D151" s="15" t="s">
        <v>36</v>
      </c>
      <c r="E151" s="15" t="s">
        <v>74</v>
      </c>
    </row>
    <row r="152" spans="1:5">
      <c r="A152" s="68" t="s">
        <v>842</v>
      </c>
      <c r="B152" s="15" t="s">
        <v>10</v>
      </c>
      <c r="C152" s="6" t="s">
        <v>10</v>
      </c>
      <c r="D152" s="15" t="s">
        <v>36</v>
      </c>
      <c r="E152" s="15" t="s">
        <v>838</v>
      </c>
    </row>
    <row r="153" spans="1:5" ht="29">
      <c r="A153" s="69" t="s">
        <v>843</v>
      </c>
      <c r="B153" s="6" t="s">
        <v>12</v>
      </c>
      <c r="C153" s="6" t="s">
        <v>12</v>
      </c>
      <c r="D153" s="15" t="s">
        <v>766</v>
      </c>
      <c r="E153" s="15" t="s">
        <v>36</v>
      </c>
    </row>
    <row r="154" spans="1:5">
      <c r="A154" s="69" t="s">
        <v>844</v>
      </c>
      <c r="B154" s="15" t="s">
        <v>10</v>
      </c>
      <c r="C154" s="6" t="s">
        <v>10</v>
      </c>
      <c r="D154" s="15" t="s">
        <v>36</v>
      </c>
      <c r="E154" s="15" t="s">
        <v>36</v>
      </c>
    </row>
    <row r="155" spans="1:5">
      <c r="A155" s="69" t="s">
        <v>845</v>
      </c>
      <c r="B155" s="15" t="s">
        <v>10</v>
      </c>
      <c r="C155" s="6" t="s">
        <v>10</v>
      </c>
      <c r="D155" s="15" t="s">
        <v>59</v>
      </c>
      <c r="E155" s="15" t="s">
        <v>72</v>
      </c>
    </row>
    <row r="156" spans="1:5">
      <c r="A156" s="69" t="s">
        <v>846</v>
      </c>
      <c r="B156" s="6" t="s">
        <v>12</v>
      </c>
      <c r="C156" s="6" t="s">
        <v>12</v>
      </c>
      <c r="D156" s="15" t="s">
        <v>36</v>
      </c>
      <c r="E156" s="15" t="s">
        <v>25</v>
      </c>
    </row>
    <row r="157" spans="1:5">
      <c r="A157" s="69" t="s">
        <v>88</v>
      </c>
      <c r="B157" s="15" t="s">
        <v>10</v>
      </c>
      <c r="C157" s="6" t="s">
        <v>10</v>
      </c>
      <c r="D157" s="15" t="s">
        <v>59</v>
      </c>
      <c r="E157" s="15" t="s">
        <v>72</v>
      </c>
    </row>
    <row r="158" spans="1:5">
      <c r="A158" s="69" t="s">
        <v>847</v>
      </c>
      <c r="B158" s="6" t="s">
        <v>12</v>
      </c>
      <c r="C158" s="6" t="s">
        <v>12</v>
      </c>
      <c r="D158" s="15" t="s">
        <v>790</v>
      </c>
      <c r="E158" s="15" t="s">
        <v>790</v>
      </c>
    </row>
    <row r="159" spans="1:5">
      <c r="A159" s="69" t="s">
        <v>848</v>
      </c>
      <c r="B159" s="6" t="s">
        <v>12</v>
      </c>
      <c r="C159" s="6" t="s">
        <v>12</v>
      </c>
      <c r="D159" s="22" t="s">
        <v>827</v>
      </c>
      <c r="E159" s="15" t="s">
        <v>36</v>
      </c>
    </row>
    <row r="160" spans="1:5">
      <c r="A160" s="69" t="s">
        <v>257</v>
      </c>
      <c r="B160" s="6" t="s">
        <v>830</v>
      </c>
      <c r="C160" s="6" t="str">
        <f>B160</f>
        <v>Shared Centre</v>
      </c>
      <c r="D160" s="22" t="s">
        <v>831</v>
      </c>
      <c r="E160" s="15" t="s">
        <v>827</v>
      </c>
    </row>
    <row r="161" spans="1:5">
      <c r="A161" s="69" t="s">
        <v>849</v>
      </c>
      <c r="B161" s="15" t="s">
        <v>10</v>
      </c>
      <c r="C161" s="6" t="s">
        <v>10</v>
      </c>
      <c r="D161" s="15" t="s">
        <v>36</v>
      </c>
      <c r="E161" s="15" t="s">
        <v>67</v>
      </c>
    </row>
    <row r="162" spans="1:5">
      <c r="A162" s="69" t="s">
        <v>205</v>
      </c>
      <c r="B162" s="6" t="s">
        <v>12</v>
      </c>
      <c r="C162" s="6" t="s">
        <v>12</v>
      </c>
      <c r="D162" s="22" t="s">
        <v>734</v>
      </c>
      <c r="E162" s="15" t="s">
        <v>827</v>
      </c>
    </row>
    <row r="163" spans="1:5">
      <c r="A163" s="70" t="s">
        <v>850</v>
      </c>
      <c r="B163" s="15" t="s">
        <v>10</v>
      </c>
      <c r="C163" s="6" t="s">
        <v>10</v>
      </c>
      <c r="D163" s="15" t="s">
        <v>36</v>
      </c>
      <c r="E163" s="15" t="s">
        <v>838</v>
      </c>
    </row>
    <row r="164" spans="1:5">
      <c r="A164" s="70" t="s">
        <v>851</v>
      </c>
      <c r="B164" s="15" t="s">
        <v>10</v>
      </c>
      <c r="C164" s="6" t="s">
        <v>10</v>
      </c>
      <c r="D164" s="15" t="s">
        <v>36</v>
      </c>
      <c r="E164" s="15" t="s">
        <v>67</v>
      </c>
    </row>
    <row r="165" spans="1:5">
      <c r="A165" s="70" t="s">
        <v>852</v>
      </c>
      <c r="B165" s="15" t="s">
        <v>10</v>
      </c>
      <c r="C165" s="6" t="s">
        <v>10</v>
      </c>
      <c r="D165" s="15" t="s">
        <v>36</v>
      </c>
      <c r="E165" s="15" t="s">
        <v>838</v>
      </c>
    </row>
    <row r="166" spans="1:5">
      <c r="A166" s="70" t="s">
        <v>92</v>
      </c>
      <c r="B166" s="15" t="s">
        <v>10</v>
      </c>
      <c r="C166" s="6" t="s">
        <v>10</v>
      </c>
      <c r="D166" s="15" t="s">
        <v>59</v>
      </c>
      <c r="E166" s="15" t="s">
        <v>64</v>
      </c>
    </row>
    <row r="167" spans="1:5">
      <c r="A167" s="70" t="s">
        <v>853</v>
      </c>
      <c r="B167" s="6" t="s">
        <v>12</v>
      </c>
      <c r="C167" s="6" t="s">
        <v>12</v>
      </c>
      <c r="D167" s="15" t="s">
        <v>36</v>
      </c>
      <c r="E167" s="15" t="s">
        <v>23</v>
      </c>
    </row>
    <row r="168" spans="1:5">
      <c r="A168" s="70" t="s">
        <v>66</v>
      </c>
      <c r="B168" s="15" t="s">
        <v>10</v>
      </c>
      <c r="C168" s="6" t="s">
        <v>10</v>
      </c>
      <c r="D168" s="15" t="s">
        <v>32</v>
      </c>
      <c r="E168" s="15" t="s">
        <v>67</v>
      </c>
    </row>
    <row r="169" spans="1:5">
      <c r="A169" s="70" t="s">
        <v>854</v>
      </c>
      <c r="B169" s="6" t="s">
        <v>12</v>
      </c>
      <c r="C169" s="6" t="s">
        <v>12</v>
      </c>
      <c r="D169" s="15" t="s">
        <v>30</v>
      </c>
      <c r="E169" s="15" t="s">
        <v>36</v>
      </c>
    </row>
    <row r="170" spans="1:5">
      <c r="A170" s="70" t="s">
        <v>855</v>
      </c>
      <c r="B170" s="15" t="s">
        <v>10</v>
      </c>
      <c r="C170" s="6" t="s">
        <v>10</v>
      </c>
      <c r="D170" s="15" t="s">
        <v>36</v>
      </c>
      <c r="E170" s="15" t="s">
        <v>72</v>
      </c>
    </row>
    <row r="171" spans="1:5">
      <c r="A171" s="66" t="s">
        <v>856</v>
      </c>
      <c r="B171" s="6" t="s">
        <v>12</v>
      </c>
      <c r="C171" s="6" t="s">
        <v>12</v>
      </c>
      <c r="D171" s="15" t="s">
        <v>36</v>
      </c>
      <c r="E171" s="15" t="s">
        <v>28</v>
      </c>
    </row>
    <row r="172" spans="1:5">
      <c r="A172" s="68" t="s">
        <v>857</v>
      </c>
      <c r="B172" s="15" t="s">
        <v>10</v>
      </c>
      <c r="C172" s="6" t="s">
        <v>10</v>
      </c>
      <c r="D172" s="15" t="s">
        <v>36</v>
      </c>
      <c r="E172" s="15" t="s">
        <v>764</v>
      </c>
    </row>
    <row r="173" spans="1:5">
      <c r="A173" s="68" t="s">
        <v>225</v>
      </c>
      <c r="B173" s="6" t="s">
        <v>12</v>
      </c>
      <c r="C173" s="6" t="s">
        <v>12</v>
      </c>
      <c r="D173" s="12" t="s">
        <v>30</v>
      </c>
      <c r="E173" s="15" t="s">
        <v>28</v>
      </c>
    </row>
    <row r="174" spans="1:5">
      <c r="A174" s="68" t="s">
        <v>75</v>
      </c>
      <c r="B174" s="15" t="s">
        <v>10</v>
      </c>
      <c r="C174" s="6" t="s">
        <v>10</v>
      </c>
      <c r="D174" s="15" t="s">
        <v>32</v>
      </c>
      <c r="E174" s="15" t="s">
        <v>36</v>
      </c>
    </row>
    <row r="175" spans="1:5">
      <c r="A175" s="68" t="s">
        <v>858</v>
      </c>
      <c r="B175" s="15" t="s">
        <v>10</v>
      </c>
      <c r="C175" s="6" t="s">
        <v>10</v>
      </c>
      <c r="D175" s="12" t="s">
        <v>32</v>
      </c>
      <c r="E175" s="15" t="s">
        <v>36</v>
      </c>
    </row>
    <row r="176" spans="1:5">
      <c r="A176" s="68" t="s">
        <v>859</v>
      </c>
      <c r="B176" s="15" t="s">
        <v>9</v>
      </c>
      <c r="C176" s="6" t="s">
        <v>743</v>
      </c>
      <c r="D176" s="15" t="s">
        <v>36</v>
      </c>
      <c r="E176" s="15" t="s">
        <v>36</v>
      </c>
    </row>
    <row r="177" spans="1:5">
      <c r="A177" s="68" t="s">
        <v>860</v>
      </c>
      <c r="B177" s="15" t="s">
        <v>9</v>
      </c>
      <c r="C177" s="6" t="s">
        <v>743</v>
      </c>
      <c r="D177" t="s">
        <v>731</v>
      </c>
      <c r="E177" s="15" t="s">
        <v>36</v>
      </c>
    </row>
    <row r="178" spans="1:5">
      <c r="A178" s="68" t="s">
        <v>861</v>
      </c>
      <c r="B178" s="6" t="s">
        <v>12</v>
      </c>
      <c r="C178" s="6" t="s">
        <v>12</v>
      </c>
      <c r="D178" s="15" t="s">
        <v>36</v>
      </c>
      <c r="E178" s="15" t="s">
        <v>36</v>
      </c>
    </row>
    <row r="179" spans="1:5">
      <c r="A179" s="69" t="s">
        <v>862</v>
      </c>
      <c r="B179" s="15" t="s">
        <v>10</v>
      </c>
      <c r="C179" s="6" t="s">
        <v>10</v>
      </c>
      <c r="D179" s="12" t="s">
        <v>32</v>
      </c>
      <c r="E179" s="15" t="s">
        <v>36</v>
      </c>
    </row>
    <row r="180" spans="1:5">
      <c r="A180" s="69" t="s">
        <v>863</v>
      </c>
      <c r="B180" s="15" t="s">
        <v>9</v>
      </c>
      <c r="C180" s="6" t="s">
        <v>743</v>
      </c>
      <c r="D180" s="15" t="s">
        <v>36</v>
      </c>
      <c r="E180" s="15" t="s">
        <v>36</v>
      </c>
    </row>
    <row r="181" spans="1:5">
      <c r="A181" s="69" t="s">
        <v>199</v>
      </c>
      <c r="B181" s="6" t="s">
        <v>12</v>
      </c>
      <c r="C181" s="6" t="s">
        <v>12</v>
      </c>
      <c r="D181" s="15" t="s">
        <v>36</v>
      </c>
      <c r="E181" s="15" t="s">
        <v>757</v>
      </c>
    </row>
    <row r="182" spans="1:5">
      <c r="A182" s="68" t="s">
        <v>280</v>
      </c>
      <c r="B182" s="15" t="s">
        <v>11</v>
      </c>
      <c r="C182" s="15" t="s">
        <v>11</v>
      </c>
      <c r="D182" s="12" t="s">
        <v>22</v>
      </c>
      <c r="E182" s="15" t="s">
        <v>864</v>
      </c>
    </row>
    <row r="183" spans="1:5">
      <c r="A183" s="68" t="s">
        <v>865</v>
      </c>
      <c r="B183" s="15" t="s">
        <v>10</v>
      </c>
      <c r="C183" s="6" t="s">
        <v>10</v>
      </c>
      <c r="D183" s="15" t="s">
        <v>32</v>
      </c>
      <c r="E183" s="15" t="s">
        <v>64</v>
      </c>
    </row>
    <row r="184" spans="1:5">
      <c r="A184" s="68" t="s">
        <v>866</v>
      </c>
      <c r="B184" s="6" t="s">
        <v>12</v>
      </c>
      <c r="C184" s="6" t="s">
        <v>12</v>
      </c>
      <c r="D184" s="15" t="s">
        <v>36</v>
      </c>
      <c r="E184" s="15" t="s">
        <v>23</v>
      </c>
    </row>
    <row r="185" spans="1:5">
      <c r="A185" s="68" t="s">
        <v>186</v>
      </c>
      <c r="B185" s="6" t="s">
        <v>12</v>
      </c>
      <c r="C185" s="6" t="s">
        <v>12</v>
      </c>
      <c r="D185" s="15" t="s">
        <v>36</v>
      </c>
      <c r="E185" s="15" t="s">
        <v>829</v>
      </c>
    </row>
    <row r="186" spans="1:5">
      <c r="A186" s="68" t="s">
        <v>867</v>
      </c>
      <c r="B186" s="6" t="s">
        <v>12</v>
      </c>
      <c r="C186" s="6" t="s">
        <v>12</v>
      </c>
      <c r="D186" s="15" t="s">
        <v>36</v>
      </c>
      <c r="E186" s="15" t="s">
        <v>829</v>
      </c>
    </row>
    <row r="187" spans="1:5">
      <c r="A187" s="68" t="s">
        <v>169</v>
      </c>
      <c r="B187" s="6" t="s">
        <v>11</v>
      </c>
      <c r="C187" s="6" t="s">
        <v>11</v>
      </c>
      <c r="D187" s="12" t="s">
        <v>22</v>
      </c>
      <c r="E187" s="15" t="s">
        <v>23</v>
      </c>
    </row>
    <row r="188" spans="1:5">
      <c r="A188" s="68" t="s">
        <v>91</v>
      </c>
      <c r="B188" s="15" t="s">
        <v>10</v>
      </c>
      <c r="C188" s="6" t="s">
        <v>10</v>
      </c>
      <c r="D188" s="15" t="s">
        <v>32</v>
      </c>
      <c r="E188" s="15" t="s">
        <v>74</v>
      </c>
    </row>
    <row r="189" spans="1:5">
      <c r="A189" s="68" t="s">
        <v>31</v>
      </c>
      <c r="B189" s="15" t="s">
        <v>10</v>
      </c>
      <c r="C189" s="6" t="s">
        <v>10</v>
      </c>
      <c r="D189" s="15" t="s">
        <v>32</v>
      </c>
      <c r="E189" s="15" t="s">
        <v>33</v>
      </c>
    </row>
    <row r="190" spans="1:5">
      <c r="A190" s="68" t="s">
        <v>82</v>
      </c>
      <c r="B190" s="11" t="s">
        <v>10</v>
      </c>
      <c r="C190" s="6" t="s">
        <v>10</v>
      </c>
      <c r="D190" s="15" t="s">
        <v>59</v>
      </c>
      <c r="E190" s="15" t="s">
        <v>25</v>
      </c>
    </row>
    <row r="191" spans="1:5">
      <c r="A191" s="68" t="s">
        <v>868</v>
      </c>
      <c r="B191" s="11" t="s">
        <v>10</v>
      </c>
      <c r="C191" s="6" t="s">
        <v>10</v>
      </c>
      <c r="D191" s="15" t="s">
        <v>35</v>
      </c>
      <c r="E191" s="15" t="s">
        <v>67</v>
      </c>
    </row>
    <row r="192" spans="1:5">
      <c r="A192" s="68" t="s">
        <v>869</v>
      </c>
      <c r="B192" s="11" t="s">
        <v>10</v>
      </c>
      <c r="C192" s="6" t="s">
        <v>10</v>
      </c>
      <c r="D192" s="15" t="s">
        <v>35</v>
      </c>
      <c r="E192" s="15" t="s">
        <v>67</v>
      </c>
    </row>
    <row r="193" spans="1:5">
      <c r="A193" s="68" t="s">
        <v>870</v>
      </c>
      <c r="B193" s="11" t="s">
        <v>10</v>
      </c>
      <c r="C193" s="6" t="s">
        <v>10</v>
      </c>
      <c r="D193" s="15" t="s">
        <v>35</v>
      </c>
      <c r="E193" s="15" t="s">
        <v>67</v>
      </c>
    </row>
    <row r="194" spans="1:5">
      <c r="A194" s="68" t="s">
        <v>871</v>
      </c>
      <c r="B194" s="11" t="s">
        <v>10</v>
      </c>
      <c r="C194" s="6" t="s">
        <v>10</v>
      </c>
      <c r="D194" s="15" t="s">
        <v>36</v>
      </c>
      <c r="E194" s="15" t="s">
        <v>872</v>
      </c>
    </row>
    <row r="195" spans="1:5">
      <c r="A195" s="69" t="s">
        <v>249</v>
      </c>
      <c r="B195" s="6" t="s">
        <v>12</v>
      </c>
      <c r="C195" s="6" t="s">
        <v>12</v>
      </c>
      <c r="D195" s="15" t="s">
        <v>766</v>
      </c>
      <c r="E195" s="15" t="s">
        <v>36</v>
      </c>
    </row>
    <row r="196" spans="1:5">
      <c r="A196" s="69" t="s">
        <v>873</v>
      </c>
      <c r="B196" s="11" t="s">
        <v>9</v>
      </c>
      <c r="C196" s="6" t="s">
        <v>743</v>
      </c>
      <c r="D196" s="15" t="s">
        <v>751</v>
      </c>
      <c r="E196" s="15" t="s">
        <v>36</v>
      </c>
    </row>
    <row r="197" spans="1:5">
      <c r="A197" s="69" t="s">
        <v>208</v>
      </c>
      <c r="B197" s="6" t="s">
        <v>12</v>
      </c>
      <c r="C197" s="6" t="s">
        <v>12</v>
      </c>
      <c r="D197" s="15" t="s">
        <v>27</v>
      </c>
      <c r="E197" s="15" t="s">
        <v>36</v>
      </c>
    </row>
    <row r="198" spans="1:5" ht="29">
      <c r="A198" s="69" t="s">
        <v>163</v>
      </c>
      <c r="B198" s="6" t="s">
        <v>12</v>
      </c>
      <c r="C198" s="6" t="s">
        <v>12</v>
      </c>
      <c r="D198" s="15" t="s">
        <v>27</v>
      </c>
      <c r="E198" s="15" t="s">
        <v>36</v>
      </c>
    </row>
    <row r="199" spans="1:5">
      <c r="A199" s="69" t="s">
        <v>874</v>
      </c>
      <c r="B199" s="6" t="s">
        <v>12</v>
      </c>
      <c r="C199" s="6" t="s">
        <v>12</v>
      </c>
      <c r="D199" s="15" t="s">
        <v>36</v>
      </c>
      <c r="E199" s="15" t="s">
        <v>25</v>
      </c>
    </row>
    <row r="200" spans="1:5">
      <c r="A200" s="67" t="s">
        <v>875</v>
      </c>
      <c r="B200" s="11" t="s">
        <v>10</v>
      </c>
      <c r="C200" s="6" t="s">
        <v>10</v>
      </c>
      <c r="D200" s="15" t="s">
        <v>59</v>
      </c>
      <c r="E200" s="15" t="s">
        <v>64</v>
      </c>
    </row>
    <row r="201" spans="1:5">
      <c r="A201" s="67" t="s">
        <v>876</v>
      </c>
      <c r="B201" s="11" t="s">
        <v>10</v>
      </c>
      <c r="C201" s="6" t="s">
        <v>10</v>
      </c>
      <c r="D201" s="15" t="s">
        <v>36</v>
      </c>
      <c r="E201" s="15" t="s">
        <v>67</v>
      </c>
    </row>
    <row r="202" spans="1:5">
      <c r="A202" s="67" t="s">
        <v>877</v>
      </c>
      <c r="B202" s="11" t="s">
        <v>10</v>
      </c>
      <c r="C202" s="6" t="s">
        <v>10</v>
      </c>
      <c r="D202" s="15" t="s">
        <v>59</v>
      </c>
      <c r="E202" s="15" t="s">
        <v>36</v>
      </c>
    </row>
    <row r="203" spans="1:5">
      <c r="A203" s="67" t="s">
        <v>878</v>
      </c>
      <c r="B203" s="11" t="s">
        <v>10</v>
      </c>
      <c r="C203" s="6" t="s">
        <v>10</v>
      </c>
      <c r="D203" s="15" t="s">
        <v>36</v>
      </c>
      <c r="E203" s="15" t="s">
        <v>829</v>
      </c>
    </row>
    <row r="204" spans="1:5">
      <c r="A204" s="68" t="s">
        <v>87</v>
      </c>
      <c r="B204" s="11" t="s">
        <v>10</v>
      </c>
      <c r="C204" s="6" t="s">
        <v>10</v>
      </c>
      <c r="D204" s="12" t="s">
        <v>32</v>
      </c>
      <c r="E204" s="15" t="s">
        <v>36</v>
      </c>
    </row>
    <row r="205" spans="1:5">
      <c r="A205" s="68" t="s">
        <v>211</v>
      </c>
      <c r="B205" s="6" t="s">
        <v>12</v>
      </c>
      <c r="C205" s="6" t="s">
        <v>12</v>
      </c>
      <c r="D205" s="15" t="s">
        <v>36</v>
      </c>
      <c r="E205" s="15" t="s">
        <v>74</v>
      </c>
    </row>
    <row r="206" spans="1:5">
      <c r="A206" s="68" t="s">
        <v>351</v>
      </c>
      <c r="B206" s="11" t="s">
        <v>9</v>
      </c>
      <c r="C206" s="6" t="s">
        <v>743</v>
      </c>
      <c r="D206" t="s">
        <v>731</v>
      </c>
      <c r="E206" s="15" t="s">
        <v>765</v>
      </c>
    </row>
    <row r="207" spans="1:5">
      <c r="A207" s="68" t="s">
        <v>879</v>
      </c>
      <c r="B207" s="6" t="s">
        <v>12</v>
      </c>
      <c r="C207" s="6" t="s">
        <v>12</v>
      </c>
      <c r="D207" s="15" t="s">
        <v>790</v>
      </c>
      <c r="E207" s="15" t="s">
        <v>36</v>
      </c>
    </row>
    <row r="208" spans="1:5">
      <c r="A208" s="68" t="s">
        <v>880</v>
      </c>
      <c r="B208" s="11" t="s">
        <v>10</v>
      </c>
      <c r="C208" s="6" t="s">
        <v>10</v>
      </c>
      <c r="D208" s="15" t="s">
        <v>32</v>
      </c>
      <c r="E208" s="15" t="s">
        <v>36</v>
      </c>
    </row>
    <row r="209" spans="1:5">
      <c r="A209" s="68" t="s">
        <v>881</v>
      </c>
      <c r="B209" s="11" t="s">
        <v>10</v>
      </c>
      <c r="C209" s="6" t="s">
        <v>10</v>
      </c>
      <c r="D209" s="15" t="s">
        <v>32</v>
      </c>
      <c r="E209" s="15" t="s">
        <v>72</v>
      </c>
    </row>
    <row r="210" spans="1:5">
      <c r="A210" s="68" t="s">
        <v>882</v>
      </c>
      <c r="B210" s="6" t="s">
        <v>830</v>
      </c>
      <c r="C210" s="6" t="str">
        <f>B210</f>
        <v>Shared Centre</v>
      </c>
      <c r="D210" s="12" t="s">
        <v>883</v>
      </c>
      <c r="E210" s="15" t="s">
        <v>36</v>
      </c>
    </row>
    <row r="211" spans="1:5">
      <c r="A211" s="68" t="s">
        <v>884</v>
      </c>
      <c r="B211" s="11" t="s">
        <v>9</v>
      </c>
      <c r="C211" s="6" t="s">
        <v>743</v>
      </c>
      <c r="D211" s="15" t="s">
        <v>36</v>
      </c>
      <c r="E211" s="15" t="s">
        <v>36</v>
      </c>
    </row>
    <row r="212" spans="1:5">
      <c r="A212" s="68" t="s">
        <v>885</v>
      </c>
      <c r="B212" s="11" t="s">
        <v>10</v>
      </c>
      <c r="C212" s="6" t="s">
        <v>10</v>
      </c>
      <c r="D212" s="15" t="s">
        <v>36</v>
      </c>
      <c r="E212" s="15" t="s">
        <v>67</v>
      </c>
    </row>
    <row r="213" spans="1:5">
      <c r="A213" s="68" t="s">
        <v>297</v>
      </c>
      <c r="B213" s="6" t="s">
        <v>12</v>
      </c>
      <c r="C213" s="6" t="s">
        <v>12</v>
      </c>
      <c r="D213" s="15" t="s">
        <v>36</v>
      </c>
      <c r="E213" s="15" t="s">
        <v>74</v>
      </c>
    </row>
    <row r="214" spans="1:5">
      <c r="A214" s="68" t="s">
        <v>886</v>
      </c>
      <c r="B214" s="6" t="s">
        <v>12</v>
      </c>
      <c r="C214" s="6" t="s">
        <v>12</v>
      </c>
      <c r="D214" s="15" t="s">
        <v>36</v>
      </c>
      <c r="E214" s="15" t="s">
        <v>74</v>
      </c>
    </row>
    <row r="215" spans="1:5">
      <c r="A215" s="68" t="s">
        <v>887</v>
      </c>
      <c r="B215" s="6" t="s">
        <v>12</v>
      </c>
      <c r="C215" s="6" t="s">
        <v>12</v>
      </c>
      <c r="D215" s="15" t="s">
        <v>766</v>
      </c>
      <c r="E215" s="15" t="s">
        <v>829</v>
      </c>
    </row>
    <row r="216" spans="1:5">
      <c r="A216" s="68" t="s">
        <v>197</v>
      </c>
      <c r="B216" s="6" t="s">
        <v>12</v>
      </c>
      <c r="C216" s="6" t="s">
        <v>12</v>
      </c>
      <c r="D216" s="15" t="s">
        <v>734</v>
      </c>
      <c r="E216" s="15" t="s">
        <v>74</v>
      </c>
    </row>
    <row r="217" spans="1:5">
      <c r="A217" s="68" t="s">
        <v>888</v>
      </c>
      <c r="B217" s="6" t="s">
        <v>830</v>
      </c>
      <c r="C217" s="6" t="str">
        <f>B217</f>
        <v>Shared Centre</v>
      </c>
      <c r="D217" s="15" t="s">
        <v>831</v>
      </c>
      <c r="E217" s="15" t="s">
        <v>28</v>
      </c>
    </row>
    <row r="218" spans="1:5">
      <c r="A218" s="68" t="s">
        <v>889</v>
      </c>
      <c r="B218" s="6" t="s">
        <v>11</v>
      </c>
      <c r="C218" s="11" t="s">
        <v>11</v>
      </c>
      <c r="D218" s="12" t="s">
        <v>22</v>
      </c>
      <c r="E218" s="15" t="s">
        <v>864</v>
      </c>
    </row>
    <row r="219" spans="1:5">
      <c r="A219" s="68" t="s">
        <v>890</v>
      </c>
      <c r="B219" s="11" t="s">
        <v>10</v>
      </c>
      <c r="C219" s="11" t="s">
        <v>10</v>
      </c>
      <c r="D219" s="15" t="s">
        <v>36</v>
      </c>
      <c r="E219" s="15" t="s">
        <v>33</v>
      </c>
    </row>
    <row r="220" spans="1:5">
      <c r="A220" s="68" t="s">
        <v>891</v>
      </c>
      <c r="B220" s="6" t="s">
        <v>12</v>
      </c>
      <c r="C220" s="11" t="s">
        <v>12</v>
      </c>
      <c r="D220" s="15" t="s">
        <v>766</v>
      </c>
      <c r="E220" s="15" t="s">
        <v>28</v>
      </c>
    </row>
    <row r="221" spans="1:5">
      <c r="A221" s="68" t="s">
        <v>892</v>
      </c>
      <c r="B221" s="6" t="s">
        <v>12</v>
      </c>
      <c r="C221" s="11" t="s">
        <v>12</v>
      </c>
      <c r="D221" s="15" t="s">
        <v>36</v>
      </c>
      <c r="E221" s="15" t="s">
        <v>829</v>
      </c>
    </row>
    <row r="222" spans="1:5">
      <c r="A222" s="68" t="s">
        <v>63</v>
      </c>
      <c r="B222" s="11" t="s">
        <v>10</v>
      </c>
      <c r="C222" s="11" t="s">
        <v>10</v>
      </c>
      <c r="D222" s="15" t="s">
        <v>36</v>
      </c>
      <c r="E222" s="15" t="s">
        <v>64</v>
      </c>
    </row>
    <row r="223" spans="1:5">
      <c r="A223" s="68" t="s">
        <v>893</v>
      </c>
      <c r="B223" s="6" t="s">
        <v>11</v>
      </c>
      <c r="C223" s="11" t="s">
        <v>11</v>
      </c>
      <c r="D223" s="12" t="s">
        <v>22</v>
      </c>
      <c r="E223" s="15" t="s">
        <v>25</v>
      </c>
    </row>
    <row r="224" spans="1:5">
      <c r="A224" s="68" t="s">
        <v>894</v>
      </c>
      <c r="B224" s="6" t="s">
        <v>12</v>
      </c>
      <c r="C224" s="11" t="s">
        <v>12</v>
      </c>
      <c r="D224" s="15" t="s">
        <v>766</v>
      </c>
      <c r="E224" s="15" t="s">
        <v>36</v>
      </c>
    </row>
    <row r="225" spans="1:5">
      <c r="A225" s="68" t="s">
        <v>895</v>
      </c>
      <c r="B225" s="6" t="s">
        <v>12</v>
      </c>
      <c r="C225" s="11" t="s">
        <v>12</v>
      </c>
      <c r="D225" s="15" t="s">
        <v>766</v>
      </c>
      <c r="E225" s="15" t="s">
        <v>36</v>
      </c>
    </row>
    <row r="226" spans="1:5">
      <c r="A226" s="68" t="s">
        <v>896</v>
      </c>
      <c r="B226" s="6" t="s">
        <v>12</v>
      </c>
      <c r="C226" s="11" t="s">
        <v>12</v>
      </c>
      <c r="D226" s="15" t="s">
        <v>766</v>
      </c>
      <c r="E226" s="15" t="s">
        <v>36</v>
      </c>
    </row>
    <row r="227" spans="1:5">
      <c r="A227" s="68" t="s">
        <v>897</v>
      </c>
      <c r="B227" s="6" t="s">
        <v>12</v>
      </c>
      <c r="C227" s="11" t="s">
        <v>12</v>
      </c>
      <c r="D227" s="18" t="s">
        <v>766</v>
      </c>
      <c r="E227" s="15" t="s">
        <v>36</v>
      </c>
    </row>
    <row r="228" spans="1:5">
      <c r="A228" s="68" t="s">
        <v>898</v>
      </c>
      <c r="B228" s="6" t="s">
        <v>11</v>
      </c>
      <c r="C228" s="11" t="s">
        <v>11</v>
      </c>
      <c r="D228" s="12" t="s">
        <v>22</v>
      </c>
      <c r="E228" s="15" t="s">
        <v>36</v>
      </c>
    </row>
    <row r="229" spans="1:5">
      <c r="A229" s="68" t="s">
        <v>288</v>
      </c>
      <c r="B229" s="6" t="s">
        <v>11</v>
      </c>
      <c r="C229" s="11" t="s">
        <v>11</v>
      </c>
      <c r="D229" s="12" t="s">
        <v>22</v>
      </c>
      <c r="E229" s="15" t="s">
        <v>25</v>
      </c>
    </row>
    <row r="230" spans="1:5">
      <c r="A230" s="68" t="s">
        <v>290</v>
      </c>
      <c r="B230" s="6" t="s">
        <v>11</v>
      </c>
      <c r="C230" s="11" t="s">
        <v>11</v>
      </c>
      <c r="D230" s="12" t="s">
        <v>22</v>
      </c>
      <c r="E230" s="15" t="s">
        <v>25</v>
      </c>
    </row>
    <row r="231" spans="1:5">
      <c r="A231" s="68" t="s">
        <v>73</v>
      </c>
      <c r="B231" s="11" t="s">
        <v>10</v>
      </c>
      <c r="C231" s="11" t="s">
        <v>10</v>
      </c>
      <c r="D231" s="15" t="s">
        <v>32</v>
      </c>
      <c r="E231" s="15" t="s">
        <v>74</v>
      </c>
    </row>
    <row r="232" spans="1:5">
      <c r="A232" s="68" t="s">
        <v>24</v>
      </c>
      <c r="B232" s="6" t="s">
        <v>830</v>
      </c>
      <c r="C232" s="6" t="str">
        <f>B232</f>
        <v>Shared Centre</v>
      </c>
      <c r="D232" s="12" t="s">
        <v>831</v>
      </c>
      <c r="E232" s="15" t="s">
        <v>25</v>
      </c>
    </row>
    <row r="233" spans="1:5">
      <c r="A233" s="68" t="s">
        <v>899</v>
      </c>
      <c r="B233" s="11" t="s">
        <v>10</v>
      </c>
      <c r="C233" s="11" t="s">
        <v>10</v>
      </c>
      <c r="D233" s="15" t="s">
        <v>36</v>
      </c>
      <c r="E233" s="15" t="s">
        <v>67</v>
      </c>
    </row>
    <row r="234" spans="1:5">
      <c r="A234" s="68" t="s">
        <v>900</v>
      </c>
      <c r="B234" s="6" t="s">
        <v>12</v>
      </c>
      <c r="C234" s="11" t="s">
        <v>12</v>
      </c>
      <c r="D234" s="15" t="s">
        <v>734</v>
      </c>
      <c r="E234" s="15" t="s">
        <v>36</v>
      </c>
    </row>
    <row r="235" spans="1:5">
      <c r="A235" s="68" t="s">
        <v>901</v>
      </c>
      <c r="B235" s="6" t="s">
        <v>12</v>
      </c>
      <c r="C235" s="11" t="s">
        <v>12</v>
      </c>
      <c r="D235" s="15" t="s">
        <v>36</v>
      </c>
      <c r="E235" s="15" t="s">
        <v>757</v>
      </c>
    </row>
    <row r="236" spans="1:5">
      <c r="A236" s="68" t="s">
        <v>902</v>
      </c>
      <c r="B236" s="6" t="s">
        <v>830</v>
      </c>
      <c r="C236" s="6" t="str">
        <f>B236</f>
        <v>Shared Centre</v>
      </c>
      <c r="D236" s="15" t="s">
        <v>831</v>
      </c>
      <c r="E236" s="15" t="s">
        <v>36</v>
      </c>
    </row>
    <row r="237" spans="1:5">
      <c r="A237" s="68" t="s">
        <v>322</v>
      </c>
      <c r="B237" s="6" t="s">
        <v>12</v>
      </c>
      <c r="C237" s="11" t="s">
        <v>12</v>
      </c>
      <c r="D237" s="15" t="s">
        <v>36</v>
      </c>
      <c r="E237" s="15" t="s">
        <v>827</v>
      </c>
    </row>
    <row r="238" spans="1:5">
      <c r="A238" s="68" t="s">
        <v>228</v>
      </c>
      <c r="B238" s="6" t="s">
        <v>830</v>
      </c>
      <c r="C238" s="6" t="str">
        <f>B238</f>
        <v>Shared Centre</v>
      </c>
      <c r="D238" s="15" t="s">
        <v>831</v>
      </c>
      <c r="E238" s="15" t="s">
        <v>36</v>
      </c>
    </row>
    <row r="239" spans="1:5">
      <c r="A239" s="5" t="s">
        <v>903</v>
      </c>
      <c r="B239" s="6" t="s">
        <v>11</v>
      </c>
      <c r="C239" s="9" t="s">
        <v>11</v>
      </c>
      <c r="D239" s="12" t="s">
        <v>22</v>
      </c>
      <c r="E239" s="15" t="s">
        <v>764</v>
      </c>
    </row>
    <row r="240" spans="1:5">
      <c r="A240" s="5" t="s">
        <v>904</v>
      </c>
      <c r="B240" s="9" t="s">
        <v>12</v>
      </c>
      <c r="C240" s="9" t="s">
        <v>12</v>
      </c>
      <c r="D240" s="15" t="s">
        <v>766</v>
      </c>
      <c r="E240" s="15" t="s">
        <v>36</v>
      </c>
    </row>
    <row r="241" spans="1:5">
      <c r="A241" s="5" t="s">
        <v>263</v>
      </c>
      <c r="B241" s="9" t="s">
        <v>11</v>
      </c>
      <c r="C241" s="9" t="s">
        <v>11</v>
      </c>
      <c r="D241" s="12" t="s">
        <v>22</v>
      </c>
      <c r="E241" s="15" t="s">
        <v>25</v>
      </c>
    </row>
    <row r="242" spans="1:5">
      <c r="A242" s="5" t="s">
        <v>89</v>
      </c>
      <c r="B242" s="9" t="s">
        <v>10</v>
      </c>
      <c r="C242" s="9" t="s">
        <v>10</v>
      </c>
      <c r="D242" s="15" t="s">
        <v>36</v>
      </c>
      <c r="E242" s="15" t="s">
        <v>33</v>
      </c>
    </row>
    <row r="243" spans="1:5">
      <c r="A243" s="5" t="s">
        <v>905</v>
      </c>
      <c r="B243" s="9" t="s">
        <v>10</v>
      </c>
      <c r="C243" s="9" t="s">
        <v>10</v>
      </c>
      <c r="D243" s="15" t="s">
        <v>36</v>
      </c>
      <c r="E243" s="15" t="s">
        <v>33</v>
      </c>
    </row>
    <row r="244" spans="1:5">
      <c r="A244" s="5" t="s">
        <v>906</v>
      </c>
      <c r="B244" s="9" t="s">
        <v>10</v>
      </c>
      <c r="C244" s="9" t="s">
        <v>10</v>
      </c>
      <c r="D244" s="15" t="s">
        <v>32</v>
      </c>
      <c r="E244" s="15" t="s">
        <v>36</v>
      </c>
    </row>
    <row r="245" spans="1:5">
      <c r="A245" s="5" t="s">
        <v>907</v>
      </c>
      <c r="B245" s="6" t="s">
        <v>830</v>
      </c>
      <c r="C245" s="6" t="str">
        <f>B245</f>
        <v>Shared Centre</v>
      </c>
      <c r="D245" t="s">
        <v>831</v>
      </c>
      <c r="E245" t="s">
        <v>825</v>
      </c>
    </row>
    <row r="246" spans="1:5">
      <c r="A246" s="5" t="s">
        <v>168</v>
      </c>
      <c r="B246" s="9" t="s">
        <v>12</v>
      </c>
      <c r="C246" s="9" t="s">
        <v>12</v>
      </c>
      <c r="D246" t="s">
        <v>36</v>
      </c>
      <c r="E246" t="s">
        <v>825</v>
      </c>
    </row>
    <row r="247" spans="1:5">
      <c r="A247" s="5" t="s">
        <v>908</v>
      </c>
      <c r="B247" s="9" t="s">
        <v>12</v>
      </c>
      <c r="C247" s="9" t="s">
        <v>12</v>
      </c>
      <c r="D247" t="s">
        <v>36</v>
      </c>
      <c r="E247" t="s">
        <v>757</v>
      </c>
    </row>
    <row r="248" spans="1:5">
      <c r="A248" s="5" t="s">
        <v>909</v>
      </c>
      <c r="B248" s="9" t="s">
        <v>12</v>
      </c>
      <c r="C248" s="9" t="s">
        <v>12</v>
      </c>
      <c r="D248" t="s">
        <v>734</v>
      </c>
      <c r="E248" t="s">
        <v>36</v>
      </c>
    </row>
    <row r="249" spans="1:5">
      <c r="A249" s="5" t="s">
        <v>910</v>
      </c>
      <c r="B249" s="9" t="s">
        <v>12</v>
      </c>
      <c r="C249" s="9" t="s">
        <v>12</v>
      </c>
      <c r="D249" t="s">
        <v>36</v>
      </c>
      <c r="E249" t="s">
        <v>827</v>
      </c>
    </row>
    <row r="250" spans="1:5">
      <c r="A250" s="5" t="s">
        <v>21</v>
      </c>
      <c r="B250" s="9" t="s">
        <v>11</v>
      </c>
      <c r="C250" s="9" t="s">
        <v>11</v>
      </c>
      <c r="D250" s="12" t="s">
        <v>22</v>
      </c>
      <c r="E250" t="s">
        <v>23</v>
      </c>
    </row>
    <row r="251" spans="1:5">
      <c r="A251" s="5" t="s">
        <v>911</v>
      </c>
      <c r="B251" s="9" t="s">
        <v>12</v>
      </c>
      <c r="C251" s="9" t="s">
        <v>12</v>
      </c>
      <c r="D251" t="s">
        <v>766</v>
      </c>
      <c r="E251" t="s">
        <v>36</v>
      </c>
    </row>
    <row r="252" spans="1:5">
      <c r="A252" s="5" t="s">
        <v>912</v>
      </c>
      <c r="B252" s="9" t="s">
        <v>11</v>
      </c>
      <c r="C252" s="9" t="s">
        <v>11</v>
      </c>
      <c r="D252" s="12" t="s">
        <v>22</v>
      </c>
      <c r="E252" t="s">
        <v>23</v>
      </c>
    </row>
    <row r="253" spans="1:5">
      <c r="A253" s="5" t="s">
        <v>183</v>
      </c>
      <c r="B253" s="9" t="s">
        <v>12</v>
      </c>
      <c r="C253" s="9" t="s">
        <v>12</v>
      </c>
      <c r="D253" t="s">
        <v>36</v>
      </c>
      <c r="E253" t="s">
        <v>913</v>
      </c>
    </row>
    <row r="254" spans="1:5">
      <c r="A254" s="5" t="s">
        <v>300</v>
      </c>
      <c r="B254" s="9" t="s">
        <v>12</v>
      </c>
      <c r="C254" s="9" t="s">
        <v>12</v>
      </c>
      <c r="D254" t="s">
        <v>766</v>
      </c>
      <c r="E254" t="s">
        <v>36</v>
      </c>
    </row>
    <row r="255" spans="1:5">
      <c r="A255" s="5" t="s">
        <v>914</v>
      </c>
      <c r="B255" s="9" t="s">
        <v>12</v>
      </c>
      <c r="C255" s="9" t="s">
        <v>12</v>
      </c>
      <c r="D255" t="s">
        <v>790</v>
      </c>
      <c r="E255" t="s">
        <v>36</v>
      </c>
    </row>
    <row r="256" spans="1:5" ht="29">
      <c r="A256" s="5" t="s">
        <v>915</v>
      </c>
      <c r="B256" s="9" t="s">
        <v>12</v>
      </c>
      <c r="C256" s="9" t="s">
        <v>12</v>
      </c>
      <c r="D256" t="s">
        <v>36</v>
      </c>
      <c r="E256" t="s">
        <v>757</v>
      </c>
    </row>
    <row r="257" spans="1:5">
      <c r="A257" s="5" t="s">
        <v>172</v>
      </c>
      <c r="B257" s="9" t="s">
        <v>9</v>
      </c>
      <c r="C257" s="9" t="s">
        <v>743</v>
      </c>
      <c r="D257" t="s">
        <v>731</v>
      </c>
      <c r="E257" t="s">
        <v>36</v>
      </c>
    </row>
    <row r="258" spans="1:5">
      <c r="A258" s="5" t="s">
        <v>68</v>
      </c>
      <c r="B258" s="9" t="s">
        <v>10</v>
      </c>
      <c r="C258" s="9" t="s">
        <v>10</v>
      </c>
      <c r="D258" t="s">
        <v>32</v>
      </c>
      <c r="E258" t="s">
        <v>36</v>
      </c>
    </row>
    <row r="259" spans="1:5">
      <c r="A259" s="5" t="s">
        <v>916</v>
      </c>
      <c r="B259" s="9" t="s">
        <v>10</v>
      </c>
      <c r="C259" s="9" t="s">
        <v>10</v>
      </c>
      <c r="D259" t="s">
        <v>32</v>
      </c>
      <c r="E259" t="s">
        <v>36</v>
      </c>
    </row>
    <row r="260" spans="1:5">
      <c r="A260" s="5" t="s">
        <v>917</v>
      </c>
      <c r="B260" s="9" t="s">
        <v>10</v>
      </c>
      <c r="C260" s="9" t="s">
        <v>10</v>
      </c>
      <c r="D260" t="s">
        <v>36</v>
      </c>
      <c r="E260" t="s">
        <v>72</v>
      </c>
    </row>
    <row r="261" spans="1:5">
      <c r="A261" s="5" t="s">
        <v>152</v>
      </c>
      <c r="B261" s="9" t="s">
        <v>9</v>
      </c>
      <c r="C261" s="9" t="s">
        <v>730</v>
      </c>
      <c r="D261" t="s">
        <v>731</v>
      </c>
      <c r="E261" t="s">
        <v>36</v>
      </c>
    </row>
    <row r="262" spans="1:5">
      <c r="A262" s="5" t="s">
        <v>83</v>
      </c>
      <c r="B262" s="9" t="s">
        <v>10</v>
      </c>
      <c r="C262" s="9" t="s">
        <v>10</v>
      </c>
      <c r="D262" t="s">
        <v>59</v>
      </c>
      <c r="E262" t="s">
        <v>72</v>
      </c>
    </row>
    <row r="263" spans="1:5">
      <c r="A263" s="5" t="s">
        <v>918</v>
      </c>
      <c r="B263" s="9" t="s">
        <v>11</v>
      </c>
      <c r="C263" s="9" t="s">
        <v>11</v>
      </c>
      <c r="D263" s="12" t="s">
        <v>22</v>
      </c>
      <c r="E263" t="s">
        <v>25</v>
      </c>
    </row>
    <row r="264" spans="1:5" ht="29">
      <c r="A264" s="5" t="s">
        <v>353</v>
      </c>
      <c r="B264" s="9" t="s">
        <v>12</v>
      </c>
      <c r="C264" s="9" t="s">
        <v>12</v>
      </c>
      <c r="D264" t="s">
        <v>36</v>
      </c>
      <c r="E264" t="s">
        <v>757</v>
      </c>
    </row>
    <row r="265" spans="1:5">
      <c r="A265" s="36" t="s">
        <v>919</v>
      </c>
      <c r="B265" s="6" t="s">
        <v>12</v>
      </c>
      <c r="C265" s="6" t="s">
        <v>12</v>
      </c>
      <c r="D265" s="12" t="s">
        <v>27</v>
      </c>
      <c r="E265" s="12" t="s">
        <v>28</v>
      </c>
    </row>
    <row r="266" spans="1:5">
      <c r="A266" s="5" t="s">
        <v>920</v>
      </c>
      <c r="B266" s="9" t="s">
        <v>12</v>
      </c>
      <c r="C266" s="9" t="s">
        <v>12</v>
      </c>
      <c r="D266" t="s">
        <v>766</v>
      </c>
      <c r="E266" t="s">
        <v>36</v>
      </c>
    </row>
    <row r="267" spans="1:5" ht="29">
      <c r="A267" s="5" t="s">
        <v>921</v>
      </c>
      <c r="B267" s="9" t="s">
        <v>11</v>
      </c>
      <c r="C267" s="9" t="str">
        <f>B267</f>
        <v>ME</v>
      </c>
      <c r="D267" s="12" t="s">
        <v>22</v>
      </c>
      <c r="E267" t="s">
        <v>36</v>
      </c>
    </row>
    <row r="268" spans="1:5">
      <c r="A268" s="5" t="s">
        <v>922</v>
      </c>
      <c r="B268" s="9" t="s">
        <v>11</v>
      </c>
      <c r="C268" s="9" t="str">
        <f t="shared" ref="C268:C295" si="0">B268</f>
        <v>ME</v>
      </c>
      <c r="D268" s="12" t="s">
        <v>22</v>
      </c>
      <c r="E268" t="s">
        <v>36</v>
      </c>
    </row>
    <row r="269" spans="1:5">
      <c r="A269" s="5" t="s">
        <v>923</v>
      </c>
      <c r="B269" s="9" t="s">
        <v>736</v>
      </c>
      <c r="C269" s="9" t="str">
        <f t="shared" si="0"/>
        <v>SME</v>
      </c>
      <c r="D269" t="s">
        <v>36</v>
      </c>
      <c r="E269" t="s">
        <v>36</v>
      </c>
    </row>
    <row r="270" spans="1:5">
      <c r="A270" s="5" t="s">
        <v>923</v>
      </c>
      <c r="B270" s="9" t="s">
        <v>736</v>
      </c>
      <c r="C270" s="9" t="str">
        <f t="shared" si="0"/>
        <v>SME</v>
      </c>
      <c r="D270" t="s">
        <v>36</v>
      </c>
      <c r="E270" t="s">
        <v>36</v>
      </c>
    </row>
    <row r="271" spans="1:5">
      <c r="A271" s="5" t="s">
        <v>924</v>
      </c>
      <c r="B271" s="9" t="s">
        <v>10</v>
      </c>
      <c r="C271" s="9" t="str">
        <f t="shared" si="0"/>
        <v>USA</v>
      </c>
      <c r="D271" t="s">
        <v>32</v>
      </c>
      <c r="E271" t="s">
        <v>36</v>
      </c>
    </row>
    <row r="272" spans="1:5">
      <c r="A272" s="5" t="s">
        <v>925</v>
      </c>
      <c r="B272" s="9" t="s">
        <v>9</v>
      </c>
      <c r="C272" s="9" t="str">
        <f t="shared" si="0"/>
        <v>EU/UK</v>
      </c>
      <c r="D272" t="s">
        <v>731</v>
      </c>
      <c r="E272" t="s">
        <v>36</v>
      </c>
    </row>
    <row r="273" spans="1:5">
      <c r="A273" s="5" t="s">
        <v>926</v>
      </c>
      <c r="B273" s="9" t="s">
        <v>10</v>
      </c>
      <c r="C273" s="9" t="str">
        <f t="shared" si="0"/>
        <v>USA</v>
      </c>
      <c r="D273" t="s">
        <v>35</v>
      </c>
      <c r="E273" t="s">
        <v>36</v>
      </c>
    </row>
    <row r="274" spans="1:5">
      <c r="A274" s="5" t="s">
        <v>927</v>
      </c>
      <c r="B274" s="9" t="s">
        <v>11</v>
      </c>
      <c r="C274" s="9" t="str">
        <f t="shared" si="0"/>
        <v>ME</v>
      </c>
      <c r="D274" s="12" t="s">
        <v>22</v>
      </c>
      <c r="E274" t="s">
        <v>36</v>
      </c>
    </row>
    <row r="275" spans="1:5">
      <c r="A275" s="5" t="s">
        <v>928</v>
      </c>
      <c r="B275" s="9" t="s">
        <v>11</v>
      </c>
      <c r="C275" s="9" t="str">
        <f t="shared" si="0"/>
        <v>ME</v>
      </c>
      <c r="D275" s="12" t="s">
        <v>22</v>
      </c>
      <c r="E275" t="s">
        <v>36</v>
      </c>
    </row>
    <row r="276" spans="1:5">
      <c r="A276" s="5" t="s">
        <v>929</v>
      </c>
      <c r="B276" s="9" t="s">
        <v>12</v>
      </c>
      <c r="C276" s="9" t="str">
        <f t="shared" si="0"/>
        <v>APAC</v>
      </c>
      <c r="D276" t="s">
        <v>734</v>
      </c>
      <c r="E276" t="s">
        <v>36</v>
      </c>
    </row>
    <row r="277" spans="1:5">
      <c r="A277" s="5" t="s">
        <v>930</v>
      </c>
      <c r="B277" s="9" t="s">
        <v>12</v>
      </c>
      <c r="C277" s="9" t="str">
        <f t="shared" si="0"/>
        <v>APAC</v>
      </c>
      <c r="D277" t="s">
        <v>734</v>
      </c>
      <c r="E277" t="s">
        <v>36</v>
      </c>
    </row>
    <row r="278" spans="1:5">
      <c r="A278" s="5" t="s">
        <v>931</v>
      </c>
      <c r="B278" s="9" t="s">
        <v>10</v>
      </c>
      <c r="C278" s="9" t="str">
        <f t="shared" si="0"/>
        <v>USA</v>
      </c>
      <c r="D278" t="s">
        <v>32</v>
      </c>
      <c r="E278" t="s">
        <v>36</v>
      </c>
    </row>
    <row r="279" spans="1:5">
      <c r="A279" s="5" t="s">
        <v>932</v>
      </c>
      <c r="B279" s="6" t="s">
        <v>830</v>
      </c>
      <c r="C279" s="6" t="str">
        <f>B279</f>
        <v>Shared Centre</v>
      </c>
      <c r="D279" t="s">
        <v>831</v>
      </c>
      <c r="E279" t="s">
        <v>36</v>
      </c>
    </row>
    <row r="280" spans="1:5">
      <c r="A280" s="5" t="s">
        <v>933</v>
      </c>
      <c r="B280" s="9" t="s">
        <v>12</v>
      </c>
      <c r="C280" s="9" t="str">
        <f t="shared" si="0"/>
        <v>APAC</v>
      </c>
      <c r="D280" t="s">
        <v>734</v>
      </c>
      <c r="E280" t="s">
        <v>36</v>
      </c>
    </row>
    <row r="281" spans="1:5">
      <c r="A281" s="5" t="s">
        <v>934</v>
      </c>
      <c r="B281" s="9" t="s">
        <v>12</v>
      </c>
      <c r="C281" s="9" t="str">
        <f t="shared" si="0"/>
        <v>APAC</v>
      </c>
      <c r="D281" t="s">
        <v>766</v>
      </c>
      <c r="E281" t="s">
        <v>36</v>
      </c>
    </row>
    <row r="282" spans="1:5">
      <c r="A282" s="5" t="s">
        <v>935</v>
      </c>
      <c r="B282" s="9" t="s">
        <v>12</v>
      </c>
      <c r="C282" s="9" t="str">
        <f t="shared" si="0"/>
        <v>APAC</v>
      </c>
      <c r="D282" t="s">
        <v>766</v>
      </c>
      <c r="E282" t="s">
        <v>36</v>
      </c>
    </row>
    <row r="283" spans="1:5">
      <c r="A283" s="5" t="s">
        <v>935</v>
      </c>
      <c r="B283" s="9" t="s">
        <v>12</v>
      </c>
      <c r="C283" s="9" t="str">
        <f t="shared" si="0"/>
        <v>APAC</v>
      </c>
      <c r="D283" t="s">
        <v>766</v>
      </c>
      <c r="E283" t="s">
        <v>36</v>
      </c>
    </row>
    <row r="284" spans="1:5">
      <c r="A284" s="5" t="s">
        <v>268</v>
      </c>
      <c r="B284" s="9" t="s">
        <v>11</v>
      </c>
      <c r="C284" s="9" t="str">
        <f t="shared" si="0"/>
        <v>ME</v>
      </c>
      <c r="D284" s="12" t="s">
        <v>22</v>
      </c>
      <c r="E284" t="s">
        <v>23</v>
      </c>
    </row>
    <row r="285" spans="1:5">
      <c r="A285" s="5" t="s">
        <v>936</v>
      </c>
      <c r="B285" s="6" t="s">
        <v>830</v>
      </c>
      <c r="C285" s="6" t="str">
        <f>B285</f>
        <v>Shared Centre</v>
      </c>
      <c r="D285" t="s">
        <v>831</v>
      </c>
      <c r="E285" t="s">
        <v>74</v>
      </c>
    </row>
    <row r="286" spans="1:5">
      <c r="A286" s="5" t="s">
        <v>937</v>
      </c>
      <c r="B286" s="9" t="s">
        <v>10</v>
      </c>
      <c r="C286" s="9" t="str">
        <f t="shared" si="0"/>
        <v>USA</v>
      </c>
      <c r="D286" t="s">
        <v>32</v>
      </c>
      <c r="E286" t="s">
        <v>33</v>
      </c>
    </row>
    <row r="287" spans="1:5">
      <c r="A287" s="5" t="s">
        <v>938</v>
      </c>
      <c r="B287" s="9" t="s">
        <v>12</v>
      </c>
      <c r="C287" s="9" t="str">
        <f t="shared" si="0"/>
        <v>APAC</v>
      </c>
      <c r="D287" t="s">
        <v>790</v>
      </c>
      <c r="E287" t="s">
        <v>36</v>
      </c>
    </row>
    <row r="288" spans="1:5">
      <c r="A288" s="5" t="s">
        <v>939</v>
      </c>
      <c r="B288" s="9" t="s">
        <v>12</v>
      </c>
      <c r="C288" s="9" t="str">
        <f t="shared" si="0"/>
        <v>APAC</v>
      </c>
      <c r="D288" t="s">
        <v>36</v>
      </c>
      <c r="E288" t="s">
        <v>74</v>
      </c>
    </row>
    <row r="289" spans="1:5">
      <c r="A289" s="5" t="s">
        <v>940</v>
      </c>
      <c r="B289" s="9" t="s">
        <v>10</v>
      </c>
      <c r="C289" s="9" t="str">
        <f t="shared" si="0"/>
        <v>USA</v>
      </c>
      <c r="D289" t="s">
        <v>36</v>
      </c>
      <c r="E289" t="s">
        <v>72</v>
      </c>
    </row>
    <row r="290" spans="1:5">
      <c r="A290" s="5" t="s">
        <v>156</v>
      </c>
      <c r="B290" s="9" t="s">
        <v>12</v>
      </c>
      <c r="C290" s="9" t="str">
        <f t="shared" si="0"/>
        <v>APAC</v>
      </c>
      <c r="D290" t="s">
        <v>30</v>
      </c>
      <c r="E290" t="s">
        <v>74</v>
      </c>
    </row>
    <row r="291" spans="1:5">
      <c r="A291" s="5" t="s">
        <v>941</v>
      </c>
      <c r="B291" s="9" t="s">
        <v>10</v>
      </c>
      <c r="C291" s="9" t="str">
        <f t="shared" si="0"/>
        <v>USA</v>
      </c>
      <c r="D291" t="s">
        <v>36</v>
      </c>
      <c r="E291" t="s">
        <v>72</v>
      </c>
    </row>
    <row r="292" spans="1:5">
      <c r="A292" s="5" t="s">
        <v>274</v>
      </c>
      <c r="B292" s="9" t="s">
        <v>12</v>
      </c>
      <c r="C292" s="9" t="str">
        <f t="shared" si="0"/>
        <v>APAC</v>
      </c>
      <c r="D292" t="s">
        <v>36</v>
      </c>
      <c r="E292" t="s">
        <v>825</v>
      </c>
    </row>
    <row r="293" spans="1:5">
      <c r="A293" s="5" t="s">
        <v>942</v>
      </c>
      <c r="B293" s="9" t="s">
        <v>11</v>
      </c>
      <c r="C293" s="9" t="str">
        <f t="shared" si="0"/>
        <v>ME</v>
      </c>
      <c r="D293" s="12" t="s">
        <v>22</v>
      </c>
      <c r="E293" t="s">
        <v>23</v>
      </c>
    </row>
    <row r="294" spans="1:5">
      <c r="A294" s="5" t="s">
        <v>90</v>
      </c>
      <c r="B294" s="9" t="s">
        <v>10</v>
      </c>
      <c r="C294" s="9" t="str">
        <f t="shared" si="0"/>
        <v>USA</v>
      </c>
      <c r="D294" t="s">
        <v>36</v>
      </c>
      <c r="E294" t="s">
        <v>72</v>
      </c>
    </row>
    <row r="295" spans="1:5">
      <c r="A295" s="5" t="s">
        <v>943</v>
      </c>
      <c r="B295" s="9" t="s">
        <v>12</v>
      </c>
      <c r="C295" s="9" t="str">
        <f t="shared" si="0"/>
        <v>APAC</v>
      </c>
      <c r="D295" t="s">
        <v>36</v>
      </c>
      <c r="E295" t="s">
        <v>757</v>
      </c>
    </row>
    <row r="296" spans="1:5">
      <c r="A296" s="5" t="s">
        <v>944</v>
      </c>
      <c r="B296" s="9" t="s">
        <v>10</v>
      </c>
      <c r="C296" s="9" t="str">
        <f t="shared" ref="C296:C297" si="1">B296</f>
        <v>USA</v>
      </c>
      <c r="D296" t="s">
        <v>36</v>
      </c>
      <c r="E296" t="s">
        <v>72</v>
      </c>
    </row>
    <row r="297" spans="1:5">
      <c r="A297" s="71" t="s">
        <v>945</v>
      </c>
      <c r="B297" s="9" t="s">
        <v>12</v>
      </c>
      <c r="C297" s="9" t="str">
        <f t="shared" si="1"/>
        <v>APAC</v>
      </c>
      <c r="D297" t="s">
        <v>36</v>
      </c>
      <c r="E297" t="s">
        <v>790</v>
      </c>
    </row>
    <row r="298" spans="1:5">
      <c r="A298" s="71" t="s">
        <v>946</v>
      </c>
      <c r="B298" s="9" t="s">
        <v>12</v>
      </c>
      <c r="C298" s="9" t="str">
        <f t="shared" ref="C298:C315" si="2">B298</f>
        <v>APAC</v>
      </c>
      <c r="D298" t="s">
        <v>36</v>
      </c>
      <c r="E298" t="s">
        <v>790</v>
      </c>
    </row>
    <row r="299" spans="1:5">
      <c r="A299" s="71" t="s">
        <v>947</v>
      </c>
      <c r="B299" s="9" t="s">
        <v>11</v>
      </c>
      <c r="C299" s="9" t="str">
        <f t="shared" si="2"/>
        <v>ME</v>
      </c>
      <c r="D299" s="12" t="s">
        <v>22</v>
      </c>
      <c r="E299" t="s">
        <v>764</v>
      </c>
    </row>
    <row r="300" spans="1:5">
      <c r="A300" s="71" t="s">
        <v>188</v>
      </c>
      <c r="B300" s="9" t="s">
        <v>12</v>
      </c>
      <c r="C300" s="9" t="str">
        <f t="shared" si="2"/>
        <v>APAC</v>
      </c>
      <c r="D300" t="s">
        <v>36</v>
      </c>
      <c r="E300" t="s">
        <v>825</v>
      </c>
    </row>
    <row r="301" spans="1:5">
      <c r="A301" s="71" t="s">
        <v>77</v>
      </c>
      <c r="B301" s="9" t="s">
        <v>10</v>
      </c>
      <c r="C301" s="9" t="str">
        <f t="shared" si="2"/>
        <v>USA</v>
      </c>
      <c r="D301" t="s">
        <v>36</v>
      </c>
      <c r="E301" t="s">
        <v>72</v>
      </c>
    </row>
    <row r="302" spans="1:5">
      <c r="A302" s="68" t="s">
        <v>948</v>
      </c>
      <c r="B302" s="9" t="s">
        <v>12</v>
      </c>
      <c r="C302" s="9" t="str">
        <f t="shared" si="2"/>
        <v>APAC</v>
      </c>
      <c r="D302" t="s">
        <v>36</v>
      </c>
      <c r="E302" t="s">
        <v>825</v>
      </c>
    </row>
    <row r="303" spans="1:5">
      <c r="A303" s="68" t="s">
        <v>213</v>
      </c>
      <c r="B303" s="9" t="s">
        <v>12</v>
      </c>
      <c r="C303" s="9" t="str">
        <f t="shared" si="2"/>
        <v>APAC</v>
      </c>
      <c r="D303" t="s">
        <v>36</v>
      </c>
      <c r="E303" t="s">
        <v>949</v>
      </c>
    </row>
    <row r="304" spans="1:5">
      <c r="A304" s="68" t="s">
        <v>950</v>
      </c>
      <c r="B304" s="9" t="s">
        <v>12</v>
      </c>
      <c r="C304" s="9" t="str">
        <f t="shared" si="2"/>
        <v>APAC</v>
      </c>
      <c r="D304" t="s">
        <v>36</v>
      </c>
      <c r="E304" t="s">
        <v>829</v>
      </c>
    </row>
    <row r="305" spans="1:5">
      <c r="A305" s="68" t="s">
        <v>80</v>
      </c>
      <c r="B305" s="9" t="s">
        <v>10</v>
      </c>
      <c r="C305" s="9" t="str">
        <f t="shared" si="2"/>
        <v>USA</v>
      </c>
      <c r="D305" t="s">
        <v>36</v>
      </c>
      <c r="E305" t="s">
        <v>72</v>
      </c>
    </row>
    <row r="306" spans="1:5">
      <c r="A306" s="68" t="s">
        <v>81</v>
      </c>
      <c r="B306" s="9" t="s">
        <v>10</v>
      </c>
      <c r="C306" s="9" t="str">
        <f t="shared" si="2"/>
        <v>USA</v>
      </c>
      <c r="D306" t="s">
        <v>36</v>
      </c>
      <c r="E306" t="s">
        <v>72</v>
      </c>
    </row>
    <row r="307" spans="1:5">
      <c r="A307" s="68" t="s">
        <v>951</v>
      </c>
      <c r="B307" s="9" t="s">
        <v>10</v>
      </c>
      <c r="C307" s="9" t="str">
        <f t="shared" si="2"/>
        <v>USA</v>
      </c>
      <c r="D307" t="s">
        <v>36</v>
      </c>
      <c r="E307" t="s">
        <v>72</v>
      </c>
    </row>
    <row r="308" spans="1:5">
      <c r="A308" s="68" t="s">
        <v>303</v>
      </c>
      <c r="B308" s="9" t="s">
        <v>12</v>
      </c>
      <c r="C308" s="9" t="str">
        <f t="shared" si="2"/>
        <v>APAC</v>
      </c>
      <c r="D308" t="s">
        <v>30</v>
      </c>
      <c r="E308" t="s">
        <v>28</v>
      </c>
    </row>
    <row r="309" spans="1:5">
      <c r="A309" s="68" t="s">
        <v>952</v>
      </c>
      <c r="B309" s="9" t="s">
        <v>10</v>
      </c>
      <c r="C309" s="9" t="str">
        <f t="shared" si="2"/>
        <v>USA</v>
      </c>
      <c r="D309" t="s">
        <v>59</v>
      </c>
      <c r="E309" t="s">
        <v>36</v>
      </c>
    </row>
    <row r="310" spans="1:5">
      <c r="A310" s="68" t="s">
        <v>309</v>
      </c>
      <c r="B310" s="9" t="s">
        <v>11</v>
      </c>
      <c r="C310" s="9" t="str">
        <f t="shared" si="2"/>
        <v>ME</v>
      </c>
      <c r="D310" t="s">
        <v>22</v>
      </c>
      <c r="E310" t="s">
        <v>23</v>
      </c>
    </row>
    <row r="311" spans="1:5">
      <c r="A311" s="68" t="s">
        <v>953</v>
      </c>
      <c r="B311" s="6" t="s">
        <v>830</v>
      </c>
      <c r="C311" s="6" t="str">
        <f t="shared" si="2"/>
        <v>Shared Centre</v>
      </c>
      <c r="D311" t="s">
        <v>883</v>
      </c>
      <c r="E311" t="s">
        <v>36</v>
      </c>
    </row>
    <row r="312" spans="1:5">
      <c r="A312" s="68" t="s">
        <v>954</v>
      </c>
      <c r="B312" s="6" t="s">
        <v>830</v>
      </c>
      <c r="C312" s="6" t="str">
        <f t="shared" si="2"/>
        <v>Shared Centre</v>
      </c>
      <c r="D312" t="s">
        <v>883</v>
      </c>
      <c r="E312" t="s">
        <v>36</v>
      </c>
    </row>
    <row r="313" spans="1:5">
      <c r="A313" s="68" t="s">
        <v>920</v>
      </c>
      <c r="B313" s="6" t="s">
        <v>830</v>
      </c>
      <c r="C313" s="6" t="str">
        <f t="shared" si="2"/>
        <v>Shared Centre</v>
      </c>
      <c r="D313" t="s">
        <v>831</v>
      </c>
      <c r="E313" t="s">
        <v>36</v>
      </c>
    </row>
    <row r="314" spans="1:5">
      <c r="A314" s="68" t="s">
        <v>955</v>
      </c>
      <c r="B314" s="6" t="s">
        <v>830</v>
      </c>
      <c r="C314" s="6" t="str">
        <f t="shared" si="2"/>
        <v>Shared Centre</v>
      </c>
      <c r="D314" t="s">
        <v>883</v>
      </c>
      <c r="E314" t="s">
        <v>36</v>
      </c>
    </row>
    <row r="315" spans="1:5">
      <c r="A315" s="68" t="s">
        <v>956</v>
      </c>
      <c r="B315" s="6" t="s">
        <v>830</v>
      </c>
      <c r="C315" s="6" t="str">
        <f t="shared" si="2"/>
        <v>Shared Centre</v>
      </c>
      <c r="D315" t="s">
        <v>883</v>
      </c>
      <c r="E315" t="s">
        <v>36</v>
      </c>
    </row>
    <row r="316" spans="1:5">
      <c r="A316" s="10"/>
      <c r="B316" s="9"/>
      <c r="C316" s="9"/>
    </row>
    <row r="317" spans="1:5">
      <c r="A317" s="10"/>
      <c r="B317" s="9"/>
      <c r="C317" s="9"/>
    </row>
    <row r="318" spans="1:5">
      <c r="A318" s="10"/>
      <c r="B318" s="9"/>
      <c r="C318" s="9"/>
    </row>
    <row r="319" spans="1:5">
      <c r="A319" s="10"/>
      <c r="B319" s="9"/>
      <c r="C319" s="9"/>
    </row>
    <row r="320" spans="1:5">
      <c r="A320" s="10"/>
      <c r="B320" s="9"/>
      <c r="C320" s="9"/>
    </row>
    <row r="321" spans="1:3">
      <c r="A321" s="10"/>
      <c r="B321" s="9"/>
      <c r="C321" s="9"/>
    </row>
    <row r="322" spans="1:3">
      <c r="A322" s="10"/>
      <c r="B322" s="9"/>
      <c r="C322" s="9"/>
    </row>
    <row r="323" spans="1:3">
      <c r="A323" s="10"/>
      <c r="B323" s="9"/>
      <c r="C323" s="9"/>
    </row>
    <row r="324" spans="1:3">
      <c r="A324" s="10"/>
      <c r="B324" s="9"/>
      <c r="C324" s="9"/>
    </row>
    <row r="325" spans="1:3">
      <c r="A325" s="10"/>
      <c r="B325" s="9"/>
      <c r="C325" s="9"/>
    </row>
    <row r="326" spans="1:3">
      <c r="A326" s="10"/>
      <c r="B326" s="9"/>
      <c r="C326" s="9"/>
    </row>
    <row r="327" spans="1:3">
      <c r="A327" s="10"/>
      <c r="B327" s="9"/>
      <c r="C327" s="9"/>
    </row>
    <row r="328" spans="1:3">
      <c r="A328" s="10"/>
      <c r="B328" s="9"/>
      <c r="C328" s="9"/>
    </row>
    <row r="329" spans="1:3">
      <c r="A329" s="10"/>
      <c r="B329" s="9"/>
      <c r="C329" s="9"/>
    </row>
    <row r="330" spans="1:3">
      <c r="A330" s="10"/>
      <c r="B330" s="9"/>
      <c r="C330" s="9"/>
    </row>
    <row r="331" spans="1:3">
      <c r="A331" s="10"/>
      <c r="B331" s="9"/>
      <c r="C331" s="9"/>
    </row>
    <row r="332" spans="1:3">
      <c r="A332" s="10"/>
      <c r="B332" s="9"/>
      <c r="C332" s="9"/>
    </row>
    <row r="333" spans="1:3">
      <c r="A333" s="10"/>
      <c r="B333" s="9"/>
      <c r="C333" s="9"/>
    </row>
    <row r="334" spans="1:3">
      <c r="A334" s="10"/>
      <c r="B334" s="9"/>
      <c r="C334" s="9"/>
    </row>
    <row r="335" spans="1:3">
      <c r="A335" s="10"/>
      <c r="B335" s="9"/>
      <c r="C335" s="9"/>
    </row>
    <row r="336" spans="1:3">
      <c r="A336" s="10"/>
      <c r="B336" s="9"/>
      <c r="C336" s="9"/>
    </row>
    <row r="337" spans="1:3">
      <c r="A337" s="10"/>
      <c r="B337" s="9"/>
      <c r="C337" s="9"/>
    </row>
    <row r="338" spans="1:3">
      <c r="A338" s="10"/>
      <c r="B338" s="9"/>
      <c r="C338" s="9"/>
    </row>
    <row r="339" spans="1:3">
      <c r="A339" s="10"/>
      <c r="B339" s="9"/>
      <c r="C339" s="9"/>
    </row>
    <row r="340" spans="1:3">
      <c r="A340" s="10"/>
      <c r="B340" s="9"/>
      <c r="C340" s="9"/>
    </row>
    <row r="341" spans="1:3">
      <c r="A341" s="10"/>
      <c r="B341" s="9"/>
      <c r="C341" s="9"/>
    </row>
    <row r="342" spans="1:3">
      <c r="A342" s="10"/>
      <c r="B342" s="9"/>
      <c r="C342" s="9"/>
    </row>
    <row r="343" spans="1:3">
      <c r="A343" s="10"/>
      <c r="B343" s="9"/>
      <c r="C343" s="9"/>
    </row>
    <row r="344" spans="1:3">
      <c r="A344" s="10"/>
      <c r="B344" s="9"/>
      <c r="C344" s="9"/>
    </row>
    <row r="345" spans="1:3">
      <c r="A345" s="10"/>
      <c r="B345" s="9"/>
      <c r="C345" s="9"/>
    </row>
    <row r="346" spans="1:3">
      <c r="A346" s="10"/>
      <c r="B346" s="9"/>
      <c r="C346" s="9"/>
    </row>
    <row r="347" spans="1:3">
      <c r="A347" s="10"/>
      <c r="B347" s="9"/>
      <c r="C347" s="9"/>
    </row>
    <row r="348" spans="1:3">
      <c r="A348" s="10"/>
      <c r="B348" s="9"/>
      <c r="C348" s="9"/>
    </row>
    <row r="349" spans="1:3">
      <c r="A349" s="10"/>
      <c r="B349" s="9"/>
      <c r="C349" s="9"/>
    </row>
    <row r="350" spans="1:3">
      <c r="A350" s="10"/>
      <c r="B350" s="9"/>
      <c r="C350" s="9"/>
    </row>
    <row r="351" spans="1:3">
      <c r="A351" s="10"/>
      <c r="B351" s="9"/>
      <c r="C351" s="9"/>
    </row>
    <row r="352" spans="1:3">
      <c r="A352" s="10"/>
      <c r="B352" s="9"/>
      <c r="C352" s="9"/>
    </row>
    <row r="353" spans="1:3">
      <c r="A353" s="10"/>
      <c r="B353" s="9"/>
      <c r="C353" s="9"/>
    </row>
    <row r="354" spans="1:3">
      <c r="A354" s="10"/>
      <c r="B354" s="9"/>
      <c r="C354" s="9"/>
    </row>
    <row r="355" spans="1:3">
      <c r="A355" s="10"/>
      <c r="B355" s="9"/>
      <c r="C355" s="9"/>
    </row>
    <row r="356" spans="1:3">
      <c r="A356" s="10"/>
      <c r="B356" s="9"/>
      <c r="C356" s="9"/>
    </row>
    <row r="357" spans="1:3">
      <c r="A357" s="10"/>
      <c r="B357" s="9"/>
      <c r="C357" s="9"/>
    </row>
    <row r="358" spans="1:3">
      <c r="A358" s="10"/>
      <c r="B358" s="9"/>
      <c r="C358" s="9"/>
    </row>
    <row r="359" spans="1:3">
      <c r="A359" s="10"/>
      <c r="B359" s="9"/>
      <c r="C359" s="9"/>
    </row>
    <row r="360" spans="1:3">
      <c r="A360" s="10"/>
      <c r="B360" s="9"/>
      <c r="C360" s="9"/>
    </row>
    <row r="361" spans="1:3">
      <c r="A361" s="10"/>
      <c r="B361" s="9"/>
      <c r="C361" s="9"/>
    </row>
    <row r="362" spans="1:3">
      <c r="A362" s="10"/>
      <c r="B362" s="9"/>
      <c r="C362" s="9"/>
    </row>
    <row r="363" spans="1:3">
      <c r="A363" s="10"/>
      <c r="B363" s="9"/>
      <c r="C363" s="9"/>
    </row>
    <row r="364" spans="1:3">
      <c r="A364" s="10"/>
      <c r="B364" s="9"/>
      <c r="C364" s="9"/>
    </row>
    <row r="365" spans="1:3">
      <c r="A365" s="10"/>
      <c r="B365" s="9"/>
      <c r="C365" s="9"/>
    </row>
    <row r="366" spans="1:3">
      <c r="A366" s="10"/>
      <c r="B366" s="9"/>
      <c r="C366" s="9"/>
    </row>
    <row r="367" spans="1:3">
      <c r="A367" s="10"/>
      <c r="B367" s="9"/>
      <c r="C367" s="9"/>
    </row>
    <row r="368" spans="1:3">
      <c r="A368" s="10"/>
      <c r="B368" s="9"/>
      <c r="C368" s="9"/>
    </row>
    <row r="369" spans="1:3">
      <c r="A369" s="10"/>
      <c r="B369" s="9"/>
      <c r="C369" s="9"/>
    </row>
    <row r="370" spans="1:3">
      <c r="A370" s="10"/>
      <c r="B370" s="9"/>
      <c r="C370" s="9"/>
    </row>
    <row r="371" spans="1:3">
      <c r="A371" s="10"/>
      <c r="B371" s="9"/>
      <c r="C371" s="9"/>
    </row>
    <row r="372" spans="1:3">
      <c r="A372" s="10"/>
      <c r="B372" s="9"/>
      <c r="C372" s="9"/>
    </row>
    <row r="373" spans="1:3">
      <c r="A373" s="10"/>
      <c r="B373" s="9"/>
      <c r="C373" s="9"/>
    </row>
    <row r="374" spans="1:3">
      <c r="A374" s="10"/>
      <c r="B374" s="9"/>
      <c r="C374" s="9"/>
    </row>
    <row r="375" spans="1:3">
      <c r="A375" s="10"/>
      <c r="B375" s="9"/>
      <c r="C375" s="9"/>
    </row>
    <row r="376" spans="1:3">
      <c r="A376" s="10"/>
      <c r="B376" s="9"/>
      <c r="C376" s="9"/>
    </row>
    <row r="377" spans="1:3">
      <c r="A377" s="10"/>
      <c r="B377" s="9"/>
      <c r="C377" s="9"/>
    </row>
    <row r="378" spans="1:3">
      <c r="A378" s="10"/>
      <c r="B378" s="9"/>
      <c r="C378" s="9"/>
    </row>
    <row r="379" spans="1:3">
      <c r="A379" s="10"/>
      <c r="B379" s="9"/>
      <c r="C379" s="9"/>
    </row>
    <row r="380" spans="1:3">
      <c r="A380" s="10"/>
      <c r="B380" s="9"/>
      <c r="C380" s="9"/>
    </row>
    <row r="381" spans="1:3">
      <c r="A381" s="10"/>
      <c r="B381" s="9"/>
      <c r="C381" s="9"/>
    </row>
    <row r="382" spans="1:3">
      <c r="A382" s="10"/>
      <c r="B382" s="9"/>
      <c r="C382" s="9"/>
    </row>
    <row r="383" spans="1:3">
      <c r="A383" s="10"/>
      <c r="B383" s="9"/>
      <c r="C383" s="9"/>
    </row>
    <row r="384" spans="1:3">
      <c r="A384" s="10"/>
      <c r="B384" s="9"/>
      <c r="C384" s="9"/>
    </row>
    <row r="385" spans="1:3">
      <c r="A385" s="10"/>
      <c r="B385" s="9"/>
      <c r="C385" s="9"/>
    </row>
    <row r="386" spans="1:3">
      <c r="A386" s="10"/>
      <c r="B386" s="9"/>
      <c r="C386" s="9"/>
    </row>
    <row r="387" spans="1:3">
      <c r="A387" s="10"/>
      <c r="B387" s="9"/>
      <c r="C387" s="9"/>
    </row>
    <row r="388" spans="1:3">
      <c r="A388" s="10"/>
      <c r="B388" s="9"/>
      <c r="C388" s="9"/>
    </row>
    <row r="389" spans="1:3">
      <c r="A389" s="10"/>
      <c r="B389" s="9"/>
      <c r="C389" s="9"/>
    </row>
    <row r="390" spans="1:3">
      <c r="A390" s="10"/>
      <c r="B390" s="9"/>
      <c r="C390" s="9"/>
    </row>
    <row r="391" spans="1:3">
      <c r="A391" s="10"/>
      <c r="B391" s="9"/>
      <c r="C391" s="9"/>
    </row>
    <row r="392" spans="1:3">
      <c r="A392" s="10"/>
      <c r="B392" s="9"/>
      <c r="C392" s="9"/>
    </row>
    <row r="393" spans="1:3">
      <c r="A393" s="10"/>
      <c r="B393" s="9"/>
      <c r="C393" s="9"/>
    </row>
    <row r="394" spans="1:3">
      <c r="A394" s="10"/>
      <c r="B394" s="9"/>
      <c r="C394" s="9"/>
    </row>
    <row r="395" spans="1:3">
      <c r="A395" s="10"/>
      <c r="B395" s="9"/>
      <c r="C395" s="9"/>
    </row>
    <row r="396" spans="1:3">
      <c r="A396" s="10"/>
      <c r="B396" s="9"/>
      <c r="C396" s="9"/>
    </row>
    <row r="397" spans="1:3">
      <c r="A397" s="10"/>
      <c r="B397" s="9"/>
      <c r="C397" s="9"/>
    </row>
    <row r="398" spans="1:3">
      <c r="A398" s="10"/>
      <c r="B398" s="9"/>
      <c r="C398" s="9"/>
    </row>
    <row r="399" spans="1:3">
      <c r="A399" s="10"/>
      <c r="B399" s="9"/>
      <c r="C399" s="9"/>
    </row>
    <row r="400" spans="1:3">
      <c r="A400" s="10"/>
      <c r="B400" s="9"/>
      <c r="C400" s="9"/>
    </row>
    <row r="401" spans="1:3">
      <c r="A401" s="10"/>
      <c r="B401" s="9"/>
      <c r="C401" s="9"/>
    </row>
    <row r="402" spans="1:3">
      <c r="A402" s="10"/>
      <c r="B402" s="9"/>
      <c r="C402" s="9"/>
    </row>
    <row r="403" spans="1:3">
      <c r="A403" s="10"/>
      <c r="B403" s="9"/>
      <c r="C403" s="9"/>
    </row>
    <row r="404" spans="1:3">
      <c r="A404" s="10"/>
      <c r="B404" s="9"/>
      <c r="C404" s="9"/>
    </row>
    <row r="405" spans="1:3">
      <c r="A405" s="10"/>
      <c r="B405" s="9"/>
      <c r="C405" s="9"/>
    </row>
    <row r="406" spans="1:3">
      <c r="A406" s="10"/>
      <c r="B406" s="9"/>
      <c r="C406" s="9"/>
    </row>
    <row r="407" spans="1:3">
      <c r="A407" s="10"/>
      <c r="B407" s="9"/>
      <c r="C407" s="9"/>
    </row>
    <row r="408" spans="1:3">
      <c r="A408" s="10"/>
      <c r="B408" s="9"/>
      <c r="C408" s="9"/>
    </row>
    <row r="409" spans="1:3">
      <c r="A409" s="10"/>
      <c r="B409" s="9"/>
      <c r="C409" s="9"/>
    </row>
    <row r="410" spans="1:3">
      <c r="A410" s="10"/>
      <c r="B410" s="9"/>
      <c r="C410" s="9"/>
    </row>
    <row r="411" spans="1:3">
      <c r="A411" s="10"/>
      <c r="B411" s="9"/>
      <c r="C411" s="9"/>
    </row>
    <row r="412" spans="1:3">
      <c r="A412" s="10"/>
      <c r="B412" s="9"/>
      <c r="C412" s="9"/>
    </row>
    <row r="413" spans="1:3">
      <c r="A413" s="10"/>
      <c r="B413" s="9"/>
      <c r="C413" s="9"/>
    </row>
    <row r="414" spans="1:3">
      <c r="A414" s="10"/>
      <c r="B414" s="9"/>
      <c r="C414" s="9"/>
    </row>
    <row r="415" spans="1:3">
      <c r="A415" s="10"/>
      <c r="B415" s="9"/>
      <c r="C415" s="9"/>
    </row>
    <row r="416" spans="1:3">
      <c r="A416" s="10"/>
      <c r="B416" s="9"/>
      <c r="C416" s="9"/>
    </row>
    <row r="417" spans="1:3">
      <c r="A417" s="10"/>
      <c r="B417" s="9"/>
      <c r="C417" s="9"/>
    </row>
    <row r="418" spans="1:3">
      <c r="A418" s="10"/>
      <c r="B418" s="9"/>
      <c r="C418" s="9"/>
    </row>
    <row r="419" spans="1:3">
      <c r="A419" s="10"/>
      <c r="B419" s="9"/>
      <c r="C419" s="9"/>
    </row>
    <row r="420" spans="1:3">
      <c r="A420" s="10"/>
      <c r="B420" s="9"/>
      <c r="C420" s="9"/>
    </row>
    <row r="421" spans="1:3">
      <c r="A421" s="10"/>
      <c r="B421" s="9"/>
      <c r="C421" s="9"/>
    </row>
    <row r="422" spans="1:3">
      <c r="A422" s="10"/>
      <c r="B422" s="9"/>
      <c r="C422" s="9"/>
    </row>
    <row r="423" spans="1:3">
      <c r="A423" s="10"/>
      <c r="B423" s="9"/>
      <c r="C423" s="9"/>
    </row>
    <row r="424" spans="1:3">
      <c r="A424" s="10"/>
      <c r="B424" s="9"/>
      <c r="C424" s="9"/>
    </row>
    <row r="425" spans="1:3">
      <c r="A425" s="10"/>
      <c r="B425" s="9"/>
      <c r="C425" s="9"/>
    </row>
    <row r="426" spans="1:3">
      <c r="A426" s="10"/>
      <c r="B426" s="9"/>
      <c r="C426" s="9"/>
    </row>
    <row r="427" spans="1:3">
      <c r="A427" s="10"/>
      <c r="B427" s="9"/>
      <c r="C427" s="9"/>
    </row>
    <row r="428" spans="1:3">
      <c r="A428" s="10"/>
      <c r="B428" s="9"/>
      <c r="C428" s="9"/>
    </row>
    <row r="429" spans="1:3">
      <c r="A429" s="10"/>
      <c r="B429" s="9"/>
      <c r="C429" s="9"/>
    </row>
    <row r="430" spans="1:3">
      <c r="A430" s="10"/>
      <c r="B430" s="9"/>
      <c r="C430" s="9"/>
    </row>
    <row r="431" spans="1:3">
      <c r="A431" s="10"/>
      <c r="B431" s="9"/>
      <c r="C431" s="9"/>
    </row>
    <row r="432" spans="1:3">
      <c r="A432" s="10"/>
      <c r="B432" s="9"/>
      <c r="C432" s="9"/>
    </row>
    <row r="433" spans="1:3">
      <c r="A433" s="10"/>
      <c r="B433" s="9"/>
      <c r="C433" s="9"/>
    </row>
    <row r="434" spans="1:3">
      <c r="A434" s="10"/>
      <c r="B434" s="9"/>
      <c r="C434" s="9"/>
    </row>
    <row r="435" spans="1:3">
      <c r="A435" s="10"/>
      <c r="B435" s="9"/>
      <c r="C435" s="9"/>
    </row>
    <row r="436" spans="1:3">
      <c r="A436" s="10"/>
      <c r="B436" s="9"/>
      <c r="C436" s="9"/>
    </row>
    <row r="437" spans="1:3">
      <c r="A437" s="10"/>
      <c r="B437" s="9"/>
      <c r="C437" s="9"/>
    </row>
    <row r="438" spans="1:3">
      <c r="A438" s="10"/>
      <c r="B438" s="9"/>
      <c r="C438" s="9"/>
    </row>
    <row r="439" spans="1:3">
      <c r="A439" s="10"/>
      <c r="B439" s="9"/>
      <c r="C439" s="9"/>
    </row>
    <row r="440" spans="1:3">
      <c r="A440" s="10"/>
      <c r="B440" s="9"/>
      <c r="C440" s="9"/>
    </row>
    <row r="441" spans="1:3">
      <c r="A441" s="10"/>
      <c r="B441" s="9"/>
      <c r="C441" s="9"/>
    </row>
    <row r="442" spans="1:3">
      <c r="A442" s="10"/>
      <c r="B442" s="9"/>
      <c r="C442" s="9"/>
    </row>
    <row r="443" spans="1:3">
      <c r="A443" s="10"/>
      <c r="B443" s="9"/>
      <c r="C443" s="9"/>
    </row>
    <row r="444" spans="1:3">
      <c r="A444" s="10"/>
      <c r="B444" s="9"/>
      <c r="C444" s="9"/>
    </row>
    <row r="445" spans="1:3">
      <c r="A445" s="10"/>
      <c r="B445" s="9"/>
      <c r="C445" s="9"/>
    </row>
    <row r="446" spans="1:3">
      <c r="A446" s="10"/>
      <c r="B446" s="9"/>
      <c r="C446" s="9"/>
    </row>
    <row r="447" spans="1:3">
      <c r="A447" s="10"/>
      <c r="B447" s="9"/>
      <c r="C447" s="9"/>
    </row>
    <row r="448" spans="1:3">
      <c r="A448" s="10"/>
      <c r="B448" s="9"/>
      <c r="C448" s="9"/>
    </row>
    <row r="449" spans="1:3">
      <c r="A449" s="10"/>
      <c r="B449" s="9"/>
      <c r="C449" s="9"/>
    </row>
    <row r="450" spans="1:3">
      <c r="A450" s="10"/>
      <c r="B450" s="9"/>
      <c r="C450" s="9"/>
    </row>
    <row r="451" spans="1:3">
      <c r="A451" s="10"/>
      <c r="B451" s="9"/>
      <c r="C451" s="9"/>
    </row>
    <row r="452" spans="1:3">
      <c r="A452" s="10"/>
      <c r="B452" s="9"/>
      <c r="C452" s="9"/>
    </row>
    <row r="453" spans="1:3">
      <c r="A453" s="10"/>
      <c r="B453" s="9"/>
      <c r="C453" s="9"/>
    </row>
    <row r="454" spans="1:3">
      <c r="A454" s="10"/>
      <c r="B454" s="9"/>
      <c r="C454" s="9"/>
    </row>
    <row r="455" spans="1:3">
      <c r="A455" s="10"/>
      <c r="B455" s="9"/>
      <c r="C455" s="9"/>
    </row>
    <row r="456" spans="1:3">
      <c r="A456" s="10"/>
      <c r="B456" s="9"/>
      <c r="C456" s="9"/>
    </row>
    <row r="457" spans="1:3">
      <c r="A457" s="10"/>
      <c r="B457" s="9"/>
      <c r="C457" s="9"/>
    </row>
    <row r="458" spans="1:3">
      <c r="A458" s="10"/>
      <c r="B458" s="9"/>
      <c r="C458" s="9"/>
    </row>
    <row r="459" spans="1:3">
      <c r="A459" s="10"/>
      <c r="B459" s="9"/>
      <c r="C459" s="9"/>
    </row>
    <row r="460" spans="1:3">
      <c r="A460" s="10"/>
      <c r="B460" s="9"/>
      <c r="C460" s="9"/>
    </row>
    <row r="461" spans="1:3">
      <c r="A461" s="10"/>
      <c r="B461" s="9"/>
      <c r="C461" s="9"/>
    </row>
    <row r="462" spans="1:3">
      <c r="A462" s="10"/>
      <c r="B462" s="9"/>
      <c r="C462" s="9"/>
    </row>
    <row r="463" spans="1:3">
      <c r="A463" s="10"/>
      <c r="B463" s="9"/>
      <c r="C463" s="9"/>
    </row>
    <row r="464" spans="1:3">
      <c r="A464" s="10"/>
      <c r="B464" s="9"/>
      <c r="C464" s="9"/>
    </row>
    <row r="465" spans="1:3">
      <c r="A465" s="10"/>
      <c r="B465" s="9"/>
      <c r="C465" s="9"/>
    </row>
    <row r="466" spans="1:3">
      <c r="A466" s="10"/>
      <c r="B466" s="9"/>
      <c r="C466" s="9"/>
    </row>
    <row r="467" spans="1:3">
      <c r="A467" s="10"/>
      <c r="B467" s="9"/>
      <c r="C467" s="9"/>
    </row>
    <row r="468" spans="1:3">
      <c r="A468" s="10"/>
      <c r="B468" s="9"/>
      <c r="C468" s="9"/>
    </row>
    <row r="469" spans="1:3">
      <c r="A469" s="10"/>
      <c r="B469" s="9"/>
      <c r="C469" s="9"/>
    </row>
    <row r="470" spans="1:3">
      <c r="A470" s="10"/>
      <c r="B470" s="9"/>
      <c r="C470" s="9"/>
    </row>
    <row r="471" spans="1:3">
      <c r="A471" s="10"/>
      <c r="B471" s="9"/>
      <c r="C471" s="9"/>
    </row>
    <row r="472" spans="1:3">
      <c r="A472" s="10"/>
      <c r="B472" s="9"/>
      <c r="C472" s="9"/>
    </row>
    <row r="473" spans="1:3">
      <c r="A473" s="10"/>
      <c r="B473" s="9"/>
      <c r="C473" s="9"/>
    </row>
    <row r="474" spans="1:3">
      <c r="A474" s="10"/>
      <c r="B474" s="9"/>
      <c r="C474" s="9"/>
    </row>
    <row r="475" spans="1:3">
      <c r="A475" s="10"/>
      <c r="B475" s="9"/>
      <c r="C475" s="9"/>
    </row>
    <row r="476" spans="1:3">
      <c r="A476" s="10"/>
      <c r="B476" s="9"/>
      <c r="C476" s="9"/>
    </row>
    <row r="477" spans="1:3">
      <c r="A477" s="10"/>
      <c r="B477" s="9"/>
      <c r="C477" s="9"/>
    </row>
    <row r="478" spans="1:3">
      <c r="A478" s="10"/>
      <c r="B478" s="9"/>
      <c r="C478" s="9"/>
    </row>
    <row r="479" spans="1:3">
      <c r="A479" s="10"/>
      <c r="B479" s="9"/>
      <c r="C479" s="9"/>
    </row>
    <row r="480" spans="1:3">
      <c r="A480" s="10"/>
      <c r="B480" s="9"/>
      <c r="C480" s="9"/>
    </row>
    <row r="481" spans="1:3">
      <c r="A481" s="10"/>
      <c r="B481" s="9"/>
      <c r="C481" s="9"/>
    </row>
    <row r="482" spans="1:3">
      <c r="A482" s="10"/>
      <c r="B482" s="9"/>
      <c r="C482" s="9"/>
    </row>
    <row r="483" spans="1:3">
      <c r="A483" s="10"/>
      <c r="B483" s="9"/>
      <c r="C483" s="9"/>
    </row>
    <row r="484" spans="1:3">
      <c r="A484" s="10"/>
      <c r="B484" s="9"/>
      <c r="C484" s="9"/>
    </row>
    <row r="485" spans="1:3">
      <c r="A485" s="10"/>
      <c r="B485" s="9"/>
      <c r="C485" s="9"/>
    </row>
    <row r="486" spans="1:3">
      <c r="A486" s="10"/>
      <c r="B486" s="9"/>
      <c r="C486" s="9"/>
    </row>
    <row r="487" spans="1:3">
      <c r="A487" s="10"/>
      <c r="B487" s="9"/>
      <c r="C487" s="9"/>
    </row>
    <row r="488" spans="1:3">
      <c r="A488" s="10"/>
      <c r="B488" s="9"/>
      <c r="C488" s="9"/>
    </row>
    <row r="489" spans="1:3">
      <c r="A489" s="10"/>
      <c r="B489" s="9"/>
      <c r="C489" s="9"/>
    </row>
    <row r="490" spans="1:3">
      <c r="A490" s="10"/>
      <c r="B490" s="9"/>
      <c r="C490" s="9"/>
    </row>
    <row r="491" spans="1:3">
      <c r="A491" s="10"/>
      <c r="B491" s="9"/>
      <c r="C491" s="9"/>
    </row>
    <row r="492" spans="1:3">
      <c r="A492" s="10"/>
      <c r="B492" s="9"/>
      <c r="C492" s="9"/>
    </row>
    <row r="493" spans="1:3">
      <c r="A493" s="10"/>
      <c r="B493" s="9"/>
      <c r="C493" s="9"/>
    </row>
    <row r="494" spans="1:3">
      <c r="A494" s="10"/>
      <c r="B494" s="9"/>
      <c r="C494" s="9"/>
    </row>
    <row r="495" spans="1:3">
      <c r="A495" s="10"/>
      <c r="B495" s="9"/>
      <c r="C495" s="9"/>
    </row>
    <row r="496" spans="1:3">
      <c r="A496" s="10"/>
      <c r="B496" s="9"/>
      <c r="C496" s="9"/>
    </row>
    <row r="497" spans="1:3">
      <c r="A497" s="10"/>
      <c r="B497" s="9"/>
      <c r="C497" s="9"/>
    </row>
    <row r="498" spans="1:3">
      <c r="A498" s="10"/>
      <c r="B498" s="9"/>
      <c r="C498" s="9"/>
    </row>
    <row r="499" spans="1:3">
      <c r="A499" s="10"/>
      <c r="B499" s="9"/>
      <c r="C499" s="9"/>
    </row>
    <row r="500" spans="1:3">
      <c r="A500" s="10"/>
      <c r="B500" s="9"/>
      <c r="C500" s="9"/>
    </row>
    <row r="501" spans="1:3">
      <c r="A501" s="10"/>
      <c r="B501" s="9"/>
      <c r="C501" s="9"/>
    </row>
    <row r="502" spans="1:3">
      <c r="A502" s="10"/>
      <c r="B502" s="9"/>
      <c r="C502" s="9"/>
    </row>
    <row r="503" spans="1:3">
      <c r="A503" s="10"/>
      <c r="B503" s="9"/>
      <c r="C503" s="9"/>
    </row>
    <row r="504" spans="1:3">
      <c r="A504" s="10"/>
      <c r="B504" s="9"/>
      <c r="C504" s="9"/>
    </row>
    <row r="505" spans="1:3">
      <c r="A505" s="10"/>
      <c r="B505" s="9"/>
      <c r="C505" s="9"/>
    </row>
    <row r="506" spans="1:3">
      <c r="A506" s="10"/>
      <c r="B506" s="9"/>
      <c r="C506" s="9"/>
    </row>
    <row r="507" spans="1:3">
      <c r="A507" s="10"/>
      <c r="B507" s="9"/>
      <c r="C507" s="9"/>
    </row>
    <row r="508" spans="1:3">
      <c r="A508" s="10"/>
      <c r="B508" s="9"/>
      <c r="C508" s="9"/>
    </row>
    <row r="509" spans="1:3">
      <c r="A509" s="10"/>
      <c r="B509" s="9"/>
      <c r="C509" s="9"/>
    </row>
    <row r="510" spans="1:3">
      <c r="A510" s="10"/>
      <c r="B510" s="9"/>
      <c r="C510" s="9"/>
    </row>
    <row r="511" spans="1:3">
      <c r="A511" s="10"/>
      <c r="B511" s="9"/>
      <c r="C511" s="9"/>
    </row>
    <row r="512" spans="1:3">
      <c r="A512" s="10"/>
      <c r="B512" s="9"/>
      <c r="C512" s="9"/>
    </row>
    <row r="513" spans="1:3">
      <c r="A513" s="10"/>
      <c r="B513" s="9"/>
      <c r="C513" s="9"/>
    </row>
    <row r="514" spans="1:3">
      <c r="A514" s="10"/>
      <c r="B514" s="9"/>
      <c r="C514" s="9"/>
    </row>
    <row r="515" spans="1:3">
      <c r="A515" s="10"/>
      <c r="B515" s="9"/>
      <c r="C515" s="9"/>
    </row>
    <row r="516" spans="1:3">
      <c r="A516" s="10"/>
      <c r="B516" s="9"/>
      <c r="C516" s="9"/>
    </row>
    <row r="517" spans="1:3">
      <c r="A517" s="10"/>
      <c r="B517" s="9"/>
      <c r="C517" s="9"/>
    </row>
    <row r="518" spans="1:3">
      <c r="A518" s="10"/>
      <c r="B518" s="9"/>
      <c r="C518" s="9"/>
    </row>
    <row r="519" spans="1:3">
      <c r="A519" s="10"/>
      <c r="B519" s="9"/>
      <c r="C519" s="9"/>
    </row>
    <row r="520" spans="1:3">
      <c r="A520" s="10"/>
      <c r="B520" s="9"/>
      <c r="C520" s="9"/>
    </row>
    <row r="521" spans="1:3">
      <c r="A521" s="10"/>
      <c r="B521" s="9"/>
      <c r="C521" s="9"/>
    </row>
    <row r="522" spans="1:3">
      <c r="A522" s="10"/>
      <c r="B522" s="9"/>
      <c r="C522" s="9"/>
    </row>
    <row r="523" spans="1:3">
      <c r="A523" s="10"/>
      <c r="B523" s="9"/>
      <c r="C523" s="9"/>
    </row>
    <row r="524" spans="1:3">
      <c r="A524" s="10"/>
      <c r="B524" s="9"/>
      <c r="C524" s="9"/>
    </row>
    <row r="525" spans="1:3">
      <c r="A525" s="10"/>
      <c r="B525" s="9"/>
      <c r="C525" s="9"/>
    </row>
    <row r="526" spans="1:3">
      <c r="A526" s="10"/>
      <c r="B526" s="9"/>
      <c r="C526" s="9"/>
    </row>
    <row r="527" spans="1:3">
      <c r="A527" s="10"/>
      <c r="B527" s="9"/>
      <c r="C527" s="9"/>
    </row>
    <row r="528" spans="1:3">
      <c r="A528" s="10"/>
      <c r="B528" s="9"/>
      <c r="C528" s="9"/>
    </row>
    <row r="529" spans="1:3">
      <c r="A529" s="10"/>
      <c r="B529" s="9"/>
      <c r="C529" s="9"/>
    </row>
    <row r="530" spans="1:3">
      <c r="A530" s="10"/>
      <c r="B530" s="9"/>
      <c r="C530" s="9"/>
    </row>
    <row r="531" spans="1:3">
      <c r="A531" s="10"/>
      <c r="B531" s="9"/>
      <c r="C531" s="9"/>
    </row>
    <row r="532" spans="1:3">
      <c r="A532" s="10"/>
      <c r="B532" s="9"/>
      <c r="C532" s="9"/>
    </row>
    <row r="533" spans="1:3">
      <c r="A533" s="10"/>
      <c r="B533" s="9"/>
      <c r="C533" s="9"/>
    </row>
    <row r="534" spans="1:3">
      <c r="A534" s="10"/>
      <c r="B534" s="9"/>
      <c r="C534" s="9"/>
    </row>
    <row r="535" spans="1:3">
      <c r="A535" s="10"/>
      <c r="B535" s="9"/>
      <c r="C535" s="9"/>
    </row>
    <row r="536" spans="1:3">
      <c r="A536" s="10"/>
      <c r="B536" s="9"/>
      <c r="C536" s="9"/>
    </row>
    <row r="537" spans="1:3">
      <c r="A537" s="10"/>
      <c r="B537" s="9"/>
      <c r="C537" s="9"/>
    </row>
    <row r="538" spans="1:3">
      <c r="A538" s="10"/>
      <c r="B538" s="9"/>
      <c r="C538" s="9"/>
    </row>
    <row r="539" spans="1:3">
      <c r="A539" s="10"/>
      <c r="B539" s="9"/>
      <c r="C539" s="9"/>
    </row>
    <row r="540" spans="1:3">
      <c r="A540" s="10"/>
      <c r="B540" s="9"/>
      <c r="C540" s="9"/>
    </row>
    <row r="541" spans="1:3">
      <c r="A541" s="10"/>
      <c r="B541" s="9"/>
      <c r="C541" s="9"/>
    </row>
    <row r="542" spans="1:3">
      <c r="A542" s="10"/>
      <c r="B542" s="9"/>
      <c r="C542" s="9"/>
    </row>
    <row r="543" spans="1:3">
      <c r="A543" s="10"/>
      <c r="B543" s="9"/>
      <c r="C543" s="9"/>
    </row>
    <row r="544" spans="1:3">
      <c r="A544" s="10"/>
      <c r="B544" s="9"/>
      <c r="C544" s="9"/>
    </row>
    <row r="545" spans="1:3">
      <c r="A545" s="10"/>
      <c r="B545" s="9"/>
      <c r="C545" s="9"/>
    </row>
    <row r="546" spans="1:3">
      <c r="A546" s="10"/>
      <c r="B546" s="9"/>
      <c r="C546" s="9"/>
    </row>
    <row r="547" spans="1:3">
      <c r="A547" s="10"/>
      <c r="B547" s="9"/>
      <c r="C547" s="9"/>
    </row>
    <row r="548" spans="1:3">
      <c r="A548" s="10"/>
      <c r="B548" s="9"/>
      <c r="C548" s="9"/>
    </row>
    <row r="549" spans="1:3">
      <c r="A549" s="10"/>
      <c r="B549" s="9"/>
      <c r="C549" s="9"/>
    </row>
    <row r="550" spans="1:3">
      <c r="A550" s="10"/>
      <c r="B550" s="9"/>
      <c r="C550" s="9"/>
    </row>
    <row r="551" spans="1:3">
      <c r="A551" s="10"/>
      <c r="B551" s="9"/>
      <c r="C551" s="9"/>
    </row>
    <row r="552" spans="1:3">
      <c r="A552" s="10"/>
      <c r="B552" s="9"/>
      <c r="C552" s="9"/>
    </row>
    <row r="553" spans="1:3">
      <c r="A553" s="10"/>
      <c r="B553" s="9"/>
      <c r="C553" s="9"/>
    </row>
    <row r="554" spans="1:3">
      <c r="A554" s="10"/>
      <c r="B554" s="9"/>
      <c r="C554" s="9"/>
    </row>
    <row r="555" spans="1:3">
      <c r="A555" s="10"/>
      <c r="B555" s="9"/>
      <c r="C555" s="9"/>
    </row>
    <row r="556" spans="1:3">
      <c r="A556" s="10"/>
      <c r="B556" s="9"/>
      <c r="C556" s="9"/>
    </row>
    <row r="557" spans="1:3">
      <c r="A557" s="10"/>
      <c r="B557" s="9"/>
      <c r="C557" s="9"/>
    </row>
    <row r="558" spans="1:3">
      <c r="A558" s="10"/>
      <c r="B558" s="9"/>
      <c r="C558" s="9"/>
    </row>
    <row r="559" spans="1:3">
      <c r="A559" s="10"/>
      <c r="B559" s="9"/>
      <c r="C559" s="9"/>
    </row>
    <row r="560" spans="1:3">
      <c r="A560" s="10"/>
      <c r="B560" s="9"/>
      <c r="C560" s="9"/>
    </row>
    <row r="561" spans="1:3">
      <c r="A561" s="10"/>
      <c r="B561" s="9"/>
      <c r="C561" s="9"/>
    </row>
    <row r="562" spans="1:3">
      <c r="A562" s="10"/>
      <c r="B562" s="9"/>
      <c r="C562" s="9"/>
    </row>
    <row r="563" spans="1:3">
      <c r="A563" s="10"/>
      <c r="B563" s="9"/>
      <c r="C563" s="9"/>
    </row>
    <row r="564" spans="1:3">
      <c r="A564" s="10"/>
      <c r="B564" s="9"/>
      <c r="C564" s="9"/>
    </row>
    <row r="565" spans="1:3">
      <c r="A565" s="10"/>
      <c r="B565" s="9"/>
      <c r="C565" s="9"/>
    </row>
    <row r="566" spans="1:3">
      <c r="A566" s="10"/>
      <c r="B566" s="9"/>
      <c r="C566" s="9"/>
    </row>
    <row r="567" spans="1:3">
      <c r="A567" s="10"/>
      <c r="B567" s="9"/>
      <c r="C567" s="9"/>
    </row>
    <row r="568" spans="1:3">
      <c r="A568" s="10"/>
      <c r="B568" s="9"/>
      <c r="C568" s="9"/>
    </row>
    <row r="569" spans="1:3">
      <c r="A569" s="10"/>
      <c r="B569" s="9"/>
      <c r="C569" s="9"/>
    </row>
    <row r="570" spans="1:3">
      <c r="A570" s="10"/>
      <c r="B570" s="9"/>
      <c r="C570" s="9"/>
    </row>
    <row r="571" spans="1:3">
      <c r="A571" s="10"/>
      <c r="B571" s="9"/>
      <c r="C571" s="9"/>
    </row>
    <row r="572" spans="1:3">
      <c r="A572" s="10"/>
      <c r="B572" s="9"/>
      <c r="C572" s="9"/>
    </row>
    <row r="573" spans="1:3">
      <c r="A573" s="10"/>
      <c r="B573" s="9"/>
      <c r="C573" s="9"/>
    </row>
    <row r="574" spans="1:3">
      <c r="A574" s="10"/>
      <c r="B574" s="9"/>
      <c r="C574" s="9"/>
    </row>
    <row r="575" spans="1:3">
      <c r="A575" s="10"/>
      <c r="B575" s="9"/>
      <c r="C575" s="9"/>
    </row>
    <row r="576" spans="1:3">
      <c r="A576" s="10"/>
      <c r="B576" s="9"/>
      <c r="C576" s="9"/>
    </row>
    <row r="577" spans="1:3">
      <c r="A577" s="10"/>
      <c r="B577" s="9"/>
      <c r="C577" s="9"/>
    </row>
    <row r="578" spans="1:3">
      <c r="A578" s="10"/>
      <c r="B578" s="9"/>
      <c r="C578" s="9"/>
    </row>
    <row r="579" spans="1:3">
      <c r="A579" s="10"/>
      <c r="B579" s="9"/>
      <c r="C579" s="9"/>
    </row>
    <row r="580" spans="1:3">
      <c r="A580" s="10"/>
      <c r="B580" s="9"/>
      <c r="C580" s="9"/>
    </row>
    <row r="581" spans="1:3">
      <c r="A581" s="10"/>
      <c r="B581" s="9"/>
      <c r="C581" s="9"/>
    </row>
    <row r="582" spans="1:3">
      <c r="A582" s="10"/>
      <c r="B582" s="9"/>
      <c r="C582" s="9"/>
    </row>
    <row r="583" spans="1:3">
      <c r="A583" s="10"/>
      <c r="B583" s="9"/>
      <c r="C583" s="9"/>
    </row>
    <row r="584" spans="1:3">
      <c r="A584" s="10"/>
      <c r="B584" s="9"/>
      <c r="C584" s="9"/>
    </row>
    <row r="585" spans="1:3">
      <c r="A585" s="10"/>
      <c r="B585" s="9"/>
      <c r="C585" s="9"/>
    </row>
    <row r="586" spans="1:3">
      <c r="A586" s="10"/>
      <c r="B586" s="9"/>
      <c r="C586" s="9"/>
    </row>
    <row r="587" spans="1:3">
      <c r="A587" s="10"/>
      <c r="B587" s="9"/>
      <c r="C587" s="9"/>
    </row>
    <row r="588" spans="1:3">
      <c r="A588" s="10"/>
      <c r="B588" s="9"/>
      <c r="C588" s="9"/>
    </row>
    <row r="589" spans="1:3">
      <c r="A589" s="10"/>
      <c r="B589" s="9"/>
      <c r="C589" s="9"/>
    </row>
    <row r="590" spans="1:3">
      <c r="A590" s="10"/>
      <c r="B590" s="9"/>
      <c r="C590" s="9"/>
    </row>
    <row r="591" spans="1:3">
      <c r="A591" s="10"/>
      <c r="B591" s="9"/>
      <c r="C591" s="9"/>
    </row>
    <row r="592" spans="1:3">
      <c r="A592" s="10"/>
      <c r="B592" s="9"/>
      <c r="C592" s="9"/>
    </row>
    <row r="593" spans="1:3">
      <c r="A593" s="10"/>
      <c r="B593" s="9"/>
      <c r="C593" s="9"/>
    </row>
    <row r="594" spans="1:3">
      <c r="A594" s="10"/>
      <c r="B594" s="9"/>
      <c r="C594" s="9"/>
    </row>
    <row r="595" spans="1:3">
      <c r="A595" s="10"/>
      <c r="B595" s="9"/>
      <c r="C595" s="9"/>
    </row>
    <row r="596" spans="1:3">
      <c r="A596" s="10"/>
      <c r="B596" s="9"/>
      <c r="C596" s="9"/>
    </row>
    <row r="597" spans="1:3">
      <c r="A597" s="10"/>
      <c r="B597" s="9"/>
      <c r="C597" s="9"/>
    </row>
    <row r="598" spans="1:3">
      <c r="A598" s="10"/>
      <c r="B598" s="9"/>
      <c r="C598" s="9"/>
    </row>
    <row r="599" spans="1:3">
      <c r="A599" s="10"/>
      <c r="B599" s="9"/>
      <c r="C599" s="9"/>
    </row>
    <row r="600" spans="1:3">
      <c r="A600" s="10"/>
      <c r="B600" s="9"/>
      <c r="C600" s="9"/>
    </row>
    <row r="601" spans="1:3">
      <c r="A601" s="10"/>
      <c r="B601" s="9"/>
      <c r="C601" s="9"/>
    </row>
    <row r="602" spans="1:3">
      <c r="A602" s="10"/>
      <c r="B602" s="9"/>
      <c r="C602" s="9"/>
    </row>
    <row r="603" spans="1:3">
      <c r="A603" s="10"/>
      <c r="B603" s="9"/>
      <c r="C603" s="9"/>
    </row>
    <row r="604" spans="1:3">
      <c r="A604" s="10"/>
      <c r="B604" s="9"/>
      <c r="C604" s="9"/>
    </row>
    <row r="605" spans="1:3">
      <c r="A605" s="10"/>
      <c r="B605" s="9"/>
      <c r="C605" s="9"/>
    </row>
    <row r="606" spans="1:3">
      <c r="A606" s="10"/>
      <c r="B606" s="9"/>
      <c r="C606" s="9"/>
    </row>
    <row r="607" spans="1:3">
      <c r="A607" s="10"/>
      <c r="B607" s="9"/>
      <c r="C607" s="9"/>
    </row>
    <row r="608" spans="1:3">
      <c r="A608" s="10"/>
      <c r="B608" s="9"/>
      <c r="C608" s="9"/>
    </row>
    <row r="609" spans="1:3">
      <c r="A609" s="10"/>
      <c r="B609" s="9"/>
      <c r="C609" s="9"/>
    </row>
    <row r="610" spans="1:3">
      <c r="A610" s="10"/>
      <c r="B610" s="9"/>
      <c r="C610" s="9"/>
    </row>
    <row r="611" spans="1:3">
      <c r="A611" s="10"/>
      <c r="B611" s="9"/>
      <c r="C611" s="9"/>
    </row>
    <row r="612" spans="1:3">
      <c r="A612" s="10"/>
      <c r="B612" s="9"/>
      <c r="C612" s="9"/>
    </row>
    <row r="613" spans="1:3">
      <c r="A613" s="10"/>
      <c r="B613" s="9"/>
      <c r="C613" s="9"/>
    </row>
    <row r="614" spans="1:3">
      <c r="A614" s="10"/>
      <c r="B614" s="9"/>
      <c r="C614" s="9"/>
    </row>
    <row r="615" spans="1:3">
      <c r="A615" s="10"/>
      <c r="B615" s="9"/>
      <c r="C615" s="9"/>
    </row>
    <row r="616" spans="1:3">
      <c r="A616" s="10"/>
      <c r="B616" s="9"/>
      <c r="C616" s="9"/>
    </row>
    <row r="617" spans="1:3">
      <c r="A617" s="10"/>
      <c r="B617" s="9"/>
      <c r="C617" s="9"/>
    </row>
    <row r="618" spans="1:3">
      <c r="A618" s="10"/>
      <c r="B618" s="9"/>
      <c r="C618" s="9"/>
    </row>
    <row r="619" spans="1:3">
      <c r="A619" s="10"/>
      <c r="B619" s="9"/>
      <c r="C619" s="9"/>
    </row>
    <row r="620" spans="1:3">
      <c r="A620" s="10"/>
      <c r="B620" s="9"/>
      <c r="C620" s="9"/>
    </row>
    <row r="621" spans="1:3">
      <c r="A621" s="10"/>
      <c r="B621" s="9"/>
      <c r="C621" s="9"/>
    </row>
    <row r="622" spans="1:3">
      <c r="A622" s="10"/>
      <c r="B622" s="9"/>
      <c r="C622" s="9"/>
    </row>
    <row r="623" spans="1:3">
      <c r="A623" s="10"/>
      <c r="B623" s="9"/>
      <c r="C623" s="9"/>
    </row>
    <row r="624" spans="1:3">
      <c r="A624" s="10"/>
      <c r="B624" s="9"/>
      <c r="C624" s="9"/>
    </row>
    <row r="625" spans="1:3">
      <c r="A625" s="10"/>
      <c r="B625" s="9"/>
      <c r="C625" s="9"/>
    </row>
    <row r="626" spans="1:3">
      <c r="A626" s="10"/>
      <c r="B626" s="9"/>
      <c r="C626" s="9"/>
    </row>
    <row r="627" spans="1:3">
      <c r="A627" s="10"/>
      <c r="B627" s="9"/>
      <c r="C627" s="9"/>
    </row>
    <row r="628" spans="1:3">
      <c r="A628" s="10"/>
      <c r="B628" s="9"/>
      <c r="C628" s="9"/>
    </row>
    <row r="629" spans="1:3">
      <c r="A629" s="10"/>
      <c r="B629" s="9"/>
      <c r="C629" s="9"/>
    </row>
    <row r="630" spans="1:3">
      <c r="A630" s="10"/>
      <c r="B630" s="9"/>
      <c r="C630" s="9"/>
    </row>
    <row r="631" spans="1:3">
      <c r="A631" s="10"/>
      <c r="B631" s="9"/>
      <c r="C631" s="9"/>
    </row>
    <row r="632" spans="1:3">
      <c r="A632" s="10"/>
      <c r="B632" s="9"/>
      <c r="C632" s="9"/>
    </row>
    <row r="633" spans="1:3">
      <c r="A633" s="10"/>
      <c r="B633" s="9"/>
      <c r="C633" s="9"/>
    </row>
    <row r="634" spans="1:3">
      <c r="A634" s="10"/>
      <c r="B634" s="9"/>
      <c r="C634" s="9"/>
    </row>
    <row r="635" spans="1:3">
      <c r="A635" s="10"/>
      <c r="B635" s="9"/>
      <c r="C635" s="9"/>
    </row>
    <row r="636" spans="1:3">
      <c r="A636" s="10"/>
      <c r="B636" s="9"/>
      <c r="C636" s="9"/>
    </row>
    <row r="637" spans="1:3">
      <c r="A637" s="10"/>
      <c r="B637" s="9"/>
      <c r="C637" s="9"/>
    </row>
    <row r="638" spans="1:3">
      <c r="A638" s="10"/>
      <c r="B638" s="9"/>
      <c r="C638" s="9"/>
    </row>
    <row r="639" spans="1:3">
      <c r="A639" s="10"/>
      <c r="B639" s="9"/>
      <c r="C639" s="9"/>
    </row>
    <row r="640" spans="1:3">
      <c r="A640" s="10"/>
      <c r="B640" s="9"/>
      <c r="C640" s="9"/>
    </row>
    <row r="641" spans="1:3">
      <c r="A641" s="10"/>
      <c r="B641" s="9"/>
      <c r="C641" s="9"/>
    </row>
    <row r="642" spans="1:3">
      <c r="A642" s="10"/>
      <c r="B642" s="9"/>
      <c r="C642" s="9"/>
    </row>
    <row r="643" spans="1:3">
      <c r="A643" s="10"/>
      <c r="B643" s="9"/>
      <c r="C643" s="9"/>
    </row>
    <row r="644" spans="1:3">
      <c r="A644" s="10"/>
      <c r="B644" s="9"/>
      <c r="C644" s="9"/>
    </row>
    <row r="645" spans="1:3">
      <c r="A645" s="10"/>
      <c r="B645" s="9"/>
      <c r="C645" s="9"/>
    </row>
    <row r="646" spans="1:3">
      <c r="A646" s="10"/>
      <c r="B646" s="9"/>
      <c r="C646" s="9"/>
    </row>
    <row r="647" spans="1:3">
      <c r="A647" s="10"/>
      <c r="B647" s="9"/>
      <c r="C647" s="9"/>
    </row>
    <row r="648" spans="1:3">
      <c r="A648" s="10"/>
      <c r="B648" s="9"/>
      <c r="C648" s="9"/>
    </row>
    <row r="649" spans="1:3">
      <c r="A649" s="10"/>
      <c r="B649" s="9"/>
      <c r="C649" s="9"/>
    </row>
    <row r="650" spans="1:3">
      <c r="A650" s="10"/>
      <c r="B650" s="9"/>
      <c r="C650" s="9"/>
    </row>
    <row r="651" spans="1:3">
      <c r="A651" s="10"/>
      <c r="B651" s="9"/>
      <c r="C651" s="9"/>
    </row>
    <row r="652" spans="1:3">
      <c r="A652" s="10"/>
      <c r="B652" s="9"/>
      <c r="C652" s="9"/>
    </row>
    <row r="653" spans="1:3">
      <c r="A653" s="10"/>
      <c r="B653" s="9"/>
      <c r="C653" s="9"/>
    </row>
    <row r="654" spans="1:3">
      <c r="A654" s="10"/>
      <c r="B654" s="9"/>
      <c r="C654" s="9"/>
    </row>
    <row r="655" spans="1:3">
      <c r="A655" s="10"/>
      <c r="B655" s="9"/>
      <c r="C655" s="9"/>
    </row>
    <row r="656" spans="1:3">
      <c r="A656" s="10"/>
      <c r="B656" s="9"/>
      <c r="C656" s="9"/>
    </row>
    <row r="657" spans="1:3">
      <c r="A657" s="10"/>
      <c r="B657" s="9"/>
      <c r="C657" s="9"/>
    </row>
    <row r="658" spans="1:3">
      <c r="A658" s="10"/>
      <c r="B658" s="9"/>
      <c r="C658" s="9"/>
    </row>
    <row r="659" spans="1:3">
      <c r="A659" s="10"/>
      <c r="B659" s="9"/>
      <c r="C659" s="9"/>
    </row>
    <row r="660" spans="1:3">
      <c r="A660" s="10"/>
      <c r="B660" s="9"/>
      <c r="C660" s="9"/>
    </row>
    <row r="661" spans="1:3">
      <c r="A661" s="10"/>
      <c r="B661" s="9"/>
      <c r="C661" s="9"/>
    </row>
    <row r="662" spans="1:3">
      <c r="A662" s="10"/>
      <c r="B662" s="9"/>
      <c r="C662" s="9"/>
    </row>
    <row r="663" spans="1:3">
      <c r="A663" s="10"/>
      <c r="B663" s="9"/>
      <c r="C663" s="9"/>
    </row>
    <row r="664" spans="1:3">
      <c r="A664" s="10"/>
      <c r="B664" s="9"/>
      <c r="C664" s="9"/>
    </row>
    <row r="665" spans="1:3">
      <c r="A665" s="10"/>
      <c r="B665" s="9"/>
      <c r="C665" s="9"/>
    </row>
    <row r="666" spans="1:3">
      <c r="A666" s="10"/>
      <c r="B666" s="9"/>
      <c r="C666" s="9"/>
    </row>
    <row r="667" spans="1:3">
      <c r="A667" s="10"/>
      <c r="B667" s="9"/>
      <c r="C667" s="9"/>
    </row>
    <row r="668" spans="1:3">
      <c r="A668" s="10"/>
      <c r="B668" s="9"/>
      <c r="C668" s="9"/>
    </row>
    <row r="669" spans="1:3">
      <c r="A669" s="10"/>
      <c r="B669" s="9"/>
      <c r="C669" s="9"/>
    </row>
    <row r="670" spans="1:3">
      <c r="A670" s="10"/>
      <c r="B670" s="9"/>
      <c r="C670" s="9"/>
    </row>
    <row r="671" spans="1:3">
      <c r="A671" s="10"/>
      <c r="B671" s="9"/>
      <c r="C671" s="9"/>
    </row>
    <row r="672" spans="1:3">
      <c r="A672" s="10"/>
      <c r="B672" s="9"/>
      <c r="C672" s="9"/>
    </row>
    <row r="673" spans="1:3">
      <c r="A673" s="10"/>
      <c r="B673" s="9"/>
      <c r="C673" s="9"/>
    </row>
    <row r="674" spans="1:3">
      <c r="A674" s="10"/>
      <c r="B674" s="9"/>
      <c r="C674" s="9"/>
    </row>
    <row r="675" spans="1:3">
      <c r="A675" s="10"/>
      <c r="B675" s="9"/>
      <c r="C675" s="9"/>
    </row>
    <row r="676" spans="1:3">
      <c r="A676" s="10"/>
      <c r="B676" s="9"/>
      <c r="C676" s="9"/>
    </row>
    <row r="677" spans="1:3">
      <c r="A677" s="10"/>
      <c r="B677" s="9"/>
      <c r="C677" s="9"/>
    </row>
    <row r="678" spans="1:3">
      <c r="A678" s="10"/>
      <c r="B678" s="9"/>
      <c r="C678" s="9"/>
    </row>
    <row r="679" spans="1:3">
      <c r="A679" s="10"/>
      <c r="B679" s="9"/>
      <c r="C679" s="9"/>
    </row>
    <row r="680" spans="1:3">
      <c r="A680" s="10"/>
      <c r="B680" s="9"/>
      <c r="C680" s="9"/>
    </row>
    <row r="681" spans="1:3">
      <c r="A681" s="10"/>
      <c r="B681" s="9"/>
      <c r="C681" s="9"/>
    </row>
    <row r="682" spans="1:3">
      <c r="A682" s="10"/>
      <c r="B682" s="9"/>
      <c r="C682" s="9"/>
    </row>
    <row r="683" spans="1:3">
      <c r="A683" s="10"/>
      <c r="B683" s="9"/>
      <c r="C683" s="9"/>
    </row>
    <row r="684" spans="1:3">
      <c r="A684" s="10"/>
      <c r="B684" s="9"/>
      <c r="C684" s="9"/>
    </row>
    <row r="685" spans="1:3">
      <c r="A685" s="10"/>
      <c r="B685" s="9"/>
      <c r="C685" s="9"/>
    </row>
    <row r="686" spans="1:3">
      <c r="A686" s="10"/>
      <c r="B686" s="9"/>
      <c r="C686" s="9"/>
    </row>
    <row r="687" spans="1:3">
      <c r="A687" s="10"/>
      <c r="B687" s="9"/>
      <c r="C687" s="9"/>
    </row>
    <row r="688" spans="1:3">
      <c r="A688" s="10"/>
      <c r="B688" s="9"/>
      <c r="C688" s="9"/>
    </row>
    <row r="689" spans="1:3">
      <c r="A689" s="10"/>
      <c r="B689" s="9"/>
      <c r="C689" s="9"/>
    </row>
    <row r="690" spans="1:3">
      <c r="A690" s="10"/>
      <c r="B690" s="9"/>
      <c r="C690" s="9"/>
    </row>
    <row r="691" spans="1:3">
      <c r="A691" s="10"/>
      <c r="B691" s="9"/>
      <c r="C691" s="9"/>
    </row>
    <row r="692" spans="1:3">
      <c r="A692" s="10"/>
      <c r="B692" s="9"/>
      <c r="C692" s="9"/>
    </row>
    <row r="693" spans="1:3">
      <c r="A693" s="10"/>
      <c r="B693" s="9"/>
      <c r="C693" s="9"/>
    </row>
    <row r="694" spans="1:3">
      <c r="A694" s="10"/>
      <c r="B694" s="9"/>
      <c r="C694" s="9"/>
    </row>
    <row r="695" spans="1:3">
      <c r="A695" s="10"/>
      <c r="B695" s="9"/>
      <c r="C695" s="9"/>
    </row>
    <row r="696" spans="1:3">
      <c r="A696" s="10"/>
      <c r="B696" s="9"/>
      <c r="C696" s="9"/>
    </row>
    <row r="697" spans="1:3">
      <c r="A697" s="10"/>
      <c r="B697" s="9"/>
      <c r="C697" s="9"/>
    </row>
    <row r="698" spans="1:3">
      <c r="A698" s="10"/>
      <c r="B698" s="9"/>
      <c r="C698" s="9"/>
    </row>
    <row r="699" spans="1:3">
      <c r="A699" s="10"/>
      <c r="B699" s="9"/>
      <c r="C699" s="9"/>
    </row>
    <row r="700" spans="1:3">
      <c r="A700" s="10"/>
      <c r="B700" s="9"/>
      <c r="C700" s="9"/>
    </row>
    <row r="701" spans="1:3">
      <c r="A701" s="10"/>
      <c r="B701" s="9"/>
      <c r="C701" s="9"/>
    </row>
    <row r="702" spans="1:3">
      <c r="A702" s="10"/>
      <c r="B702" s="9"/>
      <c r="C702" s="9"/>
    </row>
    <row r="703" spans="1:3">
      <c r="A703" s="10"/>
      <c r="B703" s="9"/>
      <c r="C703" s="9"/>
    </row>
    <row r="704" spans="1:3">
      <c r="A704" s="10"/>
      <c r="B704" s="9"/>
      <c r="C704" s="9"/>
    </row>
    <row r="705" spans="1:3">
      <c r="A705" s="10"/>
      <c r="B705" s="9"/>
      <c r="C705" s="9"/>
    </row>
    <row r="706" spans="1:3">
      <c r="A706" s="10"/>
      <c r="B706" s="9"/>
      <c r="C706" s="9"/>
    </row>
    <row r="707" spans="1:3">
      <c r="A707" s="10"/>
      <c r="B707" s="9"/>
      <c r="C707" s="9"/>
    </row>
    <row r="708" spans="1:3">
      <c r="A708" s="10"/>
      <c r="B708" s="9"/>
      <c r="C708" s="9"/>
    </row>
    <row r="709" spans="1:3">
      <c r="A709" s="10"/>
      <c r="B709" s="9"/>
      <c r="C709" s="9"/>
    </row>
    <row r="710" spans="1:3">
      <c r="A710" s="10"/>
      <c r="B710" s="9"/>
      <c r="C710" s="9"/>
    </row>
    <row r="711" spans="1:3">
      <c r="A711" s="10"/>
      <c r="B711" s="9"/>
      <c r="C711" s="9"/>
    </row>
    <row r="712" spans="1:3">
      <c r="A712" s="10"/>
      <c r="B712" s="9"/>
      <c r="C712" s="9"/>
    </row>
    <row r="713" spans="1:3">
      <c r="A713" s="10"/>
      <c r="B713" s="9"/>
      <c r="C713" s="9"/>
    </row>
    <row r="714" spans="1:3">
      <c r="A714" s="10"/>
      <c r="B714" s="9"/>
      <c r="C714" s="9"/>
    </row>
    <row r="715" spans="1:3">
      <c r="A715" s="10"/>
      <c r="B715" s="9"/>
      <c r="C715" s="9"/>
    </row>
    <row r="716" spans="1:3">
      <c r="A716" s="10"/>
      <c r="B716" s="9"/>
      <c r="C716" s="9"/>
    </row>
    <row r="717" spans="1:3">
      <c r="A717" s="10"/>
      <c r="B717" s="9"/>
      <c r="C717" s="9"/>
    </row>
    <row r="718" spans="1:3">
      <c r="A718" s="10"/>
      <c r="B718" s="9"/>
      <c r="C718" s="9"/>
    </row>
    <row r="719" spans="1:3">
      <c r="A719" s="10"/>
      <c r="B719" s="9"/>
      <c r="C719" s="9"/>
    </row>
    <row r="720" spans="1:3">
      <c r="A720" s="10"/>
      <c r="B720" s="9"/>
      <c r="C720" s="9"/>
    </row>
    <row r="721" spans="1:3">
      <c r="A721" s="10"/>
      <c r="B721" s="9"/>
      <c r="C721" s="9"/>
    </row>
    <row r="722" spans="1:3">
      <c r="A722" s="10"/>
      <c r="B722" s="9"/>
      <c r="C722" s="9"/>
    </row>
    <row r="723" spans="1:3">
      <c r="A723" s="10"/>
      <c r="B723" s="9"/>
      <c r="C723" s="9"/>
    </row>
    <row r="724" spans="1:3">
      <c r="A724" s="10"/>
      <c r="B724" s="9"/>
      <c r="C724" s="9"/>
    </row>
    <row r="725" spans="1:3">
      <c r="A725" s="10"/>
      <c r="B725" s="9"/>
      <c r="C725" s="9"/>
    </row>
    <row r="726" spans="1:3">
      <c r="A726" s="10"/>
      <c r="B726" s="9"/>
      <c r="C726" s="9"/>
    </row>
    <row r="727" spans="1:3">
      <c r="A727" s="10"/>
      <c r="B727" s="9"/>
      <c r="C727" s="9"/>
    </row>
    <row r="728" spans="1:3">
      <c r="A728" s="10"/>
      <c r="B728" s="9"/>
      <c r="C728" s="9"/>
    </row>
    <row r="729" spans="1:3">
      <c r="A729" s="10"/>
      <c r="B729" s="9"/>
      <c r="C729" s="9"/>
    </row>
    <row r="730" spans="1:3">
      <c r="A730" s="10"/>
      <c r="B730" s="9"/>
      <c r="C730" s="9"/>
    </row>
    <row r="731" spans="1:3">
      <c r="A731" s="10"/>
      <c r="B731" s="9"/>
      <c r="C731" s="9"/>
    </row>
    <row r="732" spans="1:3">
      <c r="A732" s="10"/>
      <c r="B732" s="9"/>
      <c r="C732" s="9"/>
    </row>
    <row r="733" spans="1:3">
      <c r="A733" s="10"/>
      <c r="B733" s="9"/>
      <c r="C733" s="9"/>
    </row>
    <row r="734" spans="1:3">
      <c r="A734" s="10"/>
      <c r="B734" s="9"/>
      <c r="C734" s="9"/>
    </row>
    <row r="735" spans="1:3">
      <c r="A735" s="10"/>
      <c r="B735" s="9"/>
      <c r="C735" s="9"/>
    </row>
    <row r="736" spans="1:3">
      <c r="A736" s="10"/>
      <c r="B736" s="9"/>
      <c r="C736" s="9"/>
    </row>
    <row r="737" spans="1:3">
      <c r="A737" s="10"/>
      <c r="B737" s="9"/>
      <c r="C737" s="9"/>
    </row>
    <row r="738" spans="1:3">
      <c r="A738" s="10"/>
      <c r="B738" s="9"/>
      <c r="C738" s="9"/>
    </row>
    <row r="739" spans="1:3">
      <c r="A739" s="10"/>
      <c r="B739" s="9"/>
      <c r="C739" s="9"/>
    </row>
    <row r="740" spans="1:3">
      <c r="A740" s="10"/>
      <c r="B740" s="9"/>
      <c r="C740" s="9"/>
    </row>
    <row r="741" spans="1:3">
      <c r="A741" s="10"/>
      <c r="B741" s="9"/>
      <c r="C741" s="9"/>
    </row>
    <row r="742" spans="1:3">
      <c r="A742" s="10"/>
      <c r="B742" s="9"/>
      <c r="C742" s="9"/>
    </row>
    <row r="743" spans="1:3">
      <c r="A743" s="10"/>
      <c r="B743" s="9"/>
      <c r="C743" s="9"/>
    </row>
    <row r="744" spans="1:3">
      <c r="A744" s="10"/>
      <c r="B744" s="9"/>
      <c r="C744" s="9"/>
    </row>
    <row r="745" spans="1:3">
      <c r="A745" s="10"/>
      <c r="B745" s="9"/>
      <c r="C745" s="9"/>
    </row>
    <row r="746" spans="1:3">
      <c r="A746" s="10"/>
      <c r="B746" s="9"/>
      <c r="C746" s="9"/>
    </row>
    <row r="747" spans="1:3">
      <c r="A747" s="10"/>
      <c r="B747" s="9"/>
      <c r="C747" s="9"/>
    </row>
    <row r="748" spans="1:3">
      <c r="A748" s="10"/>
      <c r="B748" s="9"/>
      <c r="C748" s="9"/>
    </row>
    <row r="749" spans="1:3">
      <c r="A749" s="10"/>
      <c r="B749" s="9"/>
      <c r="C749" s="9"/>
    </row>
    <row r="750" spans="1:3">
      <c r="A750" s="10"/>
      <c r="B750" s="9"/>
      <c r="C750" s="9"/>
    </row>
    <row r="751" spans="1:3">
      <c r="A751" s="10"/>
      <c r="B751" s="9"/>
      <c r="C751" s="9"/>
    </row>
    <row r="752" spans="1:3">
      <c r="A752" s="10"/>
      <c r="B752" s="9"/>
      <c r="C752" s="9"/>
    </row>
    <row r="753" spans="1:3">
      <c r="A753" s="10"/>
      <c r="B753" s="9"/>
      <c r="C753" s="9"/>
    </row>
    <row r="754" spans="1:3">
      <c r="A754" s="10"/>
      <c r="B754" s="9"/>
      <c r="C754" s="9"/>
    </row>
    <row r="755" spans="1:3">
      <c r="A755" s="10"/>
      <c r="B755" s="9"/>
      <c r="C755" s="9"/>
    </row>
    <row r="756" spans="1:3">
      <c r="A756" s="10"/>
      <c r="B756" s="9"/>
      <c r="C756" s="9"/>
    </row>
    <row r="757" spans="1:3">
      <c r="A757" s="10"/>
      <c r="B757" s="9"/>
      <c r="C757" s="9"/>
    </row>
    <row r="758" spans="1:3">
      <c r="A758" s="10"/>
      <c r="B758" s="9"/>
      <c r="C758" s="9"/>
    </row>
    <row r="759" spans="1:3">
      <c r="A759" s="10"/>
      <c r="B759" s="9"/>
      <c r="C759" s="9"/>
    </row>
    <row r="760" spans="1:3">
      <c r="A760" s="10"/>
      <c r="B760" s="9"/>
      <c r="C760" s="9"/>
    </row>
    <row r="761" spans="1:3">
      <c r="A761" s="10"/>
      <c r="B761" s="9"/>
      <c r="C761" s="9"/>
    </row>
    <row r="762" spans="1:3">
      <c r="A762" s="10"/>
      <c r="B762" s="9"/>
      <c r="C762" s="9"/>
    </row>
    <row r="763" spans="1:3">
      <c r="A763" s="10"/>
      <c r="B763" s="9"/>
      <c r="C763" s="9"/>
    </row>
    <row r="764" spans="1:3">
      <c r="A764" s="10"/>
      <c r="B764" s="9"/>
      <c r="C764" s="9"/>
    </row>
    <row r="765" spans="1:3">
      <c r="A765" s="10"/>
      <c r="B765" s="9"/>
      <c r="C765" s="9"/>
    </row>
    <row r="766" spans="1:3">
      <c r="A766" s="10"/>
      <c r="B766" s="9"/>
      <c r="C766" s="9"/>
    </row>
    <row r="767" spans="1:3">
      <c r="A767" s="10"/>
      <c r="B767" s="9"/>
      <c r="C767" s="9"/>
    </row>
    <row r="768" spans="1:3">
      <c r="A768" s="10"/>
      <c r="B768" s="9"/>
      <c r="C768" s="9"/>
    </row>
    <row r="769" spans="1:3">
      <c r="A769" s="10"/>
      <c r="B769" s="9"/>
      <c r="C769" s="9"/>
    </row>
    <row r="770" spans="1:3">
      <c r="A770" s="10"/>
      <c r="B770" s="9"/>
      <c r="C770" s="9"/>
    </row>
    <row r="771" spans="1:3">
      <c r="A771" s="10"/>
      <c r="B771" s="9"/>
      <c r="C771" s="9"/>
    </row>
    <row r="772" spans="1:3">
      <c r="A772" s="10"/>
      <c r="B772" s="9"/>
      <c r="C772" s="9"/>
    </row>
    <row r="773" spans="1:3">
      <c r="A773" s="10"/>
      <c r="B773" s="9"/>
      <c r="C773" s="9"/>
    </row>
    <row r="774" spans="1:3">
      <c r="A774" s="10"/>
      <c r="B774" s="9"/>
      <c r="C774" s="9"/>
    </row>
    <row r="775" spans="1:3">
      <c r="A775" s="10"/>
      <c r="B775" s="9"/>
      <c r="C775" s="9"/>
    </row>
    <row r="776" spans="1:3">
      <c r="A776" s="10"/>
      <c r="B776" s="9"/>
      <c r="C776" s="9"/>
    </row>
    <row r="777" spans="1:3">
      <c r="A777" s="10"/>
      <c r="B777" s="9"/>
      <c r="C777" s="9"/>
    </row>
    <row r="778" spans="1:3">
      <c r="A778" s="10"/>
      <c r="B778" s="9"/>
      <c r="C778" s="9"/>
    </row>
    <row r="779" spans="1:3">
      <c r="A779" s="10"/>
      <c r="B779" s="9"/>
      <c r="C779" s="9"/>
    </row>
    <row r="780" spans="1:3">
      <c r="A780" s="10"/>
      <c r="B780" s="9"/>
      <c r="C780" s="9"/>
    </row>
    <row r="781" spans="1:3">
      <c r="A781" s="10"/>
      <c r="B781" s="9"/>
      <c r="C781" s="9"/>
    </row>
    <row r="782" spans="1:3">
      <c r="A782" s="10"/>
      <c r="B782" s="9"/>
      <c r="C782" s="9"/>
    </row>
    <row r="783" spans="1:3">
      <c r="A783" s="10"/>
      <c r="B783" s="9"/>
      <c r="C783" s="9"/>
    </row>
    <row r="784" spans="1:3">
      <c r="A784" s="10"/>
      <c r="B784" s="9"/>
      <c r="C784" s="9"/>
    </row>
    <row r="785" spans="1:3">
      <c r="A785" s="10"/>
      <c r="B785" s="9"/>
      <c r="C785" s="9"/>
    </row>
    <row r="786" spans="1:3">
      <c r="A786" s="10"/>
      <c r="B786" s="9"/>
      <c r="C786" s="9"/>
    </row>
    <row r="787" spans="1:3">
      <c r="A787" s="10"/>
      <c r="B787" s="9"/>
      <c r="C787" s="9"/>
    </row>
    <row r="788" spans="1:3">
      <c r="A788" s="10"/>
      <c r="B788" s="9"/>
      <c r="C788" s="9"/>
    </row>
    <row r="789" spans="1:3">
      <c r="A789" s="10"/>
      <c r="B789" s="9"/>
      <c r="C789" s="9"/>
    </row>
    <row r="790" spans="1:3">
      <c r="A790" s="10"/>
      <c r="B790" s="9"/>
      <c r="C790" s="9"/>
    </row>
    <row r="791" spans="1:3">
      <c r="A791" s="10"/>
      <c r="B791" s="9"/>
      <c r="C791" s="9"/>
    </row>
    <row r="792" spans="1:3">
      <c r="A792" s="10"/>
      <c r="B792" s="9"/>
      <c r="C792" s="9"/>
    </row>
    <row r="793" spans="1:3">
      <c r="A793" s="10"/>
      <c r="B793" s="9"/>
      <c r="C793" s="9"/>
    </row>
    <row r="794" spans="1:3">
      <c r="A794" s="10"/>
      <c r="B794" s="9"/>
      <c r="C794" s="9"/>
    </row>
    <row r="795" spans="1:3">
      <c r="A795" s="10"/>
      <c r="B795" s="9"/>
      <c r="C795" s="9"/>
    </row>
    <row r="796" spans="1:3">
      <c r="A796" s="10"/>
      <c r="B796" s="9"/>
      <c r="C796" s="9"/>
    </row>
    <row r="797" spans="1:3">
      <c r="A797" s="10"/>
      <c r="B797" s="9"/>
      <c r="C797" s="9"/>
    </row>
    <row r="798" spans="1:3">
      <c r="A798" s="10"/>
      <c r="B798" s="9"/>
      <c r="C798" s="9"/>
    </row>
    <row r="799" spans="1:3">
      <c r="A799" s="10"/>
      <c r="B799" s="9"/>
      <c r="C799" s="9"/>
    </row>
    <row r="800" spans="1:3">
      <c r="A800" s="10"/>
      <c r="B800" s="9"/>
      <c r="C800" s="9"/>
    </row>
    <row r="801" spans="1:3">
      <c r="A801" s="10"/>
      <c r="B801" s="9"/>
      <c r="C801" s="9"/>
    </row>
    <row r="802" spans="1:3">
      <c r="A802" s="10"/>
      <c r="B802" s="9"/>
      <c r="C802" s="9"/>
    </row>
    <row r="803" spans="1:3">
      <c r="A803" s="10"/>
      <c r="B803" s="9"/>
      <c r="C803" s="9"/>
    </row>
    <row r="804" spans="1:3">
      <c r="A804" s="10"/>
      <c r="B804" s="9"/>
      <c r="C804" s="9"/>
    </row>
    <row r="805" spans="1:3">
      <c r="A805" s="10"/>
      <c r="B805" s="9"/>
      <c r="C805" s="9"/>
    </row>
    <row r="806" spans="1:3">
      <c r="A806" s="10"/>
      <c r="B806" s="9"/>
      <c r="C806" s="9"/>
    </row>
    <row r="807" spans="1:3">
      <c r="A807" s="10"/>
      <c r="B807" s="9"/>
      <c r="C807" s="9"/>
    </row>
    <row r="808" spans="1:3">
      <c r="A808" s="10"/>
      <c r="B808" s="9"/>
      <c r="C808" s="9"/>
    </row>
    <row r="809" spans="1:3">
      <c r="A809" s="10"/>
      <c r="B809" s="9"/>
      <c r="C809" s="9"/>
    </row>
    <row r="810" spans="1:3">
      <c r="A810" s="10"/>
      <c r="B810" s="9"/>
      <c r="C810" s="9"/>
    </row>
    <row r="811" spans="1:3">
      <c r="A811" s="10"/>
      <c r="B811" s="9"/>
      <c r="C811" s="9"/>
    </row>
    <row r="812" spans="1:3">
      <c r="A812" s="10"/>
      <c r="B812" s="9"/>
      <c r="C812" s="9"/>
    </row>
    <row r="813" spans="1:3">
      <c r="A813" s="10"/>
      <c r="B813" s="9"/>
      <c r="C813" s="9"/>
    </row>
    <row r="814" spans="1:3">
      <c r="A814" s="10"/>
      <c r="B814" s="9"/>
      <c r="C814" s="9"/>
    </row>
    <row r="815" spans="1:3">
      <c r="A815" s="10"/>
      <c r="B815" s="9"/>
      <c r="C815" s="9"/>
    </row>
    <row r="816" spans="1:3">
      <c r="A816" s="10"/>
      <c r="B816" s="9"/>
      <c r="C816" s="9"/>
    </row>
    <row r="817" spans="1:3">
      <c r="A817" s="10"/>
      <c r="B817" s="9"/>
      <c r="C817" s="9"/>
    </row>
    <row r="818" spans="1:3">
      <c r="A818" s="10"/>
      <c r="B818" s="9"/>
      <c r="C818" s="9"/>
    </row>
    <row r="819" spans="1:3">
      <c r="A819" s="10"/>
      <c r="B819" s="9"/>
      <c r="C819" s="9"/>
    </row>
    <row r="820" spans="1:3">
      <c r="A820" s="10"/>
      <c r="B820" s="9"/>
      <c r="C820" s="9"/>
    </row>
    <row r="821" spans="1:3">
      <c r="A821" s="10"/>
      <c r="B821" s="9"/>
      <c r="C821" s="9"/>
    </row>
    <row r="822" spans="1:3">
      <c r="A822" s="10"/>
      <c r="B822" s="9"/>
      <c r="C822" s="9"/>
    </row>
    <row r="823" spans="1:3">
      <c r="A823" s="10"/>
      <c r="B823" s="9"/>
      <c r="C823" s="9"/>
    </row>
    <row r="824" spans="1:3">
      <c r="A824" s="10"/>
      <c r="B824" s="9"/>
      <c r="C824" s="9"/>
    </row>
    <row r="825" spans="1:3">
      <c r="A825" s="10"/>
      <c r="B825" s="9"/>
      <c r="C825" s="9"/>
    </row>
    <row r="826" spans="1:3">
      <c r="A826" s="10"/>
      <c r="B826" s="9"/>
      <c r="C826" s="9"/>
    </row>
    <row r="827" spans="1:3">
      <c r="A827" s="10"/>
      <c r="B827" s="9"/>
      <c r="C827" s="9"/>
    </row>
    <row r="828" spans="1:3">
      <c r="A828" s="10"/>
      <c r="B828" s="9"/>
      <c r="C828" s="9"/>
    </row>
    <row r="829" spans="1:3">
      <c r="A829" s="10"/>
      <c r="B829" s="9"/>
      <c r="C829" s="9"/>
    </row>
    <row r="830" spans="1:3">
      <c r="A830" s="10"/>
      <c r="B830" s="9"/>
      <c r="C830" s="9"/>
    </row>
    <row r="831" spans="1:3">
      <c r="A831" s="10"/>
      <c r="B831" s="9"/>
      <c r="C831" s="9"/>
    </row>
    <row r="832" spans="1:3">
      <c r="A832" s="10"/>
      <c r="B832" s="9"/>
      <c r="C832" s="9"/>
    </row>
    <row r="833" spans="1:3">
      <c r="A833" s="10"/>
      <c r="B833" s="9"/>
      <c r="C833" s="9"/>
    </row>
    <row r="834" spans="1:3">
      <c r="A834" s="10"/>
      <c r="B834" s="9"/>
      <c r="C834" s="9"/>
    </row>
    <row r="835" spans="1:3">
      <c r="A835" s="10"/>
      <c r="B835" s="9"/>
      <c r="C835" s="9"/>
    </row>
    <row r="836" spans="1:3">
      <c r="A836" s="10"/>
      <c r="B836" s="9"/>
      <c r="C836" s="9"/>
    </row>
    <row r="837" spans="1:3">
      <c r="A837" s="10"/>
      <c r="B837" s="9"/>
      <c r="C837" s="9"/>
    </row>
    <row r="838" spans="1:3">
      <c r="A838" s="10"/>
      <c r="B838" s="9"/>
      <c r="C838" s="9"/>
    </row>
    <row r="839" spans="1:3">
      <c r="A839" s="10"/>
      <c r="B839" s="9"/>
      <c r="C839" s="9"/>
    </row>
    <row r="840" spans="1:3">
      <c r="A840" s="10"/>
      <c r="B840" s="9"/>
      <c r="C840" s="9"/>
    </row>
    <row r="841" spans="1:3">
      <c r="A841" s="10"/>
      <c r="B841" s="9"/>
      <c r="C841" s="9"/>
    </row>
    <row r="842" spans="1:3">
      <c r="A842" s="10"/>
      <c r="B842" s="9"/>
      <c r="C842" s="9"/>
    </row>
    <row r="843" spans="1:3">
      <c r="A843" s="10"/>
      <c r="B843" s="9"/>
      <c r="C843" s="9"/>
    </row>
    <row r="844" spans="1:3">
      <c r="A844" s="10"/>
      <c r="B844" s="9"/>
      <c r="C844" s="9"/>
    </row>
    <row r="845" spans="1:3">
      <c r="A845" s="10"/>
      <c r="B845" s="9"/>
      <c r="C845" s="9"/>
    </row>
    <row r="846" spans="1:3">
      <c r="A846" s="10"/>
      <c r="B846" s="9"/>
      <c r="C846" s="9"/>
    </row>
    <row r="847" spans="1:3">
      <c r="A847" s="10"/>
      <c r="B847" s="9"/>
      <c r="C847" s="9"/>
    </row>
    <row r="848" spans="1:3">
      <c r="A848" s="10"/>
      <c r="B848" s="9"/>
      <c r="C848" s="9"/>
    </row>
    <row r="849" spans="1:3">
      <c r="A849" s="10"/>
      <c r="B849" s="9"/>
      <c r="C849" s="9"/>
    </row>
    <row r="850" spans="1:3">
      <c r="A850" s="10"/>
      <c r="B850" s="9"/>
      <c r="C850" s="9"/>
    </row>
    <row r="851" spans="1:3">
      <c r="A851" s="10"/>
      <c r="B851" s="9"/>
      <c r="C851" s="9"/>
    </row>
    <row r="852" spans="1:3">
      <c r="A852" s="10"/>
      <c r="B852" s="9"/>
      <c r="C852" s="9"/>
    </row>
    <row r="853" spans="1:3">
      <c r="A853" s="10"/>
      <c r="B853" s="9"/>
      <c r="C853" s="9"/>
    </row>
    <row r="854" spans="1:3">
      <c r="A854" s="10"/>
      <c r="B854" s="9"/>
      <c r="C854" s="9"/>
    </row>
    <row r="855" spans="1:3">
      <c r="A855" s="10"/>
      <c r="B855" s="9"/>
      <c r="C855" s="9"/>
    </row>
    <row r="856" spans="1:3">
      <c r="A856" s="10"/>
      <c r="B856" s="9"/>
      <c r="C856" s="9"/>
    </row>
    <row r="857" spans="1:3">
      <c r="A857" s="10"/>
      <c r="B857" s="9"/>
      <c r="C857" s="9"/>
    </row>
    <row r="858" spans="1:3">
      <c r="A858" s="10"/>
      <c r="B858" s="9"/>
      <c r="C858" s="9"/>
    </row>
    <row r="859" spans="1:3">
      <c r="A859" s="10"/>
      <c r="B859" s="9"/>
      <c r="C859" s="9"/>
    </row>
    <row r="860" spans="1:3">
      <c r="A860" s="10"/>
      <c r="B860" s="9"/>
      <c r="C860" s="9"/>
    </row>
    <row r="861" spans="1:3">
      <c r="A861" s="10"/>
      <c r="B861" s="9"/>
      <c r="C861" s="9"/>
    </row>
    <row r="862" spans="1:3">
      <c r="A862" s="10"/>
      <c r="B862" s="9"/>
      <c r="C862" s="9"/>
    </row>
    <row r="863" spans="1:3">
      <c r="A863" s="10"/>
      <c r="B863" s="9"/>
      <c r="C863" s="9"/>
    </row>
    <row r="864" spans="1:3">
      <c r="A864" s="10"/>
      <c r="B864" s="9"/>
      <c r="C864" s="9"/>
    </row>
    <row r="865" spans="1:3">
      <c r="A865" s="10"/>
      <c r="B865" s="9"/>
      <c r="C865" s="9"/>
    </row>
    <row r="866" spans="1:3">
      <c r="A866" s="10"/>
      <c r="B866" s="9"/>
      <c r="C866" s="9"/>
    </row>
    <row r="867" spans="1:3">
      <c r="A867" s="10"/>
      <c r="B867" s="9"/>
      <c r="C867" s="9"/>
    </row>
    <row r="868" spans="1:3">
      <c r="A868" s="10"/>
      <c r="B868" s="9"/>
      <c r="C868" s="9"/>
    </row>
    <row r="869" spans="1:3">
      <c r="A869" s="10"/>
      <c r="B869" s="9"/>
      <c r="C869" s="9"/>
    </row>
    <row r="870" spans="1:3">
      <c r="A870" s="10"/>
      <c r="B870" s="9"/>
      <c r="C870" s="9"/>
    </row>
    <row r="871" spans="1:3">
      <c r="A871" s="10"/>
      <c r="B871" s="9"/>
      <c r="C871" s="9"/>
    </row>
    <row r="872" spans="1:3">
      <c r="A872" s="10"/>
      <c r="B872" s="9"/>
      <c r="C872" s="9"/>
    </row>
    <row r="873" spans="1:3">
      <c r="A873" s="10"/>
      <c r="B873" s="9"/>
      <c r="C873" s="9"/>
    </row>
    <row r="874" spans="1:3">
      <c r="A874" s="10"/>
      <c r="B874" s="9"/>
      <c r="C874" s="9"/>
    </row>
    <row r="875" spans="1:3">
      <c r="A875" s="10"/>
      <c r="B875" s="9"/>
      <c r="C875" s="9"/>
    </row>
    <row r="876" spans="1:3">
      <c r="A876" s="10"/>
      <c r="B876" s="9"/>
      <c r="C876" s="9"/>
    </row>
    <row r="877" spans="1:3">
      <c r="A877" s="10"/>
      <c r="B877" s="9"/>
      <c r="C877" s="9"/>
    </row>
    <row r="878" spans="1:3">
      <c r="A878" s="10"/>
      <c r="B878" s="9"/>
      <c r="C878" s="9"/>
    </row>
    <row r="879" spans="1:3">
      <c r="A879" s="10"/>
      <c r="B879" s="9"/>
      <c r="C879" s="9"/>
    </row>
    <row r="880" spans="1:3">
      <c r="A880" s="10"/>
      <c r="B880" s="9"/>
      <c r="C880" s="9"/>
    </row>
    <row r="881" spans="1:3">
      <c r="A881" s="10"/>
      <c r="B881" s="9"/>
      <c r="C881" s="9"/>
    </row>
    <row r="882" spans="1:3">
      <c r="A882" s="10"/>
      <c r="B882" s="9"/>
      <c r="C882" s="9"/>
    </row>
    <row r="883" spans="1:3">
      <c r="A883" s="10"/>
      <c r="B883" s="9"/>
      <c r="C883" s="9"/>
    </row>
    <row r="884" spans="1:3">
      <c r="A884" s="10"/>
      <c r="B884" s="9"/>
      <c r="C884" s="9"/>
    </row>
    <row r="885" spans="1:3">
      <c r="A885" s="10"/>
      <c r="B885" s="9"/>
      <c r="C885" s="9"/>
    </row>
    <row r="886" spans="1:3">
      <c r="A886" s="10"/>
      <c r="B886" s="9"/>
      <c r="C886" s="9"/>
    </row>
    <row r="887" spans="1:3">
      <c r="A887" s="10"/>
      <c r="B887" s="9"/>
      <c r="C887" s="9"/>
    </row>
    <row r="888" spans="1:3">
      <c r="A888" s="10"/>
      <c r="B888" s="9"/>
      <c r="C888" s="9"/>
    </row>
    <row r="889" spans="1:3">
      <c r="A889" s="10"/>
      <c r="B889" s="9"/>
      <c r="C889" s="9"/>
    </row>
    <row r="890" spans="1:3">
      <c r="A890" s="10"/>
      <c r="B890" s="9"/>
      <c r="C890" s="9"/>
    </row>
    <row r="891" spans="1:3">
      <c r="A891" s="10"/>
      <c r="B891" s="9"/>
      <c r="C891" s="9"/>
    </row>
    <row r="892" spans="1:3">
      <c r="A892" s="10"/>
      <c r="B892" s="9"/>
      <c r="C892" s="9"/>
    </row>
    <row r="893" spans="1:3">
      <c r="A893" s="10"/>
      <c r="B893" s="9"/>
      <c r="C893" s="9"/>
    </row>
    <row r="894" spans="1:3">
      <c r="A894" s="10"/>
      <c r="B894" s="9"/>
      <c r="C894" s="9"/>
    </row>
    <row r="895" spans="1:3">
      <c r="A895" s="10"/>
      <c r="B895" s="9"/>
      <c r="C895" s="9"/>
    </row>
    <row r="896" spans="1:3">
      <c r="A896" s="10"/>
      <c r="B896" s="9"/>
      <c r="C896" s="9"/>
    </row>
    <row r="897" spans="1:3">
      <c r="A897" s="10"/>
      <c r="B897" s="9"/>
      <c r="C897" s="9"/>
    </row>
    <row r="898" spans="1:3">
      <c r="A898" s="10"/>
      <c r="B898" s="9"/>
      <c r="C898" s="9"/>
    </row>
    <row r="899" spans="1:3">
      <c r="A899" s="10"/>
      <c r="B899" s="9"/>
      <c r="C899" s="9"/>
    </row>
    <row r="900" spans="1:3">
      <c r="A900" s="10"/>
      <c r="B900" s="9"/>
      <c r="C900" s="9"/>
    </row>
    <row r="901" spans="1:3">
      <c r="A901" s="10"/>
      <c r="B901" s="9"/>
      <c r="C901" s="9"/>
    </row>
    <row r="902" spans="1:3">
      <c r="A902" s="10"/>
      <c r="B902" s="9"/>
      <c r="C902" s="9"/>
    </row>
    <row r="903" spans="1:3">
      <c r="A903" s="10"/>
      <c r="B903" s="9"/>
      <c r="C903" s="9"/>
    </row>
    <row r="904" spans="1:3">
      <c r="A904" s="10"/>
      <c r="B904" s="9"/>
      <c r="C904" s="9"/>
    </row>
    <row r="905" spans="1:3">
      <c r="A905" s="10"/>
      <c r="B905" s="9"/>
      <c r="C905" s="9"/>
    </row>
    <row r="906" spans="1:3">
      <c r="A906" s="10"/>
      <c r="B906" s="9"/>
      <c r="C906" s="9"/>
    </row>
    <row r="907" spans="1:3">
      <c r="A907" s="10"/>
      <c r="B907" s="9"/>
      <c r="C907" s="9"/>
    </row>
    <row r="908" spans="1:3">
      <c r="A908" s="10"/>
      <c r="B908" s="9"/>
      <c r="C908" s="9"/>
    </row>
    <row r="909" spans="1:3">
      <c r="A909" s="10"/>
      <c r="B909" s="9"/>
      <c r="C909" s="9"/>
    </row>
    <row r="910" spans="1:3">
      <c r="A910" s="10"/>
      <c r="B910" s="9"/>
      <c r="C910" s="9"/>
    </row>
    <row r="911" spans="1:3">
      <c r="A911" s="10"/>
      <c r="B911" s="9"/>
      <c r="C911" s="9"/>
    </row>
    <row r="912" spans="1:3">
      <c r="A912" s="10"/>
      <c r="B912" s="9"/>
      <c r="C912" s="9"/>
    </row>
    <row r="913" spans="1:3">
      <c r="A913" s="10"/>
      <c r="B913" s="9"/>
      <c r="C913" s="9"/>
    </row>
    <row r="914" spans="1:3">
      <c r="A914" s="10"/>
      <c r="B914" s="9"/>
      <c r="C914" s="9"/>
    </row>
    <row r="915" spans="1:3">
      <c r="A915" s="10"/>
      <c r="B915" s="9"/>
      <c r="C915" s="9"/>
    </row>
    <row r="916" spans="1:3">
      <c r="A916" s="10"/>
      <c r="B916" s="9"/>
      <c r="C916" s="9"/>
    </row>
    <row r="917" spans="1:3">
      <c r="A917" s="10"/>
      <c r="B917" s="9"/>
      <c r="C917" s="9"/>
    </row>
    <row r="918" spans="1:3">
      <c r="A918" s="10"/>
      <c r="B918" s="9"/>
      <c r="C918" s="9"/>
    </row>
    <row r="919" spans="1:3">
      <c r="A919" s="10"/>
      <c r="B919" s="9"/>
      <c r="C919" s="9"/>
    </row>
    <row r="920" spans="1:3">
      <c r="A920" s="10"/>
      <c r="B920" s="9"/>
      <c r="C920" s="9"/>
    </row>
    <row r="921" spans="1:3">
      <c r="A921" s="10"/>
      <c r="B921" s="9"/>
      <c r="C921" s="9"/>
    </row>
    <row r="922" spans="1:3">
      <c r="A922" s="10"/>
      <c r="B922" s="9"/>
      <c r="C922" s="9"/>
    </row>
    <row r="923" spans="1:3">
      <c r="A923" s="10"/>
      <c r="B923" s="9"/>
      <c r="C923" s="9"/>
    </row>
    <row r="924" spans="1:3">
      <c r="A924" s="10"/>
      <c r="B924" s="9"/>
      <c r="C924" s="9"/>
    </row>
    <row r="925" spans="1:3">
      <c r="A925" s="10"/>
      <c r="B925" s="9"/>
      <c r="C925" s="9"/>
    </row>
    <row r="926" spans="1:3">
      <c r="A926" s="10"/>
      <c r="B926" s="9"/>
      <c r="C926" s="9"/>
    </row>
    <row r="927" spans="1:3">
      <c r="A927" s="10"/>
      <c r="B927" s="9"/>
      <c r="C927" s="9"/>
    </row>
    <row r="928" spans="1:3">
      <c r="A928" s="10"/>
      <c r="B928" s="9"/>
      <c r="C928" s="9"/>
    </row>
    <row r="929" spans="1:3">
      <c r="A929" s="10"/>
      <c r="B929" s="9"/>
      <c r="C929" s="9"/>
    </row>
    <row r="930" spans="1:3">
      <c r="A930" s="10"/>
      <c r="B930" s="9"/>
      <c r="C930" s="9"/>
    </row>
    <row r="931" spans="1:3">
      <c r="A931" s="10"/>
      <c r="B931" s="9"/>
      <c r="C931" s="9"/>
    </row>
    <row r="932" spans="1:3">
      <c r="A932" s="10"/>
      <c r="B932" s="9"/>
      <c r="C932" s="9"/>
    </row>
    <row r="933" spans="1:3">
      <c r="A933" s="10"/>
      <c r="B933" s="9"/>
      <c r="C933" s="9"/>
    </row>
    <row r="934" spans="1:3">
      <c r="A934" s="10"/>
      <c r="B934" s="9"/>
      <c r="C934" s="9"/>
    </row>
    <row r="935" spans="1:3">
      <c r="A935" s="10"/>
      <c r="B935" s="9"/>
      <c r="C935" s="9"/>
    </row>
    <row r="936" spans="1:3">
      <c r="A936" s="10"/>
      <c r="B936" s="9"/>
      <c r="C936" s="9"/>
    </row>
    <row r="937" spans="1:3">
      <c r="A937" s="10"/>
      <c r="B937" s="9"/>
      <c r="C937" s="9"/>
    </row>
    <row r="938" spans="1:3">
      <c r="A938" s="10"/>
      <c r="B938" s="9"/>
      <c r="C938" s="9"/>
    </row>
    <row r="939" spans="1:3">
      <c r="A939" s="10"/>
      <c r="B939" s="9"/>
      <c r="C939" s="9"/>
    </row>
    <row r="940" spans="1:3">
      <c r="A940" s="10"/>
      <c r="B940" s="9"/>
      <c r="C940" s="9"/>
    </row>
    <row r="941" spans="1:3">
      <c r="A941" s="10"/>
      <c r="B941" s="9"/>
      <c r="C941" s="9"/>
    </row>
    <row r="942" spans="1:3">
      <c r="A942" s="10"/>
      <c r="B942" s="9"/>
      <c r="C942" s="9"/>
    </row>
    <row r="943" spans="1:3">
      <c r="A943" s="10"/>
      <c r="B943" s="9"/>
      <c r="C943" s="9"/>
    </row>
    <row r="944" spans="1:3">
      <c r="A944" s="10"/>
      <c r="B944" s="9"/>
      <c r="C944" s="9"/>
    </row>
    <row r="945" spans="1:3">
      <c r="A945" s="10"/>
      <c r="B945" s="9"/>
      <c r="C945" s="9"/>
    </row>
    <row r="946" spans="1:3">
      <c r="A946" s="10"/>
      <c r="B946" s="9"/>
      <c r="C946" s="9"/>
    </row>
    <row r="947" spans="1:3">
      <c r="A947" s="10"/>
      <c r="B947" s="9"/>
      <c r="C947" s="9"/>
    </row>
    <row r="948" spans="1:3">
      <c r="A948" s="10"/>
      <c r="B948" s="9"/>
      <c r="C948" s="9"/>
    </row>
    <row r="949" spans="1:3">
      <c r="A949" s="10"/>
      <c r="B949" s="9"/>
      <c r="C949" s="9"/>
    </row>
    <row r="950" spans="1:3">
      <c r="A950" s="10"/>
      <c r="B950" s="9"/>
      <c r="C950" s="9"/>
    </row>
    <row r="951" spans="1:3">
      <c r="A951" s="10"/>
      <c r="B951" s="9"/>
      <c r="C951" s="9"/>
    </row>
    <row r="952" spans="1:3">
      <c r="A952" s="10"/>
      <c r="B952" s="9"/>
      <c r="C952" s="9"/>
    </row>
    <row r="953" spans="1:3">
      <c r="A953" s="10"/>
      <c r="B953" s="9"/>
      <c r="C953" s="9"/>
    </row>
    <row r="954" spans="1:3">
      <c r="A954" s="10"/>
      <c r="B954" s="9"/>
      <c r="C954" s="9"/>
    </row>
    <row r="955" spans="1:3">
      <c r="A955" s="10"/>
      <c r="B955" s="9"/>
      <c r="C955" s="9"/>
    </row>
    <row r="956" spans="1:3">
      <c r="A956" s="10"/>
      <c r="B956" s="9"/>
      <c r="C956" s="9"/>
    </row>
    <row r="957" spans="1:3">
      <c r="A957" s="10"/>
      <c r="B957" s="9"/>
      <c r="C957" s="9"/>
    </row>
    <row r="958" spans="1:3">
      <c r="A958" s="10"/>
      <c r="B958" s="9"/>
      <c r="C958" s="9"/>
    </row>
    <row r="959" spans="1:3">
      <c r="A959" s="10"/>
      <c r="B959" s="9"/>
      <c r="C959" s="9"/>
    </row>
    <row r="960" spans="1:3">
      <c r="A960" s="10"/>
      <c r="B960" s="9"/>
      <c r="C960" s="9"/>
    </row>
    <row r="961" spans="1:3">
      <c r="A961" s="10"/>
      <c r="B961" s="9"/>
      <c r="C961" s="9"/>
    </row>
    <row r="962" spans="1:3">
      <c r="A962" s="10"/>
      <c r="B962" s="9"/>
      <c r="C962" s="9"/>
    </row>
    <row r="963" spans="1:3">
      <c r="A963" s="10"/>
      <c r="B963" s="9"/>
      <c r="C963" s="9"/>
    </row>
    <row r="964" spans="1:3">
      <c r="A964" s="10"/>
      <c r="B964" s="9"/>
      <c r="C964" s="9"/>
    </row>
    <row r="965" spans="1:3">
      <c r="A965" s="10"/>
      <c r="B965" s="9"/>
      <c r="C965" s="9"/>
    </row>
    <row r="966" spans="1:3">
      <c r="A966" s="10"/>
      <c r="B966" s="9"/>
      <c r="C966" s="9"/>
    </row>
    <row r="967" spans="1:3">
      <c r="A967" s="10"/>
      <c r="B967" s="9"/>
      <c r="C967" s="9"/>
    </row>
    <row r="968" spans="1:3">
      <c r="A968" s="10"/>
      <c r="B968" s="9"/>
      <c r="C968" s="9"/>
    </row>
    <row r="969" spans="1:3">
      <c r="A969" s="10"/>
      <c r="B969" s="9"/>
      <c r="C969" s="9"/>
    </row>
    <row r="970" spans="1:3">
      <c r="A970" s="10"/>
      <c r="B970" s="9"/>
      <c r="C970" s="9"/>
    </row>
    <row r="971" spans="1:3">
      <c r="A971" s="10"/>
      <c r="B971" s="9"/>
      <c r="C971" s="9"/>
    </row>
    <row r="972" spans="1:3">
      <c r="A972" s="10"/>
      <c r="B972" s="9"/>
      <c r="C972" s="9"/>
    </row>
    <row r="973" spans="1:3">
      <c r="A973" s="10"/>
      <c r="B973" s="9"/>
      <c r="C973" s="9"/>
    </row>
    <row r="974" spans="1:3">
      <c r="A974" s="10"/>
      <c r="B974" s="9"/>
      <c r="C974" s="9"/>
    </row>
    <row r="975" spans="1:3">
      <c r="A975" s="10"/>
      <c r="B975" s="9"/>
      <c r="C975" s="9"/>
    </row>
    <row r="976" spans="1:3">
      <c r="A976" s="10"/>
      <c r="B976" s="9"/>
      <c r="C976" s="9"/>
    </row>
    <row r="977" spans="1:3">
      <c r="A977" s="10"/>
      <c r="B977" s="9"/>
      <c r="C977" s="9"/>
    </row>
    <row r="978" spans="1:3">
      <c r="A978" s="10"/>
      <c r="B978" s="9"/>
      <c r="C978" s="9"/>
    </row>
    <row r="979" spans="1:3">
      <c r="A979" s="10"/>
      <c r="B979" s="9"/>
      <c r="C979" s="9"/>
    </row>
    <row r="980" spans="1:3">
      <c r="A980" s="10"/>
      <c r="B980" s="9"/>
      <c r="C980" s="9"/>
    </row>
    <row r="981" spans="1:3">
      <c r="A981" s="10"/>
      <c r="B981" s="9"/>
      <c r="C981" s="9"/>
    </row>
    <row r="982" spans="1:3">
      <c r="A982" s="10"/>
      <c r="B982" s="9"/>
      <c r="C982" s="9"/>
    </row>
    <row r="983" spans="1:3">
      <c r="A983" s="10"/>
      <c r="B983" s="9"/>
      <c r="C983" s="9"/>
    </row>
    <row r="984" spans="1:3">
      <c r="A984" s="10"/>
      <c r="B984" s="9"/>
      <c r="C984" s="9"/>
    </row>
    <row r="985" spans="1:3">
      <c r="A985" s="10"/>
      <c r="B985" s="9"/>
      <c r="C985" s="9"/>
    </row>
    <row r="986" spans="1:3">
      <c r="A986" s="10"/>
      <c r="B986" s="9"/>
      <c r="C986" s="9"/>
    </row>
    <row r="987" spans="1:3">
      <c r="A987" s="10"/>
      <c r="B987" s="9"/>
      <c r="C987" s="9"/>
    </row>
    <row r="988" spans="1:3">
      <c r="A988" s="10"/>
      <c r="B988" s="9"/>
      <c r="C988" s="9"/>
    </row>
    <row r="989" spans="1:3">
      <c r="A989" s="10"/>
      <c r="B989" s="9"/>
      <c r="C989" s="9"/>
    </row>
    <row r="990" spans="1:3">
      <c r="A990" s="10"/>
      <c r="B990" s="9"/>
      <c r="C990" s="9"/>
    </row>
    <row r="991" spans="1:3">
      <c r="A991" s="10"/>
      <c r="B991" s="9"/>
      <c r="C991" s="9"/>
    </row>
    <row r="992" spans="1:3">
      <c r="A992" s="10"/>
      <c r="B992" s="9"/>
      <c r="C992" s="9"/>
    </row>
    <row r="993" spans="1:3">
      <c r="A993" s="10"/>
      <c r="B993" s="9"/>
      <c r="C993" s="9"/>
    </row>
    <row r="994" spans="1:3">
      <c r="A994" s="10"/>
      <c r="B994" s="9"/>
      <c r="C994" s="9"/>
    </row>
    <row r="995" spans="1:3">
      <c r="A995" s="10"/>
      <c r="B995" s="9"/>
      <c r="C995" s="9"/>
    </row>
    <row r="996" spans="1:3">
      <c r="A996" s="10"/>
      <c r="B996" s="9"/>
      <c r="C996" s="9"/>
    </row>
    <row r="997" spans="1:3">
      <c r="A997" s="10"/>
      <c r="B997" s="9"/>
      <c r="C997" s="9"/>
    </row>
    <row r="998" spans="1:3">
      <c r="A998" s="10"/>
      <c r="B998" s="9"/>
      <c r="C998" s="9"/>
    </row>
    <row r="999" spans="1:3">
      <c r="A999" s="10"/>
      <c r="B999" s="9"/>
      <c r="C999" s="9"/>
    </row>
    <row r="1000" spans="1:3">
      <c r="A1000" s="10"/>
      <c r="B1000" s="9"/>
      <c r="C1000" s="9"/>
    </row>
    <row r="1001" spans="1:3">
      <c r="A1001" s="10"/>
      <c r="B1001" s="9"/>
      <c r="C1001" s="9"/>
    </row>
    <row r="1002" spans="1:3">
      <c r="A1002" s="10"/>
      <c r="B1002" s="9"/>
      <c r="C1002" s="9"/>
    </row>
    <row r="1003" spans="1:3">
      <c r="A1003" s="10"/>
      <c r="B1003" s="9"/>
      <c r="C1003" s="9"/>
    </row>
    <row r="1004" spans="1:3">
      <c r="A1004" s="10"/>
      <c r="B1004" s="9"/>
      <c r="C1004" s="9"/>
    </row>
    <row r="1005" spans="1:3">
      <c r="A1005" s="10"/>
      <c r="B1005" s="9"/>
      <c r="C1005" s="9"/>
    </row>
    <row r="1006" spans="1:3">
      <c r="A1006" s="10"/>
      <c r="B1006" s="9"/>
      <c r="C1006" s="9"/>
    </row>
    <row r="1007" spans="1:3">
      <c r="A1007" s="10"/>
      <c r="B1007" s="9"/>
      <c r="C1007" s="9"/>
    </row>
    <row r="1008" spans="1:3">
      <c r="A1008" s="10"/>
      <c r="B1008" s="9"/>
      <c r="C1008" s="9"/>
    </row>
    <row r="1009" spans="1:3">
      <c r="A1009" s="10"/>
      <c r="B1009" s="9"/>
      <c r="C1009" s="9"/>
    </row>
    <row r="1010" spans="1:3">
      <c r="A1010" s="10"/>
      <c r="B1010" s="9"/>
      <c r="C1010" s="9"/>
    </row>
    <row r="1011" spans="1:3">
      <c r="A1011" s="10"/>
      <c r="B1011" s="9"/>
      <c r="C1011" s="9"/>
    </row>
    <row r="1012" spans="1:3">
      <c r="A1012" s="10"/>
      <c r="B1012" s="9"/>
      <c r="C1012" s="9"/>
    </row>
    <row r="1013" spans="1:3">
      <c r="A1013" s="10"/>
      <c r="B1013" s="9"/>
      <c r="C1013" s="9"/>
    </row>
    <row r="1014" spans="1:3">
      <c r="A1014" s="10"/>
      <c r="B1014" s="9"/>
      <c r="C1014" s="9"/>
    </row>
    <row r="1015" spans="1:3">
      <c r="A1015" s="10"/>
      <c r="B1015" s="9"/>
      <c r="C1015" s="9"/>
    </row>
    <row r="1016" spans="1:3">
      <c r="A1016" s="10"/>
      <c r="B1016" s="9"/>
      <c r="C1016" s="9"/>
    </row>
    <row r="1017" spans="1:3">
      <c r="A1017" s="10"/>
      <c r="B1017" s="9"/>
      <c r="C1017" s="9"/>
    </row>
    <row r="1018" spans="1:3">
      <c r="A1018" s="10"/>
      <c r="B1018" s="9"/>
      <c r="C1018" s="9"/>
    </row>
    <row r="1019" spans="1:3">
      <c r="A1019" s="10"/>
      <c r="B1019" s="9"/>
      <c r="C1019" s="9"/>
    </row>
    <row r="1020" spans="1:3">
      <c r="A1020" s="10"/>
      <c r="B1020" s="9"/>
      <c r="C1020" s="9"/>
    </row>
    <row r="1021" spans="1:3">
      <c r="A1021" s="10"/>
      <c r="B1021" s="9"/>
      <c r="C1021" s="9"/>
    </row>
    <row r="1022" spans="1:3">
      <c r="A1022" s="10"/>
      <c r="B1022" s="9"/>
      <c r="C1022" s="9"/>
    </row>
    <row r="1023" spans="1:3">
      <c r="A1023" s="10"/>
      <c r="B1023" s="9"/>
      <c r="C1023" s="9"/>
    </row>
    <row r="1024" spans="1:3">
      <c r="A1024" s="10"/>
      <c r="B1024" s="9"/>
      <c r="C1024" s="9"/>
    </row>
    <row r="1025" spans="1:3">
      <c r="A1025" s="10"/>
      <c r="B1025" s="9"/>
      <c r="C1025" s="9"/>
    </row>
    <row r="1026" spans="1:3">
      <c r="A1026" s="10"/>
      <c r="B1026" s="9"/>
      <c r="C1026" s="9"/>
    </row>
    <row r="1027" spans="1:3">
      <c r="A1027" s="10"/>
      <c r="B1027" s="9"/>
      <c r="C1027" s="9"/>
    </row>
    <row r="1028" spans="1:3">
      <c r="A1028" s="10"/>
      <c r="B1028" s="9"/>
      <c r="C1028" s="9"/>
    </row>
    <row r="1029" spans="1:3">
      <c r="A1029" s="10"/>
      <c r="B1029" s="9"/>
      <c r="C1029" s="9"/>
    </row>
    <row r="1030" spans="1:3">
      <c r="A1030" s="10"/>
      <c r="B1030" s="9"/>
      <c r="C1030" s="9"/>
    </row>
    <row r="1031" spans="1:3">
      <c r="A1031" s="10"/>
      <c r="B1031" s="9"/>
      <c r="C1031" s="9"/>
    </row>
    <row r="1032" spans="1:3">
      <c r="A1032" s="10"/>
      <c r="B1032" s="9"/>
      <c r="C1032" s="9"/>
    </row>
    <row r="1033" spans="1:3">
      <c r="A1033" s="10"/>
      <c r="B1033" s="9"/>
      <c r="C1033" s="9"/>
    </row>
    <row r="1034" spans="1:3">
      <c r="A1034" s="10"/>
      <c r="B1034" s="9"/>
      <c r="C1034" s="9"/>
    </row>
    <row r="1035" spans="1:3">
      <c r="A1035" s="10"/>
      <c r="B1035" s="9"/>
      <c r="C1035" s="9"/>
    </row>
    <row r="1036" spans="1:3">
      <c r="A1036" s="10"/>
      <c r="B1036" s="9"/>
      <c r="C1036" s="9"/>
    </row>
    <row r="1037" spans="1:3">
      <c r="A1037" s="10"/>
      <c r="B1037" s="9"/>
      <c r="C1037" s="9"/>
    </row>
    <row r="1038" spans="1:3">
      <c r="A1038" s="10"/>
      <c r="B1038" s="9"/>
      <c r="C1038" s="9"/>
    </row>
    <row r="1039" spans="1:3">
      <c r="A1039" s="10"/>
      <c r="B1039" s="9"/>
      <c r="C1039" s="9"/>
    </row>
    <row r="1040" spans="1:3">
      <c r="A1040" s="10"/>
      <c r="B1040" s="9"/>
      <c r="C1040" s="9"/>
    </row>
    <row r="1041" spans="1:3">
      <c r="A1041" s="10"/>
      <c r="B1041" s="9"/>
      <c r="C1041" s="9"/>
    </row>
    <row r="1042" spans="1:3">
      <c r="A1042" s="10"/>
      <c r="B1042" s="9"/>
      <c r="C1042" s="9"/>
    </row>
    <row r="1043" spans="1:3">
      <c r="A1043" s="10"/>
      <c r="B1043" s="9"/>
      <c r="C1043" s="9"/>
    </row>
    <row r="1044" spans="1:3">
      <c r="A1044" s="10"/>
      <c r="B1044" s="9"/>
      <c r="C1044" s="9"/>
    </row>
    <row r="1045" spans="1:3">
      <c r="A1045" s="10"/>
      <c r="B1045" s="9"/>
      <c r="C1045" s="9"/>
    </row>
    <row r="1046" spans="1:3">
      <c r="A1046" s="10"/>
      <c r="B1046" s="9"/>
      <c r="C1046" s="9"/>
    </row>
    <row r="1047" spans="1:3">
      <c r="A1047" s="10"/>
      <c r="B1047" s="9"/>
      <c r="C1047" s="9"/>
    </row>
    <row r="1048" spans="1:3">
      <c r="A1048" s="10"/>
      <c r="B1048" s="9"/>
      <c r="C1048" s="9"/>
    </row>
    <row r="1049" spans="1:3">
      <c r="A1049" s="10"/>
      <c r="B1049" s="9"/>
      <c r="C1049" s="9"/>
    </row>
    <row r="1050" spans="1:3">
      <c r="A1050" s="10"/>
      <c r="B1050" s="9"/>
      <c r="C1050" s="9"/>
    </row>
    <row r="1051" spans="1:3">
      <c r="A1051" s="10"/>
      <c r="B1051" s="9"/>
      <c r="C1051" s="9"/>
    </row>
    <row r="1052" spans="1:3">
      <c r="A1052" s="10"/>
      <c r="B1052" s="9"/>
      <c r="C1052" s="9"/>
    </row>
    <row r="1053" spans="1:3">
      <c r="A1053" s="10"/>
      <c r="B1053" s="9"/>
      <c r="C1053" s="9"/>
    </row>
    <row r="1054" spans="1:3">
      <c r="A1054" s="10"/>
      <c r="B1054" s="9"/>
      <c r="C1054" s="9"/>
    </row>
    <row r="1055" spans="1:3">
      <c r="A1055" s="10"/>
      <c r="B1055" s="9"/>
      <c r="C1055" s="9"/>
    </row>
    <row r="1056" spans="1:3">
      <c r="A1056" s="10"/>
      <c r="B1056" s="9"/>
      <c r="C1056" s="9"/>
    </row>
    <row r="1057" spans="1:3">
      <c r="A1057" s="10"/>
      <c r="B1057" s="9"/>
      <c r="C1057" s="9"/>
    </row>
    <row r="1058" spans="1:3">
      <c r="A1058" s="10"/>
      <c r="B1058" s="9"/>
      <c r="C1058" s="9"/>
    </row>
    <row r="1059" spans="1:3">
      <c r="A1059" s="10"/>
      <c r="B1059" s="9"/>
      <c r="C1059" s="9"/>
    </row>
    <row r="1060" spans="1:3">
      <c r="A1060" s="10"/>
      <c r="B1060" s="9"/>
      <c r="C1060" s="9"/>
    </row>
    <row r="1061" spans="1:3">
      <c r="A1061" s="10"/>
      <c r="B1061" s="9"/>
      <c r="C1061" s="9"/>
    </row>
    <row r="1062" spans="1:3">
      <c r="A1062" s="10"/>
      <c r="B1062" s="9"/>
      <c r="C1062" s="9"/>
    </row>
    <row r="1063" spans="1:3">
      <c r="A1063" s="10"/>
      <c r="B1063" s="9"/>
      <c r="C1063" s="9"/>
    </row>
    <row r="1064" spans="1:3">
      <c r="A1064" s="10"/>
      <c r="B1064" s="9"/>
      <c r="C1064" s="9"/>
    </row>
    <row r="1065" spans="1:3">
      <c r="A1065" s="10"/>
      <c r="B1065" s="9"/>
      <c r="C1065" s="9"/>
    </row>
    <row r="1066" spans="1:3">
      <c r="A1066" s="10"/>
      <c r="B1066" s="9"/>
      <c r="C1066" s="9"/>
    </row>
    <row r="1067" spans="1:3">
      <c r="A1067" s="10"/>
      <c r="B1067" s="9"/>
      <c r="C1067" s="9"/>
    </row>
    <row r="1068" spans="1:3">
      <c r="A1068" s="10"/>
      <c r="B1068" s="9"/>
      <c r="C1068" s="9"/>
    </row>
    <row r="1069" spans="1:3">
      <c r="A1069" s="10"/>
      <c r="B1069" s="9"/>
      <c r="C1069" s="9"/>
    </row>
    <row r="1070" spans="1:3">
      <c r="A1070" s="10"/>
      <c r="B1070" s="9"/>
      <c r="C1070" s="9"/>
    </row>
    <row r="1071" spans="1:3">
      <c r="A1071" s="10"/>
      <c r="B1071" s="9"/>
      <c r="C1071" s="9"/>
    </row>
    <row r="1072" spans="1:3">
      <c r="A1072" s="10"/>
      <c r="B1072" s="9"/>
      <c r="C1072" s="9"/>
    </row>
    <row r="1073" spans="1:3">
      <c r="A1073" s="10"/>
      <c r="B1073" s="9"/>
      <c r="C1073" s="9"/>
    </row>
    <row r="1074" spans="1:3">
      <c r="A1074" s="10"/>
      <c r="B1074" s="9"/>
      <c r="C1074" s="9"/>
    </row>
    <row r="1075" spans="1:3">
      <c r="A1075" s="10"/>
      <c r="B1075" s="9"/>
      <c r="C1075" s="9"/>
    </row>
    <row r="1076" spans="1:3">
      <c r="A1076" s="10"/>
      <c r="B1076" s="9"/>
      <c r="C1076" s="9"/>
    </row>
    <row r="1077" spans="1:3">
      <c r="A1077" s="10"/>
      <c r="B1077" s="9"/>
      <c r="C1077" s="9"/>
    </row>
    <row r="1078" spans="1:3">
      <c r="A1078" s="10"/>
      <c r="B1078" s="9"/>
      <c r="C1078" s="9"/>
    </row>
    <row r="1079" spans="1:3">
      <c r="A1079" s="10"/>
      <c r="B1079" s="9"/>
      <c r="C1079" s="9"/>
    </row>
    <row r="1080" spans="1:3">
      <c r="A1080" s="10"/>
      <c r="B1080" s="9"/>
      <c r="C1080" s="9"/>
    </row>
    <row r="1081" spans="1:3">
      <c r="A1081" s="10"/>
      <c r="B1081" s="9"/>
      <c r="C1081" s="9"/>
    </row>
    <row r="1082" spans="1:3">
      <c r="A1082" s="10"/>
      <c r="B1082" s="9"/>
      <c r="C1082" s="9"/>
    </row>
    <row r="1083" spans="1:3">
      <c r="A1083" s="10"/>
      <c r="B1083" s="9"/>
      <c r="C1083" s="9"/>
    </row>
    <row r="1084" spans="1:3">
      <c r="A1084" s="10"/>
      <c r="B1084" s="9"/>
      <c r="C1084" s="9"/>
    </row>
    <row r="1085" spans="1:3">
      <c r="A1085" s="10"/>
      <c r="B1085" s="9"/>
      <c r="C1085" s="9"/>
    </row>
    <row r="1086" spans="1:3">
      <c r="A1086" s="10"/>
      <c r="B1086" s="9"/>
      <c r="C1086" s="9"/>
    </row>
    <row r="1087" spans="1:3">
      <c r="A1087" s="10"/>
      <c r="B1087" s="9"/>
      <c r="C1087" s="9"/>
    </row>
    <row r="1088" spans="1:3">
      <c r="A1088" s="10"/>
      <c r="B1088" s="9"/>
      <c r="C1088" s="9"/>
    </row>
    <row r="1089" spans="1:3">
      <c r="A1089" s="10"/>
      <c r="B1089" s="9"/>
      <c r="C1089" s="9"/>
    </row>
    <row r="1090" spans="1:3">
      <c r="A1090" s="10"/>
      <c r="B1090" s="9"/>
      <c r="C1090" s="9"/>
    </row>
    <row r="1091" spans="1:3">
      <c r="A1091" s="10"/>
      <c r="B1091" s="9"/>
      <c r="C1091" s="9"/>
    </row>
    <row r="1092" spans="1:3">
      <c r="A1092" s="10"/>
      <c r="B1092" s="9"/>
      <c r="C1092" s="9"/>
    </row>
    <row r="1093" spans="1:3">
      <c r="A1093" s="10"/>
      <c r="B1093" s="9"/>
      <c r="C1093" s="9"/>
    </row>
    <row r="1094" spans="1:3">
      <c r="A1094" s="10"/>
      <c r="B1094" s="9"/>
      <c r="C1094" s="9"/>
    </row>
    <row r="1095" spans="1:3">
      <c r="A1095" s="10"/>
      <c r="B1095" s="9"/>
      <c r="C1095" s="9"/>
    </row>
    <row r="1096" spans="1:3">
      <c r="A1096" s="10"/>
      <c r="B1096" s="9"/>
      <c r="C1096" s="9"/>
    </row>
    <row r="1097" spans="1:3">
      <c r="A1097" s="10"/>
      <c r="B1097" s="9"/>
      <c r="C1097" s="9"/>
    </row>
    <row r="1098" spans="1:3">
      <c r="A1098" s="10"/>
      <c r="B1098" s="9"/>
      <c r="C1098" s="9"/>
    </row>
    <row r="1099" spans="1:3">
      <c r="A1099" s="10"/>
      <c r="B1099" s="9"/>
      <c r="C1099" s="9"/>
    </row>
    <row r="1100" spans="1:3">
      <c r="A1100" s="10"/>
      <c r="B1100" s="9"/>
      <c r="C1100" s="9"/>
    </row>
    <row r="1101" spans="1:3">
      <c r="A1101" s="10"/>
      <c r="B1101" s="9"/>
      <c r="C1101" s="9"/>
    </row>
    <row r="1102" spans="1:3">
      <c r="A1102" s="10"/>
      <c r="B1102" s="9"/>
      <c r="C1102" s="9"/>
    </row>
    <row r="1103" spans="1:3">
      <c r="A1103" s="10"/>
      <c r="B1103" s="9"/>
      <c r="C1103" s="9"/>
    </row>
    <row r="1104" spans="1:3">
      <c r="A1104" s="10"/>
      <c r="B1104" s="9"/>
      <c r="C1104" s="9"/>
    </row>
    <row r="1105" spans="1:3">
      <c r="A1105" s="10"/>
      <c r="B1105" s="9"/>
      <c r="C1105" s="9"/>
    </row>
    <row r="1106" spans="1:3">
      <c r="A1106" s="10"/>
      <c r="B1106" s="9"/>
      <c r="C1106" s="9"/>
    </row>
    <row r="1107" spans="1:3">
      <c r="A1107" s="10"/>
      <c r="B1107" s="9"/>
      <c r="C1107" s="9"/>
    </row>
    <row r="1108" spans="1:3">
      <c r="A1108" s="10"/>
      <c r="B1108" s="9"/>
      <c r="C1108" s="9"/>
    </row>
    <row r="1109" spans="1:3">
      <c r="A1109" s="10"/>
      <c r="B1109" s="9"/>
      <c r="C1109" s="9"/>
    </row>
    <row r="1110" spans="1:3">
      <c r="A1110" s="10"/>
      <c r="B1110" s="9"/>
      <c r="C1110" s="9"/>
    </row>
    <row r="1111" spans="1:3">
      <c r="A1111" s="10"/>
      <c r="B1111" s="9"/>
      <c r="C1111" s="9"/>
    </row>
    <row r="1112" spans="1:3">
      <c r="A1112" s="10"/>
      <c r="B1112" s="9"/>
      <c r="C1112" s="9"/>
    </row>
    <row r="1113" spans="1:3">
      <c r="A1113" s="10"/>
      <c r="B1113" s="9"/>
      <c r="C1113" s="9"/>
    </row>
    <row r="1114" spans="1:3">
      <c r="A1114" s="10"/>
      <c r="B1114" s="9"/>
      <c r="C1114" s="9"/>
    </row>
    <row r="1115" spans="1:3">
      <c r="A1115" s="10"/>
      <c r="B1115" s="9"/>
      <c r="C1115" s="9"/>
    </row>
    <row r="1116" spans="1:3">
      <c r="A1116" s="10"/>
      <c r="B1116" s="9"/>
      <c r="C1116" s="9"/>
    </row>
    <row r="1117" spans="1:3">
      <c r="A1117" s="10"/>
      <c r="B1117" s="9"/>
      <c r="C1117" s="9"/>
    </row>
    <row r="1118" spans="1:3">
      <c r="A1118" s="10"/>
      <c r="B1118" s="9"/>
      <c r="C1118" s="9"/>
    </row>
    <row r="1119" spans="1:3">
      <c r="A1119" s="10"/>
      <c r="B1119" s="9"/>
      <c r="C1119" s="9"/>
    </row>
    <row r="1120" spans="1:3">
      <c r="A1120" s="10"/>
      <c r="B1120" s="9"/>
      <c r="C1120" s="9"/>
    </row>
    <row r="1121" spans="1:3">
      <c r="A1121" s="10"/>
      <c r="B1121" s="9"/>
      <c r="C1121" s="9"/>
    </row>
    <row r="1122" spans="1:3">
      <c r="A1122" s="10"/>
      <c r="B1122" s="9"/>
      <c r="C1122" s="9"/>
    </row>
    <row r="1123" spans="1:3">
      <c r="A1123" s="10"/>
      <c r="B1123" s="9"/>
      <c r="C1123" s="9"/>
    </row>
    <row r="1124" spans="1:3">
      <c r="A1124" s="10"/>
      <c r="B1124" s="9"/>
      <c r="C1124" s="9"/>
    </row>
    <row r="1125" spans="1:3">
      <c r="A1125" s="10"/>
      <c r="B1125" s="9"/>
      <c r="C1125" s="9"/>
    </row>
    <row r="1126" spans="1:3">
      <c r="A1126" s="10"/>
      <c r="B1126" s="9"/>
      <c r="C1126" s="9"/>
    </row>
    <row r="1127" spans="1:3">
      <c r="A1127" s="10"/>
      <c r="B1127" s="9"/>
      <c r="C1127" s="9"/>
    </row>
    <row r="1128" spans="1:3">
      <c r="A1128" s="10"/>
      <c r="B1128" s="9"/>
      <c r="C1128" s="9"/>
    </row>
    <row r="1129" spans="1:3">
      <c r="A1129" s="10"/>
      <c r="B1129" s="9"/>
      <c r="C1129" s="9"/>
    </row>
    <row r="1130" spans="1:3">
      <c r="A1130" s="10"/>
      <c r="B1130" s="9"/>
      <c r="C1130" s="9"/>
    </row>
    <row r="1131" spans="1:3">
      <c r="A1131" s="10"/>
      <c r="B1131" s="9"/>
      <c r="C1131" s="9"/>
    </row>
    <row r="1132" spans="1:3">
      <c r="A1132" s="10"/>
      <c r="B1132" s="9"/>
      <c r="C1132" s="9"/>
    </row>
    <row r="1133" spans="1:3">
      <c r="A1133" s="10"/>
      <c r="B1133" s="9"/>
      <c r="C1133" s="9"/>
    </row>
    <row r="1134" spans="1:3">
      <c r="A1134" s="10"/>
      <c r="B1134" s="9"/>
      <c r="C1134" s="9"/>
    </row>
    <row r="1135" spans="1:3">
      <c r="A1135" s="10"/>
      <c r="B1135" s="9"/>
      <c r="C1135" s="9"/>
    </row>
    <row r="1136" spans="1:3">
      <c r="A1136" s="10"/>
      <c r="B1136" s="9"/>
      <c r="C1136" s="9"/>
    </row>
    <row r="1137" spans="1:3">
      <c r="A1137" s="10"/>
      <c r="B1137" s="9"/>
      <c r="C1137" s="9"/>
    </row>
    <row r="1138" spans="1:3">
      <c r="A1138" s="10"/>
      <c r="B1138" s="9"/>
      <c r="C1138" s="9"/>
    </row>
    <row r="1139" spans="1:3">
      <c r="A1139" s="10"/>
      <c r="B1139" s="9"/>
      <c r="C1139" s="9"/>
    </row>
    <row r="1140" spans="1:3">
      <c r="A1140" s="10"/>
      <c r="B1140" s="9"/>
      <c r="C1140" s="9"/>
    </row>
    <row r="1141" spans="1:3">
      <c r="A1141" s="10"/>
      <c r="B1141" s="9"/>
      <c r="C1141" s="9"/>
    </row>
    <row r="1142" spans="1:3">
      <c r="A1142" s="10"/>
      <c r="B1142" s="9"/>
      <c r="C1142" s="9"/>
    </row>
    <row r="1143" spans="1:3">
      <c r="A1143" s="10"/>
      <c r="B1143" s="9"/>
      <c r="C1143" s="9"/>
    </row>
    <row r="1144" spans="1:3">
      <c r="A1144" s="10"/>
      <c r="B1144" s="9"/>
      <c r="C1144" s="9"/>
    </row>
    <row r="1145" spans="1:3">
      <c r="A1145" s="10"/>
      <c r="B1145" s="9"/>
      <c r="C1145" s="9"/>
    </row>
    <row r="1146" spans="1:3">
      <c r="A1146" s="10"/>
      <c r="B1146" s="9"/>
      <c r="C1146" s="9"/>
    </row>
    <row r="1147" spans="1:3">
      <c r="A1147" s="10"/>
      <c r="B1147" s="9"/>
      <c r="C1147" s="9"/>
    </row>
    <row r="1148" spans="1:3">
      <c r="A1148" s="10"/>
      <c r="B1148" s="9"/>
      <c r="C1148" s="9"/>
    </row>
    <row r="1149" spans="1:3">
      <c r="A1149" s="10"/>
      <c r="B1149" s="9"/>
      <c r="C1149" s="9"/>
    </row>
    <row r="1150" spans="1:3">
      <c r="A1150" s="10"/>
      <c r="B1150" s="9"/>
      <c r="C1150" s="9"/>
    </row>
    <row r="1151" spans="1:3">
      <c r="A1151" s="10"/>
      <c r="B1151" s="9"/>
      <c r="C1151" s="9"/>
    </row>
    <row r="1152" spans="1:3">
      <c r="A1152" s="10"/>
      <c r="B1152" s="9"/>
      <c r="C1152" s="9"/>
    </row>
    <row r="1153" spans="1:3">
      <c r="A1153" s="10"/>
      <c r="B1153" s="9"/>
      <c r="C1153" s="9"/>
    </row>
    <row r="1154" spans="1:3">
      <c r="A1154" s="10"/>
      <c r="B1154" s="9"/>
      <c r="C1154" s="9"/>
    </row>
    <row r="1155" spans="1:3">
      <c r="A1155" s="10"/>
      <c r="B1155" s="9"/>
      <c r="C1155" s="9"/>
    </row>
    <row r="1156" spans="1:3">
      <c r="A1156" s="10"/>
      <c r="B1156" s="9"/>
      <c r="C1156" s="9"/>
    </row>
    <row r="1157" spans="1:3">
      <c r="A1157" s="10"/>
      <c r="B1157" s="9"/>
      <c r="C1157" s="9"/>
    </row>
    <row r="1158" spans="1:3">
      <c r="A1158" s="10"/>
      <c r="B1158" s="9"/>
      <c r="C1158" s="9"/>
    </row>
    <row r="1159" spans="1:3">
      <c r="A1159" s="10"/>
      <c r="B1159" s="9"/>
      <c r="C1159" s="9"/>
    </row>
    <row r="1160" spans="1:3">
      <c r="A1160" s="10"/>
      <c r="B1160" s="9"/>
      <c r="C1160" s="9"/>
    </row>
    <row r="1161" spans="1:3">
      <c r="A1161" s="10"/>
      <c r="B1161" s="9"/>
      <c r="C1161" s="9"/>
    </row>
    <row r="1162" spans="1:3">
      <c r="A1162" s="10"/>
      <c r="B1162" s="9"/>
      <c r="C1162" s="9"/>
    </row>
    <row r="1163" spans="1:3">
      <c r="A1163" s="10"/>
      <c r="B1163" s="9"/>
      <c r="C1163" s="9"/>
    </row>
    <row r="1164" spans="1:3">
      <c r="A1164" s="10"/>
      <c r="B1164" s="9"/>
      <c r="C1164" s="9"/>
    </row>
    <row r="1165" spans="1:3">
      <c r="A1165" s="10"/>
      <c r="B1165" s="9"/>
      <c r="C1165" s="9"/>
    </row>
    <row r="1166" spans="1:3">
      <c r="A1166" s="10"/>
      <c r="B1166" s="9"/>
      <c r="C1166" s="9"/>
    </row>
    <row r="1167" spans="1:3">
      <c r="A1167" s="10"/>
      <c r="B1167" s="9"/>
      <c r="C1167" s="9"/>
    </row>
    <row r="1168" spans="1:3">
      <c r="A1168" s="10"/>
      <c r="B1168" s="9"/>
      <c r="C1168" s="9"/>
    </row>
    <row r="1169" spans="1:3">
      <c r="A1169" s="10"/>
      <c r="B1169" s="9"/>
      <c r="C1169" s="9"/>
    </row>
    <row r="1170" spans="1:3">
      <c r="A1170" s="10"/>
      <c r="B1170" s="9"/>
      <c r="C1170" s="9"/>
    </row>
    <row r="1171" spans="1:3">
      <c r="A1171" s="10"/>
      <c r="B1171" s="9"/>
      <c r="C1171" s="9"/>
    </row>
    <row r="1172" spans="1:3">
      <c r="A1172" s="10"/>
      <c r="B1172" s="9"/>
      <c r="C1172" s="9"/>
    </row>
    <row r="1173" spans="1:3">
      <c r="A1173" s="10"/>
      <c r="B1173" s="9"/>
      <c r="C1173" s="9"/>
    </row>
    <row r="1174" spans="1:3">
      <c r="A1174" s="10"/>
      <c r="B1174" s="9"/>
      <c r="C1174" s="9"/>
    </row>
    <row r="1175" spans="1:3">
      <c r="A1175" s="10"/>
      <c r="B1175" s="9"/>
      <c r="C1175" s="9"/>
    </row>
    <row r="1176" spans="1:3">
      <c r="A1176" s="10"/>
      <c r="B1176" s="9"/>
      <c r="C1176" s="9"/>
    </row>
    <row r="1177" spans="1:3">
      <c r="A1177" s="10"/>
      <c r="B1177" s="9"/>
      <c r="C1177" s="9"/>
    </row>
    <row r="1178" spans="1:3">
      <c r="A1178" s="10"/>
      <c r="B1178" s="9"/>
      <c r="C1178" s="9"/>
    </row>
    <row r="1179" spans="1:3">
      <c r="A1179" s="10"/>
      <c r="B1179" s="9"/>
      <c r="C1179" s="9"/>
    </row>
    <row r="1180" spans="1:3">
      <c r="A1180" s="10"/>
      <c r="B1180" s="9"/>
      <c r="C1180" s="9"/>
    </row>
    <row r="1181" spans="1:3">
      <c r="A1181" s="10"/>
      <c r="B1181" s="9"/>
      <c r="C1181" s="9"/>
    </row>
    <row r="1182" spans="1:3">
      <c r="A1182" s="10"/>
      <c r="B1182" s="9"/>
      <c r="C1182" s="9"/>
    </row>
    <row r="1183" spans="1:3">
      <c r="A1183" s="10"/>
      <c r="B1183" s="9"/>
      <c r="C1183" s="9"/>
    </row>
    <row r="1184" spans="1:3">
      <c r="A1184" s="10"/>
      <c r="B1184" s="9"/>
      <c r="C1184" s="9"/>
    </row>
    <row r="1185" spans="1:3">
      <c r="A1185" s="10"/>
      <c r="B1185" s="9"/>
      <c r="C1185" s="9"/>
    </row>
    <row r="1186" spans="1:3">
      <c r="A1186" s="10"/>
      <c r="B1186" s="9"/>
      <c r="C1186" s="9"/>
    </row>
    <row r="1187" spans="1:3">
      <c r="A1187" s="10"/>
      <c r="B1187" s="9"/>
      <c r="C1187" s="9"/>
    </row>
    <row r="1188" spans="1:3">
      <c r="A1188" s="10"/>
      <c r="B1188" s="9"/>
      <c r="C1188" s="9"/>
    </row>
    <row r="1189" spans="1:3">
      <c r="A1189" s="10"/>
      <c r="B1189" s="9"/>
      <c r="C1189" s="9"/>
    </row>
    <row r="1190" spans="1:3">
      <c r="A1190" s="10"/>
      <c r="B1190" s="9"/>
      <c r="C1190" s="9"/>
    </row>
    <row r="1191" spans="1:3">
      <c r="A1191" s="10"/>
      <c r="B1191" s="9"/>
      <c r="C1191" s="9"/>
    </row>
    <row r="1192" spans="1:3">
      <c r="A1192" s="10"/>
      <c r="B1192" s="9"/>
      <c r="C1192" s="9"/>
    </row>
    <row r="1193" spans="1:3">
      <c r="A1193" s="10"/>
      <c r="B1193" s="9"/>
      <c r="C1193" s="9"/>
    </row>
    <row r="1194" spans="1:3">
      <c r="A1194" s="10"/>
      <c r="B1194" s="9"/>
      <c r="C1194" s="9"/>
    </row>
    <row r="1195" spans="1:3">
      <c r="A1195" s="10"/>
      <c r="B1195" s="9"/>
      <c r="C1195" s="9"/>
    </row>
    <row r="1196" spans="1:3">
      <c r="A1196" s="10"/>
      <c r="B1196" s="9"/>
      <c r="C1196" s="9"/>
    </row>
    <row r="1197" spans="1:3">
      <c r="A1197" s="10"/>
      <c r="B1197" s="9"/>
      <c r="C1197" s="9"/>
    </row>
    <row r="1198" spans="1:3">
      <c r="A1198" s="10"/>
      <c r="B1198" s="9"/>
      <c r="C1198" s="9"/>
    </row>
    <row r="1199" spans="1:3">
      <c r="A1199" s="10"/>
      <c r="B1199" s="9"/>
      <c r="C1199" s="9"/>
    </row>
    <row r="1200" spans="1:3">
      <c r="A1200" s="10"/>
      <c r="B1200" s="9"/>
      <c r="C1200" s="9"/>
    </row>
    <row r="1201" spans="1:3">
      <c r="A1201" s="10"/>
      <c r="B1201" s="9"/>
      <c r="C1201" s="9"/>
    </row>
    <row r="1202" spans="1:3">
      <c r="A1202" s="10"/>
      <c r="B1202" s="9"/>
      <c r="C1202" s="9"/>
    </row>
    <row r="1203" spans="1:3">
      <c r="A1203" s="10"/>
      <c r="B1203" s="9"/>
      <c r="C1203" s="9"/>
    </row>
    <row r="1204" spans="1:3">
      <c r="A1204" s="10"/>
      <c r="B1204" s="9"/>
      <c r="C1204" s="9"/>
    </row>
    <row r="1205" spans="1:3">
      <c r="A1205" s="10"/>
      <c r="B1205" s="9"/>
      <c r="C1205" s="9"/>
    </row>
    <row r="1206" spans="1:3">
      <c r="A1206" s="10"/>
      <c r="B1206" s="9"/>
      <c r="C1206" s="9"/>
    </row>
    <row r="1207" spans="1:3">
      <c r="A1207" s="10"/>
      <c r="B1207" s="9"/>
      <c r="C1207" s="9"/>
    </row>
    <row r="1208" spans="1:3">
      <c r="A1208" s="10"/>
      <c r="B1208" s="9"/>
      <c r="C1208" s="9"/>
    </row>
    <row r="1209" spans="1:3">
      <c r="A1209" s="10"/>
      <c r="B1209" s="9"/>
      <c r="C1209" s="9"/>
    </row>
    <row r="1210" spans="1:3">
      <c r="A1210" s="10"/>
      <c r="B1210" s="9"/>
      <c r="C1210" s="9"/>
    </row>
    <row r="1211" spans="1:3">
      <c r="A1211" s="10"/>
      <c r="B1211" s="9"/>
      <c r="C1211" s="9"/>
    </row>
    <row r="1212" spans="1:3">
      <c r="A1212" s="10"/>
      <c r="B1212" s="9"/>
      <c r="C1212" s="9"/>
    </row>
    <row r="1213" spans="1:3">
      <c r="A1213" s="10"/>
      <c r="B1213" s="9"/>
      <c r="C1213" s="9"/>
    </row>
    <row r="1214" spans="1:3">
      <c r="A1214" s="10"/>
      <c r="B1214" s="9"/>
      <c r="C1214" s="9"/>
    </row>
    <row r="1215" spans="1:3">
      <c r="A1215" s="10"/>
      <c r="B1215" s="9"/>
      <c r="C1215" s="9"/>
    </row>
    <row r="1216" spans="1:3">
      <c r="A1216" s="10"/>
      <c r="B1216" s="9"/>
      <c r="C1216" s="9"/>
    </row>
    <row r="1217" spans="1:3">
      <c r="A1217" s="10"/>
      <c r="B1217" s="9"/>
      <c r="C1217" s="9"/>
    </row>
    <row r="1218" spans="1:3">
      <c r="A1218" s="10"/>
      <c r="B1218" s="9"/>
      <c r="C1218" s="9"/>
    </row>
    <row r="1219" spans="1:3">
      <c r="A1219" s="10"/>
      <c r="B1219" s="9"/>
      <c r="C1219" s="9"/>
    </row>
    <row r="1220" spans="1:3">
      <c r="A1220" s="10"/>
      <c r="B1220" s="9"/>
      <c r="C1220" s="9"/>
    </row>
    <row r="1221" spans="1:3">
      <c r="A1221" s="10"/>
      <c r="B1221" s="9"/>
      <c r="C1221" s="9"/>
    </row>
    <row r="1222" spans="1:3">
      <c r="A1222" s="10"/>
      <c r="B1222" s="9"/>
      <c r="C1222" s="9"/>
    </row>
    <row r="1223" spans="1:3">
      <c r="A1223" s="10"/>
      <c r="B1223" s="9"/>
      <c r="C1223" s="9"/>
    </row>
    <row r="1224" spans="1:3">
      <c r="A1224" s="10"/>
      <c r="B1224" s="9"/>
      <c r="C1224" s="9"/>
    </row>
    <row r="1225" spans="1:3">
      <c r="A1225" s="10"/>
      <c r="B1225" s="9"/>
      <c r="C1225" s="9"/>
    </row>
    <row r="1226" spans="1:3">
      <c r="A1226" s="10"/>
      <c r="B1226" s="9"/>
      <c r="C1226" s="9"/>
    </row>
    <row r="1227" spans="1:3">
      <c r="A1227" s="10"/>
      <c r="B1227" s="9"/>
      <c r="C1227" s="9"/>
    </row>
    <row r="1228" spans="1:3">
      <c r="A1228" s="10"/>
      <c r="B1228" s="9"/>
      <c r="C1228" s="9"/>
    </row>
    <row r="1229" spans="1:3">
      <c r="A1229" s="10"/>
      <c r="B1229" s="9"/>
      <c r="C1229" s="9"/>
    </row>
    <row r="1230" spans="1:3">
      <c r="A1230" s="10"/>
      <c r="B1230" s="9"/>
      <c r="C1230" s="9"/>
    </row>
    <row r="1231" spans="1:3">
      <c r="A1231" s="10"/>
      <c r="B1231" s="9"/>
      <c r="C1231" s="9"/>
    </row>
    <row r="1232" spans="1:3">
      <c r="A1232" s="10"/>
      <c r="B1232" s="9"/>
      <c r="C1232" s="9"/>
    </row>
    <row r="1233" spans="1:3">
      <c r="A1233" s="10"/>
      <c r="B1233" s="9"/>
      <c r="C1233" s="9"/>
    </row>
    <row r="1234" spans="1:3">
      <c r="A1234" s="10"/>
      <c r="B1234" s="9"/>
      <c r="C1234" s="9"/>
    </row>
    <row r="1235" spans="1:3">
      <c r="A1235" s="10"/>
      <c r="B1235" s="9"/>
      <c r="C1235" s="9"/>
    </row>
    <row r="1236" spans="1:3">
      <c r="A1236" s="10"/>
      <c r="B1236" s="9"/>
      <c r="C1236" s="9"/>
    </row>
    <row r="1237" spans="1:3">
      <c r="A1237" s="10"/>
      <c r="B1237" s="9"/>
      <c r="C1237" s="9"/>
    </row>
    <row r="1238" spans="1:3">
      <c r="A1238" s="10"/>
      <c r="B1238" s="9"/>
      <c r="C1238" s="9"/>
    </row>
    <row r="1239" spans="1:3">
      <c r="A1239" s="10"/>
      <c r="B1239" s="9"/>
      <c r="C1239" s="9"/>
    </row>
    <row r="1240" spans="1:3">
      <c r="A1240" s="10"/>
      <c r="B1240" s="9"/>
      <c r="C1240" s="9"/>
    </row>
    <row r="1241" spans="1:3">
      <c r="A1241" s="10"/>
      <c r="B1241" s="9"/>
      <c r="C1241" s="9"/>
    </row>
    <row r="1242" spans="1:3">
      <c r="A1242" s="10"/>
      <c r="B1242" s="9"/>
      <c r="C1242" s="9"/>
    </row>
    <row r="1243" spans="1:3">
      <c r="A1243" s="10"/>
      <c r="B1243" s="9"/>
      <c r="C1243" s="9"/>
    </row>
    <row r="1244" spans="1:3">
      <c r="A1244" s="10"/>
      <c r="B1244" s="9"/>
      <c r="C1244" s="9"/>
    </row>
    <row r="1245" spans="1:3">
      <c r="A1245" s="10"/>
      <c r="B1245" s="9"/>
      <c r="C1245" s="9"/>
    </row>
    <row r="1246" spans="1:3">
      <c r="A1246" s="10"/>
      <c r="B1246" s="9"/>
      <c r="C1246" s="9"/>
    </row>
    <row r="1247" spans="1:3">
      <c r="A1247" s="10"/>
      <c r="B1247" s="9"/>
      <c r="C1247" s="9"/>
    </row>
    <row r="1248" spans="1:3">
      <c r="A1248" s="10"/>
      <c r="B1248" s="9"/>
      <c r="C1248" s="9"/>
    </row>
    <row r="1249" spans="1:3">
      <c r="A1249" s="10"/>
      <c r="B1249" s="9"/>
      <c r="C1249" s="9"/>
    </row>
    <row r="1250" spans="1:3">
      <c r="A1250" s="10"/>
      <c r="B1250" s="9"/>
      <c r="C1250" s="9"/>
    </row>
    <row r="1251" spans="1:3">
      <c r="A1251" s="10"/>
      <c r="B1251" s="9"/>
      <c r="C1251" s="9"/>
    </row>
    <row r="1252" spans="1:3">
      <c r="A1252" s="10"/>
      <c r="B1252" s="9"/>
      <c r="C1252" s="9"/>
    </row>
    <row r="1253" spans="1:3">
      <c r="A1253" s="10"/>
      <c r="B1253" s="9"/>
      <c r="C1253" s="9"/>
    </row>
    <row r="1254" spans="1:3">
      <c r="A1254" s="10"/>
      <c r="B1254" s="9"/>
      <c r="C1254" s="9"/>
    </row>
    <row r="1255" spans="1:3">
      <c r="A1255" s="10"/>
      <c r="B1255" s="9"/>
      <c r="C1255" s="9"/>
    </row>
    <row r="1256" spans="1:3">
      <c r="A1256" s="10"/>
      <c r="B1256" s="9"/>
      <c r="C1256" s="9"/>
    </row>
    <row r="1257" spans="1:3">
      <c r="A1257" s="10"/>
      <c r="B1257" s="9"/>
      <c r="C1257" s="9"/>
    </row>
    <row r="1258" spans="1:3">
      <c r="A1258" s="10"/>
      <c r="B1258" s="9"/>
      <c r="C1258" s="9"/>
    </row>
    <row r="1259" spans="1:3">
      <c r="A1259" s="10"/>
      <c r="B1259" s="9"/>
      <c r="C1259" s="9"/>
    </row>
    <row r="1260" spans="1:3">
      <c r="A1260" s="10"/>
      <c r="B1260" s="9"/>
      <c r="C1260" s="9"/>
    </row>
    <row r="1261" spans="1:3">
      <c r="A1261" s="10"/>
      <c r="B1261" s="9"/>
      <c r="C1261" s="9"/>
    </row>
    <row r="1262" spans="1:3">
      <c r="A1262" s="10"/>
      <c r="B1262" s="9"/>
      <c r="C1262" s="9"/>
    </row>
    <row r="1263" spans="1:3">
      <c r="A1263" s="10"/>
      <c r="B1263" s="9"/>
      <c r="C1263" s="9"/>
    </row>
    <row r="1264" spans="1:3">
      <c r="A1264" s="10"/>
      <c r="B1264" s="9"/>
      <c r="C1264" s="9"/>
    </row>
    <row r="1265" spans="1:3">
      <c r="A1265" s="10"/>
      <c r="B1265" s="9"/>
      <c r="C1265" s="9"/>
    </row>
    <row r="1266" spans="1:3">
      <c r="A1266" s="10"/>
      <c r="B1266" s="9"/>
      <c r="C1266" s="9"/>
    </row>
    <row r="1267" spans="1:3">
      <c r="A1267" s="10"/>
      <c r="B1267" s="9"/>
      <c r="C1267" s="9"/>
    </row>
    <row r="1268" spans="1:3">
      <c r="A1268" s="10"/>
      <c r="B1268" s="9"/>
      <c r="C1268" s="9"/>
    </row>
    <row r="1269" spans="1:3">
      <c r="A1269" s="10"/>
      <c r="B1269" s="9"/>
      <c r="C1269" s="9"/>
    </row>
    <row r="1270" spans="1:3">
      <c r="A1270" s="10"/>
      <c r="B1270" s="9"/>
      <c r="C1270" s="9"/>
    </row>
    <row r="1271" spans="1:3">
      <c r="A1271" s="10"/>
      <c r="B1271" s="9"/>
      <c r="C1271" s="9"/>
    </row>
    <row r="1272" spans="1:3">
      <c r="A1272" s="10"/>
      <c r="B1272" s="9"/>
      <c r="C1272" s="9"/>
    </row>
    <row r="1273" spans="1:3">
      <c r="A1273" s="10"/>
      <c r="B1273" s="9"/>
      <c r="C1273" s="9"/>
    </row>
    <row r="1274" spans="1:3">
      <c r="A1274" s="10"/>
      <c r="B1274" s="9"/>
      <c r="C1274" s="9"/>
    </row>
    <row r="1275" spans="1:3">
      <c r="A1275" s="10"/>
      <c r="B1275" s="9"/>
      <c r="C1275" s="9"/>
    </row>
    <row r="1276" spans="1:3">
      <c r="A1276" s="10"/>
      <c r="B1276" s="9"/>
      <c r="C1276" s="9"/>
    </row>
    <row r="1277" spans="1:3">
      <c r="A1277" s="10"/>
      <c r="B1277" s="9"/>
      <c r="C1277" s="9"/>
    </row>
    <row r="1278" spans="1:3">
      <c r="A1278" s="10"/>
      <c r="B1278" s="9"/>
      <c r="C1278" s="9"/>
    </row>
    <row r="1279" spans="1:3">
      <c r="A1279" s="10"/>
      <c r="B1279" s="9"/>
      <c r="C1279" s="9"/>
    </row>
    <row r="1280" spans="1:3">
      <c r="A1280" s="10"/>
      <c r="B1280" s="9"/>
      <c r="C1280" s="9"/>
    </row>
    <row r="1281" spans="1:3">
      <c r="A1281" s="10"/>
      <c r="B1281" s="9"/>
      <c r="C1281" s="9"/>
    </row>
    <row r="1282" spans="1:3">
      <c r="A1282" s="10"/>
      <c r="B1282" s="9"/>
      <c r="C1282" s="9"/>
    </row>
    <row r="1283" spans="1:3">
      <c r="A1283" s="10"/>
      <c r="B1283" s="9"/>
      <c r="C1283" s="9"/>
    </row>
    <row r="1284" spans="1:3">
      <c r="A1284" s="10"/>
      <c r="B1284" s="9"/>
      <c r="C1284" s="9"/>
    </row>
    <row r="1285" spans="1:3">
      <c r="A1285" s="10"/>
      <c r="B1285" s="9"/>
      <c r="C1285" s="9"/>
    </row>
    <row r="1286" spans="1:3">
      <c r="A1286" s="10"/>
      <c r="B1286" s="9"/>
      <c r="C1286" s="9"/>
    </row>
    <row r="1287" spans="1:3">
      <c r="A1287" s="10"/>
      <c r="B1287" s="9"/>
      <c r="C1287" s="9"/>
    </row>
    <row r="1288" spans="1:3">
      <c r="A1288" s="10"/>
      <c r="B1288" s="9"/>
      <c r="C1288" s="9"/>
    </row>
    <row r="1289" spans="1:3">
      <c r="A1289" s="10"/>
      <c r="B1289" s="9"/>
      <c r="C1289" s="9"/>
    </row>
    <row r="1290" spans="1:3">
      <c r="A1290" s="10"/>
      <c r="B1290" s="9"/>
      <c r="C1290" s="9"/>
    </row>
    <row r="1291" spans="1:3">
      <c r="A1291" s="10"/>
      <c r="B1291" s="9"/>
      <c r="C1291" s="9"/>
    </row>
    <row r="1292" spans="1:3">
      <c r="A1292" s="10"/>
      <c r="B1292" s="9"/>
      <c r="C1292" s="9"/>
    </row>
    <row r="1293" spans="1:3">
      <c r="A1293" s="10"/>
      <c r="B1293" s="9"/>
      <c r="C1293" s="9"/>
    </row>
    <row r="1294" spans="1:3">
      <c r="A1294" s="10"/>
      <c r="B1294" s="9"/>
      <c r="C1294" s="9"/>
    </row>
    <row r="1295" spans="1:3">
      <c r="A1295" s="10"/>
      <c r="B1295" s="9"/>
      <c r="C1295" s="9"/>
    </row>
    <row r="1296" spans="1:3">
      <c r="A1296" s="10"/>
      <c r="B1296" s="9"/>
      <c r="C1296" s="9"/>
    </row>
    <row r="1297" spans="1:3">
      <c r="A1297" s="10"/>
      <c r="B1297" s="9"/>
      <c r="C1297" s="9"/>
    </row>
    <row r="1298" spans="1:3">
      <c r="A1298" s="10"/>
      <c r="B1298" s="9"/>
      <c r="C1298" s="9"/>
    </row>
    <row r="1299" spans="1:3">
      <c r="A1299" s="10"/>
      <c r="B1299" s="9"/>
      <c r="C1299" s="9"/>
    </row>
    <row r="1300" spans="1:3">
      <c r="A1300" s="10"/>
      <c r="B1300" s="9"/>
      <c r="C1300" s="9"/>
    </row>
    <row r="1301" spans="1:3">
      <c r="A1301" s="10"/>
      <c r="B1301" s="9"/>
      <c r="C1301" s="9"/>
    </row>
    <row r="1302" spans="1:3">
      <c r="A1302" s="10"/>
      <c r="B1302" s="9"/>
      <c r="C1302" s="9"/>
    </row>
    <row r="1303" spans="1:3">
      <c r="A1303" s="10"/>
      <c r="B1303" s="9"/>
      <c r="C1303" s="9"/>
    </row>
    <row r="1304" spans="1:3">
      <c r="A1304" s="10"/>
      <c r="B1304" s="9"/>
      <c r="C1304" s="9"/>
    </row>
    <row r="1305" spans="1:3">
      <c r="A1305" s="10"/>
      <c r="B1305" s="9"/>
      <c r="C1305" s="9"/>
    </row>
    <row r="1306" spans="1:3">
      <c r="A1306" s="10"/>
      <c r="B1306" s="9"/>
      <c r="C1306" s="9"/>
    </row>
    <row r="1307" spans="1:3">
      <c r="A1307" s="10"/>
      <c r="B1307" s="9"/>
      <c r="C1307" s="9"/>
    </row>
    <row r="1308" spans="1:3">
      <c r="A1308" s="10"/>
      <c r="B1308" s="9"/>
      <c r="C1308" s="9"/>
    </row>
    <row r="1309" spans="1:3">
      <c r="A1309" s="10"/>
      <c r="B1309" s="9"/>
      <c r="C1309" s="9"/>
    </row>
    <row r="1310" spans="1:3">
      <c r="A1310" s="10"/>
      <c r="B1310" s="9"/>
      <c r="C1310" s="9"/>
    </row>
    <row r="1311" spans="1:3">
      <c r="A1311" s="10"/>
      <c r="B1311" s="9"/>
      <c r="C1311" s="9"/>
    </row>
    <row r="1312" spans="1:3">
      <c r="A1312" s="10"/>
      <c r="B1312" s="9"/>
      <c r="C1312" s="9"/>
    </row>
    <row r="1313" spans="1:3">
      <c r="A1313" s="10"/>
      <c r="B1313" s="9"/>
      <c r="C1313" s="9"/>
    </row>
    <row r="1314" spans="1:3">
      <c r="A1314" s="10"/>
      <c r="B1314" s="9"/>
      <c r="C1314" s="9"/>
    </row>
    <row r="1315" spans="1:3">
      <c r="A1315" s="10"/>
      <c r="B1315" s="9"/>
      <c r="C1315" s="9"/>
    </row>
    <row r="1316" spans="1:3">
      <c r="A1316" s="10"/>
      <c r="B1316" s="9"/>
      <c r="C1316" s="9"/>
    </row>
    <row r="1317" spans="1:3">
      <c r="A1317" s="10"/>
      <c r="B1317" s="9"/>
      <c r="C1317" s="9"/>
    </row>
    <row r="1318" spans="1:3">
      <c r="A1318" s="10"/>
      <c r="B1318" s="9"/>
      <c r="C1318" s="9"/>
    </row>
    <row r="1319" spans="1:3">
      <c r="A1319" s="10"/>
      <c r="B1319" s="9"/>
      <c r="C1319" s="9"/>
    </row>
    <row r="1320" spans="1:3">
      <c r="A1320" s="10"/>
      <c r="B1320" s="9"/>
      <c r="C1320" s="9"/>
    </row>
    <row r="1321" spans="1:3">
      <c r="A1321" s="10"/>
      <c r="B1321" s="9"/>
      <c r="C1321" s="9"/>
    </row>
    <row r="1322" spans="1:3">
      <c r="A1322" s="10"/>
      <c r="B1322" s="9"/>
      <c r="C1322" s="9"/>
    </row>
    <row r="1323" spans="1:3">
      <c r="A1323" s="10"/>
      <c r="B1323" s="9"/>
      <c r="C1323" s="9"/>
    </row>
    <row r="1324" spans="1:3">
      <c r="A1324" s="10"/>
      <c r="B1324" s="9"/>
      <c r="C1324" s="9"/>
    </row>
    <row r="1325" spans="1:3">
      <c r="A1325" s="10"/>
      <c r="B1325" s="9"/>
      <c r="C1325" s="9"/>
    </row>
    <row r="1326" spans="1:3">
      <c r="A1326" s="10"/>
      <c r="B1326" s="9"/>
      <c r="C1326" s="9"/>
    </row>
    <row r="1327" spans="1:3">
      <c r="A1327" s="10"/>
      <c r="B1327" s="9"/>
      <c r="C1327" s="9"/>
    </row>
    <row r="1328" spans="1:3">
      <c r="A1328" s="10"/>
      <c r="B1328" s="9"/>
      <c r="C1328" s="9"/>
    </row>
    <row r="1329" spans="1:3">
      <c r="A1329" s="10"/>
      <c r="B1329" s="9"/>
      <c r="C1329" s="9"/>
    </row>
    <row r="1330" spans="1:3">
      <c r="A1330" s="10"/>
      <c r="B1330" s="9"/>
      <c r="C1330" s="9"/>
    </row>
    <row r="1331" spans="1:3">
      <c r="A1331" s="10"/>
      <c r="B1331" s="9"/>
      <c r="C1331" s="9"/>
    </row>
    <row r="1332" spans="1:3">
      <c r="A1332" s="10"/>
      <c r="B1332" s="9"/>
      <c r="C1332" s="9"/>
    </row>
    <row r="1333" spans="1:3">
      <c r="A1333" s="10"/>
      <c r="B1333" s="9"/>
      <c r="C1333" s="9"/>
    </row>
    <row r="1334" spans="1:3">
      <c r="A1334" s="10"/>
      <c r="B1334" s="9"/>
      <c r="C1334" s="9"/>
    </row>
    <row r="1335" spans="1:3">
      <c r="A1335" s="10"/>
      <c r="B1335" s="9"/>
      <c r="C1335" s="9"/>
    </row>
    <row r="1336" spans="1:3">
      <c r="A1336" s="10"/>
      <c r="B1336" s="9"/>
      <c r="C1336" s="9"/>
    </row>
    <row r="1337" spans="1:3">
      <c r="A1337" s="10"/>
      <c r="B1337" s="9"/>
      <c r="C1337" s="9"/>
    </row>
    <row r="1338" spans="1:3">
      <c r="A1338" s="10"/>
      <c r="B1338" s="9"/>
      <c r="C1338" s="9"/>
    </row>
    <row r="1339" spans="1:3">
      <c r="A1339" s="10"/>
      <c r="B1339" s="9"/>
      <c r="C1339" s="9"/>
    </row>
    <row r="1340" spans="1:3">
      <c r="A1340" s="10"/>
      <c r="B1340" s="9"/>
      <c r="C1340" s="9"/>
    </row>
    <row r="1341" spans="1:3">
      <c r="A1341" s="10"/>
      <c r="B1341" s="9"/>
      <c r="C1341" s="9"/>
    </row>
    <row r="1342" spans="1:3">
      <c r="A1342" s="10"/>
      <c r="B1342" s="9"/>
      <c r="C1342" s="9"/>
    </row>
    <row r="1343" spans="1:3">
      <c r="A1343" s="10"/>
      <c r="B1343" s="9"/>
      <c r="C1343" s="9"/>
    </row>
    <row r="1344" spans="1:3">
      <c r="A1344" s="10"/>
      <c r="B1344" s="9"/>
      <c r="C1344" s="9"/>
    </row>
    <row r="1345" spans="1:3">
      <c r="A1345" s="10"/>
      <c r="B1345" s="9"/>
      <c r="C1345" s="9"/>
    </row>
    <row r="1346" spans="1:3">
      <c r="A1346" s="10"/>
      <c r="B1346" s="9"/>
      <c r="C1346" s="9"/>
    </row>
    <row r="1347" spans="1:3">
      <c r="A1347" s="10"/>
      <c r="B1347" s="9"/>
      <c r="C1347" s="9"/>
    </row>
    <row r="1348" spans="1:3">
      <c r="A1348" s="10"/>
      <c r="B1348" s="9"/>
      <c r="C1348" s="9"/>
    </row>
    <row r="1349" spans="1:3">
      <c r="A1349" s="10"/>
      <c r="B1349" s="9"/>
      <c r="C1349" s="9"/>
    </row>
    <row r="1350" spans="1:3">
      <c r="A1350" s="10"/>
      <c r="B1350" s="9"/>
      <c r="C1350" s="9"/>
    </row>
    <row r="1351" spans="1:3">
      <c r="A1351" s="10"/>
      <c r="B1351" s="9"/>
      <c r="C1351" s="9"/>
    </row>
    <row r="1352" spans="1:3">
      <c r="A1352" s="10"/>
      <c r="B1352" s="9"/>
      <c r="C1352" s="9"/>
    </row>
    <row r="1353" spans="1:3">
      <c r="A1353" s="10"/>
      <c r="B1353" s="9"/>
      <c r="C1353" s="9"/>
    </row>
    <row r="1354" spans="1:3">
      <c r="A1354" s="10"/>
      <c r="B1354" s="9"/>
      <c r="C1354" s="9"/>
    </row>
    <row r="1355" spans="1:3">
      <c r="A1355" s="10"/>
      <c r="B1355" s="9"/>
      <c r="C1355" s="9"/>
    </row>
    <row r="1356" spans="1:3">
      <c r="A1356" s="10"/>
      <c r="B1356" s="9"/>
      <c r="C1356" s="9"/>
    </row>
    <row r="1357" spans="1:3">
      <c r="A1357" s="10"/>
      <c r="B1357" s="9"/>
      <c r="C1357" s="9"/>
    </row>
    <row r="1358" spans="1:3">
      <c r="A1358" s="10"/>
      <c r="B1358" s="9"/>
      <c r="C1358" s="9"/>
    </row>
    <row r="1359" spans="1:3">
      <c r="A1359" s="10"/>
      <c r="B1359" s="9"/>
      <c r="C1359" s="9"/>
    </row>
    <row r="1360" spans="1:3">
      <c r="A1360" s="10"/>
      <c r="B1360" s="9"/>
      <c r="C1360" s="9"/>
    </row>
    <row r="1361" spans="1:3">
      <c r="A1361" s="10"/>
      <c r="B1361" s="9"/>
      <c r="C1361" s="9"/>
    </row>
    <row r="1362" spans="1:3">
      <c r="A1362" s="10"/>
      <c r="B1362" s="9"/>
      <c r="C1362" s="9"/>
    </row>
    <row r="1363" spans="1:3">
      <c r="A1363" s="10"/>
      <c r="B1363" s="9"/>
      <c r="C1363" s="9"/>
    </row>
    <row r="1364" spans="1:3">
      <c r="A1364" s="10"/>
      <c r="B1364" s="9"/>
      <c r="C1364" s="9"/>
    </row>
    <row r="1365" spans="1:3">
      <c r="A1365" s="10"/>
      <c r="B1365" s="9"/>
      <c r="C1365" s="9"/>
    </row>
    <row r="1366" spans="1:3">
      <c r="A1366" s="10"/>
      <c r="B1366" s="9"/>
      <c r="C1366" s="9"/>
    </row>
    <row r="1367" spans="1:3">
      <c r="A1367" s="10"/>
      <c r="B1367" s="9"/>
      <c r="C1367" s="9"/>
    </row>
    <row r="1368" spans="1:3">
      <c r="A1368" s="10"/>
      <c r="B1368" s="9"/>
      <c r="C1368" s="9"/>
    </row>
    <row r="1369" spans="1:3">
      <c r="A1369" s="10"/>
      <c r="B1369" s="9"/>
      <c r="C1369" s="9"/>
    </row>
    <row r="1370" spans="1:3">
      <c r="A1370" s="10"/>
      <c r="B1370" s="9"/>
      <c r="C1370" s="9"/>
    </row>
    <row r="1371" spans="1:3">
      <c r="A1371" s="10"/>
      <c r="B1371" s="9"/>
      <c r="C1371" s="9"/>
    </row>
    <row r="1372" spans="1:3">
      <c r="A1372" s="10"/>
      <c r="B1372" s="9"/>
      <c r="C1372" s="9"/>
    </row>
    <row r="1373" spans="1:3">
      <c r="A1373" s="10"/>
      <c r="B1373" s="9"/>
      <c r="C1373" s="9"/>
    </row>
    <row r="1374" spans="1:3">
      <c r="A1374" s="10"/>
      <c r="B1374" s="9"/>
      <c r="C1374" s="9"/>
    </row>
    <row r="1375" spans="1:3">
      <c r="A1375" s="10"/>
      <c r="B1375" s="9"/>
      <c r="C1375" s="9"/>
    </row>
    <row r="1376" spans="1:3">
      <c r="A1376" s="10"/>
      <c r="B1376" s="9"/>
      <c r="C1376" s="9"/>
    </row>
    <row r="1377" spans="1:3">
      <c r="A1377" s="10"/>
      <c r="B1377" s="9"/>
      <c r="C1377" s="9"/>
    </row>
    <row r="1378" spans="1:3">
      <c r="A1378" s="10"/>
      <c r="B1378" s="9"/>
      <c r="C1378" s="9"/>
    </row>
    <row r="1379" spans="1:3">
      <c r="A1379" s="10"/>
      <c r="B1379" s="9"/>
      <c r="C1379" s="9"/>
    </row>
    <row r="1380" spans="1:3">
      <c r="A1380" s="10"/>
      <c r="B1380" s="9"/>
      <c r="C1380" s="9"/>
    </row>
    <row r="1381" spans="1:3">
      <c r="A1381" s="10"/>
      <c r="B1381" s="9"/>
      <c r="C1381" s="9"/>
    </row>
    <row r="1382" spans="1:3">
      <c r="A1382" s="10"/>
      <c r="B1382" s="9"/>
      <c r="C1382" s="9"/>
    </row>
    <row r="1383" spans="1:3">
      <c r="A1383" s="10"/>
      <c r="B1383" s="9"/>
      <c r="C1383" s="9"/>
    </row>
    <row r="1384" spans="1:3">
      <c r="A1384" s="10"/>
      <c r="B1384" s="9"/>
      <c r="C1384" s="9"/>
    </row>
    <row r="1385" spans="1:3">
      <c r="A1385" s="10"/>
      <c r="B1385" s="9"/>
      <c r="C1385" s="9"/>
    </row>
    <row r="1386" spans="1:3">
      <c r="A1386" s="10"/>
      <c r="B1386" s="9"/>
      <c r="C1386" s="9"/>
    </row>
    <row r="1387" spans="1:3">
      <c r="A1387" s="10"/>
      <c r="B1387" s="9"/>
      <c r="C1387" s="9"/>
    </row>
    <row r="1388" spans="1:3">
      <c r="A1388" s="10"/>
      <c r="B1388" s="9"/>
      <c r="C1388" s="9"/>
    </row>
    <row r="1389" spans="1:3">
      <c r="A1389" s="10"/>
      <c r="B1389" s="9"/>
      <c r="C1389" s="9"/>
    </row>
    <row r="1390" spans="1:3">
      <c r="A1390" s="10"/>
      <c r="B1390" s="9"/>
      <c r="C1390" s="9"/>
    </row>
    <row r="1391" spans="1:3">
      <c r="A1391" s="10"/>
      <c r="B1391" s="9"/>
      <c r="C1391" s="9"/>
    </row>
    <row r="1392" spans="1:3">
      <c r="A1392" s="10"/>
      <c r="B1392" s="9"/>
      <c r="C1392" s="9"/>
    </row>
    <row r="1393" spans="1:3">
      <c r="A1393" s="10"/>
      <c r="B1393" s="9"/>
      <c r="C1393" s="9"/>
    </row>
    <row r="1394" spans="1:3">
      <c r="A1394" s="10"/>
      <c r="B1394" s="9"/>
      <c r="C1394" s="9"/>
    </row>
    <row r="1395" spans="1:3">
      <c r="A1395" s="10"/>
      <c r="B1395" s="9"/>
      <c r="C1395" s="9"/>
    </row>
    <row r="1396" spans="1:3">
      <c r="A1396" s="10"/>
      <c r="B1396" s="9"/>
      <c r="C1396" s="9"/>
    </row>
    <row r="1397" spans="1:3">
      <c r="A1397" s="10"/>
      <c r="B1397" s="9"/>
      <c r="C1397" s="9"/>
    </row>
    <row r="1398" spans="1:3">
      <c r="A1398" s="10"/>
      <c r="B1398" s="9"/>
      <c r="C1398" s="9"/>
    </row>
    <row r="1399" spans="1:3">
      <c r="A1399" s="10"/>
      <c r="B1399" s="9"/>
      <c r="C1399" s="9"/>
    </row>
    <row r="1400" spans="1:3">
      <c r="A1400" s="10"/>
      <c r="B1400" s="9"/>
      <c r="C1400" s="9"/>
    </row>
    <row r="1401" spans="1:3">
      <c r="A1401" s="10"/>
      <c r="B1401" s="9"/>
      <c r="C1401" s="9"/>
    </row>
    <row r="1402" spans="1:3">
      <c r="A1402" s="10"/>
      <c r="B1402" s="9"/>
      <c r="C1402" s="9"/>
    </row>
    <row r="1403" spans="1:3">
      <c r="A1403" s="10"/>
      <c r="B1403" s="9"/>
      <c r="C1403" s="9"/>
    </row>
    <row r="1404" spans="1:3">
      <c r="A1404" s="10"/>
      <c r="B1404" s="9"/>
      <c r="C1404" s="9"/>
    </row>
    <row r="1405" spans="1:3">
      <c r="A1405" s="10"/>
      <c r="B1405" s="9"/>
      <c r="C1405" s="9"/>
    </row>
    <row r="1406" spans="1:3">
      <c r="A1406" s="10"/>
      <c r="B1406" s="9"/>
      <c r="C1406" s="9"/>
    </row>
    <row r="1407" spans="1:3">
      <c r="A1407" s="10"/>
      <c r="B1407" s="9"/>
      <c r="C1407" s="9"/>
    </row>
    <row r="1408" spans="1:3">
      <c r="A1408" s="10"/>
      <c r="B1408" s="9"/>
      <c r="C1408" s="9"/>
    </row>
    <row r="1409" spans="1:3">
      <c r="A1409" s="10"/>
      <c r="B1409" s="9"/>
      <c r="C1409" s="9"/>
    </row>
    <row r="1410" spans="1:3">
      <c r="A1410" s="10"/>
      <c r="B1410" s="9"/>
      <c r="C1410" s="9"/>
    </row>
    <row r="1411" spans="1:3">
      <c r="A1411" s="10"/>
      <c r="B1411" s="9"/>
      <c r="C1411" s="9"/>
    </row>
    <row r="1412" spans="1:3">
      <c r="A1412" s="10"/>
      <c r="B1412" s="9"/>
      <c r="C1412" s="9"/>
    </row>
    <row r="1413" spans="1:3">
      <c r="A1413" s="10"/>
      <c r="B1413" s="9"/>
      <c r="C1413" s="9"/>
    </row>
    <row r="1414" spans="1:3">
      <c r="A1414" s="10"/>
      <c r="B1414" s="9"/>
      <c r="C1414" s="9"/>
    </row>
    <row r="1415" spans="1:3">
      <c r="A1415" s="10"/>
      <c r="B1415" s="9"/>
      <c r="C1415" s="9"/>
    </row>
    <row r="1416" spans="1:3">
      <c r="A1416" s="10"/>
      <c r="B1416" s="9"/>
      <c r="C1416" s="9"/>
    </row>
    <row r="1417" spans="1:3">
      <c r="A1417" s="10"/>
      <c r="B1417" s="9"/>
      <c r="C1417" s="9"/>
    </row>
    <row r="1418" spans="1:3">
      <c r="A1418" s="10"/>
      <c r="B1418" s="9"/>
      <c r="C1418" s="9"/>
    </row>
    <row r="1419" spans="1:3">
      <c r="A1419" s="10"/>
      <c r="B1419" s="9"/>
      <c r="C1419" s="9"/>
    </row>
    <row r="1420" spans="1:3">
      <c r="A1420" s="10"/>
      <c r="B1420" s="9"/>
      <c r="C1420" s="9"/>
    </row>
    <row r="1421" spans="1:3">
      <c r="A1421" s="10"/>
      <c r="B1421" s="9"/>
      <c r="C1421" s="9"/>
    </row>
    <row r="1422" spans="1:3">
      <c r="A1422" s="10"/>
      <c r="B1422" s="9"/>
      <c r="C1422" s="9"/>
    </row>
    <row r="1423" spans="1:3">
      <c r="A1423" s="10"/>
      <c r="B1423" s="9"/>
      <c r="C1423" s="9"/>
    </row>
    <row r="1424" spans="1:3">
      <c r="A1424" s="10"/>
      <c r="B1424" s="9"/>
      <c r="C1424" s="9"/>
    </row>
    <row r="1425" spans="1:3">
      <c r="A1425" s="10"/>
      <c r="B1425" s="9"/>
      <c r="C1425" s="9"/>
    </row>
    <row r="1426" spans="1:3">
      <c r="A1426" s="10"/>
      <c r="B1426" s="9"/>
      <c r="C1426" s="9"/>
    </row>
    <row r="1427" spans="1:3">
      <c r="A1427" s="10"/>
      <c r="B1427" s="9"/>
      <c r="C1427" s="9"/>
    </row>
    <row r="1428" spans="1:3">
      <c r="A1428" s="10"/>
      <c r="B1428" s="9"/>
      <c r="C1428" s="9"/>
    </row>
    <row r="1429" spans="1:3">
      <c r="A1429" s="10"/>
      <c r="B1429" s="9"/>
      <c r="C1429" s="9"/>
    </row>
    <row r="1430" spans="1:3">
      <c r="A1430" s="10"/>
      <c r="B1430" s="9"/>
      <c r="C1430" s="9"/>
    </row>
    <row r="1431" spans="1:3">
      <c r="A1431" s="10"/>
      <c r="B1431" s="9"/>
      <c r="C1431" s="9"/>
    </row>
    <row r="1432" spans="1:3">
      <c r="A1432" s="10"/>
      <c r="B1432" s="9"/>
      <c r="C1432" s="9"/>
    </row>
    <row r="1433" spans="1:3">
      <c r="A1433" s="10"/>
      <c r="B1433" s="9"/>
      <c r="C1433" s="9"/>
    </row>
    <row r="1434" spans="1:3">
      <c r="A1434" s="10"/>
      <c r="B1434" s="9"/>
      <c r="C1434" s="9"/>
    </row>
    <row r="1435" spans="1:3">
      <c r="A1435" s="10"/>
      <c r="B1435" s="9"/>
      <c r="C1435" s="9"/>
    </row>
    <row r="1436" spans="1:3">
      <c r="A1436" s="10"/>
      <c r="B1436" s="9"/>
      <c r="C1436" s="9"/>
    </row>
    <row r="1437" spans="1:3">
      <c r="A1437" s="10"/>
      <c r="B1437" s="9"/>
      <c r="C1437" s="9"/>
    </row>
    <row r="1438" spans="1:3">
      <c r="A1438" s="10"/>
      <c r="B1438" s="9"/>
      <c r="C1438" s="9"/>
    </row>
    <row r="1439" spans="1:3">
      <c r="A1439" s="10"/>
      <c r="B1439" s="9"/>
      <c r="C1439" s="9"/>
    </row>
    <row r="1440" spans="1:3">
      <c r="A1440" s="10"/>
      <c r="B1440" s="9"/>
      <c r="C1440" s="9"/>
    </row>
    <row r="1441" spans="1:3">
      <c r="A1441" s="10"/>
      <c r="B1441" s="9"/>
      <c r="C1441" s="9"/>
    </row>
    <row r="1442" spans="1:3">
      <c r="A1442" s="10"/>
      <c r="B1442" s="9"/>
      <c r="C1442" s="9"/>
    </row>
    <row r="1443" spans="1:3">
      <c r="A1443" s="10"/>
      <c r="B1443" s="9"/>
      <c r="C1443" s="9"/>
    </row>
    <row r="1444" spans="1:3">
      <c r="A1444" s="10"/>
      <c r="B1444" s="9"/>
      <c r="C1444" s="9"/>
    </row>
    <row r="1445" spans="1:3">
      <c r="A1445" s="10"/>
      <c r="B1445" s="9"/>
      <c r="C1445" s="9"/>
    </row>
    <row r="1446" spans="1:3">
      <c r="A1446" s="10"/>
      <c r="B1446" s="9"/>
      <c r="C1446" s="9"/>
    </row>
    <row r="1447" spans="1:3">
      <c r="A1447" s="10"/>
      <c r="B1447" s="9"/>
      <c r="C1447" s="9"/>
    </row>
    <row r="1448" spans="1:3">
      <c r="A1448" s="10"/>
      <c r="B1448" s="9"/>
      <c r="C1448" s="9"/>
    </row>
    <row r="1449" spans="1:3">
      <c r="A1449" s="10"/>
      <c r="B1449" s="9"/>
      <c r="C1449" s="9"/>
    </row>
    <row r="1450" spans="1:3">
      <c r="A1450" s="10"/>
      <c r="B1450" s="9"/>
      <c r="C1450" s="9"/>
    </row>
    <row r="1451" spans="1:3">
      <c r="A1451" s="10"/>
      <c r="B1451" s="9"/>
      <c r="C1451" s="9"/>
    </row>
    <row r="1452" spans="1:3">
      <c r="A1452" s="10"/>
      <c r="B1452" s="9"/>
      <c r="C1452" s="9"/>
    </row>
    <row r="1453" spans="1:3">
      <c r="A1453" s="10"/>
      <c r="B1453" s="9"/>
      <c r="C1453" s="9"/>
    </row>
    <row r="1454" spans="1:3">
      <c r="A1454" s="10"/>
      <c r="B1454" s="9"/>
      <c r="C1454" s="9"/>
    </row>
    <row r="1455" spans="1:3">
      <c r="A1455" s="10"/>
      <c r="B1455" s="9"/>
      <c r="C1455" s="9"/>
    </row>
    <row r="1456" spans="1:3">
      <c r="A1456" s="10"/>
      <c r="B1456" s="9"/>
      <c r="C1456" s="9"/>
    </row>
    <row r="1457" spans="1:3">
      <c r="A1457" s="10"/>
      <c r="B1457" s="9"/>
      <c r="C1457" s="9"/>
    </row>
    <row r="1458" spans="1:3">
      <c r="A1458" s="10"/>
      <c r="B1458" s="9"/>
      <c r="C1458" s="9"/>
    </row>
    <row r="1459" spans="1:3">
      <c r="A1459" s="10"/>
      <c r="B1459" s="9"/>
      <c r="C1459" s="9"/>
    </row>
    <row r="1460" spans="1:3">
      <c r="A1460" s="10"/>
      <c r="B1460" s="9"/>
      <c r="C1460" s="9"/>
    </row>
    <row r="1461" spans="1:3">
      <c r="A1461" s="10"/>
      <c r="B1461" s="9"/>
      <c r="C1461" s="9"/>
    </row>
    <row r="1462" spans="1:3">
      <c r="A1462" s="10"/>
      <c r="B1462" s="9"/>
      <c r="C1462" s="9"/>
    </row>
    <row r="1463" spans="1:3">
      <c r="A1463" s="10"/>
      <c r="B1463" s="9"/>
      <c r="C1463" s="9"/>
    </row>
    <row r="1464" spans="1:3">
      <c r="A1464" s="10"/>
      <c r="B1464" s="9"/>
      <c r="C1464" s="9"/>
    </row>
    <row r="1465" spans="1:3">
      <c r="A1465" s="10"/>
      <c r="B1465" s="9"/>
      <c r="C1465" s="9"/>
    </row>
    <row r="1466" spans="1:3">
      <c r="A1466" s="10"/>
      <c r="B1466" s="9"/>
      <c r="C1466" s="9"/>
    </row>
    <row r="1467" spans="1:3">
      <c r="A1467" s="10"/>
      <c r="B1467" s="9"/>
      <c r="C1467" s="9"/>
    </row>
    <row r="1468" spans="1:3">
      <c r="A1468" s="10"/>
      <c r="B1468" s="9"/>
      <c r="C1468" s="9"/>
    </row>
    <row r="1469" spans="1:3">
      <c r="A1469" s="10"/>
      <c r="B1469" s="9"/>
      <c r="C1469" s="9"/>
    </row>
    <row r="1470" spans="1:3">
      <c r="A1470" s="10"/>
      <c r="B1470" s="9"/>
      <c r="C1470" s="9"/>
    </row>
    <row r="1471" spans="1:3">
      <c r="A1471" s="10"/>
      <c r="B1471" s="9"/>
      <c r="C1471" s="9"/>
    </row>
    <row r="1472" spans="1:3">
      <c r="A1472" s="10"/>
      <c r="B1472" s="9"/>
      <c r="C1472" s="9"/>
    </row>
    <row r="1473" spans="1:3">
      <c r="A1473" s="10"/>
      <c r="B1473" s="9"/>
      <c r="C1473" s="9"/>
    </row>
    <row r="1474" spans="1:3">
      <c r="A1474" s="10"/>
      <c r="B1474" s="9"/>
      <c r="C1474" s="9"/>
    </row>
    <row r="1475" spans="1:3">
      <c r="A1475" s="10"/>
      <c r="B1475" s="9"/>
      <c r="C1475" s="9"/>
    </row>
    <row r="1476" spans="1:3">
      <c r="A1476" s="10"/>
      <c r="B1476" s="9"/>
      <c r="C1476" s="9"/>
    </row>
    <row r="1477" spans="1:3">
      <c r="A1477" s="10"/>
      <c r="B1477" s="9"/>
      <c r="C1477" s="9"/>
    </row>
    <row r="1478" spans="1:3">
      <c r="A1478" s="10"/>
      <c r="B1478" s="9"/>
      <c r="C1478" s="9"/>
    </row>
    <row r="1479" spans="1:3">
      <c r="A1479" s="10"/>
      <c r="B1479" s="9"/>
      <c r="C1479" s="9"/>
    </row>
    <row r="1480" spans="1:3">
      <c r="A1480" s="10"/>
      <c r="B1480" s="9"/>
      <c r="C1480" s="9"/>
    </row>
    <row r="1481" spans="1:3">
      <c r="A1481" s="10"/>
      <c r="B1481" s="9"/>
      <c r="C1481" s="9"/>
    </row>
    <row r="1482" spans="1:3">
      <c r="A1482" s="10"/>
      <c r="B1482" s="9"/>
      <c r="C1482" s="9"/>
    </row>
    <row r="1483" spans="1:3">
      <c r="A1483" s="10"/>
      <c r="B1483" s="9"/>
      <c r="C1483" s="9"/>
    </row>
    <row r="1484" spans="1:3">
      <c r="A1484" s="10"/>
      <c r="B1484" s="9"/>
      <c r="C1484" s="9"/>
    </row>
    <row r="1485" spans="1:3">
      <c r="A1485" s="10"/>
      <c r="B1485" s="9"/>
      <c r="C1485" s="9"/>
    </row>
    <row r="1486" spans="1:3">
      <c r="A1486" s="10"/>
      <c r="B1486" s="9"/>
      <c r="C1486" s="9"/>
    </row>
    <row r="1487" spans="1:3">
      <c r="A1487" s="10"/>
      <c r="B1487" s="9"/>
      <c r="C1487" s="9"/>
    </row>
    <row r="1488" spans="1:3">
      <c r="A1488" s="10"/>
      <c r="B1488" s="9"/>
      <c r="C1488" s="9"/>
    </row>
    <row r="1489" spans="1:3">
      <c r="A1489" s="10"/>
      <c r="B1489" s="9"/>
      <c r="C1489" s="9"/>
    </row>
    <row r="1490" spans="1:3">
      <c r="A1490" s="10"/>
      <c r="B1490" s="9"/>
      <c r="C1490" s="9"/>
    </row>
    <row r="1491" spans="1:3">
      <c r="A1491" s="10"/>
      <c r="B1491" s="9"/>
      <c r="C1491" s="9"/>
    </row>
    <row r="1492" spans="1:3">
      <c r="A1492" s="10"/>
      <c r="B1492" s="9"/>
      <c r="C1492" s="9"/>
    </row>
    <row r="1493" spans="1:3">
      <c r="A1493" s="10"/>
      <c r="B1493" s="9"/>
      <c r="C1493" s="9"/>
    </row>
    <row r="1494" spans="1:3">
      <c r="A1494" s="10"/>
      <c r="B1494" s="9"/>
      <c r="C1494" s="9"/>
    </row>
    <row r="1495" spans="1:3">
      <c r="A1495" s="10"/>
      <c r="B1495" s="9"/>
      <c r="C1495" s="9"/>
    </row>
    <row r="1496" spans="1:3">
      <c r="A1496" s="10"/>
      <c r="B1496" s="9"/>
      <c r="C1496" s="9"/>
    </row>
    <row r="1497" spans="1:3">
      <c r="A1497" s="10"/>
      <c r="B1497" s="9"/>
      <c r="C1497" s="9"/>
    </row>
    <row r="1498" spans="1:3">
      <c r="A1498" s="10"/>
      <c r="B1498" s="9"/>
      <c r="C1498" s="9"/>
    </row>
    <row r="1499" spans="1:3">
      <c r="A1499" s="10"/>
      <c r="B1499" s="9"/>
      <c r="C1499" s="9"/>
    </row>
    <row r="1500" spans="1:3">
      <c r="A1500" s="10"/>
      <c r="B1500" s="9"/>
      <c r="C1500" s="9"/>
    </row>
    <row r="1501" spans="1:3">
      <c r="A1501" s="10"/>
      <c r="B1501" s="9"/>
      <c r="C1501" s="9"/>
    </row>
    <row r="1502" spans="1:3">
      <c r="A1502" s="10"/>
      <c r="B1502" s="9"/>
      <c r="C1502" s="9"/>
    </row>
    <row r="1503" spans="1:3">
      <c r="A1503" s="10"/>
      <c r="B1503" s="9"/>
      <c r="C1503" s="9"/>
    </row>
    <row r="1504" spans="1:3">
      <c r="A1504" s="10"/>
      <c r="B1504" s="9"/>
      <c r="C1504" s="9"/>
    </row>
    <row r="1505" spans="1:3">
      <c r="A1505" s="10"/>
      <c r="B1505" s="9"/>
      <c r="C1505" s="9"/>
    </row>
    <row r="1506" spans="1:3">
      <c r="A1506" s="10"/>
      <c r="B1506" s="9"/>
      <c r="C1506" s="9"/>
    </row>
    <row r="1507" spans="1:3">
      <c r="A1507" s="10"/>
      <c r="B1507" s="9"/>
      <c r="C1507" s="9"/>
    </row>
    <row r="1508" spans="1:3">
      <c r="A1508" s="10"/>
      <c r="B1508" s="9"/>
      <c r="C1508" s="9"/>
    </row>
    <row r="1509" spans="1:3">
      <c r="A1509" s="10"/>
      <c r="B1509" s="9"/>
      <c r="C1509" s="9"/>
    </row>
    <row r="1510" spans="1:3">
      <c r="A1510" s="10"/>
      <c r="B1510" s="9"/>
      <c r="C1510" s="9"/>
    </row>
    <row r="1511" spans="1:3">
      <c r="A1511" s="10"/>
      <c r="B1511" s="9"/>
      <c r="C1511" s="9"/>
    </row>
    <row r="1512" spans="1:3">
      <c r="A1512" s="10"/>
      <c r="B1512" s="9"/>
      <c r="C1512" s="9"/>
    </row>
    <row r="1513" spans="1:3">
      <c r="A1513" s="10"/>
      <c r="B1513" s="9"/>
      <c r="C1513" s="9"/>
    </row>
    <row r="1514" spans="1:3">
      <c r="A1514" s="10"/>
      <c r="B1514" s="9"/>
      <c r="C1514" s="9"/>
    </row>
    <row r="1515" spans="1:3">
      <c r="A1515" s="10"/>
      <c r="B1515" s="9"/>
      <c r="C1515" s="9"/>
    </row>
    <row r="1516" spans="1:3">
      <c r="A1516" s="10"/>
      <c r="B1516" s="9"/>
      <c r="C1516" s="9"/>
    </row>
    <row r="1517" spans="1:3">
      <c r="A1517" s="10"/>
      <c r="B1517" s="9"/>
      <c r="C1517" s="9"/>
    </row>
    <row r="1518" spans="1:3">
      <c r="A1518" s="10"/>
      <c r="B1518" s="9"/>
      <c r="C1518" s="9"/>
    </row>
    <row r="1519" spans="1:3">
      <c r="A1519" s="10"/>
      <c r="B1519" s="9"/>
      <c r="C1519" s="9"/>
    </row>
    <row r="1520" spans="1:3">
      <c r="A1520" s="10"/>
      <c r="B1520" s="9"/>
      <c r="C1520" s="9"/>
    </row>
    <row r="1521" spans="1:3">
      <c r="A1521" s="10"/>
      <c r="B1521" s="9"/>
      <c r="C1521" s="9"/>
    </row>
    <row r="1522" spans="1:3">
      <c r="A1522" s="10"/>
      <c r="B1522" s="9"/>
      <c r="C1522" s="9"/>
    </row>
    <row r="1523" spans="1:3">
      <c r="A1523" s="10"/>
      <c r="B1523" s="9"/>
      <c r="C1523" s="9"/>
    </row>
    <row r="1524" spans="1:3">
      <c r="A1524" s="10"/>
      <c r="B1524" s="9"/>
      <c r="C1524" s="9"/>
    </row>
    <row r="1525" spans="1:3">
      <c r="A1525" s="10"/>
      <c r="B1525" s="9"/>
      <c r="C1525" s="9"/>
    </row>
    <row r="1526" spans="1:3">
      <c r="A1526" s="10"/>
      <c r="B1526" s="9"/>
      <c r="C1526" s="9"/>
    </row>
    <row r="1527" spans="1:3">
      <c r="A1527" s="10"/>
      <c r="B1527" s="9"/>
      <c r="C1527" s="9"/>
    </row>
    <row r="1528" spans="1:3">
      <c r="A1528" s="10"/>
      <c r="B1528" s="9"/>
      <c r="C1528" s="9"/>
    </row>
    <row r="1529" spans="1:3">
      <c r="A1529" s="10"/>
      <c r="B1529" s="9"/>
      <c r="C1529" s="9"/>
    </row>
    <row r="1530" spans="1:3">
      <c r="A1530" s="10"/>
      <c r="B1530" s="9"/>
      <c r="C1530" s="9"/>
    </row>
    <row r="1531" spans="1:3">
      <c r="A1531" s="10"/>
      <c r="B1531" s="9"/>
      <c r="C1531" s="9"/>
    </row>
    <row r="1532" spans="1:3">
      <c r="A1532" s="10"/>
      <c r="B1532" s="9"/>
      <c r="C1532" s="9"/>
    </row>
    <row r="1533" spans="1:3">
      <c r="A1533" s="10"/>
      <c r="B1533" s="9"/>
      <c r="C1533" s="9"/>
    </row>
    <row r="1534" spans="1:3">
      <c r="A1534" s="10"/>
      <c r="B1534" s="9"/>
      <c r="C1534" s="9"/>
    </row>
    <row r="1535" spans="1:3">
      <c r="A1535" s="10"/>
      <c r="B1535" s="9"/>
      <c r="C1535" s="9"/>
    </row>
    <row r="1536" spans="1:3">
      <c r="A1536" s="10"/>
      <c r="B1536" s="9"/>
      <c r="C1536" s="9"/>
    </row>
    <row r="1537" spans="1:3">
      <c r="A1537" s="10"/>
      <c r="B1537" s="9"/>
      <c r="C1537" s="9"/>
    </row>
    <row r="1538" spans="1:3">
      <c r="A1538" s="10"/>
      <c r="B1538" s="9"/>
      <c r="C1538" s="9"/>
    </row>
    <row r="1539" spans="1:3">
      <c r="A1539" s="10"/>
      <c r="B1539" s="9"/>
      <c r="C1539" s="9"/>
    </row>
    <row r="1540" spans="1:3">
      <c r="A1540" s="10"/>
      <c r="B1540" s="9"/>
      <c r="C1540" s="9"/>
    </row>
    <row r="1541" spans="1:3">
      <c r="A1541" s="10"/>
      <c r="B1541" s="9"/>
      <c r="C1541" s="9"/>
    </row>
    <row r="1542" spans="1:3">
      <c r="A1542" s="10"/>
      <c r="B1542" s="9"/>
      <c r="C1542" s="9"/>
    </row>
    <row r="1543" spans="1:3">
      <c r="A1543" s="10"/>
      <c r="B1543" s="9"/>
      <c r="C1543" s="9"/>
    </row>
    <row r="1544" spans="1:3">
      <c r="A1544" s="10"/>
      <c r="B1544" s="9"/>
      <c r="C1544" s="9"/>
    </row>
    <row r="1545" spans="1:3">
      <c r="A1545" s="10"/>
      <c r="B1545" s="9"/>
      <c r="C1545" s="9"/>
    </row>
    <row r="1546" spans="1:3">
      <c r="A1546" s="10"/>
      <c r="B1546" s="9"/>
      <c r="C1546" s="9"/>
    </row>
    <row r="1547" spans="1:3">
      <c r="A1547" s="10"/>
      <c r="B1547" s="9"/>
      <c r="C1547" s="9"/>
    </row>
    <row r="1548" spans="1:3">
      <c r="A1548" s="10"/>
      <c r="B1548" s="9"/>
      <c r="C1548" s="9"/>
    </row>
    <row r="1549" spans="1:3">
      <c r="A1549" s="10"/>
      <c r="B1549" s="9"/>
      <c r="C1549" s="9"/>
    </row>
    <row r="1550" spans="1:3">
      <c r="A1550" s="10"/>
      <c r="B1550" s="9"/>
      <c r="C1550" s="9"/>
    </row>
    <row r="1551" spans="1:3">
      <c r="A1551" s="10"/>
      <c r="B1551" s="9"/>
      <c r="C1551" s="9"/>
    </row>
    <row r="1552" spans="1:3">
      <c r="A1552" s="10"/>
      <c r="B1552" s="9"/>
      <c r="C1552" s="9"/>
    </row>
    <row r="1553" spans="1:3">
      <c r="A1553" s="10"/>
      <c r="B1553" s="9"/>
      <c r="C1553" s="9"/>
    </row>
    <row r="1554" spans="1:3">
      <c r="A1554" s="10"/>
      <c r="B1554" s="9"/>
      <c r="C1554" s="9"/>
    </row>
    <row r="1555" spans="1:3">
      <c r="A1555" s="10"/>
      <c r="B1555" s="9"/>
      <c r="C1555" s="9"/>
    </row>
    <row r="1556" spans="1:3">
      <c r="A1556" s="10"/>
      <c r="B1556" s="9"/>
      <c r="C1556" s="9"/>
    </row>
    <row r="1557" spans="1:3">
      <c r="A1557" s="10"/>
      <c r="B1557" s="9"/>
      <c r="C1557" s="9"/>
    </row>
    <row r="1558" spans="1:3">
      <c r="A1558" s="10"/>
      <c r="B1558" s="9"/>
      <c r="C1558" s="9"/>
    </row>
    <row r="1559" spans="1:3">
      <c r="A1559" s="10"/>
      <c r="B1559" s="9"/>
      <c r="C1559" s="9"/>
    </row>
    <row r="1560" spans="1:3">
      <c r="A1560" s="10"/>
      <c r="B1560" s="9"/>
      <c r="C1560" s="9"/>
    </row>
    <row r="1561" spans="1:3">
      <c r="A1561" s="10"/>
      <c r="B1561" s="9"/>
      <c r="C1561" s="9"/>
    </row>
    <row r="1562" spans="1:3">
      <c r="A1562" s="10"/>
      <c r="B1562" s="9"/>
      <c r="C1562" s="9"/>
    </row>
    <row r="1563" spans="1:3">
      <c r="A1563" s="10"/>
      <c r="B1563" s="9"/>
      <c r="C1563" s="9"/>
    </row>
    <row r="1564" spans="1:3">
      <c r="A1564" s="10"/>
      <c r="B1564" s="9"/>
      <c r="C1564" s="9"/>
    </row>
    <row r="1565" spans="1:3">
      <c r="A1565" s="10"/>
      <c r="B1565" s="9"/>
      <c r="C1565" s="9"/>
    </row>
    <row r="1566" spans="1:3">
      <c r="A1566" s="10"/>
      <c r="B1566" s="9"/>
      <c r="C1566" s="9"/>
    </row>
    <row r="1567" spans="1:3">
      <c r="A1567" s="10"/>
      <c r="B1567" s="9"/>
      <c r="C1567" s="9"/>
    </row>
    <row r="1568" spans="1:3">
      <c r="A1568" s="10"/>
      <c r="B1568" s="9"/>
      <c r="C1568" s="9"/>
    </row>
    <row r="1569" spans="1:3">
      <c r="A1569" s="10"/>
      <c r="B1569" s="9"/>
      <c r="C1569" s="9"/>
    </row>
    <row r="1570" spans="1:3">
      <c r="A1570" s="10"/>
      <c r="B1570" s="9"/>
      <c r="C1570" s="9"/>
    </row>
    <row r="1571" spans="1:3">
      <c r="A1571" s="10"/>
      <c r="B1571" s="9"/>
      <c r="C1571" s="9"/>
    </row>
    <row r="1572" spans="1:3">
      <c r="A1572" s="10"/>
      <c r="B1572" s="9"/>
      <c r="C1572" s="9"/>
    </row>
    <row r="1573" spans="1:3">
      <c r="A1573" s="10"/>
      <c r="B1573" s="9"/>
      <c r="C1573" s="9"/>
    </row>
    <row r="1574" spans="1:3">
      <c r="A1574" s="10"/>
      <c r="B1574" s="9"/>
      <c r="C1574" s="9"/>
    </row>
    <row r="1575" spans="1:3">
      <c r="A1575" s="10"/>
      <c r="B1575" s="9"/>
      <c r="C1575" s="9"/>
    </row>
    <row r="1576" spans="1:3">
      <c r="A1576" s="10"/>
      <c r="B1576" s="9"/>
      <c r="C1576" s="9"/>
    </row>
    <row r="1577" spans="1:3">
      <c r="A1577" s="10"/>
      <c r="B1577" s="9"/>
      <c r="C1577" s="9"/>
    </row>
    <row r="1578" spans="1:3">
      <c r="A1578" s="10"/>
      <c r="B1578" s="9"/>
      <c r="C1578" s="9"/>
    </row>
    <row r="1579" spans="1:3">
      <c r="A1579" s="10"/>
      <c r="B1579" s="9"/>
      <c r="C1579" s="9"/>
    </row>
    <row r="1580" spans="1:3">
      <c r="A1580" s="10"/>
      <c r="B1580" s="9"/>
      <c r="C1580" s="9"/>
    </row>
    <row r="1581" spans="1:3">
      <c r="A1581" s="10"/>
      <c r="B1581" s="9"/>
      <c r="C1581" s="9"/>
    </row>
    <row r="1582" spans="1:3">
      <c r="A1582" s="10"/>
      <c r="B1582" s="9"/>
      <c r="C1582" s="9"/>
    </row>
    <row r="1583" spans="1:3">
      <c r="A1583" s="10"/>
      <c r="B1583" s="9"/>
      <c r="C1583" s="9"/>
    </row>
    <row r="1584" spans="1:3">
      <c r="A1584" s="10"/>
      <c r="B1584" s="9"/>
      <c r="C1584" s="9"/>
    </row>
    <row r="1585" spans="1:3">
      <c r="A1585" s="10"/>
      <c r="B1585" s="9"/>
      <c r="C1585" s="9"/>
    </row>
    <row r="1586" spans="1:3">
      <c r="A1586" s="10"/>
      <c r="B1586" s="9"/>
      <c r="C1586" s="9"/>
    </row>
    <row r="1587" spans="1:3">
      <c r="A1587" s="10"/>
      <c r="B1587" s="9"/>
      <c r="C1587" s="9"/>
    </row>
    <row r="1588" spans="1:3">
      <c r="A1588" s="10"/>
      <c r="B1588" s="9"/>
      <c r="C1588" s="9"/>
    </row>
    <row r="1589" spans="1:3">
      <c r="A1589" s="10"/>
      <c r="B1589" s="9"/>
      <c r="C1589" s="9"/>
    </row>
    <row r="1590" spans="1:3">
      <c r="A1590" s="10"/>
      <c r="B1590" s="9"/>
      <c r="C1590" s="9"/>
    </row>
    <row r="1591" spans="1:3">
      <c r="A1591" s="10"/>
      <c r="B1591" s="9"/>
      <c r="C1591" s="9"/>
    </row>
    <row r="1592" spans="1:3">
      <c r="A1592" s="10"/>
      <c r="B1592" s="9"/>
      <c r="C1592" s="9"/>
    </row>
    <row r="1593" spans="1:3">
      <c r="A1593" s="10"/>
      <c r="B1593" s="9"/>
      <c r="C1593" s="9"/>
    </row>
    <row r="1594" spans="1:3">
      <c r="A1594" s="10"/>
      <c r="B1594" s="9"/>
      <c r="C1594" s="9"/>
    </row>
    <row r="1595" spans="1:3">
      <c r="A1595" s="10"/>
      <c r="B1595" s="9"/>
      <c r="C1595" s="9"/>
    </row>
    <row r="1596" spans="1:3">
      <c r="A1596" s="10"/>
      <c r="B1596" s="9"/>
      <c r="C1596" s="9"/>
    </row>
    <row r="1597" spans="1:3">
      <c r="A1597" s="10"/>
      <c r="B1597" s="9"/>
      <c r="C1597" s="9"/>
    </row>
    <row r="1598" spans="1:3">
      <c r="A1598" s="10"/>
      <c r="B1598" s="9"/>
      <c r="C1598" s="9"/>
    </row>
    <row r="1599" spans="1:3">
      <c r="A1599" s="10"/>
      <c r="B1599" s="9"/>
      <c r="C1599" s="9"/>
    </row>
    <row r="1600" spans="1:3">
      <c r="A1600" s="10"/>
      <c r="B1600" s="9"/>
      <c r="C1600" s="9"/>
    </row>
    <row r="1601" spans="1:3">
      <c r="A1601" s="10"/>
      <c r="B1601" s="9"/>
      <c r="C1601" s="9"/>
    </row>
    <row r="1602" spans="1:3">
      <c r="A1602" s="10"/>
      <c r="B1602" s="9"/>
      <c r="C1602" s="9"/>
    </row>
    <row r="1603" spans="1:3">
      <c r="A1603" s="10"/>
      <c r="B1603" s="9"/>
      <c r="C1603" s="9"/>
    </row>
    <row r="1604" spans="1:3">
      <c r="A1604" s="10"/>
      <c r="B1604" s="9"/>
      <c r="C1604" s="9"/>
    </row>
    <row r="1605" spans="1:3">
      <c r="A1605" s="10"/>
      <c r="B1605" s="9"/>
      <c r="C1605" s="9"/>
    </row>
    <row r="1606" spans="1:3">
      <c r="A1606" s="10"/>
      <c r="B1606" s="9"/>
      <c r="C1606" s="9"/>
    </row>
    <row r="1607" spans="1:3">
      <c r="A1607" s="10"/>
      <c r="B1607" s="9"/>
      <c r="C1607" s="9"/>
    </row>
    <row r="1608" spans="1:3">
      <c r="A1608" s="10"/>
      <c r="B1608" s="9"/>
      <c r="C1608" s="9"/>
    </row>
    <row r="1609" spans="1:3">
      <c r="A1609" s="10"/>
      <c r="B1609" s="9"/>
      <c r="C1609" s="9"/>
    </row>
    <row r="1610" spans="1:3">
      <c r="A1610" s="10"/>
      <c r="B1610" s="9"/>
      <c r="C1610" s="9"/>
    </row>
    <row r="1611" spans="1:3">
      <c r="A1611" s="10"/>
      <c r="B1611" s="9"/>
      <c r="C1611" s="9"/>
    </row>
    <row r="1612" spans="1:3">
      <c r="A1612" s="10"/>
      <c r="B1612" s="9"/>
      <c r="C1612" s="9"/>
    </row>
    <row r="1613" spans="1:3">
      <c r="A1613" s="10"/>
      <c r="B1613" s="9"/>
      <c r="C1613" s="9"/>
    </row>
    <row r="1614" spans="1:3">
      <c r="A1614" s="10"/>
      <c r="B1614" s="9"/>
      <c r="C1614" s="9"/>
    </row>
    <row r="1615" spans="1:3">
      <c r="A1615" s="10"/>
      <c r="B1615" s="9"/>
      <c r="C1615" s="9"/>
    </row>
    <row r="1616" spans="1:3">
      <c r="A1616" s="10"/>
      <c r="B1616" s="9"/>
      <c r="C1616" s="9"/>
    </row>
    <row r="1617" spans="1:3">
      <c r="A1617" s="10"/>
      <c r="B1617" s="9"/>
      <c r="C1617" s="9"/>
    </row>
    <row r="1618" spans="1:3">
      <c r="A1618" s="10"/>
      <c r="B1618" s="9"/>
      <c r="C1618" s="9"/>
    </row>
    <row r="1619" spans="1:3">
      <c r="A1619" s="10"/>
      <c r="B1619" s="9"/>
      <c r="C1619" s="9"/>
    </row>
    <row r="1620" spans="1:3">
      <c r="A1620" s="10"/>
      <c r="B1620" s="9"/>
      <c r="C1620" s="9"/>
    </row>
    <row r="1621" spans="1:3">
      <c r="A1621" s="10"/>
      <c r="B1621" s="9"/>
      <c r="C1621" s="9"/>
    </row>
    <row r="1622" spans="1:3">
      <c r="A1622" s="10"/>
      <c r="B1622" s="9"/>
      <c r="C1622" s="9"/>
    </row>
    <row r="1623" spans="1:3">
      <c r="A1623" s="10"/>
      <c r="B1623" s="9"/>
      <c r="C1623" s="9"/>
    </row>
    <row r="1624" spans="1:3">
      <c r="A1624" s="10"/>
      <c r="B1624" s="9"/>
      <c r="C1624" s="9"/>
    </row>
    <row r="1625" spans="1:3">
      <c r="A1625" s="10"/>
      <c r="B1625" s="9"/>
      <c r="C1625" s="9"/>
    </row>
    <row r="1626" spans="1:3">
      <c r="A1626" s="10"/>
      <c r="B1626" s="9"/>
      <c r="C1626" s="9"/>
    </row>
    <row r="1627" spans="1:3">
      <c r="A1627" s="10"/>
      <c r="B1627" s="9"/>
      <c r="C1627" s="9"/>
    </row>
    <row r="1628" spans="1:3">
      <c r="A1628" s="10"/>
      <c r="B1628" s="9"/>
      <c r="C1628" s="9"/>
    </row>
    <row r="1629" spans="1:3">
      <c r="A1629" s="10"/>
      <c r="B1629" s="9"/>
      <c r="C1629" s="9"/>
    </row>
    <row r="1630" spans="1:3">
      <c r="A1630" s="10"/>
      <c r="B1630" s="9"/>
      <c r="C1630" s="9"/>
    </row>
    <row r="1631" spans="1:3">
      <c r="A1631" s="10"/>
      <c r="B1631" s="9"/>
      <c r="C1631" s="9"/>
    </row>
    <row r="1632" spans="1:3">
      <c r="A1632" s="10"/>
      <c r="B1632" s="9"/>
      <c r="C1632" s="9"/>
    </row>
    <row r="1633" spans="1:3">
      <c r="A1633" s="10"/>
      <c r="B1633" s="9"/>
      <c r="C1633" s="9"/>
    </row>
    <row r="1634" spans="1:3">
      <c r="A1634" s="10"/>
      <c r="B1634" s="9"/>
      <c r="C1634" s="9"/>
    </row>
    <row r="1635" spans="1:3">
      <c r="A1635" s="10"/>
      <c r="B1635" s="9"/>
      <c r="C1635" s="9"/>
    </row>
    <row r="1636" spans="1:3">
      <c r="A1636" s="10"/>
      <c r="B1636" s="9"/>
      <c r="C1636" s="9"/>
    </row>
    <row r="1637" spans="1:3">
      <c r="A1637" s="10"/>
      <c r="B1637" s="9"/>
      <c r="C1637" s="9"/>
    </row>
    <row r="1638" spans="1:3">
      <c r="A1638" s="10"/>
      <c r="B1638" s="9"/>
      <c r="C1638" s="9"/>
    </row>
    <row r="1639" spans="1:3">
      <c r="A1639" s="10"/>
      <c r="B1639" s="9"/>
      <c r="C1639" s="9"/>
    </row>
    <row r="1640" spans="1:3">
      <c r="A1640" s="10"/>
      <c r="B1640" s="9"/>
      <c r="C1640" s="9"/>
    </row>
    <row r="1641" spans="1:3">
      <c r="A1641" s="10"/>
      <c r="B1641" s="9"/>
      <c r="C1641" s="9"/>
    </row>
    <row r="1642" spans="1:3">
      <c r="A1642" s="10"/>
      <c r="B1642" s="9"/>
      <c r="C1642" s="9"/>
    </row>
    <row r="1643" spans="1:3">
      <c r="A1643" s="10"/>
      <c r="B1643" s="9"/>
      <c r="C1643" s="9"/>
    </row>
    <row r="1644" spans="1:3">
      <c r="A1644" s="10"/>
      <c r="B1644" s="9"/>
      <c r="C1644" s="9"/>
    </row>
    <row r="1645" spans="1:3">
      <c r="A1645" s="10"/>
      <c r="B1645" s="9"/>
      <c r="C1645" s="9"/>
    </row>
    <row r="1646" spans="1:3">
      <c r="A1646" s="10"/>
      <c r="B1646" s="9"/>
      <c r="C1646" s="9"/>
    </row>
    <row r="1647" spans="1:3">
      <c r="A1647" s="10"/>
      <c r="B1647" s="9"/>
      <c r="C1647" s="9"/>
    </row>
    <row r="1648" spans="1:3">
      <c r="A1648" s="10"/>
      <c r="B1648" s="9"/>
      <c r="C1648" s="9"/>
    </row>
    <row r="1649" spans="1:3">
      <c r="A1649" s="10"/>
      <c r="B1649" s="9"/>
      <c r="C1649" s="9"/>
    </row>
    <row r="1650" spans="1:3">
      <c r="A1650" s="10"/>
      <c r="B1650" s="9"/>
      <c r="C1650" s="9"/>
    </row>
    <row r="1651" spans="1:3">
      <c r="A1651" s="10"/>
      <c r="B1651" s="9"/>
      <c r="C1651" s="9"/>
    </row>
    <row r="1652" spans="1:3">
      <c r="A1652" s="10"/>
      <c r="B1652" s="9"/>
      <c r="C1652" s="9"/>
    </row>
    <row r="1653" spans="1:3">
      <c r="A1653" s="10"/>
      <c r="B1653" s="9"/>
      <c r="C1653" s="9"/>
    </row>
    <row r="1654" spans="1:3">
      <c r="A1654" s="10"/>
      <c r="B1654" s="9"/>
      <c r="C1654" s="9"/>
    </row>
    <row r="1655" spans="1:3">
      <c r="A1655" s="10"/>
      <c r="B1655" s="9"/>
      <c r="C1655" s="9"/>
    </row>
    <row r="1656" spans="1:3">
      <c r="A1656" s="10"/>
      <c r="B1656" s="9"/>
      <c r="C1656" s="9"/>
    </row>
    <row r="1657" spans="1:3">
      <c r="A1657" s="10"/>
      <c r="B1657" s="9"/>
      <c r="C1657" s="9"/>
    </row>
    <row r="1658" spans="1:3">
      <c r="A1658" s="10"/>
      <c r="B1658" s="9"/>
      <c r="C1658" s="9"/>
    </row>
    <row r="1659" spans="1:3">
      <c r="A1659" s="10"/>
      <c r="B1659" s="9"/>
      <c r="C1659" s="9"/>
    </row>
    <row r="1660" spans="1:3">
      <c r="A1660" s="10"/>
      <c r="B1660" s="9"/>
      <c r="C1660" s="9"/>
    </row>
    <row r="1661" spans="1:3">
      <c r="A1661" s="10"/>
      <c r="B1661" s="9"/>
      <c r="C1661" s="9"/>
    </row>
    <row r="1662" spans="1:3">
      <c r="A1662" s="10"/>
      <c r="B1662" s="9"/>
      <c r="C1662" s="9"/>
    </row>
    <row r="1663" spans="1:3">
      <c r="A1663" s="10"/>
      <c r="B1663" s="9"/>
      <c r="C1663" s="9"/>
    </row>
    <row r="1664" spans="1:3">
      <c r="A1664" s="10"/>
      <c r="B1664" s="9"/>
      <c r="C1664" s="9"/>
    </row>
    <row r="1665" spans="1:3">
      <c r="A1665" s="10"/>
      <c r="B1665" s="9"/>
      <c r="C1665" s="9"/>
    </row>
    <row r="1666" spans="1:3">
      <c r="A1666" s="10"/>
      <c r="B1666" s="9"/>
      <c r="C1666" s="9"/>
    </row>
    <row r="1667" spans="1:3">
      <c r="A1667" s="10"/>
      <c r="B1667" s="9"/>
      <c r="C1667" s="9"/>
    </row>
    <row r="1668" spans="1:3">
      <c r="A1668" s="10"/>
      <c r="B1668" s="9"/>
      <c r="C1668" s="9"/>
    </row>
    <row r="1669" spans="1:3">
      <c r="A1669" s="10"/>
      <c r="B1669" s="9"/>
      <c r="C1669" s="9"/>
    </row>
    <row r="1670" spans="1:3">
      <c r="A1670" s="10"/>
      <c r="B1670" s="9"/>
      <c r="C1670" s="9"/>
    </row>
    <row r="1671" spans="1:3">
      <c r="A1671" s="10"/>
      <c r="B1671" s="9"/>
      <c r="C1671" s="9"/>
    </row>
    <row r="1672" spans="1:3">
      <c r="A1672" s="10"/>
      <c r="B1672" s="9"/>
      <c r="C1672" s="9"/>
    </row>
    <row r="1673" spans="1:3">
      <c r="A1673" s="10"/>
      <c r="B1673" s="9"/>
      <c r="C1673" s="9"/>
    </row>
    <row r="1674" spans="1:3">
      <c r="A1674" s="10"/>
      <c r="B1674" s="9"/>
      <c r="C1674" s="9"/>
    </row>
    <row r="1675" spans="1:3">
      <c r="A1675" s="10"/>
      <c r="B1675" s="9"/>
      <c r="C1675" s="9"/>
    </row>
    <row r="1676" spans="1:3">
      <c r="A1676" s="10"/>
      <c r="B1676" s="9"/>
      <c r="C1676" s="9"/>
    </row>
    <row r="1677" spans="1:3">
      <c r="A1677" s="10"/>
      <c r="B1677" s="9"/>
      <c r="C1677" s="9"/>
    </row>
    <row r="1678" spans="1:3">
      <c r="A1678" s="10"/>
      <c r="B1678" s="9"/>
      <c r="C1678" s="9"/>
    </row>
    <row r="1679" spans="1:3">
      <c r="A1679" s="10"/>
      <c r="B1679" s="9"/>
      <c r="C1679" s="9"/>
    </row>
    <row r="1680" spans="1:3">
      <c r="A1680" s="10"/>
      <c r="B1680" s="9"/>
      <c r="C1680" s="9"/>
    </row>
    <row r="1681" spans="1:3">
      <c r="A1681" s="10"/>
      <c r="B1681" s="9"/>
      <c r="C1681" s="9"/>
    </row>
    <row r="1682" spans="1:3">
      <c r="A1682" s="10"/>
      <c r="B1682" s="9"/>
      <c r="C1682" s="9"/>
    </row>
    <row r="1683" spans="1:3">
      <c r="A1683" s="10"/>
      <c r="B1683" s="9"/>
      <c r="C1683" s="9"/>
    </row>
    <row r="1684" spans="1:3">
      <c r="A1684" s="10"/>
      <c r="B1684" s="9"/>
      <c r="C1684" s="9"/>
    </row>
    <row r="1685" spans="1:3">
      <c r="A1685" s="10"/>
      <c r="B1685" s="9"/>
      <c r="C1685" s="9"/>
    </row>
    <row r="1686" spans="1:3">
      <c r="A1686" s="10"/>
      <c r="B1686" s="9"/>
      <c r="C1686" s="9"/>
    </row>
    <row r="1687" spans="1:3">
      <c r="A1687" s="10"/>
      <c r="B1687" s="9"/>
      <c r="C1687" s="9"/>
    </row>
    <row r="1688" spans="1:3">
      <c r="A1688" s="10"/>
      <c r="B1688" s="9"/>
      <c r="C1688" s="9"/>
    </row>
    <row r="1689" spans="1:3">
      <c r="A1689" s="10"/>
      <c r="B1689" s="9"/>
      <c r="C1689" s="9"/>
    </row>
    <row r="1690" spans="1:3">
      <c r="A1690" s="10"/>
      <c r="B1690" s="9"/>
      <c r="C1690" s="9"/>
    </row>
    <row r="1691" spans="1:3">
      <c r="A1691" s="10"/>
      <c r="B1691" s="9"/>
      <c r="C1691" s="9"/>
    </row>
    <row r="1692" spans="1:3">
      <c r="A1692" s="10"/>
      <c r="B1692" s="9"/>
      <c r="C1692" s="9"/>
    </row>
    <row r="1693" spans="1:3">
      <c r="A1693" s="10"/>
      <c r="B1693" s="9"/>
      <c r="C1693" s="9"/>
    </row>
    <row r="1694" spans="1:3">
      <c r="A1694" s="10"/>
      <c r="B1694" s="9"/>
      <c r="C1694" s="9"/>
    </row>
    <row r="1695" spans="1:3">
      <c r="A1695" s="10"/>
      <c r="B1695" s="9"/>
      <c r="C1695" s="9"/>
    </row>
    <row r="1696" spans="1:3">
      <c r="A1696" s="10"/>
      <c r="B1696" s="9"/>
      <c r="C1696" s="9"/>
    </row>
    <row r="1697" spans="1:3">
      <c r="A1697" s="10"/>
      <c r="B1697" s="9"/>
      <c r="C1697" s="9"/>
    </row>
    <row r="1698" spans="1:3">
      <c r="A1698" s="10"/>
      <c r="B1698" s="9"/>
      <c r="C1698" s="9"/>
    </row>
    <row r="1699" spans="1:3">
      <c r="A1699" s="10"/>
      <c r="B1699" s="9"/>
      <c r="C1699" s="9"/>
    </row>
    <row r="1700" spans="1:3">
      <c r="A1700" s="10"/>
      <c r="B1700" s="9"/>
      <c r="C1700" s="9"/>
    </row>
    <row r="1701" spans="1:3">
      <c r="A1701" s="10"/>
      <c r="B1701" s="9"/>
      <c r="C1701" s="9"/>
    </row>
    <row r="1702" spans="1:3">
      <c r="A1702" s="10"/>
      <c r="B1702" s="9"/>
      <c r="C1702" s="9"/>
    </row>
    <row r="1703" spans="1:3">
      <c r="A1703" s="10"/>
      <c r="B1703" s="9"/>
      <c r="C1703" s="9"/>
    </row>
    <row r="1704" spans="1:3">
      <c r="A1704" s="10"/>
      <c r="B1704" s="9"/>
      <c r="C1704" s="9"/>
    </row>
    <row r="1705" spans="1:3">
      <c r="A1705" s="10"/>
      <c r="B1705" s="9"/>
      <c r="C1705" s="9"/>
    </row>
    <row r="1706" spans="1:3">
      <c r="A1706" s="10"/>
      <c r="B1706" s="9"/>
      <c r="C1706" s="9"/>
    </row>
    <row r="1707" spans="1:3">
      <c r="A1707" s="10"/>
      <c r="B1707" s="9"/>
      <c r="C1707" s="9"/>
    </row>
    <row r="1708" spans="1:3">
      <c r="A1708" s="10"/>
      <c r="B1708" s="9"/>
      <c r="C1708" s="9"/>
    </row>
    <row r="1709" spans="1:3">
      <c r="A1709" s="10"/>
      <c r="B1709" s="9"/>
      <c r="C1709" s="9"/>
    </row>
    <row r="1710" spans="1:3">
      <c r="A1710" s="10"/>
      <c r="B1710" s="9"/>
      <c r="C1710" s="9"/>
    </row>
    <row r="1711" spans="1:3">
      <c r="A1711" s="10"/>
      <c r="B1711" s="9"/>
      <c r="C1711" s="9"/>
    </row>
    <row r="1712" spans="1:3">
      <c r="A1712" s="10"/>
      <c r="B1712" s="9"/>
      <c r="C1712" s="9"/>
    </row>
    <row r="1713" spans="1:3">
      <c r="A1713" s="10"/>
      <c r="B1713" s="9"/>
      <c r="C1713" s="9"/>
    </row>
    <row r="1714" spans="1:3">
      <c r="A1714" s="10"/>
      <c r="B1714" s="9"/>
      <c r="C1714" s="9"/>
    </row>
    <row r="1715" spans="1:3">
      <c r="A1715" s="10"/>
      <c r="B1715" s="9"/>
      <c r="C1715" s="9"/>
    </row>
    <row r="1716" spans="1:3">
      <c r="A1716" s="10"/>
      <c r="B1716" s="9"/>
      <c r="C1716" s="9"/>
    </row>
    <row r="1717" spans="1:3">
      <c r="A1717" s="10"/>
      <c r="B1717" s="9"/>
      <c r="C1717" s="9"/>
    </row>
    <row r="1718" spans="1:3">
      <c r="A1718" s="10"/>
      <c r="B1718" s="9"/>
      <c r="C1718" s="9"/>
    </row>
    <row r="1719" spans="1:3">
      <c r="A1719" s="10"/>
      <c r="B1719" s="9"/>
      <c r="C1719" s="9"/>
    </row>
    <row r="1720" spans="1:3">
      <c r="A1720" s="10"/>
      <c r="B1720" s="9"/>
      <c r="C1720" s="9"/>
    </row>
    <row r="1721" spans="1:3">
      <c r="A1721" s="10"/>
      <c r="B1721" s="9"/>
      <c r="C1721" s="9"/>
    </row>
    <row r="1722" spans="1:3">
      <c r="A1722" s="10"/>
      <c r="B1722" s="9"/>
      <c r="C1722" s="9"/>
    </row>
    <row r="1723" spans="1:3">
      <c r="A1723" s="10"/>
      <c r="B1723" s="9"/>
      <c r="C1723" s="9"/>
    </row>
    <row r="1724" spans="1:3">
      <c r="A1724" s="10"/>
      <c r="B1724" s="9"/>
      <c r="C1724" s="9"/>
    </row>
    <row r="1725" spans="1:3">
      <c r="A1725" s="10"/>
      <c r="B1725" s="9"/>
      <c r="C1725" s="9"/>
    </row>
    <row r="1726" spans="1:3">
      <c r="A1726" s="10"/>
      <c r="B1726" s="9"/>
      <c r="C1726" s="9"/>
    </row>
    <row r="1727" spans="1:3">
      <c r="A1727" s="10"/>
      <c r="B1727" s="9"/>
      <c r="C1727" s="9"/>
    </row>
    <row r="1728" spans="1:3">
      <c r="A1728" s="10"/>
      <c r="B1728" s="9"/>
      <c r="C1728" s="9"/>
    </row>
    <row r="1729" spans="1:3">
      <c r="A1729" s="10"/>
      <c r="B1729" s="9"/>
      <c r="C1729" s="9"/>
    </row>
    <row r="1730" spans="1:3">
      <c r="A1730" s="10"/>
      <c r="B1730" s="9"/>
      <c r="C1730" s="9"/>
    </row>
    <row r="1731" spans="1:3">
      <c r="A1731" s="10"/>
      <c r="B1731" s="9"/>
      <c r="C1731" s="9"/>
    </row>
    <row r="1732" spans="1:3">
      <c r="A1732" s="10"/>
      <c r="B1732" s="9"/>
      <c r="C1732" s="9"/>
    </row>
    <row r="1733" spans="1:3">
      <c r="A1733" s="10"/>
      <c r="B1733" s="9"/>
      <c r="C1733" s="9"/>
    </row>
    <row r="1734" spans="1:3">
      <c r="A1734" s="10"/>
      <c r="B1734" s="9"/>
      <c r="C1734" s="9"/>
    </row>
    <row r="1735" spans="1:3">
      <c r="A1735" s="10"/>
      <c r="B1735" s="9"/>
      <c r="C1735" s="9"/>
    </row>
    <row r="1736" spans="1:3">
      <c r="A1736" s="10"/>
      <c r="B1736" s="9"/>
      <c r="C1736" s="9"/>
    </row>
    <row r="1737" spans="1:3">
      <c r="A1737" s="10"/>
      <c r="B1737" s="9"/>
      <c r="C1737" s="9"/>
    </row>
    <row r="1738" spans="1:3">
      <c r="A1738" s="10"/>
      <c r="B1738" s="9"/>
      <c r="C1738" s="9"/>
    </row>
    <row r="1739" spans="1:3">
      <c r="A1739" s="10"/>
      <c r="B1739" s="9"/>
      <c r="C1739" s="9"/>
    </row>
    <row r="1740" spans="1:3">
      <c r="A1740" s="10"/>
      <c r="B1740" s="9"/>
      <c r="C1740" s="9"/>
    </row>
    <row r="1741" spans="1:3">
      <c r="A1741" s="10"/>
      <c r="B1741" s="9"/>
      <c r="C1741" s="9"/>
    </row>
    <row r="1742" spans="1:3">
      <c r="A1742" s="10"/>
      <c r="B1742" s="9"/>
      <c r="C1742" s="9"/>
    </row>
    <row r="1743" spans="1:3">
      <c r="A1743" s="10"/>
      <c r="B1743" s="9"/>
      <c r="C1743" s="9"/>
    </row>
    <row r="1744" spans="1:3">
      <c r="A1744" s="10"/>
      <c r="B1744" s="9"/>
      <c r="C1744" s="9"/>
    </row>
    <row r="1745" spans="1:3">
      <c r="A1745" s="10"/>
      <c r="B1745" s="9"/>
      <c r="C1745" s="9"/>
    </row>
    <row r="1746" spans="1:3">
      <c r="A1746" s="10"/>
      <c r="B1746" s="9"/>
      <c r="C1746" s="9"/>
    </row>
    <row r="1747" spans="1:3">
      <c r="A1747" s="10"/>
      <c r="B1747" s="9"/>
      <c r="C1747" s="9"/>
    </row>
    <row r="1748" spans="1:3">
      <c r="A1748" s="10"/>
      <c r="B1748" s="9"/>
      <c r="C1748" s="9"/>
    </row>
    <row r="1749" spans="1:3">
      <c r="A1749" s="10"/>
      <c r="B1749" s="9"/>
      <c r="C1749" s="9"/>
    </row>
    <row r="1750" spans="1:3">
      <c r="A1750" s="10"/>
      <c r="B1750" s="9"/>
      <c r="C1750" s="9"/>
    </row>
    <row r="1751" spans="1:3">
      <c r="A1751" s="10"/>
      <c r="B1751" s="9"/>
      <c r="C1751" s="9"/>
    </row>
    <row r="1752" spans="1:3">
      <c r="A1752" s="10"/>
      <c r="B1752" s="9"/>
      <c r="C1752" s="9"/>
    </row>
    <row r="1753" spans="1:3">
      <c r="A1753" s="10"/>
      <c r="B1753" s="9"/>
      <c r="C1753" s="9"/>
    </row>
    <row r="1754" spans="1:3">
      <c r="A1754" s="10"/>
      <c r="B1754" s="9"/>
      <c r="C1754" s="9"/>
    </row>
    <row r="1755" spans="1:3">
      <c r="A1755" s="10"/>
      <c r="B1755" s="9"/>
      <c r="C1755" s="9"/>
    </row>
    <row r="1756" spans="1:3">
      <c r="A1756" s="10"/>
      <c r="B1756" s="9"/>
      <c r="C1756" s="9"/>
    </row>
    <row r="1757" spans="1:3">
      <c r="A1757" s="10"/>
      <c r="B1757" s="9"/>
      <c r="C1757" s="9"/>
    </row>
    <row r="1758" spans="1:3">
      <c r="A1758" s="10"/>
      <c r="B1758" s="9"/>
      <c r="C1758" s="9"/>
    </row>
    <row r="1759" spans="1:3">
      <c r="A1759" s="10"/>
      <c r="B1759" s="9"/>
      <c r="C1759" s="9"/>
    </row>
    <row r="1760" spans="1:3">
      <c r="A1760" s="10"/>
      <c r="B1760" s="9"/>
      <c r="C1760" s="9"/>
    </row>
    <row r="1761" spans="1:3">
      <c r="A1761" s="10"/>
      <c r="B1761" s="9"/>
      <c r="C1761" s="9"/>
    </row>
    <row r="1762" spans="1:3">
      <c r="A1762" s="10"/>
      <c r="B1762" s="9"/>
      <c r="C1762" s="9"/>
    </row>
    <row r="1763" spans="1:3">
      <c r="A1763" s="10"/>
      <c r="B1763" s="9"/>
      <c r="C1763" s="9"/>
    </row>
    <row r="1764" spans="1:3">
      <c r="A1764" s="10"/>
      <c r="B1764" s="9"/>
      <c r="C1764" s="9"/>
    </row>
    <row r="1765" spans="1:3">
      <c r="A1765" s="10"/>
      <c r="B1765" s="9"/>
      <c r="C1765" s="9"/>
    </row>
    <row r="1766" spans="1:3">
      <c r="A1766" s="10"/>
      <c r="B1766" s="9"/>
      <c r="C1766" s="9"/>
    </row>
    <row r="1767" spans="1:3">
      <c r="A1767" s="10"/>
      <c r="B1767" s="9"/>
      <c r="C1767" s="9"/>
    </row>
    <row r="1768" spans="1:3">
      <c r="A1768" s="10"/>
      <c r="B1768" s="9"/>
      <c r="C1768" s="9"/>
    </row>
    <row r="1769" spans="1:3">
      <c r="A1769" s="10"/>
      <c r="B1769" s="9"/>
      <c r="C1769" s="9"/>
    </row>
    <row r="1770" spans="1:3">
      <c r="A1770" s="10"/>
      <c r="B1770" s="9"/>
      <c r="C1770" s="9"/>
    </row>
    <row r="1771" spans="1:3">
      <c r="A1771" s="10"/>
      <c r="B1771" s="9"/>
      <c r="C1771" s="9"/>
    </row>
    <row r="1772" spans="1:3">
      <c r="A1772" s="10"/>
      <c r="B1772" s="9"/>
      <c r="C1772" s="9"/>
    </row>
    <row r="1773" spans="1:3">
      <c r="A1773" s="10"/>
      <c r="B1773" s="9"/>
      <c r="C1773" s="9"/>
    </row>
    <row r="1774" spans="1:3">
      <c r="A1774" s="10"/>
      <c r="B1774" s="9"/>
      <c r="C1774" s="9"/>
    </row>
    <row r="1775" spans="1:3">
      <c r="A1775" s="10"/>
      <c r="B1775" s="9"/>
      <c r="C1775" s="9"/>
    </row>
    <row r="1776" spans="1:3">
      <c r="A1776" s="10"/>
      <c r="B1776" s="9"/>
      <c r="C1776" s="9"/>
    </row>
    <row r="1777" spans="1:3">
      <c r="A1777" s="10"/>
      <c r="B1777" s="9"/>
      <c r="C1777" s="9"/>
    </row>
    <row r="1778" spans="1:3">
      <c r="A1778" s="10"/>
      <c r="B1778" s="9"/>
      <c r="C1778" s="9"/>
    </row>
    <row r="1779" spans="1:3">
      <c r="A1779" s="10"/>
      <c r="B1779" s="9"/>
      <c r="C1779" s="9"/>
    </row>
    <row r="1780" spans="1:3">
      <c r="A1780" s="10"/>
      <c r="B1780" s="9"/>
      <c r="C1780" s="9"/>
    </row>
    <row r="1781" spans="1:3">
      <c r="A1781" s="10"/>
      <c r="B1781" s="9"/>
      <c r="C1781" s="9"/>
    </row>
    <row r="1782" spans="1:3">
      <c r="A1782" s="10"/>
      <c r="B1782" s="9"/>
      <c r="C1782" s="9"/>
    </row>
    <row r="1783" spans="1:3">
      <c r="A1783" s="10"/>
      <c r="B1783" s="9"/>
      <c r="C1783" s="9"/>
    </row>
    <row r="1784" spans="1:3">
      <c r="A1784" s="10"/>
      <c r="B1784" s="9"/>
      <c r="C1784" s="9"/>
    </row>
    <row r="1785" spans="1:3">
      <c r="A1785" s="10"/>
      <c r="B1785" s="9"/>
      <c r="C1785" s="9"/>
    </row>
    <row r="1786" spans="1:3">
      <c r="A1786" s="10"/>
      <c r="B1786" s="9"/>
      <c r="C1786" s="9"/>
    </row>
    <row r="1787" spans="1:3">
      <c r="A1787" s="10"/>
      <c r="B1787" s="9"/>
      <c r="C1787" s="9"/>
    </row>
    <row r="1788" spans="1:3">
      <c r="A1788" s="10"/>
      <c r="B1788" s="9"/>
      <c r="C1788" s="9"/>
    </row>
    <row r="1789" spans="1:3">
      <c r="A1789" s="10"/>
      <c r="B1789" s="9"/>
      <c r="C1789" s="9"/>
    </row>
    <row r="1790" spans="1:3">
      <c r="A1790" s="10"/>
      <c r="B1790" s="9"/>
      <c r="C1790" s="9"/>
    </row>
    <row r="1791" spans="1:3">
      <c r="A1791" s="10"/>
      <c r="B1791" s="9"/>
      <c r="C1791" s="9"/>
    </row>
    <row r="1792" spans="1:3">
      <c r="A1792" s="10"/>
      <c r="B1792" s="9"/>
      <c r="C1792" s="9"/>
    </row>
    <row r="1793" spans="1:3">
      <c r="A1793" s="10"/>
      <c r="B1793" s="9"/>
      <c r="C1793" s="9"/>
    </row>
    <row r="1794" spans="1:3">
      <c r="A1794" s="10"/>
      <c r="B1794" s="9"/>
      <c r="C1794" s="9"/>
    </row>
    <row r="1795" spans="1:3">
      <c r="A1795" s="10"/>
      <c r="B1795" s="9"/>
      <c r="C1795" s="9"/>
    </row>
    <row r="1796" spans="1:3">
      <c r="A1796" s="10"/>
      <c r="B1796" s="9"/>
      <c r="C1796" s="9"/>
    </row>
    <row r="1797" spans="1:3">
      <c r="A1797" s="10"/>
      <c r="B1797" s="9"/>
      <c r="C1797" s="9"/>
    </row>
    <row r="1798" spans="1:3">
      <c r="A1798" s="10"/>
      <c r="B1798" s="9"/>
      <c r="C1798" s="9"/>
    </row>
    <row r="1799" spans="1:3">
      <c r="A1799" s="10"/>
      <c r="B1799" s="9"/>
      <c r="C1799" s="9"/>
    </row>
    <row r="1800" spans="1:3">
      <c r="A1800" s="10"/>
      <c r="B1800" s="9"/>
      <c r="C1800" s="9"/>
    </row>
    <row r="1801" spans="1:3">
      <c r="A1801" s="10"/>
      <c r="B1801" s="9"/>
      <c r="C1801" s="9"/>
    </row>
    <row r="1802" spans="1:3">
      <c r="A1802" s="10"/>
      <c r="B1802" s="9"/>
      <c r="C1802" s="9"/>
    </row>
    <row r="1803" spans="1:3">
      <c r="A1803" s="10"/>
      <c r="B1803" s="9"/>
      <c r="C1803" s="9"/>
    </row>
    <row r="1804" spans="1:3">
      <c r="A1804" s="10"/>
      <c r="B1804" s="9"/>
      <c r="C1804" s="9"/>
    </row>
    <row r="1805" spans="1:3">
      <c r="A1805" s="10"/>
      <c r="B1805" s="9"/>
      <c r="C1805" s="9"/>
    </row>
    <row r="1806" spans="1:3">
      <c r="A1806" s="10"/>
      <c r="B1806" s="9"/>
      <c r="C1806" s="9"/>
    </row>
    <row r="1807" spans="1:3">
      <c r="A1807" s="10"/>
      <c r="B1807" s="9"/>
      <c r="C1807" s="9"/>
    </row>
    <row r="1808" spans="1:3">
      <c r="A1808" s="10"/>
      <c r="B1808" s="9"/>
      <c r="C1808" s="9"/>
    </row>
    <row r="1809" spans="1:3">
      <c r="A1809" s="10"/>
      <c r="B1809" s="9"/>
      <c r="C1809" s="9"/>
    </row>
    <row r="1810" spans="1:3">
      <c r="A1810" s="10"/>
      <c r="B1810" s="9"/>
      <c r="C1810" s="9"/>
    </row>
    <row r="1811" spans="1:3">
      <c r="A1811" s="10"/>
      <c r="B1811" s="9"/>
      <c r="C1811" s="9"/>
    </row>
    <row r="1812" spans="1:3">
      <c r="A1812" s="10"/>
      <c r="B1812" s="9"/>
      <c r="C1812" s="9"/>
    </row>
    <row r="1813" spans="1:3">
      <c r="A1813" s="10"/>
      <c r="B1813" s="9"/>
      <c r="C1813" s="9"/>
    </row>
    <row r="1814" spans="1:3">
      <c r="A1814" s="10"/>
      <c r="B1814" s="9"/>
      <c r="C1814" s="9"/>
    </row>
    <row r="1815" spans="1:3">
      <c r="A1815" s="10"/>
      <c r="B1815" s="9"/>
      <c r="C1815" s="9"/>
    </row>
    <row r="1816" spans="1:3">
      <c r="A1816" s="10"/>
      <c r="B1816" s="9"/>
      <c r="C1816" s="9"/>
    </row>
    <row r="1817" spans="1:3">
      <c r="A1817" s="10"/>
      <c r="B1817" s="9"/>
      <c r="C1817" s="9"/>
    </row>
    <row r="1818" spans="1:3">
      <c r="A1818" s="10"/>
      <c r="B1818" s="9"/>
      <c r="C1818" s="9"/>
    </row>
    <row r="1819" spans="1:3">
      <c r="A1819" s="10"/>
      <c r="B1819" s="9"/>
      <c r="C1819" s="9"/>
    </row>
    <row r="1820" spans="1:3">
      <c r="A1820" s="10"/>
      <c r="B1820" s="9"/>
      <c r="C1820" s="9"/>
    </row>
    <row r="1821" spans="1:3">
      <c r="A1821" s="10"/>
      <c r="B1821" s="9"/>
      <c r="C1821" s="9"/>
    </row>
    <row r="1822" spans="1:3">
      <c r="A1822" s="10"/>
      <c r="B1822" s="9"/>
      <c r="C1822" s="9"/>
    </row>
    <row r="1823" spans="1:3">
      <c r="A1823" s="10"/>
      <c r="B1823" s="9"/>
      <c r="C1823" s="9"/>
    </row>
    <row r="1824" spans="1:3">
      <c r="A1824" s="10"/>
      <c r="B1824" s="9"/>
      <c r="C1824" s="9"/>
    </row>
    <row r="1825" spans="1:3">
      <c r="A1825" s="10"/>
      <c r="B1825" s="9"/>
      <c r="C1825" s="9"/>
    </row>
    <row r="1826" spans="1:3">
      <c r="A1826" s="10"/>
      <c r="B1826" s="9"/>
      <c r="C1826" s="9"/>
    </row>
    <row r="1827" spans="1:3">
      <c r="A1827" s="10"/>
      <c r="B1827" s="9"/>
      <c r="C1827" s="9"/>
    </row>
    <row r="1828" spans="1:3">
      <c r="A1828" s="10"/>
      <c r="B1828" s="9"/>
      <c r="C1828" s="9"/>
    </row>
    <row r="1829" spans="1:3">
      <c r="A1829" s="10"/>
      <c r="B1829" s="9"/>
      <c r="C1829" s="9"/>
    </row>
    <row r="1830" spans="1:3">
      <c r="A1830" s="10"/>
      <c r="B1830" s="9"/>
      <c r="C1830" s="9"/>
    </row>
    <row r="1831" spans="1:3">
      <c r="A1831" s="10"/>
      <c r="B1831" s="9"/>
      <c r="C1831" s="9"/>
    </row>
    <row r="1832" spans="1:3">
      <c r="A1832" s="10"/>
      <c r="B1832" s="9"/>
      <c r="C1832" s="9"/>
    </row>
    <row r="1833" spans="1:3">
      <c r="A1833" s="10"/>
      <c r="B1833" s="9"/>
      <c r="C1833" s="9"/>
    </row>
    <row r="1834" spans="1:3">
      <c r="A1834" s="10"/>
      <c r="B1834" s="9"/>
      <c r="C1834" s="9"/>
    </row>
    <row r="1835" spans="1:3">
      <c r="A1835" s="10"/>
      <c r="B1835" s="9"/>
      <c r="C1835" s="9"/>
    </row>
    <row r="1836" spans="1:3">
      <c r="A1836" s="10"/>
      <c r="B1836" s="9"/>
      <c r="C1836" s="9"/>
    </row>
    <row r="1837" spans="1:3">
      <c r="A1837" s="10"/>
      <c r="B1837" s="9"/>
      <c r="C1837" s="9"/>
    </row>
    <row r="1838" spans="1:3">
      <c r="A1838" s="10"/>
      <c r="B1838" s="9"/>
      <c r="C1838" s="9"/>
    </row>
    <row r="1839" spans="1:3">
      <c r="A1839" s="10"/>
      <c r="B1839" s="9"/>
      <c r="C1839" s="9"/>
    </row>
    <row r="1840" spans="1:3">
      <c r="A1840" s="10"/>
      <c r="B1840" s="9"/>
      <c r="C1840" s="9"/>
    </row>
    <row r="1841" spans="1:3">
      <c r="A1841" s="10"/>
      <c r="B1841" s="9"/>
      <c r="C1841" s="9"/>
    </row>
    <row r="1842" spans="1:3">
      <c r="A1842" s="10"/>
      <c r="B1842" s="9"/>
      <c r="C1842" s="9"/>
    </row>
    <row r="1843" spans="1:3">
      <c r="A1843" s="10"/>
      <c r="B1843" s="9"/>
      <c r="C1843" s="9"/>
    </row>
    <row r="1844" spans="1:3">
      <c r="A1844" s="10"/>
      <c r="B1844" s="9"/>
      <c r="C1844" s="9"/>
    </row>
    <row r="1845" spans="1:3">
      <c r="A1845" s="10"/>
      <c r="B1845" s="9"/>
      <c r="C1845" s="9"/>
    </row>
    <row r="1846" spans="1:3">
      <c r="A1846" s="10"/>
      <c r="B1846" s="9"/>
      <c r="C1846" s="9"/>
    </row>
    <row r="1847" spans="1:3">
      <c r="A1847" s="10"/>
      <c r="B1847" s="9"/>
      <c r="C1847" s="9"/>
    </row>
    <row r="1848" spans="1:3">
      <c r="A1848" s="10"/>
      <c r="B1848" s="9"/>
      <c r="C1848" s="9"/>
    </row>
    <row r="1849" spans="1:3">
      <c r="A1849" s="10"/>
      <c r="B1849" s="9"/>
      <c r="C1849" s="9"/>
    </row>
    <row r="1850" spans="1:3">
      <c r="A1850" s="10"/>
      <c r="B1850" s="9"/>
      <c r="C1850" s="9"/>
    </row>
    <row r="1851" spans="1:3">
      <c r="A1851" s="10"/>
      <c r="B1851" s="9"/>
      <c r="C1851" s="9"/>
    </row>
    <row r="1852" spans="1:3">
      <c r="A1852" s="10"/>
      <c r="B1852" s="9"/>
      <c r="C1852" s="9"/>
    </row>
    <row r="1853" spans="1:3">
      <c r="A1853" s="10"/>
      <c r="B1853" s="9"/>
      <c r="C1853" s="9"/>
    </row>
    <row r="1854" spans="1:3">
      <c r="A1854" s="10"/>
      <c r="B1854" s="9"/>
      <c r="C1854" s="9"/>
    </row>
    <row r="1855" spans="1:3">
      <c r="A1855" s="10"/>
      <c r="B1855" s="9"/>
      <c r="C1855" s="9"/>
    </row>
    <row r="1856" spans="1:3">
      <c r="A1856" s="10"/>
      <c r="B1856" s="9"/>
      <c r="C1856" s="9"/>
    </row>
    <row r="1857" spans="1:3">
      <c r="A1857" s="10"/>
      <c r="B1857" s="9"/>
      <c r="C1857" s="9"/>
    </row>
    <row r="1858" spans="1:3">
      <c r="A1858" s="10"/>
      <c r="B1858" s="9"/>
      <c r="C1858" s="9"/>
    </row>
    <row r="1859" spans="1:3">
      <c r="A1859" s="10"/>
      <c r="B1859" s="9"/>
      <c r="C1859" s="9"/>
    </row>
    <row r="1860" spans="1:3">
      <c r="A1860" s="10"/>
      <c r="B1860" s="9"/>
      <c r="C1860" s="9"/>
    </row>
    <row r="1861" spans="1:3">
      <c r="A1861" s="10"/>
      <c r="B1861" s="9"/>
      <c r="C1861" s="9"/>
    </row>
    <row r="1862" spans="1:3">
      <c r="A1862" s="10"/>
      <c r="B1862" s="9"/>
      <c r="C1862" s="9"/>
    </row>
    <row r="1863" spans="1:3">
      <c r="A1863" s="10"/>
      <c r="B1863" s="9"/>
      <c r="C1863" s="9"/>
    </row>
    <row r="1864" spans="1:3">
      <c r="A1864" s="10"/>
      <c r="B1864" s="9"/>
      <c r="C1864" s="9"/>
    </row>
    <row r="1865" spans="1:3">
      <c r="A1865" s="10"/>
      <c r="B1865" s="9"/>
      <c r="C1865" s="9"/>
    </row>
    <row r="1866" spans="1:3">
      <c r="A1866" s="10"/>
      <c r="B1866" s="9"/>
      <c r="C1866" s="9"/>
    </row>
    <row r="1867" spans="1:3">
      <c r="A1867" s="10"/>
      <c r="B1867" s="9"/>
      <c r="C1867" s="9"/>
    </row>
    <row r="1868" spans="1:3">
      <c r="A1868" s="10"/>
      <c r="B1868" s="9"/>
      <c r="C1868" s="9"/>
    </row>
    <row r="1869" spans="1:3">
      <c r="A1869" s="10"/>
      <c r="B1869" s="9"/>
      <c r="C1869" s="9"/>
    </row>
    <row r="1870" spans="1:3">
      <c r="A1870" s="10"/>
      <c r="B1870" s="9"/>
      <c r="C1870" s="9"/>
    </row>
    <row r="1871" spans="1:3">
      <c r="A1871" s="10"/>
      <c r="B1871" s="9"/>
      <c r="C1871" s="9"/>
    </row>
    <row r="1872" spans="1:3">
      <c r="A1872" s="10"/>
      <c r="B1872" s="9"/>
      <c r="C1872" s="9"/>
    </row>
    <row r="1873" spans="1:3">
      <c r="A1873" s="10"/>
      <c r="B1873" s="9"/>
      <c r="C1873" s="9"/>
    </row>
    <row r="1874" spans="1:3">
      <c r="A1874" s="10"/>
      <c r="B1874" s="9"/>
      <c r="C1874" s="9"/>
    </row>
    <row r="1875" spans="1:3">
      <c r="A1875" s="10"/>
      <c r="B1875" s="9"/>
      <c r="C1875" s="9"/>
    </row>
    <row r="1876" spans="1:3">
      <c r="A1876" s="10"/>
      <c r="B1876" s="9"/>
      <c r="C1876" s="9"/>
    </row>
    <row r="1877" spans="1:3">
      <c r="A1877" s="10"/>
      <c r="B1877" s="9"/>
      <c r="C1877" s="9"/>
    </row>
    <row r="1878" spans="1:3">
      <c r="A1878" s="10"/>
      <c r="B1878" s="9"/>
      <c r="C1878" s="9"/>
    </row>
    <row r="1879" spans="1:3">
      <c r="A1879" s="10"/>
      <c r="B1879" s="9"/>
      <c r="C1879" s="9"/>
    </row>
    <row r="1880" spans="1:3">
      <c r="A1880" s="10"/>
      <c r="B1880" s="9"/>
      <c r="C1880" s="9"/>
    </row>
    <row r="1881" spans="1:3">
      <c r="A1881" s="10"/>
      <c r="B1881" s="9"/>
      <c r="C1881" s="9"/>
    </row>
    <row r="1882" spans="1:3">
      <c r="A1882" s="10"/>
      <c r="B1882" s="9"/>
      <c r="C1882" s="9"/>
    </row>
    <row r="1883" spans="1:3">
      <c r="A1883" s="10"/>
      <c r="B1883" s="9"/>
      <c r="C1883" s="9"/>
    </row>
    <row r="1884" spans="1:3">
      <c r="A1884" s="10"/>
      <c r="B1884" s="9"/>
      <c r="C1884" s="9"/>
    </row>
    <row r="1885" spans="1:3">
      <c r="A1885" s="10"/>
      <c r="B1885" s="9"/>
      <c r="C1885" s="9"/>
    </row>
    <row r="1886" spans="1:3">
      <c r="A1886" s="10"/>
      <c r="B1886" s="9"/>
      <c r="C1886" s="9"/>
    </row>
    <row r="1887" spans="1:3">
      <c r="A1887" s="10"/>
      <c r="B1887" s="9"/>
      <c r="C1887" s="9"/>
    </row>
    <row r="1888" spans="1:3">
      <c r="A1888" s="10"/>
      <c r="B1888" s="9"/>
      <c r="C1888" s="9"/>
    </row>
    <row r="1889" spans="1:3">
      <c r="A1889" s="10"/>
      <c r="B1889" s="9"/>
      <c r="C1889" s="9"/>
    </row>
    <row r="1890" spans="1:3">
      <c r="A1890" s="10"/>
      <c r="B1890" s="9"/>
      <c r="C1890" s="9"/>
    </row>
    <row r="1891" spans="1:3">
      <c r="A1891" s="10"/>
      <c r="B1891" s="9"/>
      <c r="C1891" s="9"/>
    </row>
    <row r="1892" spans="1:3">
      <c r="A1892" s="10"/>
      <c r="B1892" s="9"/>
      <c r="C1892" s="9"/>
    </row>
    <row r="1893" spans="1:3">
      <c r="A1893" s="10"/>
      <c r="B1893" s="9"/>
      <c r="C1893" s="9"/>
    </row>
    <row r="1894" spans="1:3">
      <c r="A1894" s="10"/>
      <c r="B1894" s="9"/>
      <c r="C1894" s="9"/>
    </row>
    <row r="1895" spans="1:3">
      <c r="A1895" s="10"/>
      <c r="B1895" s="9"/>
      <c r="C1895" s="9"/>
    </row>
    <row r="1896" spans="1:3">
      <c r="A1896" s="10"/>
      <c r="B1896" s="9"/>
      <c r="C1896" s="9"/>
    </row>
    <row r="1897" spans="1:3">
      <c r="A1897" s="10"/>
      <c r="B1897" s="9"/>
      <c r="C1897" s="9"/>
    </row>
    <row r="1898" spans="1:3">
      <c r="A1898" s="10"/>
      <c r="B1898" s="9"/>
      <c r="C1898" s="9"/>
    </row>
    <row r="1899" spans="1:3">
      <c r="A1899" s="10"/>
      <c r="B1899" s="9"/>
      <c r="C1899" s="9"/>
    </row>
    <row r="1900" spans="1:3">
      <c r="A1900" s="10"/>
      <c r="B1900" s="9"/>
      <c r="C1900" s="9"/>
    </row>
    <row r="1901" spans="1:3">
      <c r="A1901" s="10"/>
      <c r="B1901" s="9"/>
      <c r="C1901" s="9"/>
    </row>
    <row r="1902" spans="1:3">
      <c r="A1902" s="10"/>
      <c r="B1902" s="9"/>
      <c r="C1902" s="9"/>
    </row>
    <row r="1903" spans="1:3">
      <c r="A1903" s="10"/>
      <c r="B1903" s="9"/>
      <c r="C1903" s="9"/>
    </row>
    <row r="1904" spans="1:3">
      <c r="A1904" s="10"/>
      <c r="B1904" s="9"/>
      <c r="C1904" s="9"/>
    </row>
    <row r="1905" spans="1:3">
      <c r="A1905" s="10"/>
      <c r="B1905" s="9"/>
      <c r="C1905" s="9"/>
    </row>
    <row r="1906" spans="1:3">
      <c r="A1906" s="10"/>
      <c r="B1906" s="9"/>
      <c r="C1906" s="9"/>
    </row>
    <row r="1907" spans="1:3">
      <c r="A1907" s="10"/>
      <c r="B1907" s="9"/>
      <c r="C1907" s="9"/>
    </row>
    <row r="1908" spans="1:3">
      <c r="A1908" s="10"/>
      <c r="B1908" s="9"/>
      <c r="C1908" s="9"/>
    </row>
    <row r="1909" spans="1:3">
      <c r="A1909" s="10"/>
      <c r="B1909" s="9"/>
      <c r="C1909" s="9"/>
    </row>
    <row r="1910" spans="1:3">
      <c r="A1910" s="10"/>
      <c r="B1910" s="9"/>
      <c r="C1910" s="9"/>
    </row>
    <row r="1911" spans="1:3">
      <c r="A1911" s="10"/>
      <c r="B1911" s="9"/>
      <c r="C1911" s="9"/>
    </row>
    <row r="1912" spans="1:3">
      <c r="A1912" s="10"/>
      <c r="B1912" s="9"/>
      <c r="C1912" s="9"/>
    </row>
    <row r="1913" spans="1:3">
      <c r="A1913" s="10"/>
      <c r="B1913" s="9"/>
      <c r="C1913" s="9"/>
    </row>
    <row r="1914" spans="1:3">
      <c r="A1914" s="10"/>
      <c r="B1914" s="9"/>
      <c r="C1914" s="9"/>
    </row>
    <row r="1915" spans="1:3">
      <c r="A1915" s="10"/>
      <c r="B1915" s="9"/>
      <c r="C1915" s="9"/>
    </row>
    <row r="1916" spans="1:3">
      <c r="A1916" s="10"/>
      <c r="B1916" s="9"/>
      <c r="C1916" s="9"/>
    </row>
    <row r="1917" spans="1:3">
      <c r="A1917" s="10"/>
      <c r="B1917" s="9"/>
      <c r="C1917" s="9"/>
    </row>
    <row r="1918" spans="1:3">
      <c r="A1918" s="10"/>
      <c r="B1918" s="9"/>
      <c r="C1918" s="9"/>
    </row>
    <row r="1919" spans="1:3">
      <c r="A1919" s="10"/>
      <c r="B1919" s="9"/>
      <c r="C1919" s="9"/>
    </row>
    <row r="1920" spans="1:3">
      <c r="A1920" s="10"/>
      <c r="B1920" s="9"/>
      <c r="C1920" s="9"/>
    </row>
    <row r="1921" spans="1:3">
      <c r="A1921" s="10"/>
      <c r="B1921" s="9"/>
      <c r="C1921" s="9"/>
    </row>
    <row r="1922" spans="1:3">
      <c r="A1922" s="10"/>
      <c r="B1922" s="9"/>
      <c r="C1922" s="9"/>
    </row>
    <row r="1923" spans="1:3">
      <c r="A1923" s="10"/>
      <c r="B1923" s="9"/>
      <c r="C1923" s="9"/>
    </row>
    <row r="1924" spans="1:3">
      <c r="A1924" s="10"/>
      <c r="B1924" s="9"/>
      <c r="C1924" s="9"/>
    </row>
    <row r="1925" spans="1:3">
      <c r="A1925" s="10"/>
      <c r="B1925" s="9"/>
      <c r="C1925" s="9"/>
    </row>
    <row r="1926" spans="1:3">
      <c r="A1926" s="10"/>
      <c r="B1926" s="9"/>
      <c r="C1926" s="9"/>
    </row>
    <row r="1927" spans="1:3">
      <c r="A1927" s="10"/>
      <c r="B1927" s="9"/>
      <c r="C1927" s="9"/>
    </row>
    <row r="1928" spans="1:3">
      <c r="A1928" s="10"/>
      <c r="B1928" s="9"/>
      <c r="C1928" s="9"/>
    </row>
    <row r="1929" spans="1:3">
      <c r="A1929" s="10"/>
      <c r="B1929" s="9"/>
      <c r="C1929" s="9"/>
    </row>
    <row r="1930" spans="1:3">
      <c r="A1930" s="10"/>
      <c r="B1930" s="9"/>
      <c r="C1930" s="9"/>
    </row>
    <row r="1931" spans="1:3">
      <c r="A1931" s="10"/>
      <c r="B1931" s="9"/>
      <c r="C1931" s="9"/>
    </row>
    <row r="1932" spans="1:3">
      <c r="A1932" s="10"/>
      <c r="B1932" s="9"/>
      <c r="C1932" s="9"/>
    </row>
    <row r="1933" spans="1:3">
      <c r="A1933" s="10"/>
      <c r="B1933" s="9"/>
      <c r="C1933" s="9"/>
    </row>
    <row r="1934" spans="1:3">
      <c r="A1934" s="10"/>
      <c r="B1934" s="9"/>
      <c r="C1934" s="9"/>
    </row>
    <row r="1935" spans="1:3">
      <c r="A1935" s="10"/>
      <c r="B1935" s="9"/>
      <c r="C1935" s="9"/>
    </row>
    <row r="1936" spans="1:3">
      <c r="A1936" s="10"/>
      <c r="B1936" s="9"/>
      <c r="C1936" s="9"/>
    </row>
    <row r="1937" spans="1:3">
      <c r="A1937" s="10"/>
      <c r="B1937" s="9"/>
      <c r="C1937" s="9"/>
    </row>
    <row r="1938" spans="1:3">
      <c r="A1938" s="10"/>
      <c r="B1938" s="9"/>
      <c r="C1938" s="9"/>
    </row>
    <row r="1939" spans="1:3">
      <c r="A1939" s="10"/>
      <c r="B1939" s="9"/>
      <c r="C1939" s="9"/>
    </row>
    <row r="1940" spans="1:3">
      <c r="A1940" s="10"/>
      <c r="B1940" s="9"/>
      <c r="C1940" s="9"/>
    </row>
    <row r="1941" spans="1:3">
      <c r="A1941" s="10"/>
      <c r="B1941" s="9"/>
      <c r="C1941" s="9"/>
    </row>
    <row r="1942" spans="1:3">
      <c r="A1942" s="10"/>
      <c r="B1942" s="9"/>
      <c r="C1942" s="9"/>
    </row>
    <row r="1943" spans="1:3">
      <c r="A1943" s="10"/>
      <c r="B1943" s="9"/>
      <c r="C1943" s="9"/>
    </row>
    <row r="1944" spans="1:3">
      <c r="A1944" s="10"/>
      <c r="B1944" s="9"/>
      <c r="C1944" s="9"/>
    </row>
    <row r="1945" spans="1:3">
      <c r="A1945" s="10"/>
      <c r="B1945" s="9"/>
      <c r="C1945" s="9"/>
    </row>
    <row r="1946" spans="1:3">
      <c r="A1946" s="10"/>
      <c r="B1946" s="9"/>
      <c r="C1946" s="9"/>
    </row>
    <row r="1947" spans="1:3">
      <c r="A1947" s="10"/>
      <c r="B1947" s="9"/>
      <c r="C1947" s="9"/>
    </row>
    <row r="1948" spans="1:3">
      <c r="A1948" s="10"/>
      <c r="B1948" s="9"/>
      <c r="C1948" s="9"/>
    </row>
    <row r="1949" spans="1:3">
      <c r="A1949" s="10"/>
      <c r="B1949" s="9"/>
      <c r="C1949" s="9"/>
    </row>
    <row r="1950" spans="1:3">
      <c r="A1950" s="10"/>
      <c r="B1950" s="9"/>
      <c r="C1950" s="9"/>
    </row>
    <row r="1951" spans="1:3">
      <c r="A1951" s="10"/>
      <c r="B1951" s="9"/>
      <c r="C1951" s="9"/>
    </row>
    <row r="1952" spans="1:3">
      <c r="A1952" s="10"/>
      <c r="B1952" s="9"/>
      <c r="C1952" s="9"/>
    </row>
    <row r="1953" spans="1:3">
      <c r="A1953" s="10"/>
      <c r="B1953" s="9"/>
      <c r="C1953" s="9"/>
    </row>
    <row r="1954" spans="1:3">
      <c r="A1954" s="10"/>
      <c r="B1954" s="9"/>
      <c r="C1954" s="9"/>
    </row>
    <row r="1955" spans="1:3">
      <c r="A1955" s="10"/>
      <c r="B1955" s="9"/>
      <c r="C1955" s="9"/>
    </row>
    <row r="1956" spans="1:3">
      <c r="A1956" s="10"/>
      <c r="B1956" s="9"/>
      <c r="C1956" s="9"/>
    </row>
    <row r="1957" spans="1:3">
      <c r="A1957" s="10"/>
      <c r="B1957" s="9"/>
      <c r="C1957" s="9"/>
    </row>
    <row r="1958" spans="1:3">
      <c r="A1958" s="10"/>
      <c r="B1958" s="9"/>
      <c r="C1958" s="9"/>
    </row>
    <row r="1959" spans="1:3">
      <c r="A1959" s="10"/>
      <c r="B1959" s="9"/>
      <c r="C1959" s="9"/>
    </row>
    <row r="1960" spans="1:3">
      <c r="A1960" s="10"/>
      <c r="B1960" s="9"/>
      <c r="C1960" s="9"/>
    </row>
    <row r="1961" spans="1:3">
      <c r="A1961" s="10"/>
      <c r="B1961" s="9"/>
      <c r="C1961" s="9"/>
    </row>
    <row r="1962" spans="1:3">
      <c r="A1962" s="10"/>
      <c r="B1962" s="9"/>
      <c r="C1962" s="9"/>
    </row>
    <row r="1963" spans="1:3">
      <c r="A1963" s="10"/>
      <c r="B1963" s="9"/>
      <c r="C1963" s="9"/>
    </row>
    <row r="1964" spans="1:3">
      <c r="A1964" s="10"/>
      <c r="B1964" s="9"/>
      <c r="C1964" s="9"/>
    </row>
    <row r="1965" spans="1:3">
      <c r="A1965" s="10"/>
      <c r="B1965" s="9"/>
      <c r="C1965" s="9"/>
    </row>
    <row r="1966" spans="1:3">
      <c r="A1966" s="10"/>
      <c r="B1966" s="9"/>
      <c r="C1966" s="9"/>
    </row>
    <row r="1967" spans="1:3">
      <c r="A1967" s="10"/>
      <c r="B1967" s="9"/>
      <c r="C1967" s="9"/>
    </row>
    <row r="1968" spans="1:3">
      <c r="A1968" s="10"/>
      <c r="B1968" s="9"/>
      <c r="C1968" s="9"/>
    </row>
    <row r="1969" spans="1:3">
      <c r="A1969" s="10"/>
      <c r="B1969" s="9"/>
      <c r="C1969" s="9"/>
    </row>
    <row r="1970" spans="1:3">
      <c r="A1970" s="10"/>
      <c r="B1970" s="9"/>
      <c r="C1970" s="9"/>
    </row>
    <row r="1971" spans="1:3">
      <c r="A1971" s="10"/>
      <c r="B1971" s="9"/>
      <c r="C1971" s="9"/>
    </row>
    <row r="1972" spans="1:3">
      <c r="A1972" s="10"/>
      <c r="B1972" s="9"/>
      <c r="C1972" s="9"/>
    </row>
    <row r="1973" spans="1:3">
      <c r="A1973" s="10"/>
      <c r="B1973" s="9"/>
      <c r="C1973" s="9"/>
    </row>
    <row r="1974" spans="1:3">
      <c r="A1974" s="10"/>
      <c r="B1974" s="9"/>
      <c r="C1974" s="9"/>
    </row>
    <row r="1975" spans="1:3">
      <c r="A1975" s="10"/>
      <c r="B1975" s="9"/>
      <c r="C1975" s="9"/>
    </row>
    <row r="1976" spans="1:3">
      <c r="A1976" s="10"/>
      <c r="B1976" s="9"/>
      <c r="C1976" s="9"/>
    </row>
    <row r="1977" spans="1:3">
      <c r="A1977" s="10"/>
      <c r="B1977" s="9"/>
      <c r="C1977" s="9"/>
    </row>
    <row r="1978" spans="1:3">
      <c r="A1978" s="10"/>
      <c r="B1978" s="9"/>
      <c r="C1978" s="9"/>
    </row>
    <row r="1979" spans="1:3">
      <c r="A1979" s="10"/>
      <c r="B1979" s="9"/>
      <c r="C1979" s="9"/>
    </row>
    <row r="1980" spans="1:3">
      <c r="A1980" s="10"/>
      <c r="B1980" s="9"/>
      <c r="C1980" s="9"/>
    </row>
    <row r="1981" spans="1:3">
      <c r="A1981" s="10"/>
      <c r="B1981" s="9"/>
      <c r="C1981" s="9"/>
    </row>
    <row r="1982" spans="1:3">
      <c r="A1982" s="10"/>
      <c r="B1982" s="9"/>
      <c r="C1982" s="9"/>
    </row>
    <row r="1983" spans="1:3">
      <c r="A1983" s="10"/>
      <c r="B1983" s="9"/>
      <c r="C1983" s="9"/>
    </row>
    <row r="1984" spans="1:3">
      <c r="A1984" s="10"/>
      <c r="B1984" s="9"/>
      <c r="C1984" s="9"/>
    </row>
    <row r="1985" spans="1:3">
      <c r="A1985" s="10"/>
      <c r="B1985" s="9"/>
      <c r="C1985" s="9"/>
    </row>
    <row r="1986" spans="1:3">
      <c r="A1986" s="10"/>
      <c r="B1986" s="9"/>
      <c r="C1986" s="9"/>
    </row>
    <row r="1987" spans="1:3">
      <c r="A1987" s="10"/>
      <c r="B1987" s="9"/>
      <c r="C1987" s="9"/>
    </row>
    <row r="1988" spans="1:3">
      <c r="A1988" s="10"/>
      <c r="B1988" s="9"/>
      <c r="C1988" s="9"/>
    </row>
    <row r="1989" spans="1:3">
      <c r="A1989" s="10"/>
      <c r="B1989" s="9"/>
      <c r="C1989" s="9"/>
    </row>
    <row r="1990" spans="1:3">
      <c r="A1990" s="10"/>
      <c r="B1990" s="9"/>
      <c r="C1990" s="9"/>
    </row>
    <row r="1991" spans="1:3">
      <c r="A1991" s="10"/>
      <c r="B1991" s="9"/>
      <c r="C1991" s="9"/>
    </row>
    <row r="1992" spans="1:3">
      <c r="A1992" s="10"/>
      <c r="B1992" s="9"/>
      <c r="C1992" s="9"/>
    </row>
    <row r="1993" spans="1:3">
      <c r="A1993" s="10"/>
      <c r="B1993" s="9"/>
      <c r="C1993" s="9"/>
    </row>
    <row r="1994" spans="1:3">
      <c r="A1994" s="10"/>
      <c r="B1994" s="9"/>
      <c r="C1994" s="9"/>
    </row>
    <row r="1995" spans="1:3">
      <c r="A1995" s="10"/>
      <c r="B1995" s="9"/>
      <c r="C1995" s="9"/>
    </row>
    <row r="1996" spans="1:3">
      <c r="A1996" s="10"/>
      <c r="B1996" s="9"/>
      <c r="C1996" s="9"/>
    </row>
    <row r="1997" spans="1:3">
      <c r="A1997" s="10"/>
      <c r="B1997" s="9"/>
      <c r="C1997" s="9"/>
    </row>
    <row r="1998" spans="1:3">
      <c r="A1998" s="10"/>
      <c r="B1998" s="9"/>
      <c r="C1998" s="9"/>
    </row>
    <row r="1999" spans="1:3">
      <c r="A1999" s="10"/>
      <c r="B1999" s="9"/>
      <c r="C1999" s="9"/>
    </row>
    <row r="2000" spans="1:3">
      <c r="A2000" s="10"/>
      <c r="B2000" s="9"/>
      <c r="C2000" s="9"/>
    </row>
    <row r="2001" spans="1:3">
      <c r="A2001" s="10"/>
      <c r="B2001" s="9"/>
      <c r="C2001" s="9"/>
    </row>
    <row r="2002" spans="1:3">
      <c r="A2002" s="10"/>
      <c r="B2002" s="9"/>
      <c r="C2002" s="9"/>
    </row>
    <row r="2003" spans="1:3">
      <c r="A2003" s="10"/>
      <c r="B2003" s="9"/>
      <c r="C2003" s="9"/>
    </row>
    <row r="2004" spans="1:3">
      <c r="A2004" s="10"/>
      <c r="B2004" s="9"/>
      <c r="C2004" s="9"/>
    </row>
    <row r="2005" spans="1:3">
      <c r="A2005" s="10"/>
      <c r="B2005" s="9"/>
      <c r="C2005" s="9"/>
    </row>
    <row r="2006" spans="1:3">
      <c r="A2006" s="10"/>
      <c r="B2006" s="9"/>
      <c r="C2006" s="9"/>
    </row>
    <row r="2007" spans="1:3">
      <c r="A2007" s="10"/>
      <c r="B2007" s="9"/>
      <c r="C2007" s="9"/>
    </row>
    <row r="2008" spans="1:3">
      <c r="A2008" s="10"/>
      <c r="B2008" s="9"/>
      <c r="C2008" s="9"/>
    </row>
    <row r="2009" spans="1:3">
      <c r="A2009" s="10"/>
      <c r="B2009" s="9"/>
      <c r="C2009" s="9"/>
    </row>
    <row r="2010" spans="1:3">
      <c r="A2010" s="10"/>
      <c r="B2010" s="9"/>
      <c r="C2010" s="9"/>
    </row>
    <row r="2011" spans="1:3">
      <c r="A2011" s="10"/>
      <c r="B2011" s="9"/>
      <c r="C2011" s="9"/>
    </row>
    <row r="2012" spans="1:3">
      <c r="A2012" s="10"/>
      <c r="B2012" s="9"/>
      <c r="C2012" s="9"/>
    </row>
    <row r="2013" spans="1:3">
      <c r="A2013" s="10"/>
      <c r="B2013" s="9"/>
      <c r="C2013" s="9"/>
    </row>
    <row r="2014" spans="1:3">
      <c r="A2014" s="10"/>
      <c r="B2014" s="9"/>
      <c r="C2014" s="9"/>
    </row>
    <row r="2015" spans="1:3">
      <c r="A2015" s="10"/>
      <c r="B2015" s="9"/>
      <c r="C2015" s="9"/>
    </row>
    <row r="2016" spans="1:3">
      <c r="A2016" s="10"/>
      <c r="B2016" s="9"/>
      <c r="C2016" s="9"/>
    </row>
    <row r="2017" spans="1:3">
      <c r="A2017" s="10"/>
      <c r="B2017" s="9"/>
      <c r="C2017" s="9"/>
    </row>
    <row r="2018" spans="1:3">
      <c r="A2018" s="10"/>
      <c r="B2018" s="9"/>
      <c r="C2018" s="9"/>
    </row>
    <row r="2019" spans="1:3">
      <c r="A2019" s="10"/>
      <c r="B2019" s="9"/>
      <c r="C2019" s="9"/>
    </row>
    <row r="2020" spans="1:3">
      <c r="A2020" s="10"/>
      <c r="B2020" s="9"/>
      <c r="C2020" s="9"/>
    </row>
    <row r="2021" spans="1:3">
      <c r="A2021" s="10"/>
      <c r="B2021" s="9"/>
      <c r="C2021" s="9"/>
    </row>
    <row r="2022" spans="1:3">
      <c r="A2022" s="10"/>
      <c r="B2022" s="9"/>
      <c r="C2022" s="9"/>
    </row>
    <row r="2023" spans="1:3">
      <c r="A2023" s="10"/>
      <c r="B2023" s="9"/>
      <c r="C2023" s="9"/>
    </row>
    <row r="2024" spans="1:3">
      <c r="A2024" s="10"/>
      <c r="B2024" s="9"/>
      <c r="C2024" s="9"/>
    </row>
    <row r="2025" spans="1:3">
      <c r="A2025" s="10"/>
      <c r="B2025" s="9"/>
      <c r="C2025" s="9"/>
    </row>
    <row r="2026" spans="1:3">
      <c r="A2026" s="10"/>
      <c r="B2026" s="9"/>
      <c r="C2026" s="9"/>
    </row>
    <row r="2027" spans="1:3">
      <c r="A2027" s="10"/>
      <c r="B2027" s="9"/>
      <c r="C2027" s="9"/>
    </row>
    <row r="2028" spans="1:3">
      <c r="A2028" s="10"/>
      <c r="B2028" s="9"/>
      <c r="C2028" s="9"/>
    </row>
    <row r="2029" spans="1:3">
      <c r="A2029" s="10"/>
      <c r="B2029" s="9"/>
      <c r="C2029" s="9"/>
    </row>
    <row r="2030" spans="1:3">
      <c r="A2030" s="10"/>
      <c r="B2030" s="9"/>
      <c r="C2030" s="9"/>
    </row>
    <row r="2031" spans="1:3">
      <c r="A2031" s="10"/>
      <c r="B2031" s="9"/>
      <c r="C2031" s="9"/>
    </row>
    <row r="2032" spans="1:3">
      <c r="A2032" s="10"/>
      <c r="B2032" s="9"/>
      <c r="C2032" s="9"/>
    </row>
    <row r="2033" spans="1:3">
      <c r="A2033" s="10"/>
      <c r="B2033" s="9"/>
      <c r="C2033" s="9"/>
    </row>
    <row r="2034" spans="1:3">
      <c r="A2034" s="10"/>
      <c r="B2034" s="9"/>
      <c r="C2034" s="9"/>
    </row>
    <row r="2035" spans="1:3">
      <c r="A2035" s="10"/>
      <c r="B2035" s="9"/>
      <c r="C2035" s="9"/>
    </row>
    <row r="2036" spans="1:3">
      <c r="A2036" s="10"/>
      <c r="B2036" s="9"/>
      <c r="C2036" s="9"/>
    </row>
    <row r="2037" spans="1:3">
      <c r="A2037" s="10"/>
      <c r="B2037" s="9"/>
      <c r="C2037" s="9"/>
    </row>
    <row r="2038" spans="1:3">
      <c r="A2038" s="10"/>
      <c r="B2038" s="9"/>
      <c r="C2038" s="9"/>
    </row>
    <row r="2039" spans="1:3">
      <c r="A2039" s="10"/>
      <c r="B2039" s="9"/>
      <c r="C2039" s="9"/>
    </row>
    <row r="2040" spans="1:3">
      <c r="A2040" s="10"/>
      <c r="B2040" s="9"/>
      <c r="C2040" s="9"/>
    </row>
    <row r="2041" spans="1:3">
      <c r="A2041" s="10"/>
      <c r="B2041" s="9"/>
      <c r="C2041" s="9"/>
    </row>
    <row r="2042" spans="1:3">
      <c r="A2042" s="10"/>
      <c r="B2042" s="9"/>
      <c r="C2042" s="9"/>
    </row>
    <row r="2043" spans="1:3">
      <c r="A2043" s="10"/>
      <c r="B2043" s="9"/>
      <c r="C2043" s="9"/>
    </row>
    <row r="2044" spans="1:3">
      <c r="A2044" s="10"/>
      <c r="B2044" s="9"/>
      <c r="C2044" s="9"/>
    </row>
    <row r="2045" spans="1:3">
      <c r="A2045" s="10"/>
      <c r="B2045" s="9"/>
      <c r="C2045" s="9"/>
    </row>
    <row r="2046" spans="1:3">
      <c r="A2046" s="10"/>
      <c r="B2046" s="9"/>
      <c r="C2046" s="9"/>
    </row>
    <row r="2047" spans="1:3">
      <c r="A2047" s="10"/>
      <c r="B2047" s="9"/>
      <c r="C2047" s="9"/>
    </row>
    <row r="2048" spans="1:3">
      <c r="A2048" s="10"/>
      <c r="B2048" s="9"/>
      <c r="C2048" s="9"/>
    </row>
    <row r="2049" spans="1:3">
      <c r="A2049" s="10"/>
      <c r="B2049" s="9"/>
      <c r="C2049" s="9"/>
    </row>
    <row r="2050" spans="1:3">
      <c r="A2050" s="10"/>
      <c r="B2050" s="9"/>
      <c r="C2050" s="9"/>
    </row>
    <row r="2051" spans="1:3">
      <c r="A2051" s="10"/>
      <c r="B2051" s="9"/>
      <c r="C2051" s="9"/>
    </row>
    <row r="2052" spans="1:3">
      <c r="A2052" s="10"/>
      <c r="B2052" s="9"/>
      <c r="C2052" s="9"/>
    </row>
    <row r="2053" spans="1:3">
      <c r="A2053" s="10"/>
      <c r="B2053" s="9"/>
      <c r="C2053" s="9"/>
    </row>
    <row r="2054" spans="1:3">
      <c r="A2054" s="10"/>
      <c r="B2054" s="9"/>
      <c r="C2054" s="9"/>
    </row>
    <row r="2055" spans="1:3">
      <c r="A2055" s="10"/>
      <c r="B2055" s="9"/>
      <c r="C2055" s="9"/>
    </row>
    <row r="2056" spans="1:3">
      <c r="A2056" s="10"/>
      <c r="B2056" s="9"/>
      <c r="C2056" s="9"/>
    </row>
    <row r="2057" spans="1:3">
      <c r="A2057" s="10"/>
      <c r="B2057" s="9"/>
      <c r="C2057" s="9"/>
    </row>
    <row r="2058" spans="1:3">
      <c r="A2058" s="10"/>
      <c r="B2058" s="9"/>
      <c r="C2058" s="9"/>
    </row>
    <row r="2059" spans="1:3">
      <c r="A2059" s="10"/>
      <c r="B2059" s="9"/>
      <c r="C2059" s="9"/>
    </row>
    <row r="2060" spans="1:3">
      <c r="A2060" s="10"/>
      <c r="B2060" s="9"/>
      <c r="C2060" s="9"/>
    </row>
    <row r="2061" spans="1:3">
      <c r="A2061" s="10"/>
      <c r="B2061" s="9"/>
      <c r="C2061" s="9"/>
    </row>
    <row r="2062" spans="1:3">
      <c r="A2062" s="10"/>
      <c r="B2062" s="9"/>
      <c r="C2062" s="9"/>
    </row>
    <row r="2063" spans="1:3">
      <c r="A2063" s="10"/>
      <c r="B2063" s="9"/>
      <c r="C2063" s="9"/>
    </row>
    <row r="2064" spans="1:3">
      <c r="A2064" s="10"/>
      <c r="B2064" s="9"/>
      <c r="C2064" s="9"/>
    </row>
    <row r="2065" spans="1:3">
      <c r="A2065" s="10"/>
      <c r="B2065" s="9"/>
      <c r="C2065" s="9"/>
    </row>
    <row r="2066" spans="1:3">
      <c r="A2066" s="10"/>
      <c r="B2066" s="9"/>
      <c r="C2066" s="9"/>
    </row>
    <row r="2067" spans="1:3">
      <c r="A2067" s="10"/>
      <c r="B2067" s="9"/>
      <c r="C2067" s="9"/>
    </row>
    <row r="2068" spans="1:3">
      <c r="A2068" s="10"/>
      <c r="B2068" s="9"/>
      <c r="C2068" s="9"/>
    </row>
    <row r="2069" spans="1:3">
      <c r="A2069" s="10"/>
      <c r="B2069" s="9"/>
      <c r="C2069" s="9"/>
    </row>
    <row r="2070" spans="1:3">
      <c r="A2070" s="10"/>
      <c r="B2070" s="9"/>
      <c r="C2070" s="9"/>
    </row>
    <row r="2071" spans="1:3">
      <c r="A2071" s="10"/>
      <c r="B2071" s="9"/>
      <c r="C2071" s="9"/>
    </row>
    <row r="2072" spans="1:3">
      <c r="A2072" s="10"/>
      <c r="B2072" s="9"/>
      <c r="C2072" s="9"/>
    </row>
    <row r="2073" spans="1:3">
      <c r="A2073" s="10"/>
      <c r="B2073" s="9"/>
      <c r="C2073" s="9"/>
    </row>
    <row r="2074" spans="1:3">
      <c r="A2074" s="10"/>
      <c r="B2074" s="9"/>
      <c r="C2074" s="9"/>
    </row>
    <row r="2075" spans="1:3">
      <c r="A2075" s="10"/>
      <c r="B2075" s="9"/>
      <c r="C2075" s="9"/>
    </row>
    <row r="2076" spans="1:3">
      <c r="A2076" s="10"/>
      <c r="B2076" s="9"/>
      <c r="C2076" s="9"/>
    </row>
    <row r="2077" spans="1:3">
      <c r="A2077" s="10"/>
      <c r="B2077" s="9"/>
      <c r="C2077" s="9"/>
    </row>
    <row r="2078" spans="1:3">
      <c r="A2078" s="10"/>
      <c r="B2078" s="9"/>
      <c r="C2078" s="9"/>
    </row>
    <row r="2079" spans="1:3">
      <c r="A2079" s="10"/>
      <c r="B2079" s="9"/>
      <c r="C2079" s="9"/>
    </row>
    <row r="2080" spans="1:3">
      <c r="A2080" s="10"/>
      <c r="B2080" s="9"/>
      <c r="C2080" s="9"/>
    </row>
    <row r="2081" spans="1:3">
      <c r="A2081" s="10"/>
      <c r="B2081" s="9"/>
      <c r="C2081" s="9"/>
    </row>
    <row r="2082" spans="1:3">
      <c r="A2082" s="10"/>
      <c r="B2082" s="9"/>
      <c r="C2082" s="9"/>
    </row>
    <row r="2083" spans="1:3">
      <c r="A2083" s="10"/>
      <c r="B2083" s="9"/>
      <c r="C2083" s="9"/>
    </row>
    <row r="2084" spans="1:3">
      <c r="A2084" s="10"/>
      <c r="B2084" s="9"/>
      <c r="C2084" s="9"/>
    </row>
    <row r="2085" spans="1:3">
      <c r="A2085" s="10"/>
      <c r="B2085" s="9"/>
      <c r="C2085" s="9"/>
    </row>
    <row r="2086" spans="1:3">
      <c r="A2086" s="10"/>
      <c r="B2086" s="9"/>
      <c r="C2086" s="9"/>
    </row>
    <row r="2087" spans="1:3">
      <c r="A2087" s="10"/>
      <c r="B2087" s="9"/>
      <c r="C2087" s="9"/>
    </row>
    <row r="2088" spans="1:3">
      <c r="A2088" s="10"/>
      <c r="B2088" s="9"/>
      <c r="C2088" s="9"/>
    </row>
    <row r="2089" spans="1:3">
      <c r="A2089" s="10"/>
      <c r="B2089" s="9"/>
      <c r="C2089" s="9"/>
    </row>
    <row r="2090" spans="1:3">
      <c r="A2090" s="10"/>
      <c r="B2090" s="9"/>
      <c r="C2090" s="9"/>
    </row>
    <row r="2091" spans="1:3">
      <c r="A2091" s="10"/>
      <c r="B2091" s="9"/>
      <c r="C2091" s="9"/>
    </row>
    <row r="2092" spans="1:3">
      <c r="A2092" s="10"/>
      <c r="B2092" s="9"/>
      <c r="C2092" s="9"/>
    </row>
    <row r="2093" spans="1:3">
      <c r="A2093" s="10"/>
      <c r="B2093" s="9"/>
      <c r="C2093" s="9"/>
    </row>
    <row r="2094" spans="1:3">
      <c r="A2094" s="10"/>
      <c r="B2094" s="9"/>
      <c r="C2094" s="9"/>
    </row>
    <row r="2095" spans="1:3">
      <c r="A2095" s="10"/>
      <c r="B2095" s="9"/>
      <c r="C2095" s="9"/>
    </row>
    <row r="2096" spans="1:3">
      <c r="A2096" s="10"/>
      <c r="B2096" s="9"/>
      <c r="C2096" s="9"/>
    </row>
    <row r="2097" spans="1:3">
      <c r="A2097" s="10"/>
      <c r="B2097" s="9"/>
      <c r="C2097" s="9"/>
    </row>
    <row r="2098" spans="1:3">
      <c r="A2098" s="10"/>
      <c r="B2098" s="9"/>
      <c r="C2098" s="9"/>
    </row>
    <row r="2099" spans="1:3">
      <c r="A2099" s="10"/>
      <c r="B2099" s="9"/>
      <c r="C2099" s="9"/>
    </row>
    <row r="2100" spans="1:3">
      <c r="A2100" s="10"/>
      <c r="B2100" s="9"/>
      <c r="C2100" s="9"/>
    </row>
    <row r="2101" spans="1:3">
      <c r="A2101" s="10"/>
      <c r="B2101" s="9"/>
      <c r="C2101" s="9"/>
    </row>
    <row r="2102" spans="1:3">
      <c r="A2102" s="10"/>
      <c r="B2102" s="9"/>
      <c r="C2102" s="9"/>
    </row>
    <row r="2103" spans="1:3">
      <c r="A2103" s="10"/>
      <c r="B2103" s="9"/>
      <c r="C2103" s="9"/>
    </row>
    <row r="2104" spans="1:3">
      <c r="A2104" s="10"/>
      <c r="B2104" s="9"/>
      <c r="C2104" s="9"/>
    </row>
    <row r="2105" spans="1:3">
      <c r="A2105" s="10"/>
      <c r="B2105" s="9"/>
      <c r="C2105" s="9"/>
    </row>
    <row r="2106" spans="1:3">
      <c r="A2106" s="10"/>
      <c r="B2106" s="9"/>
      <c r="C2106" s="9"/>
    </row>
    <row r="2107" spans="1:3">
      <c r="A2107" s="10"/>
      <c r="B2107" s="9"/>
      <c r="C2107" s="9"/>
    </row>
    <row r="2108" spans="1:3">
      <c r="A2108" s="10"/>
      <c r="B2108" s="9"/>
      <c r="C2108" s="9"/>
    </row>
    <row r="2109" spans="1:3">
      <c r="A2109" s="10"/>
      <c r="B2109" s="9"/>
      <c r="C2109" s="9"/>
    </row>
    <row r="2110" spans="1:3">
      <c r="A2110" s="10"/>
      <c r="B2110" s="9"/>
      <c r="C2110" s="9"/>
    </row>
    <row r="2111" spans="1:3">
      <c r="A2111" s="10"/>
      <c r="B2111" s="9"/>
      <c r="C2111" s="9"/>
    </row>
    <row r="2112" spans="1:3">
      <c r="A2112" s="10"/>
      <c r="B2112" s="9"/>
      <c r="C2112" s="9"/>
    </row>
    <row r="2113" spans="1:3">
      <c r="A2113" s="10"/>
      <c r="B2113" s="9"/>
      <c r="C2113" s="9"/>
    </row>
    <row r="2114" spans="1:3">
      <c r="A2114" s="10"/>
      <c r="B2114" s="9"/>
      <c r="C2114" s="9"/>
    </row>
    <row r="2115" spans="1:3">
      <c r="A2115" s="10"/>
      <c r="B2115" s="9"/>
      <c r="C2115" s="9"/>
    </row>
    <row r="2116" spans="1:3">
      <c r="A2116" s="10"/>
      <c r="B2116" s="9"/>
      <c r="C2116" s="9"/>
    </row>
    <row r="2117" spans="1:3">
      <c r="A2117" s="10"/>
      <c r="B2117" s="9"/>
      <c r="C2117" s="9"/>
    </row>
    <row r="2118" spans="1:3">
      <c r="A2118" s="10"/>
      <c r="B2118" s="9"/>
      <c r="C2118" s="9"/>
    </row>
    <row r="2119" spans="1:3">
      <c r="A2119" s="10"/>
      <c r="B2119" s="9"/>
      <c r="C2119" s="9"/>
    </row>
    <row r="2120" spans="1:3">
      <c r="A2120" s="10"/>
      <c r="B2120" s="9"/>
      <c r="C2120" s="9"/>
    </row>
    <row r="2121" spans="1:3">
      <c r="A2121" s="10"/>
      <c r="B2121" s="9"/>
      <c r="C2121" s="9"/>
    </row>
    <row r="2122" spans="1:3">
      <c r="A2122" s="10"/>
      <c r="B2122" s="9"/>
      <c r="C2122" s="9"/>
    </row>
    <row r="2123" spans="1:3">
      <c r="A2123" s="10"/>
      <c r="B2123" s="9"/>
      <c r="C2123" s="9"/>
    </row>
    <row r="2124" spans="1:3">
      <c r="A2124" s="10"/>
      <c r="B2124" s="9"/>
      <c r="C2124" s="9"/>
    </row>
    <row r="2125" spans="1:3">
      <c r="A2125" s="10"/>
      <c r="B2125" s="9"/>
      <c r="C2125" s="9"/>
    </row>
    <row r="2126" spans="1:3">
      <c r="A2126" s="10"/>
      <c r="B2126" s="9"/>
      <c r="C2126" s="9"/>
    </row>
    <row r="2127" spans="1:3">
      <c r="A2127" s="10"/>
      <c r="B2127" s="9"/>
      <c r="C2127" s="9"/>
    </row>
    <row r="2128" spans="1:3">
      <c r="A2128" s="10"/>
      <c r="B2128" s="9"/>
      <c r="C2128" s="9"/>
    </row>
    <row r="2129" spans="1:3">
      <c r="A2129" s="10"/>
      <c r="B2129" s="9"/>
      <c r="C2129" s="9"/>
    </row>
    <row r="2130" spans="1:3">
      <c r="A2130" s="10"/>
      <c r="B2130" s="9"/>
      <c r="C2130" s="9"/>
    </row>
    <row r="2131" spans="1:3">
      <c r="A2131" s="10"/>
      <c r="B2131" s="9"/>
      <c r="C2131" s="9"/>
    </row>
    <row r="2132" spans="1:3">
      <c r="A2132" s="10"/>
      <c r="B2132" s="9"/>
      <c r="C2132" s="9"/>
    </row>
    <row r="2133" spans="1:3">
      <c r="A2133" s="10"/>
      <c r="B2133" s="9"/>
      <c r="C2133" s="9"/>
    </row>
    <row r="2134" spans="1:3">
      <c r="A2134" s="10"/>
      <c r="B2134" s="9"/>
      <c r="C2134" s="9"/>
    </row>
    <row r="2135" spans="1:3">
      <c r="A2135" s="10"/>
      <c r="B2135" s="9"/>
      <c r="C2135" s="9"/>
    </row>
    <row r="2136" spans="1:3">
      <c r="A2136" s="10"/>
      <c r="B2136" s="9"/>
      <c r="C2136" s="9"/>
    </row>
    <row r="2137" spans="1:3">
      <c r="A2137" s="10"/>
      <c r="B2137" s="9"/>
      <c r="C2137" s="9"/>
    </row>
    <row r="2138" spans="1:3">
      <c r="A2138" s="10"/>
      <c r="B2138" s="9"/>
      <c r="C2138" s="9"/>
    </row>
    <row r="2139" spans="1:3">
      <c r="A2139" s="10"/>
      <c r="B2139" s="9"/>
      <c r="C2139" s="9"/>
    </row>
    <row r="2140" spans="1:3">
      <c r="A2140" s="10"/>
      <c r="B2140" s="9"/>
      <c r="C2140" s="9"/>
    </row>
    <row r="2141" spans="1:3">
      <c r="A2141" s="10"/>
      <c r="B2141" s="9"/>
      <c r="C2141" s="9"/>
    </row>
    <row r="2142" spans="1:3">
      <c r="A2142" s="10"/>
      <c r="B2142" s="9"/>
      <c r="C2142" s="9"/>
    </row>
    <row r="2143" spans="1:3">
      <c r="A2143" s="10"/>
      <c r="B2143" s="9"/>
      <c r="C2143" s="9"/>
    </row>
    <row r="2144" spans="1:3">
      <c r="A2144" s="10"/>
      <c r="B2144" s="9"/>
      <c r="C2144" s="9"/>
    </row>
    <row r="2145" spans="1:3">
      <c r="A2145" s="10"/>
      <c r="B2145" s="9"/>
      <c r="C2145" s="9"/>
    </row>
    <row r="2146" spans="1:3">
      <c r="A2146" s="10"/>
      <c r="B2146" s="9"/>
      <c r="C2146" s="9"/>
    </row>
    <row r="2147" spans="1:3">
      <c r="A2147" s="10"/>
      <c r="B2147" s="9"/>
      <c r="C2147" s="9"/>
    </row>
    <row r="2148" spans="1:3">
      <c r="A2148" s="10"/>
      <c r="B2148" s="9"/>
      <c r="C2148" s="9"/>
    </row>
    <row r="2149" spans="1:3">
      <c r="A2149" s="10"/>
      <c r="B2149" s="9"/>
      <c r="C2149" s="9"/>
    </row>
    <row r="2150" spans="1:3">
      <c r="A2150" s="10"/>
      <c r="B2150" s="9"/>
      <c r="C2150" s="9"/>
    </row>
    <row r="2151" spans="1:3">
      <c r="A2151" s="10"/>
      <c r="B2151" s="9"/>
      <c r="C2151" s="9"/>
    </row>
    <row r="2152" spans="1:3">
      <c r="A2152" s="10"/>
      <c r="B2152" s="9"/>
      <c r="C2152" s="9"/>
    </row>
    <row r="2153" spans="1:3">
      <c r="A2153" s="10"/>
      <c r="B2153" s="9"/>
      <c r="C2153" s="9"/>
    </row>
    <row r="2154" spans="1:3">
      <c r="A2154" s="10"/>
      <c r="B2154" s="9"/>
      <c r="C2154" s="9"/>
    </row>
    <row r="2155" spans="1:3">
      <c r="A2155" s="10"/>
      <c r="B2155" s="9"/>
      <c r="C2155" s="9"/>
    </row>
    <row r="2156" spans="1:3">
      <c r="A2156" s="10"/>
      <c r="B2156" s="9"/>
      <c r="C2156" s="9"/>
    </row>
    <row r="2157" spans="1:3">
      <c r="A2157" s="10"/>
      <c r="B2157" s="9"/>
      <c r="C2157" s="9"/>
    </row>
    <row r="2158" spans="1:3">
      <c r="A2158" s="10"/>
      <c r="B2158" s="9"/>
      <c r="C2158" s="9"/>
    </row>
    <row r="2159" spans="1:3">
      <c r="A2159" s="10"/>
      <c r="B2159" s="9"/>
      <c r="C2159" s="9"/>
    </row>
    <row r="2160" spans="1:3">
      <c r="A2160" s="10"/>
      <c r="B2160" s="9"/>
      <c r="C2160" s="9"/>
    </row>
    <row r="2161" spans="1:3">
      <c r="A2161" s="10"/>
      <c r="B2161" s="9"/>
      <c r="C2161" s="9"/>
    </row>
    <row r="2162" spans="1:3">
      <c r="A2162" s="10"/>
      <c r="B2162" s="9"/>
      <c r="C2162" s="9"/>
    </row>
    <row r="2163" spans="1:3">
      <c r="A2163" s="10"/>
      <c r="B2163" s="9"/>
      <c r="C2163" s="9"/>
    </row>
    <row r="2164" spans="1:3">
      <c r="A2164" s="10"/>
      <c r="B2164" s="9"/>
      <c r="C2164" s="9"/>
    </row>
    <row r="2165" spans="1:3">
      <c r="A2165" s="10"/>
      <c r="B2165" s="9"/>
      <c r="C2165" s="9"/>
    </row>
    <row r="2166" spans="1:3">
      <c r="A2166" s="10"/>
      <c r="B2166" s="9"/>
      <c r="C2166" s="9"/>
    </row>
    <row r="2167" spans="1:3">
      <c r="A2167" s="10"/>
      <c r="B2167" s="9"/>
      <c r="C2167" s="9"/>
    </row>
    <row r="2168" spans="1:3">
      <c r="A2168" s="10"/>
      <c r="B2168" s="9"/>
      <c r="C2168" s="9"/>
    </row>
    <row r="2169" spans="1:3">
      <c r="A2169" s="10"/>
      <c r="B2169" s="9"/>
      <c r="C2169" s="9"/>
    </row>
    <row r="2170" spans="1:3">
      <c r="A2170" s="10"/>
      <c r="B2170" s="9"/>
      <c r="C2170" s="9"/>
    </row>
    <row r="2171" spans="1:3">
      <c r="A2171" s="10"/>
      <c r="B2171" s="9"/>
      <c r="C2171" s="9"/>
    </row>
    <row r="2172" spans="1:3">
      <c r="A2172" s="10"/>
      <c r="B2172" s="9"/>
      <c r="C2172" s="9"/>
    </row>
    <row r="2173" spans="1:3">
      <c r="A2173" s="10"/>
      <c r="B2173" s="9"/>
      <c r="C2173" s="9"/>
    </row>
    <row r="2174" spans="1:3">
      <c r="A2174" s="10"/>
      <c r="B2174" s="9"/>
      <c r="C2174" s="9"/>
    </row>
    <row r="2175" spans="1:3">
      <c r="A2175" s="10"/>
      <c r="B2175" s="9"/>
      <c r="C2175" s="9"/>
    </row>
    <row r="2176" spans="1:3">
      <c r="A2176" s="10"/>
      <c r="B2176" s="9"/>
      <c r="C2176" s="9"/>
    </row>
    <row r="2177" spans="1:3">
      <c r="A2177" s="10"/>
      <c r="B2177" s="9"/>
      <c r="C2177" s="9"/>
    </row>
    <row r="2178" spans="1:3">
      <c r="A2178" s="10"/>
      <c r="B2178" s="9"/>
      <c r="C2178" s="9"/>
    </row>
    <row r="2179" spans="1:3">
      <c r="A2179" s="10"/>
      <c r="B2179" s="9"/>
      <c r="C2179" s="9"/>
    </row>
    <row r="2180" spans="1:3">
      <c r="A2180" s="10"/>
      <c r="B2180" s="9"/>
      <c r="C2180" s="9"/>
    </row>
    <row r="2181" spans="1:3">
      <c r="A2181" s="10"/>
      <c r="B2181" s="9"/>
      <c r="C2181" s="9"/>
    </row>
    <row r="2182" spans="1:3">
      <c r="A2182" s="10"/>
      <c r="B2182" s="9"/>
      <c r="C2182" s="9"/>
    </row>
    <row r="2183" spans="1:3">
      <c r="A2183" s="10"/>
      <c r="B2183" s="9"/>
      <c r="C2183" s="9"/>
    </row>
    <row r="2184" spans="1:3">
      <c r="A2184" s="10"/>
      <c r="B2184" s="9"/>
      <c r="C2184" s="9"/>
    </row>
    <row r="2185" spans="1:3">
      <c r="A2185" s="10"/>
      <c r="B2185" s="9"/>
      <c r="C2185" s="9"/>
    </row>
    <row r="2186" spans="1:3">
      <c r="A2186" s="10"/>
      <c r="B2186" s="9"/>
      <c r="C2186" s="9"/>
    </row>
    <row r="2187" spans="1:3">
      <c r="A2187" s="10"/>
      <c r="B2187" s="9"/>
      <c r="C2187" s="9"/>
    </row>
    <row r="2188" spans="1:3">
      <c r="A2188" s="10"/>
      <c r="B2188" s="9"/>
      <c r="C2188" s="9"/>
    </row>
    <row r="2189" spans="1:3">
      <c r="A2189" s="10"/>
      <c r="B2189" s="9"/>
      <c r="C2189" s="9"/>
    </row>
    <row r="2190" spans="1:3">
      <c r="A2190" s="10"/>
      <c r="B2190" s="9"/>
      <c r="C2190" s="9"/>
    </row>
    <row r="2191" spans="1:3">
      <c r="A2191" s="10"/>
      <c r="B2191" s="9"/>
      <c r="C2191" s="9"/>
    </row>
    <row r="2192" spans="1:3">
      <c r="A2192" s="10"/>
      <c r="B2192" s="9"/>
      <c r="C2192" s="9"/>
    </row>
    <row r="2193" spans="1:3">
      <c r="A2193" s="10"/>
      <c r="B2193" s="9"/>
      <c r="C2193" s="9"/>
    </row>
    <row r="2194" spans="1:3">
      <c r="A2194" s="10"/>
      <c r="B2194" s="9"/>
      <c r="C2194" s="9"/>
    </row>
    <row r="2195" spans="1:3">
      <c r="A2195" s="10"/>
      <c r="B2195" s="9"/>
      <c r="C2195" s="9"/>
    </row>
    <row r="2196" spans="1:3">
      <c r="A2196" s="10"/>
      <c r="B2196" s="9"/>
      <c r="C2196" s="9"/>
    </row>
    <row r="2197" spans="1:3">
      <c r="A2197" s="10"/>
      <c r="B2197" s="9"/>
      <c r="C2197" s="9"/>
    </row>
    <row r="2198" spans="1:3">
      <c r="A2198" s="10"/>
      <c r="B2198" s="9"/>
      <c r="C2198" s="9"/>
    </row>
    <row r="2199" spans="1:3">
      <c r="A2199" s="10"/>
      <c r="B2199" s="9"/>
      <c r="C2199" s="9"/>
    </row>
    <row r="2200" spans="1:3">
      <c r="A2200" s="10"/>
      <c r="B2200" s="9"/>
      <c r="C2200" s="9"/>
    </row>
    <row r="2201" spans="1:3">
      <c r="A2201" s="10"/>
      <c r="B2201" s="9"/>
      <c r="C2201" s="9"/>
    </row>
    <row r="2202" spans="1:3">
      <c r="A2202" s="10"/>
      <c r="B2202" s="9"/>
      <c r="C2202" s="9"/>
    </row>
    <row r="2203" spans="1:3">
      <c r="A2203" s="10"/>
      <c r="B2203" s="9"/>
      <c r="C2203" s="9"/>
    </row>
    <row r="2204" spans="1:3">
      <c r="A2204" s="10"/>
      <c r="B2204" s="9"/>
      <c r="C2204" s="9"/>
    </row>
    <row r="2205" spans="1:3">
      <c r="A2205" s="10"/>
      <c r="B2205" s="9"/>
      <c r="C2205" s="9"/>
    </row>
    <row r="2206" spans="1:3">
      <c r="A2206" s="10"/>
      <c r="B2206" s="9"/>
      <c r="C2206" s="9"/>
    </row>
    <row r="2207" spans="1:3">
      <c r="A2207" s="10"/>
      <c r="B2207" s="9"/>
      <c r="C2207" s="9"/>
    </row>
    <row r="2208" spans="1:3">
      <c r="A2208" s="10"/>
      <c r="B2208" s="9"/>
      <c r="C2208" s="9"/>
    </row>
    <row r="2209" spans="1:3">
      <c r="A2209" s="10"/>
      <c r="B2209" s="9"/>
      <c r="C2209" s="9"/>
    </row>
    <row r="2210" spans="1:3">
      <c r="A2210" s="10"/>
      <c r="B2210" s="9"/>
      <c r="C2210" s="9"/>
    </row>
    <row r="2211" spans="1:3">
      <c r="A2211" s="10"/>
      <c r="B2211" s="9"/>
      <c r="C2211" s="9"/>
    </row>
    <row r="2212" spans="1:3">
      <c r="A2212" s="10"/>
      <c r="B2212" s="9"/>
      <c r="C2212" s="9"/>
    </row>
    <row r="2213" spans="1:3">
      <c r="A2213" s="10"/>
      <c r="B2213" s="9"/>
      <c r="C2213" s="9"/>
    </row>
    <row r="2214" spans="1:3">
      <c r="A2214" s="10"/>
      <c r="B2214" s="9"/>
      <c r="C2214" s="9"/>
    </row>
    <row r="2215" spans="1:3">
      <c r="A2215" s="10"/>
      <c r="B2215" s="9"/>
      <c r="C2215" s="9"/>
    </row>
    <row r="2216" spans="1:3">
      <c r="A2216" s="10"/>
      <c r="B2216" s="9"/>
      <c r="C2216" s="9"/>
    </row>
    <row r="2217" spans="1:3">
      <c r="A2217" s="10"/>
      <c r="B2217" s="9"/>
      <c r="C2217" s="9"/>
    </row>
    <row r="2218" spans="1:3">
      <c r="A2218" s="10"/>
      <c r="B2218" s="9"/>
      <c r="C2218" s="9"/>
    </row>
    <row r="2219" spans="1:3">
      <c r="A2219" s="10"/>
      <c r="B2219" s="9"/>
      <c r="C2219" s="9"/>
    </row>
    <row r="2220" spans="1:3">
      <c r="A2220" s="10"/>
      <c r="B2220" s="9"/>
      <c r="C2220" s="9"/>
    </row>
    <row r="2221" spans="1:3">
      <c r="A2221" s="10"/>
      <c r="B2221" s="9"/>
      <c r="C2221" s="9"/>
    </row>
    <row r="2222" spans="1:3">
      <c r="A2222" s="10"/>
      <c r="B2222" s="9"/>
      <c r="C2222" s="9"/>
    </row>
    <row r="2223" spans="1:3">
      <c r="A2223" s="10"/>
      <c r="B2223" s="9"/>
      <c r="C2223" s="9"/>
    </row>
    <row r="2224" spans="1:3">
      <c r="A2224" s="10"/>
      <c r="B2224" s="9"/>
      <c r="C2224" s="9"/>
    </row>
    <row r="2225" spans="1:3">
      <c r="A2225" s="10"/>
      <c r="B2225" s="9"/>
      <c r="C2225" s="9"/>
    </row>
    <row r="2226" spans="1:3">
      <c r="A2226" s="10"/>
      <c r="B2226" s="9"/>
      <c r="C2226" s="9"/>
    </row>
    <row r="2227" spans="1:3">
      <c r="A2227" s="10"/>
      <c r="B2227" s="9"/>
      <c r="C2227" s="9"/>
    </row>
    <row r="2228" spans="1:3">
      <c r="A2228" s="10"/>
      <c r="B2228" s="9"/>
      <c r="C2228" s="9"/>
    </row>
    <row r="2229" spans="1:3">
      <c r="A2229" s="10"/>
      <c r="B2229" s="9"/>
      <c r="C2229" s="9"/>
    </row>
    <row r="2230" spans="1:3">
      <c r="A2230" s="10"/>
      <c r="B2230" s="9"/>
      <c r="C2230" s="9"/>
    </row>
    <row r="2231" spans="1:3">
      <c r="A2231" s="10"/>
      <c r="B2231" s="9"/>
      <c r="C2231" s="9"/>
    </row>
    <row r="2232" spans="1:3">
      <c r="A2232" s="10"/>
      <c r="B2232" s="9"/>
      <c r="C2232" s="9"/>
    </row>
    <row r="2233" spans="1:3">
      <c r="A2233" s="10"/>
      <c r="B2233" s="9"/>
      <c r="C2233" s="9"/>
    </row>
    <row r="2234" spans="1:3">
      <c r="A2234" s="10"/>
      <c r="B2234" s="9"/>
      <c r="C2234" s="9"/>
    </row>
    <row r="2235" spans="1:3">
      <c r="A2235" s="10"/>
      <c r="B2235" s="9"/>
      <c r="C2235" s="9"/>
    </row>
    <row r="2236" spans="1:3">
      <c r="A2236" s="10"/>
      <c r="B2236" s="9"/>
      <c r="C2236" s="9"/>
    </row>
    <row r="2237" spans="1:3">
      <c r="A2237" s="10"/>
      <c r="B2237" s="9"/>
      <c r="C2237" s="9"/>
    </row>
    <row r="2238" spans="1:3">
      <c r="A2238" s="10"/>
      <c r="B2238" s="9"/>
      <c r="C2238" s="9"/>
    </row>
    <row r="2239" spans="1:3">
      <c r="A2239" s="10"/>
      <c r="B2239" s="9"/>
      <c r="C2239" s="9"/>
    </row>
    <row r="2240" spans="1:3">
      <c r="A2240" s="10"/>
      <c r="B2240" s="9"/>
      <c r="C2240" s="9"/>
    </row>
    <row r="2241" spans="1:3">
      <c r="A2241" s="10"/>
      <c r="B2241" s="9"/>
      <c r="C2241" s="9"/>
    </row>
    <row r="2242" spans="1:3">
      <c r="A2242" s="10"/>
      <c r="B2242" s="9"/>
      <c r="C2242" s="9"/>
    </row>
    <row r="2243" spans="1:3">
      <c r="A2243" s="10"/>
      <c r="B2243" s="9"/>
      <c r="C2243" s="9"/>
    </row>
    <row r="2244" spans="1:3">
      <c r="A2244" s="10"/>
      <c r="B2244" s="9"/>
      <c r="C2244" s="9"/>
    </row>
    <row r="2245" spans="1:3">
      <c r="A2245" s="10"/>
      <c r="B2245" s="9"/>
      <c r="C2245" s="9"/>
    </row>
    <row r="2246" spans="1:3">
      <c r="A2246" s="10"/>
      <c r="B2246" s="9"/>
      <c r="C2246" s="9"/>
    </row>
    <row r="2247" spans="1:3">
      <c r="A2247" s="10"/>
      <c r="B2247" s="9"/>
      <c r="C2247" s="9"/>
    </row>
    <row r="2248" spans="1:3">
      <c r="A2248" s="10"/>
      <c r="B2248" s="9"/>
      <c r="C2248" s="9"/>
    </row>
    <row r="2249" spans="1:3">
      <c r="A2249" s="10"/>
      <c r="B2249" s="9"/>
      <c r="C2249" s="9"/>
    </row>
    <row r="2250" spans="1:3">
      <c r="A2250" s="10"/>
      <c r="B2250" s="9"/>
      <c r="C2250" s="9"/>
    </row>
    <row r="2251" spans="1:3">
      <c r="A2251" s="10"/>
      <c r="B2251" s="9"/>
      <c r="C2251" s="9"/>
    </row>
    <row r="2252" spans="1:3">
      <c r="A2252" s="10"/>
      <c r="B2252" s="9"/>
      <c r="C2252" s="9"/>
    </row>
    <row r="2253" spans="1:3">
      <c r="A2253" s="10"/>
      <c r="B2253" s="9"/>
      <c r="C2253" s="9"/>
    </row>
    <row r="2254" spans="1:3">
      <c r="A2254" s="10"/>
      <c r="B2254" s="9"/>
      <c r="C2254" s="9"/>
    </row>
    <row r="2255" spans="1:3">
      <c r="A2255" s="10"/>
      <c r="B2255" s="9"/>
      <c r="C2255" s="9"/>
    </row>
    <row r="2256" spans="1:3">
      <c r="A2256" s="10"/>
      <c r="B2256" s="9"/>
      <c r="C2256" s="9"/>
    </row>
    <row r="2257" spans="1:3">
      <c r="A2257" s="10"/>
      <c r="B2257" s="9"/>
      <c r="C2257" s="9"/>
    </row>
    <row r="2258" spans="1:3">
      <c r="A2258" s="10"/>
      <c r="B2258" s="9"/>
      <c r="C2258" s="9"/>
    </row>
    <row r="2259" spans="1:3">
      <c r="A2259" s="10"/>
      <c r="B2259" s="9"/>
      <c r="C2259" s="9"/>
    </row>
    <row r="2260" spans="1:3">
      <c r="A2260" s="10"/>
      <c r="B2260" s="9"/>
      <c r="C2260" s="9"/>
    </row>
    <row r="2261" spans="1:3">
      <c r="A2261" s="10"/>
      <c r="B2261" s="9"/>
      <c r="C2261" s="9"/>
    </row>
    <row r="2262" spans="1:3">
      <c r="A2262" s="10"/>
      <c r="B2262" s="9"/>
      <c r="C2262" s="9"/>
    </row>
    <row r="2263" spans="1:3">
      <c r="A2263" s="10"/>
      <c r="B2263" s="9"/>
      <c r="C2263" s="9"/>
    </row>
    <row r="2264" spans="1:3">
      <c r="A2264" s="10"/>
      <c r="B2264" s="9"/>
      <c r="C2264" s="9"/>
    </row>
    <row r="2265" spans="1:3">
      <c r="A2265" s="10"/>
      <c r="B2265" s="9"/>
      <c r="C2265" s="9"/>
    </row>
    <row r="2266" spans="1:3">
      <c r="A2266" s="10"/>
      <c r="B2266" s="9"/>
      <c r="C2266" s="9"/>
    </row>
    <row r="2267" spans="1:3">
      <c r="A2267" s="10"/>
      <c r="B2267" s="9"/>
      <c r="C2267" s="9"/>
    </row>
    <row r="2268" spans="1:3">
      <c r="A2268" s="10"/>
      <c r="B2268" s="9"/>
      <c r="C2268" s="9"/>
    </row>
    <row r="2269" spans="1:3">
      <c r="A2269" s="10"/>
      <c r="B2269" s="9"/>
      <c r="C2269" s="9"/>
    </row>
    <row r="2270" spans="1:3">
      <c r="A2270" s="10"/>
      <c r="B2270" s="9"/>
      <c r="C2270" s="9"/>
    </row>
    <row r="2271" spans="1:3">
      <c r="A2271" s="10"/>
      <c r="B2271" s="9"/>
      <c r="C2271" s="9"/>
    </row>
    <row r="2272" spans="1:3">
      <c r="A2272" s="10"/>
      <c r="B2272" s="9"/>
      <c r="C2272" s="9"/>
    </row>
    <row r="2273" spans="1:3">
      <c r="A2273" s="10"/>
      <c r="B2273" s="9"/>
      <c r="C2273" s="9"/>
    </row>
    <row r="2274" spans="1:3">
      <c r="A2274" s="10"/>
      <c r="B2274" s="9"/>
      <c r="C2274" s="9"/>
    </row>
    <row r="2275" spans="1:3">
      <c r="A2275" s="10"/>
      <c r="B2275" s="9"/>
      <c r="C2275" s="9"/>
    </row>
    <row r="2276" spans="1:3">
      <c r="A2276" s="10"/>
      <c r="B2276" s="9"/>
      <c r="C2276" s="9"/>
    </row>
    <row r="2277" spans="1:3">
      <c r="A2277" s="10"/>
      <c r="B2277" s="9"/>
      <c r="C2277" s="9"/>
    </row>
    <row r="2278" spans="1:3">
      <c r="A2278" s="10"/>
      <c r="B2278" s="9"/>
      <c r="C2278" s="9"/>
    </row>
    <row r="2279" spans="1:3">
      <c r="A2279" s="10"/>
      <c r="B2279" s="9"/>
      <c r="C2279" s="9"/>
    </row>
    <row r="2280" spans="1:3">
      <c r="A2280" s="10"/>
      <c r="B2280" s="9"/>
      <c r="C2280" s="9"/>
    </row>
    <row r="2281" spans="1:3">
      <c r="A2281" s="10"/>
      <c r="B2281" s="9"/>
      <c r="C2281" s="9"/>
    </row>
    <row r="2282" spans="1:3">
      <c r="A2282" s="10"/>
      <c r="B2282" s="9"/>
      <c r="C2282" s="9"/>
    </row>
    <row r="2283" spans="1:3">
      <c r="A2283" s="10"/>
      <c r="B2283" s="9"/>
      <c r="C2283" s="9"/>
    </row>
    <row r="2284" spans="1:3">
      <c r="A2284" s="10"/>
      <c r="B2284" s="9"/>
      <c r="C2284" s="9"/>
    </row>
    <row r="2285" spans="1:3">
      <c r="A2285" s="10"/>
      <c r="B2285" s="9"/>
      <c r="C2285" s="9"/>
    </row>
    <row r="2286" spans="1:3">
      <c r="A2286" s="10"/>
      <c r="B2286" s="9"/>
      <c r="C2286" s="9"/>
    </row>
    <row r="2287" spans="1:3">
      <c r="A2287" s="10"/>
      <c r="B2287" s="9"/>
      <c r="C2287" s="9"/>
    </row>
    <row r="2288" spans="1:3">
      <c r="A2288" s="10"/>
      <c r="B2288" s="9"/>
      <c r="C2288" s="9"/>
    </row>
    <row r="2289" spans="1:3">
      <c r="A2289" s="10"/>
      <c r="B2289" s="9"/>
      <c r="C2289" s="9"/>
    </row>
    <row r="2290" spans="1:3">
      <c r="A2290" s="10"/>
      <c r="B2290" s="9"/>
      <c r="C2290" s="9"/>
    </row>
    <row r="2291" spans="1:3">
      <c r="A2291" s="10"/>
      <c r="B2291" s="9"/>
      <c r="C2291" s="9"/>
    </row>
    <row r="2292" spans="1:3">
      <c r="A2292" s="10"/>
      <c r="B2292" s="9"/>
      <c r="C2292" s="9"/>
    </row>
    <row r="2293" spans="1:3">
      <c r="A2293" s="10"/>
      <c r="B2293" s="9"/>
      <c r="C2293" s="9"/>
    </row>
    <row r="2294" spans="1:3">
      <c r="A2294" s="10"/>
      <c r="B2294" s="9"/>
      <c r="C2294" s="9"/>
    </row>
    <row r="2295" spans="1:3">
      <c r="A2295" s="10"/>
      <c r="B2295" s="9"/>
      <c r="C2295" s="9"/>
    </row>
    <row r="2296" spans="1:3">
      <c r="A2296" s="10"/>
      <c r="B2296" s="9"/>
      <c r="C2296" s="9"/>
    </row>
    <row r="2297" spans="1:3">
      <c r="A2297" s="10"/>
      <c r="B2297" s="9"/>
      <c r="C2297" s="9"/>
    </row>
    <row r="2298" spans="1:3">
      <c r="A2298" s="10"/>
      <c r="B2298" s="9"/>
      <c r="C2298" s="9"/>
    </row>
    <row r="2299" spans="1:3">
      <c r="A2299" s="10"/>
      <c r="B2299" s="9"/>
      <c r="C2299" s="9"/>
    </row>
    <row r="2300" spans="1:3">
      <c r="A2300" s="10"/>
      <c r="B2300" s="9"/>
      <c r="C2300" s="9"/>
    </row>
    <row r="2301" spans="1:3">
      <c r="A2301" s="10"/>
      <c r="B2301" s="9"/>
      <c r="C2301" s="9"/>
    </row>
    <row r="2302" spans="1:3">
      <c r="A2302" s="10"/>
      <c r="B2302" s="9"/>
      <c r="C2302" s="9"/>
    </row>
    <row r="2303" spans="1:3">
      <c r="A2303" s="10"/>
      <c r="B2303" s="9"/>
      <c r="C2303" s="9"/>
    </row>
    <row r="2304" spans="1:3">
      <c r="A2304" s="10"/>
      <c r="B2304" s="9"/>
      <c r="C2304" s="9"/>
    </row>
    <row r="2305" spans="1:3">
      <c r="A2305" s="10"/>
      <c r="B2305" s="9"/>
      <c r="C2305" s="9"/>
    </row>
    <row r="2306" spans="1:3">
      <c r="A2306" s="10"/>
      <c r="B2306" s="9"/>
      <c r="C2306" s="9"/>
    </row>
    <row r="2307" spans="1:3">
      <c r="A2307" s="10"/>
      <c r="B2307" s="9"/>
      <c r="C2307" s="9"/>
    </row>
    <row r="2308" spans="1:3">
      <c r="A2308" s="10"/>
      <c r="B2308" s="9"/>
      <c r="C2308" s="9"/>
    </row>
    <row r="2309" spans="1:3">
      <c r="A2309" s="10"/>
      <c r="B2309" s="9"/>
      <c r="C2309" s="9"/>
    </row>
    <row r="2310" spans="1:3">
      <c r="A2310" s="10"/>
      <c r="B2310" s="9"/>
      <c r="C2310" s="9"/>
    </row>
    <row r="2311" spans="1:3">
      <c r="A2311" s="10"/>
      <c r="B2311" s="9"/>
      <c r="C2311" s="9"/>
    </row>
    <row r="2312" spans="1:3">
      <c r="A2312" s="10"/>
      <c r="B2312" s="9"/>
      <c r="C2312" s="9"/>
    </row>
    <row r="2313" spans="1:3">
      <c r="A2313" s="10"/>
      <c r="B2313" s="9"/>
      <c r="C2313" s="9"/>
    </row>
    <row r="2314" spans="1:3">
      <c r="A2314" s="10"/>
      <c r="B2314" s="9"/>
      <c r="C2314" s="9"/>
    </row>
    <row r="2315" spans="1:3">
      <c r="A2315" s="10"/>
      <c r="B2315" s="9"/>
      <c r="C2315" s="9"/>
    </row>
    <row r="2316" spans="1:3">
      <c r="A2316" s="10"/>
      <c r="B2316" s="9"/>
      <c r="C2316" s="9"/>
    </row>
    <row r="2317" spans="1:3">
      <c r="A2317" s="10"/>
      <c r="B2317" s="9"/>
      <c r="C2317" s="9"/>
    </row>
    <row r="2318" spans="1:3">
      <c r="A2318" s="10"/>
      <c r="B2318" s="9"/>
      <c r="C2318" s="9"/>
    </row>
    <row r="2319" spans="1:3">
      <c r="A2319" s="10"/>
      <c r="B2319" s="9"/>
      <c r="C2319" s="9"/>
    </row>
    <row r="2320" spans="1:3">
      <c r="A2320" s="10"/>
      <c r="B2320" s="9"/>
      <c r="C2320" s="9"/>
    </row>
    <row r="2321" spans="1:3">
      <c r="A2321" s="10"/>
      <c r="B2321" s="9"/>
      <c r="C2321" s="9"/>
    </row>
    <row r="2322" spans="1:3">
      <c r="A2322" s="10"/>
      <c r="B2322" s="9"/>
      <c r="C2322" s="9"/>
    </row>
    <row r="2323" spans="1:3">
      <c r="A2323" s="10"/>
      <c r="B2323" s="9"/>
      <c r="C2323" s="9"/>
    </row>
    <row r="2324" spans="1:3">
      <c r="A2324" s="10"/>
      <c r="B2324" s="9"/>
      <c r="C2324" s="9"/>
    </row>
    <row r="2325" spans="1:3">
      <c r="A2325" s="10"/>
      <c r="B2325" s="9"/>
      <c r="C2325" s="9"/>
    </row>
    <row r="2326" spans="1:3">
      <c r="A2326" s="10"/>
      <c r="B2326" s="9"/>
      <c r="C2326" s="9"/>
    </row>
    <row r="2327" spans="1:3">
      <c r="A2327" s="10"/>
      <c r="B2327" s="9"/>
      <c r="C2327" s="9"/>
    </row>
    <row r="2328" spans="1:3">
      <c r="A2328" s="10"/>
      <c r="B2328" s="9"/>
      <c r="C2328" s="9"/>
    </row>
    <row r="2329" spans="1:3">
      <c r="A2329" s="10"/>
      <c r="B2329" s="9"/>
      <c r="C2329" s="9"/>
    </row>
    <row r="2330" spans="1:3">
      <c r="A2330" s="10"/>
      <c r="B2330" s="9"/>
      <c r="C2330" s="9"/>
    </row>
    <row r="2331" spans="1:3">
      <c r="A2331" s="10"/>
      <c r="B2331" s="9"/>
      <c r="C2331" s="9"/>
    </row>
    <row r="2332" spans="1:3">
      <c r="A2332" s="10"/>
      <c r="B2332" s="9"/>
      <c r="C2332" s="9"/>
    </row>
    <row r="2333" spans="1:3">
      <c r="A2333" s="10"/>
      <c r="B2333" s="9"/>
      <c r="C2333" s="9"/>
    </row>
    <row r="2334" spans="1:3">
      <c r="A2334" s="10"/>
      <c r="B2334" s="9"/>
      <c r="C2334" s="9"/>
    </row>
    <row r="2335" spans="1:3">
      <c r="A2335" s="10"/>
      <c r="B2335" s="9"/>
      <c r="C2335" s="9"/>
    </row>
    <row r="2336" spans="1:3">
      <c r="A2336" s="10"/>
      <c r="B2336" s="9"/>
      <c r="C2336" s="9"/>
    </row>
    <row r="2337" spans="1:3">
      <c r="A2337" s="10"/>
      <c r="B2337" s="9"/>
      <c r="C2337" s="9"/>
    </row>
    <row r="2338" spans="1:3">
      <c r="A2338" s="10"/>
      <c r="B2338" s="9"/>
      <c r="C2338" s="9"/>
    </row>
    <row r="2339" spans="1:3">
      <c r="A2339" s="10"/>
      <c r="B2339" s="9"/>
      <c r="C2339" s="9"/>
    </row>
    <row r="2340" spans="1:3">
      <c r="A2340" s="10"/>
      <c r="B2340" s="9"/>
      <c r="C2340" s="9"/>
    </row>
    <row r="2341" spans="1:3">
      <c r="A2341" s="10"/>
      <c r="B2341" s="9"/>
      <c r="C2341" s="9"/>
    </row>
    <row r="2342" spans="1:3">
      <c r="A2342" s="10"/>
      <c r="B2342" s="9"/>
      <c r="C2342" s="9"/>
    </row>
    <row r="2343" spans="1:3">
      <c r="A2343" s="10"/>
      <c r="B2343" s="9"/>
      <c r="C2343" s="9"/>
    </row>
    <row r="2344" spans="1:3">
      <c r="A2344" s="10"/>
      <c r="B2344" s="9"/>
      <c r="C2344" s="9"/>
    </row>
    <row r="2345" spans="1:3">
      <c r="A2345" s="10"/>
      <c r="B2345" s="9"/>
      <c r="C2345" s="9"/>
    </row>
    <row r="2346" spans="1:3">
      <c r="A2346" s="10"/>
      <c r="B2346" s="9"/>
      <c r="C2346" s="9"/>
    </row>
    <row r="2347" spans="1:3">
      <c r="A2347" s="10"/>
      <c r="B2347" s="9"/>
      <c r="C2347" s="9"/>
    </row>
    <row r="2348" spans="1:3">
      <c r="A2348" s="10"/>
      <c r="B2348" s="9"/>
      <c r="C2348" s="9"/>
    </row>
    <row r="2349" spans="1:3">
      <c r="A2349" s="10"/>
      <c r="B2349" s="9"/>
      <c r="C2349" s="9"/>
    </row>
    <row r="2350" spans="1:3">
      <c r="A2350" s="10"/>
      <c r="B2350" s="9"/>
      <c r="C2350" s="9"/>
    </row>
    <row r="2351" spans="1:3">
      <c r="A2351" s="10"/>
      <c r="B2351" s="9"/>
      <c r="C2351" s="9"/>
    </row>
    <row r="2352" spans="1:3">
      <c r="A2352" s="10"/>
      <c r="B2352" s="9"/>
      <c r="C2352" s="9"/>
    </row>
    <row r="2353" spans="1:3">
      <c r="A2353" s="10"/>
      <c r="B2353" s="9"/>
      <c r="C2353" s="9"/>
    </row>
    <row r="2354" spans="1:3">
      <c r="A2354" s="10"/>
      <c r="B2354" s="9"/>
      <c r="C2354" s="9"/>
    </row>
    <row r="2355" spans="1:3">
      <c r="A2355" s="10"/>
      <c r="B2355" s="9"/>
      <c r="C2355" s="9"/>
    </row>
    <row r="2356" spans="1:3">
      <c r="A2356" s="10"/>
      <c r="B2356" s="9"/>
      <c r="C2356" s="9"/>
    </row>
    <row r="2357" spans="1:3">
      <c r="A2357" s="10"/>
      <c r="B2357" s="9"/>
      <c r="C2357" s="9"/>
    </row>
    <row r="2358" spans="1:3">
      <c r="A2358" s="10"/>
      <c r="B2358" s="9"/>
      <c r="C2358" s="9"/>
    </row>
    <row r="2359" spans="1:3">
      <c r="A2359" s="10"/>
      <c r="B2359" s="9"/>
      <c r="C2359" s="9"/>
    </row>
    <row r="2360" spans="1:3">
      <c r="A2360" s="10"/>
      <c r="B2360" s="9"/>
      <c r="C2360" s="9"/>
    </row>
    <row r="2361" spans="1:3">
      <c r="A2361" s="10"/>
      <c r="B2361" s="9"/>
      <c r="C2361" s="9"/>
    </row>
    <row r="2362" spans="1:3">
      <c r="A2362" s="10"/>
      <c r="B2362" s="9"/>
      <c r="C2362" s="9"/>
    </row>
    <row r="2363" spans="1:3">
      <c r="A2363" s="10"/>
      <c r="B2363" s="9"/>
      <c r="C2363" s="9"/>
    </row>
    <row r="2364" spans="1:3">
      <c r="A2364" s="10"/>
      <c r="B2364" s="9"/>
      <c r="C2364" s="9"/>
    </row>
    <row r="2365" spans="1:3">
      <c r="A2365" s="10"/>
      <c r="B2365" s="9"/>
      <c r="C2365" s="9"/>
    </row>
    <row r="2366" spans="1:3">
      <c r="A2366" s="10"/>
      <c r="B2366" s="9"/>
      <c r="C2366" s="9"/>
    </row>
    <row r="2367" spans="1:3">
      <c r="A2367" s="10"/>
      <c r="B2367" s="9"/>
      <c r="C2367" s="9"/>
    </row>
    <row r="2368" spans="1:3">
      <c r="A2368" s="10"/>
      <c r="B2368" s="9"/>
      <c r="C2368" s="9"/>
    </row>
    <row r="2369" spans="1:3">
      <c r="A2369" s="10"/>
      <c r="B2369" s="9"/>
      <c r="C2369" s="9"/>
    </row>
    <row r="2370" spans="1:3">
      <c r="A2370" s="10"/>
      <c r="B2370" s="9"/>
      <c r="C2370" s="9"/>
    </row>
    <row r="2371" spans="1:3">
      <c r="A2371" s="10"/>
      <c r="B2371" s="9"/>
      <c r="C2371" s="9"/>
    </row>
    <row r="2372" spans="1:3">
      <c r="A2372" s="10"/>
      <c r="B2372" s="9"/>
      <c r="C2372" s="9"/>
    </row>
    <row r="2373" spans="1:3">
      <c r="A2373" s="10"/>
      <c r="B2373" s="9"/>
      <c r="C2373" s="9"/>
    </row>
    <row r="2374" spans="1:3">
      <c r="A2374" s="10"/>
      <c r="B2374" s="9"/>
      <c r="C2374" s="9"/>
    </row>
    <row r="2375" spans="1:3">
      <c r="A2375" s="10"/>
      <c r="B2375" s="9"/>
      <c r="C2375" s="9"/>
    </row>
    <row r="2376" spans="1:3">
      <c r="A2376" s="10"/>
      <c r="B2376" s="9"/>
      <c r="C2376" s="9"/>
    </row>
    <row r="2377" spans="1:3">
      <c r="A2377" s="10"/>
      <c r="B2377" s="9"/>
      <c r="C2377" s="9"/>
    </row>
    <row r="2378" spans="1:3">
      <c r="A2378" s="10"/>
      <c r="B2378" s="9"/>
      <c r="C2378" s="9"/>
    </row>
    <row r="2379" spans="1:3">
      <c r="A2379" s="10"/>
      <c r="B2379" s="9"/>
      <c r="C2379" s="9"/>
    </row>
    <row r="2380" spans="1:3">
      <c r="A2380" s="10"/>
      <c r="B2380" s="9"/>
      <c r="C2380" s="9"/>
    </row>
    <row r="2381" spans="1:3">
      <c r="A2381" s="10"/>
      <c r="B2381" s="9"/>
      <c r="C2381" s="9"/>
    </row>
    <row r="2382" spans="1:3">
      <c r="A2382" s="10"/>
      <c r="B2382" s="9"/>
      <c r="C2382" s="9"/>
    </row>
    <row r="2383" spans="1:3">
      <c r="A2383" s="10"/>
      <c r="B2383" s="9"/>
      <c r="C2383" s="9"/>
    </row>
    <row r="2384" spans="1:3">
      <c r="A2384" s="10"/>
      <c r="B2384" s="9"/>
      <c r="C2384" s="9"/>
    </row>
    <row r="2385" spans="1:3">
      <c r="A2385" s="10"/>
      <c r="B2385" s="9"/>
      <c r="C2385" s="9"/>
    </row>
    <row r="2386" spans="1:3">
      <c r="A2386" s="10"/>
      <c r="B2386" s="9"/>
      <c r="C2386" s="9"/>
    </row>
    <row r="2387" spans="1:3">
      <c r="A2387" s="10"/>
      <c r="B2387" s="9"/>
      <c r="C2387" s="9"/>
    </row>
    <row r="2388" spans="1:3">
      <c r="A2388" s="10"/>
      <c r="B2388" s="9"/>
      <c r="C2388" s="9"/>
    </row>
    <row r="2389" spans="1:3">
      <c r="A2389" s="10"/>
      <c r="B2389" s="9"/>
      <c r="C2389" s="9"/>
    </row>
    <row r="2390" spans="1:3">
      <c r="A2390" s="10"/>
      <c r="B2390" s="9"/>
      <c r="C2390" s="9"/>
    </row>
    <row r="2391" spans="1:3">
      <c r="A2391" s="10"/>
      <c r="B2391" s="9"/>
      <c r="C2391" s="9"/>
    </row>
    <row r="2392" spans="1:3">
      <c r="A2392" s="10"/>
      <c r="B2392" s="9"/>
      <c r="C2392" s="9"/>
    </row>
    <row r="2393" spans="1:3">
      <c r="A2393" s="10"/>
      <c r="B2393" s="9"/>
      <c r="C2393" s="9"/>
    </row>
    <row r="2394" spans="1:3">
      <c r="A2394" s="10"/>
      <c r="B2394" s="9"/>
      <c r="C2394" s="9"/>
    </row>
    <row r="2395" spans="1:3">
      <c r="A2395" s="10"/>
      <c r="B2395" s="9"/>
      <c r="C2395" s="9"/>
    </row>
    <row r="2396" spans="1:3">
      <c r="A2396" s="10"/>
      <c r="B2396" s="9"/>
      <c r="C2396" s="9"/>
    </row>
    <row r="2397" spans="1:3">
      <c r="A2397" s="10"/>
      <c r="B2397" s="9"/>
      <c r="C2397" s="9"/>
    </row>
    <row r="2398" spans="1:3">
      <c r="A2398" s="10"/>
      <c r="B2398" s="9"/>
      <c r="C2398" s="9"/>
    </row>
    <row r="2399" spans="1:3">
      <c r="A2399" s="10"/>
      <c r="B2399" s="9"/>
      <c r="C2399" s="9"/>
    </row>
    <row r="2400" spans="1:3">
      <c r="A2400" s="10"/>
      <c r="B2400" s="9"/>
      <c r="C2400" s="9"/>
    </row>
    <row r="2401" spans="1:3">
      <c r="A2401" s="10"/>
      <c r="B2401" s="9"/>
      <c r="C2401" s="9"/>
    </row>
    <row r="2402" spans="1:3">
      <c r="A2402" s="10"/>
      <c r="B2402" s="9"/>
      <c r="C2402" s="9"/>
    </row>
    <row r="2403" spans="1:3">
      <c r="A2403" s="10"/>
      <c r="B2403" s="9"/>
      <c r="C2403" s="9"/>
    </row>
    <row r="2404" spans="1:3">
      <c r="A2404" s="10"/>
      <c r="B2404" s="9"/>
      <c r="C2404" s="9"/>
    </row>
    <row r="2405" spans="1:3">
      <c r="A2405" s="10"/>
      <c r="B2405" s="9"/>
      <c r="C2405" s="9"/>
    </row>
    <row r="2406" spans="1:3">
      <c r="A2406" s="10"/>
      <c r="B2406" s="9"/>
      <c r="C2406" s="9"/>
    </row>
    <row r="2407" spans="1:3">
      <c r="A2407" s="10"/>
      <c r="B2407" s="9"/>
      <c r="C2407" s="9"/>
    </row>
    <row r="2408" spans="1:3">
      <c r="A2408" s="10"/>
      <c r="B2408" s="9"/>
      <c r="C2408" s="9"/>
    </row>
    <row r="2409" spans="1:3">
      <c r="A2409" s="10"/>
      <c r="B2409" s="9"/>
      <c r="C2409" s="9"/>
    </row>
    <row r="2410" spans="1:3">
      <c r="A2410" s="10"/>
      <c r="B2410" s="9"/>
      <c r="C2410" s="9"/>
    </row>
    <row r="2411" spans="1:3">
      <c r="A2411" s="10"/>
      <c r="B2411" s="9"/>
      <c r="C2411" s="9"/>
    </row>
    <row r="2412" spans="1:3">
      <c r="A2412" s="10"/>
      <c r="B2412" s="9"/>
      <c r="C2412" s="9"/>
    </row>
    <row r="2413" spans="1:3">
      <c r="A2413" s="10"/>
      <c r="B2413" s="9"/>
      <c r="C2413" s="9"/>
    </row>
    <row r="2414" spans="1:3">
      <c r="A2414" s="10"/>
      <c r="B2414" s="9"/>
      <c r="C2414" s="9"/>
    </row>
    <row r="2415" spans="1:3">
      <c r="A2415" s="10"/>
      <c r="B2415" s="9"/>
      <c r="C2415" s="9"/>
    </row>
    <row r="2416" spans="1:3">
      <c r="A2416" s="10"/>
      <c r="B2416" s="9"/>
      <c r="C2416" s="9"/>
    </row>
    <row r="2417" spans="1:3">
      <c r="A2417" s="10"/>
      <c r="B2417" s="9"/>
      <c r="C2417" s="9"/>
    </row>
    <row r="2418" spans="1:3">
      <c r="A2418" s="10"/>
      <c r="B2418" s="9"/>
      <c r="C2418" s="9"/>
    </row>
    <row r="2419" spans="1:3">
      <c r="A2419" s="10"/>
      <c r="B2419" s="9"/>
      <c r="C2419" s="9"/>
    </row>
    <row r="2420" spans="1:3">
      <c r="A2420" s="10"/>
      <c r="B2420" s="9"/>
      <c r="C2420" s="9"/>
    </row>
    <row r="2421" spans="1:3">
      <c r="A2421" s="10"/>
      <c r="B2421" s="9"/>
      <c r="C2421" s="9"/>
    </row>
    <row r="2422" spans="1:3">
      <c r="A2422" s="10"/>
      <c r="B2422" s="9"/>
      <c r="C2422" s="9"/>
    </row>
    <row r="2423" spans="1:3">
      <c r="A2423" s="10"/>
      <c r="B2423" s="9"/>
      <c r="C2423" s="9"/>
    </row>
    <row r="2424" spans="1:3">
      <c r="A2424" s="10"/>
      <c r="B2424" s="9"/>
      <c r="C2424" s="9"/>
    </row>
    <row r="2425" spans="1:3">
      <c r="A2425" s="10"/>
      <c r="B2425" s="9"/>
      <c r="C2425" s="9"/>
    </row>
    <row r="2426" spans="1:3">
      <c r="A2426" s="10"/>
      <c r="B2426" s="9"/>
      <c r="C2426" s="9"/>
    </row>
    <row r="2427" spans="1:3">
      <c r="A2427" s="10"/>
      <c r="B2427" s="9"/>
      <c r="C2427" s="9"/>
    </row>
    <row r="2428" spans="1:3">
      <c r="A2428" s="10"/>
      <c r="B2428" s="9"/>
      <c r="C2428" s="9"/>
    </row>
    <row r="2429" spans="1:3">
      <c r="A2429" s="10"/>
      <c r="B2429" s="9"/>
      <c r="C2429" s="9"/>
    </row>
    <row r="2430" spans="1:3">
      <c r="A2430" s="10"/>
      <c r="B2430" s="9"/>
      <c r="C2430" s="9"/>
    </row>
    <row r="2431" spans="1:3">
      <c r="A2431" s="10"/>
      <c r="B2431" s="9"/>
      <c r="C2431" s="9"/>
    </row>
    <row r="2432" spans="1:3">
      <c r="A2432" s="10"/>
      <c r="B2432" s="9"/>
      <c r="C2432" s="9"/>
    </row>
    <row r="2433" spans="1:3">
      <c r="A2433" s="10"/>
      <c r="B2433" s="9"/>
      <c r="C2433" s="9"/>
    </row>
    <row r="2434" spans="1:3">
      <c r="A2434" s="10"/>
      <c r="B2434" s="9"/>
      <c r="C2434" s="9"/>
    </row>
    <row r="2435" spans="1:3">
      <c r="A2435" s="10"/>
      <c r="B2435" s="9"/>
      <c r="C2435" s="9"/>
    </row>
    <row r="2436" spans="1:3">
      <c r="A2436" s="10"/>
      <c r="B2436" s="9"/>
      <c r="C2436" s="9"/>
    </row>
    <row r="2437" spans="1:3">
      <c r="A2437" s="10"/>
      <c r="B2437" s="9"/>
      <c r="C2437" s="9"/>
    </row>
    <row r="2438" spans="1:3">
      <c r="A2438" s="10"/>
      <c r="B2438" s="9"/>
      <c r="C2438" s="9"/>
    </row>
    <row r="2439" spans="1:3">
      <c r="A2439" s="10"/>
      <c r="B2439" s="9"/>
      <c r="C2439" s="9"/>
    </row>
    <row r="2440" spans="1:3">
      <c r="A2440" s="10"/>
      <c r="B2440" s="9"/>
      <c r="C2440" s="9"/>
    </row>
    <row r="2441" spans="1:3">
      <c r="A2441" s="10"/>
      <c r="B2441" s="9"/>
      <c r="C2441" s="9"/>
    </row>
    <row r="2442" spans="1:3">
      <c r="A2442" s="10"/>
      <c r="B2442" s="9"/>
      <c r="C2442" s="9"/>
    </row>
    <row r="2443" spans="1:3">
      <c r="A2443" s="10"/>
      <c r="B2443" s="9"/>
      <c r="C2443" s="9"/>
    </row>
    <row r="2444" spans="1:3">
      <c r="A2444" s="10"/>
      <c r="B2444" s="9"/>
      <c r="C2444" s="9"/>
    </row>
    <row r="2445" spans="1:3">
      <c r="A2445" s="10"/>
      <c r="B2445" s="9"/>
      <c r="C2445" s="9"/>
    </row>
    <row r="2446" spans="1:3">
      <c r="A2446" s="10"/>
      <c r="B2446" s="9"/>
      <c r="C2446" s="9"/>
    </row>
    <row r="2447" spans="1:3">
      <c r="A2447" s="10"/>
      <c r="B2447" s="9"/>
      <c r="C2447" s="9"/>
    </row>
    <row r="2448" spans="1:3">
      <c r="A2448" s="10"/>
      <c r="B2448" s="9"/>
      <c r="C2448" s="9"/>
    </row>
    <row r="2449" spans="1:3">
      <c r="A2449" s="10"/>
      <c r="B2449" s="9"/>
      <c r="C2449" s="9"/>
    </row>
    <row r="2450" spans="1:3">
      <c r="A2450" s="10"/>
      <c r="B2450" s="9"/>
      <c r="C2450" s="9"/>
    </row>
    <row r="2451" spans="1:3">
      <c r="A2451" s="10"/>
      <c r="B2451" s="9"/>
      <c r="C2451" s="9"/>
    </row>
    <row r="2452" spans="1:3">
      <c r="A2452" s="10"/>
      <c r="B2452" s="9"/>
      <c r="C2452" s="9"/>
    </row>
    <row r="2453" spans="1:3">
      <c r="A2453" s="10"/>
      <c r="B2453" s="9"/>
      <c r="C2453" s="9"/>
    </row>
    <row r="2454" spans="1:3">
      <c r="A2454" s="10"/>
      <c r="B2454" s="9"/>
      <c r="C2454" s="9"/>
    </row>
    <row r="2455" spans="1:3">
      <c r="A2455" s="10"/>
      <c r="B2455" s="9"/>
      <c r="C2455" s="9"/>
    </row>
    <row r="2456" spans="1:3">
      <c r="A2456" s="10"/>
      <c r="B2456" s="9"/>
      <c r="C2456" s="9"/>
    </row>
    <row r="2457" spans="1:3">
      <c r="A2457" s="10"/>
      <c r="B2457" s="9"/>
      <c r="C2457" s="9"/>
    </row>
    <row r="2458" spans="1:3">
      <c r="A2458" s="10"/>
      <c r="B2458" s="9"/>
      <c r="C2458" s="9"/>
    </row>
    <row r="2459" spans="1:3">
      <c r="A2459" s="10"/>
      <c r="B2459" s="9"/>
      <c r="C2459" s="9"/>
    </row>
    <row r="2460" spans="1:3">
      <c r="A2460" s="10"/>
      <c r="B2460" s="9"/>
      <c r="C2460" s="9"/>
    </row>
    <row r="2461" spans="1:3">
      <c r="A2461" s="10"/>
      <c r="B2461" s="9"/>
      <c r="C2461" s="9"/>
    </row>
    <row r="2462" spans="1:3">
      <c r="A2462" s="10"/>
      <c r="B2462" s="9"/>
      <c r="C2462" s="9"/>
    </row>
    <row r="2463" spans="1:3">
      <c r="A2463" s="10"/>
      <c r="B2463" s="9"/>
      <c r="C2463" s="9"/>
    </row>
    <row r="2464" spans="1:3">
      <c r="A2464" s="10"/>
      <c r="B2464" s="9"/>
      <c r="C2464" s="9"/>
    </row>
    <row r="2465" spans="1:3">
      <c r="A2465" s="10"/>
      <c r="B2465" s="9"/>
      <c r="C2465" s="9"/>
    </row>
    <row r="2466" spans="1:3">
      <c r="A2466" s="10"/>
      <c r="B2466" s="9"/>
      <c r="C2466" s="9"/>
    </row>
    <row r="2467" spans="1:3">
      <c r="A2467" s="10"/>
      <c r="B2467" s="9"/>
      <c r="C2467" s="9"/>
    </row>
    <row r="2468" spans="1:3">
      <c r="A2468" s="10"/>
      <c r="B2468" s="9"/>
      <c r="C2468" s="9"/>
    </row>
    <row r="2469" spans="1:3">
      <c r="A2469" s="10"/>
      <c r="B2469" s="9"/>
      <c r="C2469" s="9"/>
    </row>
    <row r="2470" spans="1:3">
      <c r="A2470" s="10"/>
      <c r="B2470" s="9"/>
      <c r="C2470" s="9"/>
    </row>
    <row r="2471" spans="1:3">
      <c r="A2471" s="10"/>
      <c r="B2471" s="9"/>
      <c r="C2471" s="9"/>
    </row>
    <row r="2472" spans="1:3">
      <c r="A2472" s="10"/>
      <c r="B2472" s="9"/>
      <c r="C2472" s="9"/>
    </row>
    <row r="2473" spans="1:3">
      <c r="A2473" s="10"/>
      <c r="B2473" s="9"/>
      <c r="C2473" s="9"/>
    </row>
    <row r="2474" spans="1:3">
      <c r="A2474" s="10"/>
      <c r="B2474" s="9"/>
      <c r="C2474" s="9"/>
    </row>
    <row r="2475" spans="1:3">
      <c r="A2475" s="10"/>
      <c r="B2475" s="9"/>
      <c r="C2475" s="9"/>
    </row>
    <row r="2476" spans="1:3">
      <c r="A2476" s="10"/>
      <c r="B2476" s="9"/>
      <c r="C2476" s="9"/>
    </row>
    <row r="2477" spans="1:3">
      <c r="A2477" s="10"/>
      <c r="B2477" s="9"/>
      <c r="C2477" s="9"/>
    </row>
    <row r="2478" spans="1:3">
      <c r="A2478" s="10"/>
      <c r="B2478" s="9"/>
      <c r="C2478" s="9"/>
    </row>
    <row r="2479" spans="1:3">
      <c r="A2479" s="10"/>
      <c r="B2479" s="9"/>
      <c r="C2479" s="9"/>
    </row>
    <row r="2480" spans="1:3">
      <c r="A2480" s="10"/>
      <c r="B2480" s="9"/>
      <c r="C2480" s="9"/>
    </row>
    <row r="2481" spans="1:3">
      <c r="A2481" s="10"/>
      <c r="B2481" s="9"/>
      <c r="C2481" s="9"/>
    </row>
    <row r="2482" spans="1:3">
      <c r="A2482" s="10"/>
      <c r="B2482" s="9"/>
      <c r="C2482" s="9"/>
    </row>
    <row r="2483" spans="1:3">
      <c r="A2483" s="10"/>
      <c r="B2483" s="9"/>
      <c r="C2483" s="9"/>
    </row>
    <row r="2484" spans="1:3">
      <c r="A2484" s="10"/>
      <c r="B2484" s="9"/>
      <c r="C2484" s="9"/>
    </row>
    <row r="2485" spans="1:3">
      <c r="A2485" s="10"/>
      <c r="B2485" s="9"/>
      <c r="C2485" s="9"/>
    </row>
    <row r="2486" spans="1:3">
      <c r="A2486" s="10"/>
      <c r="B2486" s="9"/>
      <c r="C2486" s="9"/>
    </row>
    <row r="2487" spans="1:3">
      <c r="A2487" s="10"/>
      <c r="B2487" s="9"/>
      <c r="C2487" s="9"/>
    </row>
    <row r="2488" spans="1:3">
      <c r="A2488" s="10"/>
      <c r="B2488" s="9"/>
      <c r="C2488" s="9"/>
    </row>
    <row r="2489" spans="1:3">
      <c r="A2489" s="10"/>
      <c r="B2489" s="9"/>
      <c r="C2489" s="9"/>
    </row>
    <row r="2490" spans="1:3">
      <c r="A2490" s="10"/>
      <c r="B2490" s="9"/>
      <c r="C2490" s="9"/>
    </row>
    <row r="2491" spans="1:3">
      <c r="A2491" s="10"/>
      <c r="B2491" s="9"/>
      <c r="C2491" s="9"/>
    </row>
    <row r="2492" spans="1:3">
      <c r="A2492" s="10"/>
      <c r="B2492" s="9"/>
      <c r="C2492" s="9"/>
    </row>
    <row r="2493" spans="1:3">
      <c r="A2493" s="10"/>
      <c r="B2493" s="9"/>
      <c r="C2493" s="9"/>
    </row>
    <row r="2494" spans="1:3">
      <c r="A2494" s="10"/>
      <c r="B2494" s="9"/>
      <c r="C2494" s="9"/>
    </row>
    <row r="2495" spans="1:3">
      <c r="A2495" s="10"/>
      <c r="B2495" s="9"/>
      <c r="C2495" s="9"/>
    </row>
    <row r="2496" spans="1:3">
      <c r="A2496" s="10"/>
      <c r="B2496" s="9"/>
      <c r="C2496" s="9"/>
    </row>
    <row r="2497" spans="1:3">
      <c r="A2497" s="10"/>
      <c r="B2497" s="9"/>
      <c r="C2497" s="9"/>
    </row>
    <row r="2498" spans="1:3">
      <c r="A2498" s="10"/>
      <c r="B2498" s="9"/>
      <c r="C2498" s="9"/>
    </row>
    <row r="2499" spans="1:3">
      <c r="A2499" s="10"/>
      <c r="B2499" s="9"/>
      <c r="C2499" s="9"/>
    </row>
    <row r="2500" spans="1:3">
      <c r="A2500" s="10"/>
      <c r="B2500" s="9"/>
      <c r="C2500" s="9"/>
    </row>
    <row r="2501" spans="1:3">
      <c r="A2501" s="10"/>
      <c r="B2501" s="9"/>
      <c r="C2501" s="9"/>
    </row>
    <row r="2502" spans="1:3">
      <c r="A2502" s="10"/>
      <c r="B2502" s="9"/>
      <c r="C2502" s="9"/>
    </row>
    <row r="2503" spans="1:3">
      <c r="A2503" s="10"/>
      <c r="B2503" s="9"/>
      <c r="C2503" s="9"/>
    </row>
    <row r="2504" spans="1:3">
      <c r="A2504" s="10"/>
      <c r="B2504" s="9"/>
      <c r="C2504" s="9"/>
    </row>
    <row r="2505" spans="1:3">
      <c r="A2505" s="10"/>
      <c r="B2505" s="9"/>
      <c r="C2505" s="9"/>
    </row>
    <row r="2506" spans="1:3">
      <c r="A2506" s="10"/>
      <c r="B2506" s="9"/>
      <c r="C2506" s="9"/>
    </row>
    <row r="2507" spans="1:3">
      <c r="A2507" s="10"/>
      <c r="B2507" s="9"/>
      <c r="C2507" s="9"/>
    </row>
    <row r="2508" spans="1:3">
      <c r="A2508" s="10"/>
      <c r="B2508" s="9"/>
      <c r="C2508" s="9"/>
    </row>
    <row r="2509" spans="1:3">
      <c r="A2509" s="10"/>
      <c r="B2509" s="9"/>
      <c r="C2509" s="9"/>
    </row>
    <row r="2510" spans="1:3">
      <c r="A2510" s="10"/>
      <c r="B2510" s="9"/>
      <c r="C2510" s="9"/>
    </row>
    <row r="2511" spans="1:3">
      <c r="A2511" s="10"/>
      <c r="B2511" s="9"/>
      <c r="C2511" s="9"/>
    </row>
    <row r="2512" spans="1:3">
      <c r="A2512" s="10"/>
      <c r="B2512" s="9"/>
      <c r="C2512" s="9"/>
    </row>
    <row r="2513" spans="1:3">
      <c r="A2513" s="10"/>
      <c r="B2513" s="9"/>
      <c r="C2513" s="9"/>
    </row>
    <row r="2514" spans="1:3">
      <c r="A2514" s="10"/>
      <c r="B2514" s="9"/>
      <c r="C2514" s="9"/>
    </row>
    <row r="2515" spans="1:3">
      <c r="A2515" s="10"/>
      <c r="B2515" s="9"/>
      <c r="C2515" s="9"/>
    </row>
    <row r="2516" spans="1:3">
      <c r="A2516" s="10"/>
      <c r="B2516" s="9"/>
      <c r="C2516" s="9"/>
    </row>
    <row r="2517" spans="1:3">
      <c r="A2517" s="10"/>
      <c r="B2517" s="9"/>
      <c r="C2517" s="9"/>
    </row>
    <row r="2518" spans="1:3">
      <c r="A2518" s="10"/>
      <c r="B2518" s="9"/>
      <c r="C2518" s="9"/>
    </row>
    <row r="2519" spans="1:3">
      <c r="A2519" s="10"/>
      <c r="B2519" s="9"/>
      <c r="C2519" s="9"/>
    </row>
    <row r="2520" spans="1:3">
      <c r="A2520" s="10"/>
      <c r="B2520" s="9"/>
      <c r="C2520" s="9"/>
    </row>
    <row r="2521" spans="1:3">
      <c r="A2521" s="10"/>
      <c r="B2521" s="9"/>
      <c r="C2521" s="9"/>
    </row>
    <row r="2522" spans="1:3">
      <c r="A2522" s="10"/>
      <c r="B2522" s="9"/>
      <c r="C2522" s="9"/>
    </row>
    <row r="2523" spans="1:3">
      <c r="A2523" s="10"/>
      <c r="B2523" s="9"/>
      <c r="C2523" s="9"/>
    </row>
    <row r="2524" spans="1:3">
      <c r="A2524" s="10"/>
      <c r="B2524" s="9"/>
      <c r="C2524" s="9"/>
    </row>
    <row r="2525" spans="1:3">
      <c r="A2525" s="10"/>
      <c r="B2525" s="9"/>
      <c r="C2525" s="9"/>
    </row>
    <row r="2526" spans="1:3">
      <c r="A2526" s="10"/>
      <c r="B2526" s="9"/>
      <c r="C2526" s="9"/>
    </row>
    <row r="2527" spans="1:3">
      <c r="A2527" s="10"/>
      <c r="B2527" s="9"/>
      <c r="C2527" s="9"/>
    </row>
    <row r="2528" spans="1:3">
      <c r="A2528" s="10"/>
      <c r="B2528" s="9"/>
      <c r="C2528" s="9"/>
    </row>
    <row r="2529" spans="1:3">
      <c r="A2529" s="10"/>
      <c r="B2529" s="9"/>
      <c r="C2529" s="9"/>
    </row>
    <row r="2530" spans="1:3">
      <c r="A2530" s="10"/>
      <c r="B2530" s="9"/>
      <c r="C2530" s="9"/>
    </row>
    <row r="2531" spans="1:3">
      <c r="A2531" s="10"/>
      <c r="B2531" s="9"/>
      <c r="C2531" s="9"/>
    </row>
    <row r="2532" spans="1:3">
      <c r="A2532" s="10"/>
      <c r="B2532" s="9"/>
      <c r="C2532" s="9"/>
    </row>
    <row r="2533" spans="1:3">
      <c r="A2533" s="10"/>
      <c r="B2533" s="9"/>
      <c r="C2533" s="9"/>
    </row>
    <row r="2534" spans="1:3">
      <c r="A2534" s="10"/>
      <c r="B2534" s="9"/>
      <c r="C2534" s="9"/>
    </row>
    <row r="2535" spans="1:3">
      <c r="A2535" s="10"/>
      <c r="B2535" s="9"/>
      <c r="C2535" s="9"/>
    </row>
    <row r="2536" spans="1:3">
      <c r="A2536" s="10"/>
      <c r="B2536" s="9"/>
      <c r="C2536" s="9"/>
    </row>
    <row r="2537" spans="1:3">
      <c r="A2537" s="10"/>
      <c r="B2537" s="9"/>
      <c r="C2537" s="9"/>
    </row>
    <row r="2538" spans="1:3">
      <c r="A2538" s="10"/>
      <c r="B2538" s="9"/>
      <c r="C2538" s="9"/>
    </row>
    <row r="2539" spans="1:3">
      <c r="A2539" s="10"/>
      <c r="B2539" s="9"/>
      <c r="C2539" s="9"/>
    </row>
    <row r="2540" spans="1:3">
      <c r="A2540" s="10"/>
      <c r="B2540" s="9"/>
      <c r="C2540" s="9"/>
    </row>
    <row r="2541" spans="1:3">
      <c r="A2541" s="10"/>
      <c r="B2541" s="9"/>
      <c r="C2541" s="9"/>
    </row>
    <row r="2542" spans="1:3">
      <c r="A2542" s="10"/>
      <c r="B2542" s="9"/>
      <c r="C2542" s="9"/>
    </row>
    <row r="2543" spans="1:3">
      <c r="A2543" s="10"/>
      <c r="B2543" s="9"/>
      <c r="C2543" s="9"/>
    </row>
    <row r="2544" spans="1:3">
      <c r="A2544" s="10"/>
      <c r="B2544" s="9"/>
      <c r="C2544" s="9"/>
    </row>
    <row r="2545" spans="1:3">
      <c r="A2545" s="10"/>
      <c r="B2545" s="9"/>
      <c r="C2545" s="9"/>
    </row>
    <row r="2546" spans="1:3">
      <c r="A2546" s="10"/>
      <c r="B2546" s="9"/>
      <c r="C2546" s="9"/>
    </row>
    <row r="2547" spans="1:3">
      <c r="A2547" s="10"/>
      <c r="B2547" s="9"/>
      <c r="C2547" s="9"/>
    </row>
    <row r="2548" spans="1:3">
      <c r="A2548" s="10"/>
      <c r="B2548" s="9"/>
      <c r="C2548" s="9"/>
    </row>
    <row r="2549" spans="1:3">
      <c r="A2549" s="10"/>
      <c r="B2549" s="9"/>
      <c r="C2549" s="9"/>
    </row>
    <row r="2550" spans="1:3">
      <c r="A2550" s="10"/>
      <c r="B2550" s="9"/>
      <c r="C2550" s="9"/>
    </row>
    <row r="2551" spans="1:3">
      <c r="A2551" s="10"/>
      <c r="B2551" s="9"/>
      <c r="C2551" s="9"/>
    </row>
    <row r="2552" spans="1:3">
      <c r="A2552" s="10"/>
      <c r="B2552" s="9"/>
      <c r="C2552" s="9"/>
    </row>
    <row r="2553" spans="1:3">
      <c r="A2553" s="10"/>
      <c r="B2553" s="9"/>
      <c r="C2553" s="9"/>
    </row>
    <row r="2554" spans="1:3">
      <c r="A2554" s="10"/>
      <c r="B2554" s="9"/>
      <c r="C2554" s="9"/>
    </row>
    <row r="2555" spans="1:3">
      <c r="A2555" s="10"/>
      <c r="B2555" s="9"/>
      <c r="C2555" s="9"/>
    </row>
    <row r="2556" spans="1:3">
      <c r="A2556" s="10"/>
      <c r="B2556" s="9"/>
      <c r="C2556" s="9"/>
    </row>
    <row r="2557" spans="1:3">
      <c r="A2557" s="10"/>
      <c r="B2557" s="9"/>
      <c r="C2557" s="9"/>
    </row>
    <row r="2558" spans="1:3">
      <c r="A2558" s="10"/>
      <c r="B2558" s="9"/>
      <c r="C2558" s="9"/>
    </row>
    <row r="2559" spans="1:3">
      <c r="A2559" s="10"/>
      <c r="B2559" s="9"/>
      <c r="C2559" s="9"/>
    </row>
    <row r="2560" spans="1:3">
      <c r="A2560" s="10"/>
      <c r="B2560" s="9"/>
      <c r="C2560" s="9"/>
    </row>
    <row r="2561" spans="1:3">
      <c r="A2561" s="10"/>
      <c r="B2561" s="9"/>
      <c r="C2561" s="9"/>
    </row>
    <row r="2562" spans="1:3">
      <c r="A2562" s="10"/>
      <c r="B2562" s="9"/>
      <c r="C2562" s="9"/>
    </row>
    <row r="2563" spans="1:3">
      <c r="A2563" s="10"/>
      <c r="B2563" s="9"/>
      <c r="C2563" s="9"/>
    </row>
    <row r="2564" spans="1:3">
      <c r="A2564" s="10"/>
      <c r="B2564" s="9"/>
      <c r="C2564" s="9"/>
    </row>
    <row r="2565" spans="1:3">
      <c r="A2565" s="10"/>
      <c r="B2565" s="9"/>
      <c r="C2565" s="9"/>
    </row>
    <row r="2566" spans="1:3">
      <c r="A2566" s="10"/>
      <c r="B2566" s="9"/>
      <c r="C2566" s="9"/>
    </row>
    <row r="2567" spans="1:3">
      <c r="A2567" s="10"/>
      <c r="B2567" s="9"/>
      <c r="C2567" s="9"/>
    </row>
    <row r="2568" spans="1:3">
      <c r="A2568" s="10"/>
      <c r="B2568" s="9"/>
      <c r="C2568" s="9"/>
    </row>
    <row r="2569" spans="1:3">
      <c r="A2569" s="10"/>
      <c r="B2569" s="9"/>
      <c r="C2569" s="9"/>
    </row>
    <row r="2570" spans="1:3">
      <c r="A2570" s="10"/>
      <c r="B2570" s="9"/>
      <c r="C2570" s="9"/>
    </row>
    <row r="2571" spans="1:3">
      <c r="A2571" s="10"/>
      <c r="B2571" s="9"/>
      <c r="C2571" s="9"/>
    </row>
    <row r="2572" spans="1:3">
      <c r="A2572" s="10"/>
      <c r="B2572" s="9"/>
      <c r="C2572" s="9"/>
    </row>
    <row r="2573" spans="1:3">
      <c r="A2573" s="10"/>
      <c r="B2573" s="9"/>
      <c r="C2573" s="9"/>
    </row>
    <row r="2574" spans="1:3">
      <c r="A2574" s="10"/>
      <c r="B2574" s="9"/>
      <c r="C2574" s="9"/>
    </row>
    <row r="2575" spans="1:3">
      <c r="A2575" s="10"/>
      <c r="B2575" s="9"/>
      <c r="C2575" s="9"/>
    </row>
    <row r="2576" spans="1:3">
      <c r="A2576" s="10"/>
      <c r="B2576" s="9"/>
      <c r="C2576" s="9"/>
    </row>
    <row r="2577" spans="1:3">
      <c r="A2577" s="10"/>
      <c r="B2577" s="9"/>
      <c r="C2577" s="9"/>
    </row>
    <row r="2578" spans="1:3">
      <c r="A2578" s="10"/>
      <c r="B2578" s="9"/>
      <c r="C2578" s="9"/>
    </row>
    <row r="2579" spans="1:3">
      <c r="A2579" s="10"/>
      <c r="B2579" s="9"/>
      <c r="C2579" s="9"/>
    </row>
    <row r="2580" spans="1:3">
      <c r="A2580" s="10"/>
      <c r="B2580" s="9"/>
      <c r="C2580" s="9"/>
    </row>
    <row r="2581" spans="1:3">
      <c r="A2581" s="10"/>
      <c r="B2581" s="9"/>
      <c r="C2581" s="9"/>
    </row>
    <row r="2582" spans="1:3">
      <c r="A2582" s="10"/>
      <c r="B2582" s="9"/>
      <c r="C2582" s="9"/>
    </row>
    <row r="2583" spans="1:3">
      <c r="A2583" s="10"/>
      <c r="B2583" s="9"/>
      <c r="C2583" s="9"/>
    </row>
    <row r="2584" spans="1:3">
      <c r="A2584" s="10"/>
      <c r="B2584" s="9"/>
      <c r="C2584" s="9"/>
    </row>
    <row r="2585" spans="1:3">
      <c r="A2585" s="10"/>
      <c r="B2585" s="9"/>
      <c r="C2585" s="9"/>
    </row>
    <row r="2586" spans="1:3">
      <c r="A2586" s="10"/>
      <c r="B2586" s="9"/>
      <c r="C2586" s="9"/>
    </row>
    <row r="2587" spans="1:3">
      <c r="A2587" s="10"/>
      <c r="B2587" s="9"/>
      <c r="C2587" s="9"/>
    </row>
    <row r="2588" spans="1:3">
      <c r="A2588" s="10"/>
      <c r="B2588" s="9"/>
      <c r="C2588" s="9"/>
    </row>
    <row r="2589" spans="1:3">
      <c r="A2589" s="10"/>
      <c r="B2589" s="9"/>
      <c r="C2589" s="9"/>
    </row>
    <row r="2590" spans="1:3">
      <c r="A2590" s="10"/>
      <c r="B2590" s="9"/>
      <c r="C2590" s="9"/>
    </row>
    <row r="2591" spans="1:3">
      <c r="A2591" s="10"/>
      <c r="B2591" s="9"/>
      <c r="C2591" s="9"/>
    </row>
    <row r="2592" spans="1:3">
      <c r="A2592" s="10"/>
      <c r="B2592" s="9"/>
      <c r="C2592" s="9"/>
    </row>
    <row r="2593" spans="1:3">
      <c r="A2593" s="10"/>
      <c r="B2593" s="9"/>
      <c r="C2593" s="9"/>
    </row>
    <row r="2594" spans="1:3">
      <c r="A2594" s="10"/>
      <c r="B2594" s="9"/>
      <c r="C2594" s="9"/>
    </row>
    <row r="2595" spans="1:3">
      <c r="A2595" s="10"/>
      <c r="B2595" s="9"/>
      <c r="C2595" s="9"/>
    </row>
    <row r="2596" spans="1:3">
      <c r="A2596" s="10"/>
      <c r="B2596" s="9"/>
      <c r="C2596" s="9"/>
    </row>
    <row r="2597" spans="1:3">
      <c r="A2597" s="10"/>
      <c r="B2597" s="9"/>
      <c r="C2597" s="9"/>
    </row>
    <row r="2598" spans="1:3">
      <c r="A2598" s="10"/>
      <c r="B2598" s="9"/>
      <c r="C2598" s="9"/>
    </row>
    <row r="2599" spans="1:3">
      <c r="A2599" s="10"/>
      <c r="B2599" s="9"/>
      <c r="C2599" s="9"/>
    </row>
    <row r="2600" spans="1:3">
      <c r="A2600" s="10"/>
      <c r="B2600" s="9"/>
      <c r="C2600" s="9"/>
    </row>
    <row r="2601" spans="1:3">
      <c r="A2601" s="10"/>
      <c r="B2601" s="9"/>
      <c r="C2601" s="9"/>
    </row>
    <row r="2602" spans="1:3">
      <c r="A2602" s="10"/>
      <c r="B2602" s="9"/>
      <c r="C2602" s="9"/>
    </row>
    <row r="2603" spans="1:3">
      <c r="A2603" s="10"/>
      <c r="B2603" s="9"/>
      <c r="C2603" s="9"/>
    </row>
    <row r="2604" spans="1:3">
      <c r="A2604" s="10"/>
      <c r="B2604" s="9"/>
      <c r="C2604" s="9"/>
    </row>
    <row r="2605" spans="1:3">
      <c r="A2605" s="10"/>
      <c r="B2605" s="9"/>
      <c r="C2605" s="9"/>
    </row>
    <row r="2606" spans="1:3">
      <c r="A2606" s="10"/>
      <c r="B2606" s="9"/>
      <c r="C2606" s="9"/>
    </row>
    <row r="2607" spans="1:3">
      <c r="A2607" s="10"/>
      <c r="B2607" s="9"/>
      <c r="C2607" s="9"/>
    </row>
    <row r="2608" spans="1:3">
      <c r="A2608" s="10"/>
      <c r="B2608" s="9"/>
      <c r="C2608" s="9"/>
    </row>
    <row r="2609" spans="1:3">
      <c r="A2609" s="10"/>
      <c r="B2609" s="9"/>
      <c r="C2609" s="9"/>
    </row>
    <row r="2610" spans="1:3">
      <c r="A2610" s="10"/>
      <c r="B2610" s="9"/>
      <c r="C2610" s="9"/>
    </row>
    <row r="2611" spans="1:3">
      <c r="A2611" s="10"/>
      <c r="B2611" s="9"/>
      <c r="C2611" s="9"/>
    </row>
    <row r="2612" spans="1:3">
      <c r="A2612" s="10"/>
      <c r="B2612" s="9"/>
      <c r="C2612" s="9"/>
    </row>
    <row r="2613" spans="1:3">
      <c r="A2613" s="10"/>
      <c r="B2613" s="9"/>
      <c r="C2613" s="9"/>
    </row>
    <row r="2614" spans="1:3">
      <c r="A2614" s="10"/>
      <c r="B2614" s="9"/>
      <c r="C2614" s="9"/>
    </row>
    <row r="2615" spans="1:3">
      <c r="A2615" s="10"/>
      <c r="B2615" s="9"/>
      <c r="C2615" s="9"/>
    </row>
    <row r="2616" spans="1:3">
      <c r="A2616" s="10"/>
      <c r="B2616" s="9"/>
      <c r="C2616" s="9"/>
    </row>
    <row r="2617" spans="1:3">
      <c r="A2617" s="10"/>
      <c r="B2617" s="9"/>
      <c r="C2617" s="9"/>
    </row>
    <row r="2618" spans="1:3">
      <c r="A2618" s="10"/>
      <c r="B2618" s="9"/>
      <c r="C2618" s="9"/>
    </row>
    <row r="2619" spans="1:3">
      <c r="A2619" s="10"/>
      <c r="B2619" s="9"/>
      <c r="C2619" s="9"/>
    </row>
    <row r="2620" spans="1:3">
      <c r="A2620" s="10"/>
      <c r="B2620" s="9"/>
      <c r="C2620" s="9"/>
    </row>
    <row r="2621" spans="1:3">
      <c r="A2621" s="10"/>
      <c r="B2621" s="9"/>
      <c r="C2621" s="9"/>
    </row>
    <row r="2622" spans="1:3">
      <c r="A2622" s="10"/>
      <c r="B2622" s="9"/>
      <c r="C2622" s="9"/>
    </row>
    <row r="2623" spans="1:3">
      <c r="A2623" s="10"/>
      <c r="B2623" s="9"/>
      <c r="C2623" s="9"/>
    </row>
    <row r="2624" spans="1:3">
      <c r="A2624" s="10"/>
      <c r="B2624" s="9"/>
      <c r="C2624" s="9"/>
    </row>
    <row r="2625" spans="1:3">
      <c r="A2625" s="10"/>
      <c r="B2625" s="9"/>
      <c r="C2625" s="9"/>
    </row>
    <row r="2626" spans="1:3">
      <c r="A2626" s="10"/>
      <c r="B2626" s="9"/>
      <c r="C2626" s="9"/>
    </row>
    <row r="2627" spans="1:3">
      <c r="A2627" s="10"/>
      <c r="B2627" s="9"/>
      <c r="C2627" s="9"/>
    </row>
    <row r="2628" spans="1:3">
      <c r="A2628" s="10"/>
      <c r="B2628" s="9"/>
      <c r="C2628" s="9"/>
    </row>
    <row r="2629" spans="1:3">
      <c r="A2629" s="10"/>
      <c r="B2629" s="9"/>
      <c r="C2629" s="9"/>
    </row>
    <row r="2630" spans="1:3">
      <c r="A2630" s="10"/>
      <c r="B2630" s="9"/>
      <c r="C2630" s="9"/>
    </row>
    <row r="2631" spans="1:3">
      <c r="A2631" s="10"/>
      <c r="B2631" s="9"/>
      <c r="C2631" s="9"/>
    </row>
    <row r="2632" spans="1:3">
      <c r="A2632" s="10"/>
      <c r="B2632" s="9"/>
      <c r="C2632" s="9"/>
    </row>
    <row r="2633" spans="1:3">
      <c r="A2633" s="10"/>
      <c r="B2633" s="9"/>
      <c r="C2633" s="9"/>
    </row>
    <row r="2634" spans="1:3">
      <c r="A2634" s="10"/>
      <c r="B2634" s="9"/>
      <c r="C2634" s="9"/>
    </row>
    <row r="2635" spans="1:3">
      <c r="A2635" s="10"/>
      <c r="B2635" s="9"/>
      <c r="C2635" s="9"/>
    </row>
    <row r="2636" spans="1:3">
      <c r="A2636" s="10"/>
      <c r="B2636" s="9"/>
      <c r="C2636" s="9"/>
    </row>
    <row r="2637" spans="1:3">
      <c r="A2637" s="10"/>
      <c r="B2637" s="9"/>
      <c r="C2637" s="9"/>
    </row>
    <row r="2638" spans="1:3">
      <c r="A2638" s="10"/>
      <c r="B2638" s="9"/>
      <c r="C2638" s="9"/>
    </row>
    <row r="2639" spans="1:3">
      <c r="A2639" s="10"/>
      <c r="B2639" s="9"/>
      <c r="C2639" s="9"/>
    </row>
    <row r="2640" spans="1:3">
      <c r="A2640" s="10"/>
      <c r="B2640" s="9"/>
      <c r="C2640" s="9"/>
    </row>
    <row r="2641" spans="1:3">
      <c r="A2641" s="10"/>
      <c r="B2641" s="9"/>
      <c r="C2641" s="9"/>
    </row>
    <row r="2642" spans="1:3">
      <c r="A2642" s="10"/>
      <c r="B2642" s="9"/>
      <c r="C2642" s="9"/>
    </row>
    <row r="2643" spans="1:3">
      <c r="A2643" s="10"/>
      <c r="B2643" s="9"/>
      <c r="C2643" s="9"/>
    </row>
    <row r="2644" spans="1:3">
      <c r="A2644" s="10"/>
      <c r="B2644" s="9"/>
      <c r="C2644" s="9"/>
    </row>
    <row r="2645" spans="1:3">
      <c r="A2645" s="10"/>
      <c r="B2645" s="9"/>
      <c r="C2645" s="9"/>
    </row>
    <row r="2646" spans="1:3">
      <c r="A2646" s="10"/>
      <c r="B2646" s="9"/>
      <c r="C2646" s="9"/>
    </row>
    <row r="2647" spans="1:3">
      <c r="A2647" s="10"/>
      <c r="B2647" s="9"/>
      <c r="C2647" s="9"/>
    </row>
    <row r="2648" spans="1:3">
      <c r="A2648" s="10"/>
      <c r="B2648" s="9"/>
      <c r="C2648" s="9"/>
    </row>
    <row r="2649" spans="1:3">
      <c r="A2649" s="10"/>
      <c r="B2649" s="9"/>
      <c r="C2649" s="9"/>
    </row>
    <row r="2650" spans="1:3">
      <c r="A2650" s="10"/>
      <c r="B2650" s="9"/>
      <c r="C2650" s="9"/>
    </row>
    <row r="2651" spans="1:3">
      <c r="A2651" s="10"/>
      <c r="B2651" s="9"/>
      <c r="C2651" s="9"/>
    </row>
    <row r="2652" spans="1:3">
      <c r="A2652" s="10"/>
      <c r="B2652" s="9"/>
      <c r="C2652" s="9"/>
    </row>
    <row r="2653" spans="1:3">
      <c r="A2653" s="10"/>
      <c r="B2653" s="9"/>
      <c r="C2653" s="9"/>
    </row>
    <row r="2654" spans="1:3">
      <c r="A2654" s="10"/>
      <c r="B2654" s="9"/>
      <c r="C2654" s="9"/>
    </row>
    <row r="2655" spans="1:3">
      <c r="A2655" s="10"/>
      <c r="B2655" s="9"/>
      <c r="C2655" s="9"/>
    </row>
    <row r="2656" spans="1:3">
      <c r="A2656" s="10"/>
      <c r="B2656" s="9"/>
      <c r="C2656" s="9"/>
    </row>
    <row r="2657" spans="1:3">
      <c r="A2657" s="10"/>
      <c r="B2657" s="9"/>
      <c r="C2657" s="9"/>
    </row>
    <row r="2658" spans="1:3">
      <c r="A2658" s="10"/>
      <c r="B2658" s="9"/>
      <c r="C2658" s="9"/>
    </row>
    <row r="2659" spans="1:3">
      <c r="A2659" s="10"/>
      <c r="B2659" s="9"/>
      <c r="C2659" s="9"/>
    </row>
    <row r="2660" spans="1:3">
      <c r="A2660" s="10"/>
      <c r="B2660" s="9"/>
      <c r="C2660" s="9"/>
    </row>
    <row r="2661" spans="1:3">
      <c r="A2661" s="10"/>
      <c r="B2661" s="9"/>
      <c r="C2661" s="9"/>
    </row>
    <row r="2662" spans="1:3">
      <c r="A2662" s="10"/>
      <c r="B2662" s="9"/>
      <c r="C2662" s="9"/>
    </row>
    <row r="2663" spans="1:3">
      <c r="A2663" s="10"/>
      <c r="B2663" s="9"/>
      <c r="C2663" s="9"/>
    </row>
    <row r="2664" spans="1:3">
      <c r="A2664" s="10"/>
      <c r="B2664" s="9"/>
      <c r="C2664" s="9"/>
    </row>
    <row r="2665" spans="1:3">
      <c r="A2665" s="10"/>
      <c r="B2665" s="9"/>
      <c r="C2665" s="9"/>
    </row>
    <row r="2666" spans="1:3">
      <c r="A2666" s="10"/>
      <c r="B2666" s="9"/>
      <c r="C2666" s="9"/>
    </row>
    <row r="2667" spans="1:3">
      <c r="A2667" s="10"/>
      <c r="B2667" s="9"/>
      <c r="C2667" s="9"/>
    </row>
    <row r="2668" spans="1:3">
      <c r="A2668" s="10"/>
      <c r="B2668" s="9"/>
      <c r="C2668" s="9"/>
    </row>
    <row r="2669" spans="1:3">
      <c r="A2669" s="10"/>
      <c r="B2669" s="9"/>
      <c r="C2669" s="9"/>
    </row>
    <row r="2670" spans="1:3">
      <c r="A2670" s="10"/>
      <c r="B2670" s="9"/>
      <c r="C2670" s="9"/>
    </row>
    <row r="2671" spans="1:3">
      <c r="A2671" s="10"/>
      <c r="B2671" s="9"/>
      <c r="C2671" s="9"/>
    </row>
    <row r="2672" spans="1:3">
      <c r="A2672" s="10"/>
      <c r="B2672" s="9"/>
      <c r="C2672" s="9"/>
    </row>
    <row r="2673" spans="1:3">
      <c r="A2673" s="10"/>
      <c r="B2673" s="9"/>
      <c r="C2673" s="9"/>
    </row>
    <row r="2674" spans="1:3">
      <c r="A2674" s="10"/>
      <c r="B2674" s="9"/>
      <c r="C2674" s="9"/>
    </row>
    <row r="2675" spans="1:3">
      <c r="A2675" s="10"/>
      <c r="B2675" s="9"/>
      <c r="C2675" s="9"/>
    </row>
    <row r="2676" spans="1:3">
      <c r="A2676" s="10"/>
      <c r="B2676" s="9"/>
      <c r="C2676" s="9"/>
    </row>
    <row r="2677" spans="1:3">
      <c r="A2677" s="10"/>
      <c r="B2677" s="9"/>
      <c r="C2677" s="9"/>
    </row>
    <row r="2678" spans="1:3">
      <c r="A2678" s="10"/>
      <c r="B2678" s="9"/>
      <c r="C2678" s="9"/>
    </row>
    <row r="2679" spans="1:3">
      <c r="A2679" s="10"/>
      <c r="B2679" s="9"/>
      <c r="C2679" s="9"/>
    </row>
    <row r="2680" spans="1:3">
      <c r="A2680" s="10"/>
      <c r="B2680" s="9"/>
      <c r="C2680" s="9"/>
    </row>
    <row r="2681" spans="1:3">
      <c r="A2681" s="10"/>
      <c r="B2681" s="9"/>
      <c r="C2681" s="9"/>
    </row>
    <row r="2682" spans="1:3">
      <c r="A2682" s="10"/>
      <c r="B2682" s="9"/>
      <c r="C2682" s="9"/>
    </row>
    <row r="2683" spans="1:3">
      <c r="A2683" s="10"/>
      <c r="B2683" s="9"/>
      <c r="C2683" s="9"/>
    </row>
    <row r="2684" spans="1:3">
      <c r="A2684" s="10"/>
      <c r="B2684" s="9"/>
      <c r="C2684" s="9"/>
    </row>
    <row r="2685" spans="1:3">
      <c r="A2685" s="10"/>
      <c r="B2685" s="9"/>
      <c r="C2685" s="9"/>
    </row>
    <row r="2686" spans="1:3">
      <c r="A2686" s="10"/>
      <c r="B2686" s="9"/>
      <c r="C2686" s="9"/>
    </row>
    <row r="2687" spans="1:3">
      <c r="A2687" s="10"/>
      <c r="B2687" s="9"/>
      <c r="C2687" s="9"/>
    </row>
    <row r="2688" spans="1:3">
      <c r="A2688" s="10"/>
      <c r="B2688" s="9"/>
      <c r="C2688" s="9"/>
    </row>
    <row r="2689" spans="1:3">
      <c r="A2689" s="10"/>
      <c r="B2689" s="9"/>
      <c r="C2689" s="9"/>
    </row>
    <row r="2690" spans="1:3">
      <c r="A2690" s="10"/>
      <c r="B2690" s="9"/>
      <c r="C2690" s="9"/>
    </row>
    <row r="2691" spans="1:3">
      <c r="A2691" s="10"/>
      <c r="B2691" s="9"/>
      <c r="C2691" s="9"/>
    </row>
    <row r="2692" spans="1:3">
      <c r="A2692" s="10"/>
      <c r="B2692" s="9"/>
      <c r="C2692" s="9"/>
    </row>
    <row r="2693" spans="1:3">
      <c r="A2693" s="10"/>
      <c r="B2693" s="9"/>
      <c r="C2693" s="9"/>
    </row>
    <row r="2694" spans="1:3">
      <c r="A2694" s="10"/>
      <c r="B2694" s="9"/>
      <c r="C2694" s="9"/>
    </row>
    <row r="2695" spans="1:3">
      <c r="A2695" s="10"/>
      <c r="B2695" s="9"/>
      <c r="C2695" s="9"/>
    </row>
    <row r="2696" spans="1:3">
      <c r="A2696" s="10"/>
      <c r="B2696" s="9"/>
      <c r="C2696" s="9"/>
    </row>
    <row r="2697" spans="1:3">
      <c r="A2697" s="10"/>
      <c r="B2697" s="9"/>
      <c r="C2697" s="9"/>
    </row>
    <row r="2698" spans="1:3">
      <c r="A2698" s="10"/>
      <c r="B2698" s="9"/>
      <c r="C2698" s="9"/>
    </row>
    <row r="2699" spans="1:3">
      <c r="A2699" s="10"/>
      <c r="B2699" s="9"/>
      <c r="C2699" s="9"/>
    </row>
    <row r="2700" spans="1:3">
      <c r="A2700" s="10"/>
      <c r="B2700" s="9"/>
      <c r="C2700" s="9"/>
    </row>
    <row r="2701" spans="1:3">
      <c r="A2701" s="10"/>
      <c r="B2701" s="9"/>
      <c r="C2701" s="9"/>
    </row>
    <row r="2702" spans="1:3">
      <c r="A2702" s="10"/>
      <c r="B2702" s="9"/>
      <c r="C2702" s="9"/>
    </row>
    <row r="2703" spans="1:3">
      <c r="A2703" s="10"/>
      <c r="B2703" s="9"/>
      <c r="C2703" s="9"/>
    </row>
    <row r="2704" spans="1:3">
      <c r="A2704" s="10"/>
      <c r="B2704" s="9"/>
      <c r="C2704" s="9"/>
    </row>
    <row r="2705" spans="1:3">
      <c r="A2705" s="10"/>
      <c r="B2705" s="9"/>
      <c r="C2705" s="9"/>
    </row>
    <row r="2706" spans="1:3">
      <c r="A2706" s="10"/>
      <c r="B2706" s="9"/>
      <c r="C2706" s="9"/>
    </row>
    <row r="2707" spans="1:3">
      <c r="A2707" s="10"/>
      <c r="B2707" s="9"/>
      <c r="C2707" s="9"/>
    </row>
    <row r="2708" spans="1:3">
      <c r="A2708" s="10"/>
      <c r="B2708" s="9"/>
      <c r="C2708" s="9"/>
    </row>
    <row r="2709" spans="1:3">
      <c r="A2709" s="10"/>
      <c r="B2709" s="9"/>
      <c r="C2709" s="9"/>
    </row>
    <row r="2710" spans="1:3">
      <c r="A2710" s="10"/>
      <c r="B2710" s="9"/>
      <c r="C2710" s="9"/>
    </row>
    <row r="2711" spans="1:3">
      <c r="A2711" s="10"/>
      <c r="B2711" s="9"/>
      <c r="C2711" s="9"/>
    </row>
    <row r="2712" spans="1:3">
      <c r="A2712" s="10"/>
      <c r="B2712" s="9"/>
      <c r="C2712" s="9"/>
    </row>
    <row r="2713" spans="1:3">
      <c r="A2713" s="10"/>
      <c r="B2713" s="9"/>
      <c r="C2713" s="9"/>
    </row>
    <row r="2714" spans="1:3">
      <c r="A2714" s="10"/>
      <c r="B2714" s="9"/>
      <c r="C2714" s="9"/>
    </row>
    <row r="2715" spans="1:3">
      <c r="A2715" s="10"/>
      <c r="B2715" s="9"/>
      <c r="C2715" s="9"/>
    </row>
    <row r="2716" spans="1:3">
      <c r="A2716" s="10"/>
      <c r="B2716" s="9"/>
      <c r="C2716" s="9"/>
    </row>
    <row r="2717" spans="1:3">
      <c r="A2717" s="10"/>
      <c r="B2717" s="9"/>
      <c r="C2717" s="9"/>
    </row>
    <row r="2718" spans="1:3">
      <c r="A2718" s="10"/>
      <c r="B2718" s="9"/>
      <c r="C2718" s="9"/>
    </row>
    <row r="2719" spans="1:3">
      <c r="A2719" s="10"/>
      <c r="B2719" s="9"/>
      <c r="C2719" s="9"/>
    </row>
    <row r="2720" spans="1:3">
      <c r="A2720" s="10"/>
      <c r="B2720" s="9"/>
      <c r="C2720" s="9"/>
    </row>
    <row r="2721" spans="1:3">
      <c r="A2721" s="10"/>
      <c r="B2721" s="9"/>
      <c r="C2721" s="9"/>
    </row>
    <row r="2722" spans="1:3">
      <c r="A2722" s="10"/>
      <c r="B2722" s="9"/>
      <c r="C2722" s="9"/>
    </row>
    <row r="2723" spans="1:3">
      <c r="A2723" s="10"/>
      <c r="B2723" s="9"/>
      <c r="C2723" s="9"/>
    </row>
    <row r="2724" spans="1:3">
      <c r="A2724" s="10"/>
      <c r="B2724" s="9"/>
      <c r="C2724" s="9"/>
    </row>
    <row r="2725" spans="1:3">
      <c r="A2725" s="10"/>
      <c r="B2725" s="9"/>
      <c r="C2725" s="9"/>
    </row>
    <row r="2726" spans="1:3">
      <c r="A2726" s="10"/>
      <c r="B2726" s="9"/>
      <c r="C2726" s="9"/>
    </row>
    <row r="2727" spans="1:3">
      <c r="A2727" s="10"/>
      <c r="B2727" s="9"/>
      <c r="C2727" s="9"/>
    </row>
    <row r="2728" spans="1:3">
      <c r="A2728" s="10"/>
      <c r="B2728" s="9"/>
      <c r="C2728" s="9"/>
    </row>
    <row r="2729" spans="1:3">
      <c r="A2729" s="10"/>
      <c r="B2729" s="9"/>
      <c r="C2729" s="9"/>
    </row>
    <row r="2730" spans="1:3">
      <c r="A2730" s="10"/>
      <c r="B2730" s="9"/>
      <c r="C2730" s="9"/>
    </row>
    <row r="2731" spans="1:3">
      <c r="A2731" s="10"/>
      <c r="B2731" s="9"/>
      <c r="C2731" s="9"/>
    </row>
    <row r="2732" spans="1:3">
      <c r="A2732" s="10"/>
      <c r="B2732" s="9"/>
      <c r="C2732" s="9"/>
    </row>
    <row r="2733" spans="1:3">
      <c r="A2733" s="10"/>
      <c r="B2733" s="9"/>
      <c r="C2733" s="9"/>
    </row>
    <row r="2734" spans="1:3">
      <c r="A2734" s="10"/>
      <c r="B2734" s="9"/>
      <c r="C2734" s="9"/>
    </row>
    <row r="2735" spans="1:3">
      <c r="A2735" s="10"/>
      <c r="B2735" s="9"/>
      <c r="C2735" s="9"/>
    </row>
    <row r="2736" spans="1:3">
      <c r="A2736" s="10"/>
      <c r="B2736" s="9"/>
      <c r="C2736" s="9"/>
    </row>
    <row r="2737" spans="1:3">
      <c r="A2737" s="10"/>
      <c r="B2737" s="9"/>
      <c r="C2737" s="9"/>
    </row>
    <row r="2738" spans="1:3">
      <c r="A2738" s="10"/>
      <c r="B2738" s="9"/>
      <c r="C2738" s="9"/>
    </row>
    <row r="2739" spans="1:3">
      <c r="A2739" s="10"/>
      <c r="B2739" s="9"/>
      <c r="C2739" s="9"/>
    </row>
    <row r="2740" spans="1:3">
      <c r="A2740" s="10"/>
      <c r="B2740" s="9"/>
      <c r="C2740" s="9"/>
    </row>
    <row r="2741" spans="1:3">
      <c r="A2741" s="10"/>
      <c r="B2741" s="9"/>
      <c r="C2741" s="9"/>
    </row>
    <row r="2742" spans="1:3">
      <c r="A2742" s="10"/>
      <c r="B2742" s="9"/>
      <c r="C2742" s="9"/>
    </row>
    <row r="2743" spans="1:3">
      <c r="A2743" s="10"/>
      <c r="B2743" s="9"/>
      <c r="C2743" s="9"/>
    </row>
    <row r="2744" spans="1:3">
      <c r="A2744" s="10"/>
      <c r="B2744" s="9"/>
      <c r="C2744" s="9"/>
    </row>
    <row r="2745" spans="1:3">
      <c r="A2745" s="10"/>
      <c r="B2745" s="9"/>
      <c r="C2745" s="9"/>
    </row>
    <row r="2746" spans="1:3">
      <c r="A2746" s="10"/>
      <c r="B2746" s="9"/>
      <c r="C2746" s="9"/>
    </row>
    <row r="2747" spans="1:3">
      <c r="A2747" s="10"/>
      <c r="B2747" s="9"/>
      <c r="C2747" s="9"/>
    </row>
    <row r="2748" spans="1:3">
      <c r="A2748" s="10"/>
      <c r="B2748" s="9"/>
      <c r="C2748" s="9"/>
    </row>
    <row r="2749" spans="1:3">
      <c r="A2749" s="10"/>
      <c r="B2749" s="9"/>
      <c r="C2749" s="9"/>
    </row>
    <row r="2750" spans="1:3">
      <c r="A2750" s="10"/>
      <c r="B2750" s="9"/>
      <c r="C2750" s="9"/>
    </row>
    <row r="2751" spans="1:3">
      <c r="A2751" s="10"/>
      <c r="B2751" s="9"/>
      <c r="C2751" s="9"/>
    </row>
    <row r="2752" spans="1:3">
      <c r="A2752" s="10"/>
      <c r="B2752" s="9"/>
      <c r="C2752" s="9"/>
    </row>
    <row r="2753" spans="1:3">
      <c r="A2753" s="10"/>
      <c r="B2753" s="9"/>
      <c r="C2753" s="9"/>
    </row>
    <row r="2754" spans="1:3">
      <c r="A2754" s="10"/>
      <c r="B2754" s="9"/>
      <c r="C2754" s="9"/>
    </row>
    <row r="2755" spans="1:3">
      <c r="A2755" s="10"/>
      <c r="B2755" s="9"/>
      <c r="C2755" s="9"/>
    </row>
    <row r="2756" spans="1:3">
      <c r="A2756" s="10"/>
      <c r="B2756" s="9"/>
      <c r="C2756" s="9"/>
    </row>
    <row r="2757" spans="1:3">
      <c r="A2757" s="10"/>
      <c r="B2757" s="9"/>
      <c r="C2757" s="9"/>
    </row>
    <row r="2758" spans="1:3">
      <c r="A2758" s="10"/>
      <c r="B2758" s="9"/>
      <c r="C2758" s="9"/>
    </row>
    <row r="2759" spans="1:3">
      <c r="A2759" s="10"/>
      <c r="B2759" s="9"/>
      <c r="C2759" s="9"/>
    </row>
    <row r="2760" spans="1:3">
      <c r="A2760" s="10"/>
      <c r="B2760" s="9"/>
      <c r="C2760" s="9"/>
    </row>
    <row r="2761" spans="1:3">
      <c r="A2761" s="10"/>
      <c r="B2761" s="9"/>
      <c r="C2761" s="9"/>
    </row>
    <row r="2762" spans="1:3">
      <c r="A2762" s="10"/>
      <c r="B2762" s="9"/>
      <c r="C2762" s="9"/>
    </row>
    <row r="2763" spans="1:3">
      <c r="A2763" s="10"/>
      <c r="B2763" s="9"/>
      <c r="C2763" s="9"/>
    </row>
    <row r="2764" spans="1:3">
      <c r="A2764" s="10"/>
      <c r="B2764" s="9"/>
      <c r="C2764" s="9"/>
    </row>
    <row r="2765" spans="1:3">
      <c r="A2765" s="10"/>
      <c r="B2765" s="9"/>
      <c r="C2765" s="9"/>
    </row>
    <row r="2766" spans="1:3">
      <c r="A2766" s="10"/>
      <c r="B2766" s="9"/>
      <c r="C2766" s="9"/>
    </row>
    <row r="2767" spans="1:3">
      <c r="A2767" s="10"/>
      <c r="B2767" s="9"/>
      <c r="C2767" s="9"/>
    </row>
    <row r="2768" spans="1:3">
      <c r="A2768" s="10"/>
      <c r="B2768" s="9"/>
      <c r="C2768" s="9"/>
    </row>
    <row r="2769" spans="1:3">
      <c r="A2769" s="10"/>
      <c r="B2769" s="9"/>
      <c r="C2769" s="9"/>
    </row>
    <row r="2770" spans="1:3">
      <c r="A2770" s="10"/>
      <c r="B2770" s="9"/>
      <c r="C2770" s="9"/>
    </row>
    <row r="2771" spans="1:3">
      <c r="A2771" s="10"/>
      <c r="B2771" s="9"/>
      <c r="C2771" s="9"/>
    </row>
    <row r="2772" spans="1:3">
      <c r="A2772" s="10"/>
      <c r="B2772" s="9"/>
      <c r="C2772" s="9"/>
    </row>
    <row r="2773" spans="1:3">
      <c r="A2773" s="10"/>
      <c r="B2773" s="9"/>
      <c r="C2773" s="9"/>
    </row>
    <row r="2774" spans="1:3">
      <c r="A2774" s="10"/>
      <c r="B2774" s="9"/>
      <c r="C2774" s="9"/>
    </row>
    <row r="2775" spans="1:3">
      <c r="A2775" s="10"/>
      <c r="B2775" s="9"/>
      <c r="C2775" s="9"/>
    </row>
    <row r="2776" spans="1:3">
      <c r="A2776" s="10"/>
      <c r="B2776" s="9"/>
      <c r="C2776" s="9"/>
    </row>
    <row r="2777" spans="1:3">
      <c r="A2777" s="10"/>
      <c r="B2777" s="9"/>
      <c r="C2777" s="9"/>
    </row>
    <row r="2778" spans="1:3">
      <c r="A2778" s="10"/>
      <c r="B2778" s="9"/>
      <c r="C2778" s="9"/>
    </row>
    <row r="2779" spans="1:3">
      <c r="A2779" s="10"/>
      <c r="B2779" s="9"/>
      <c r="C2779" s="9"/>
    </row>
    <row r="2780" spans="1:3">
      <c r="A2780" s="10"/>
      <c r="B2780" s="9"/>
      <c r="C2780" s="9"/>
    </row>
    <row r="2781" spans="1:3">
      <c r="A2781" s="10"/>
      <c r="B2781" s="9"/>
      <c r="C2781" s="9"/>
    </row>
    <row r="2782" spans="1:3">
      <c r="A2782" s="10"/>
      <c r="B2782" s="9"/>
      <c r="C2782" s="9"/>
    </row>
    <row r="2783" spans="1:3">
      <c r="A2783" s="10"/>
      <c r="B2783" s="9"/>
      <c r="C2783" s="9"/>
    </row>
    <row r="2784" spans="1:3">
      <c r="A2784" s="10"/>
      <c r="B2784" s="9"/>
      <c r="C2784" s="9"/>
    </row>
    <row r="2785" spans="1:3">
      <c r="A2785" s="10"/>
      <c r="B2785" s="9"/>
      <c r="C2785" s="9"/>
    </row>
    <row r="2786" spans="1:3">
      <c r="A2786" s="10"/>
      <c r="B2786" s="9"/>
      <c r="C2786" s="9"/>
    </row>
    <row r="2787" spans="1:3">
      <c r="A2787" s="10"/>
      <c r="B2787" s="9"/>
      <c r="C2787" s="9"/>
    </row>
    <row r="2788" spans="1:3">
      <c r="A2788" s="10"/>
      <c r="B2788" s="9"/>
      <c r="C2788" s="9"/>
    </row>
    <row r="2789" spans="1:3">
      <c r="A2789" s="10"/>
      <c r="B2789" s="9"/>
      <c r="C2789" s="9"/>
    </row>
    <row r="2790" spans="1:3">
      <c r="A2790" s="10"/>
      <c r="B2790" s="9"/>
      <c r="C2790" s="9"/>
    </row>
    <row r="2791" spans="1:3">
      <c r="A2791" s="10"/>
      <c r="B2791" s="9"/>
      <c r="C2791" s="9"/>
    </row>
    <row r="2792" spans="1:3">
      <c r="A2792" s="10"/>
      <c r="B2792" s="9"/>
      <c r="C2792" s="9"/>
    </row>
    <row r="2793" spans="1:3">
      <c r="A2793" s="10"/>
      <c r="B2793" s="9"/>
      <c r="C2793" s="9"/>
    </row>
    <row r="2794" spans="1:3">
      <c r="A2794" s="10"/>
      <c r="B2794" s="9"/>
      <c r="C2794" s="9"/>
    </row>
    <row r="2795" spans="1:3">
      <c r="A2795" s="10"/>
      <c r="B2795" s="9"/>
      <c r="C2795" s="9"/>
    </row>
    <row r="2796" spans="1:3">
      <c r="A2796" s="10"/>
      <c r="B2796" s="9"/>
      <c r="C2796" s="9"/>
    </row>
    <row r="2797" spans="1:3">
      <c r="A2797" s="10"/>
      <c r="B2797" s="9"/>
      <c r="C2797" s="9"/>
    </row>
    <row r="2798" spans="1:3">
      <c r="A2798" s="10"/>
      <c r="B2798" s="9"/>
      <c r="C2798" s="9"/>
    </row>
    <row r="2799" spans="1:3">
      <c r="A2799" s="10"/>
      <c r="B2799" s="9"/>
      <c r="C2799" s="9"/>
    </row>
    <row r="2800" spans="1:3">
      <c r="A2800" s="10"/>
      <c r="B2800" s="9"/>
      <c r="C2800" s="9"/>
    </row>
    <row r="2801" spans="1:3">
      <c r="A2801" s="10"/>
      <c r="B2801" s="9"/>
      <c r="C2801" s="9"/>
    </row>
    <row r="2802" spans="1:3">
      <c r="A2802" s="10"/>
      <c r="B2802" s="9"/>
      <c r="C2802" s="9"/>
    </row>
    <row r="2803" spans="1:3">
      <c r="A2803" s="10"/>
      <c r="B2803" s="9"/>
      <c r="C2803" s="9"/>
    </row>
    <row r="2804" spans="1:3">
      <c r="A2804" s="10"/>
      <c r="B2804" s="9"/>
      <c r="C2804" s="9"/>
    </row>
    <row r="2805" spans="1:3">
      <c r="A2805" s="10"/>
      <c r="B2805" s="9"/>
      <c r="C2805" s="9"/>
    </row>
    <row r="2806" spans="1:3">
      <c r="A2806" s="10"/>
      <c r="B2806" s="9"/>
      <c r="C2806" s="9"/>
    </row>
    <row r="2807" spans="1:3">
      <c r="A2807" s="10"/>
      <c r="B2807" s="9"/>
      <c r="C2807" s="9"/>
    </row>
    <row r="2808" spans="1:3">
      <c r="A2808" s="10"/>
      <c r="B2808" s="9"/>
      <c r="C2808" s="9"/>
    </row>
    <row r="2809" spans="1:3">
      <c r="A2809" s="10"/>
      <c r="B2809" s="9"/>
      <c r="C2809" s="9"/>
    </row>
    <row r="2810" spans="1:3">
      <c r="A2810" s="10"/>
      <c r="B2810" s="9"/>
      <c r="C2810" s="9"/>
    </row>
    <row r="2811" spans="1:3">
      <c r="A2811" s="10"/>
      <c r="B2811" s="9"/>
      <c r="C2811" s="9"/>
    </row>
    <row r="2812" spans="1:3">
      <c r="A2812" s="10"/>
      <c r="B2812" s="9"/>
      <c r="C2812" s="9"/>
    </row>
    <row r="2813" spans="1:3">
      <c r="A2813" s="10"/>
      <c r="B2813" s="9"/>
      <c r="C2813" s="9"/>
    </row>
    <row r="2814" spans="1:3">
      <c r="A2814" s="10"/>
      <c r="B2814" s="9"/>
      <c r="C2814" s="9"/>
    </row>
    <row r="2815" spans="1:3">
      <c r="A2815" s="10"/>
      <c r="B2815" s="9"/>
      <c r="C2815" s="9"/>
    </row>
    <row r="2816" spans="1:3">
      <c r="A2816" s="10"/>
      <c r="B2816" s="9"/>
      <c r="C2816" s="9"/>
    </row>
    <row r="2817" spans="1:3">
      <c r="A2817" s="10"/>
      <c r="B2817" s="9"/>
      <c r="C2817" s="9"/>
    </row>
    <row r="2818" spans="1:3">
      <c r="A2818" s="10"/>
      <c r="B2818" s="9"/>
      <c r="C2818" s="9"/>
    </row>
    <row r="2819" spans="1:3">
      <c r="A2819" s="10"/>
      <c r="B2819" s="9"/>
      <c r="C2819" s="9"/>
    </row>
    <row r="2820" spans="1:3">
      <c r="A2820" s="10"/>
      <c r="B2820" s="9"/>
      <c r="C2820" s="9"/>
    </row>
    <row r="2821" spans="1:3">
      <c r="A2821" s="10"/>
      <c r="B2821" s="9"/>
      <c r="C2821" s="9"/>
    </row>
    <row r="2822" spans="1:3">
      <c r="A2822" s="10"/>
      <c r="B2822" s="9"/>
      <c r="C2822" s="9"/>
    </row>
    <row r="2823" spans="1:3">
      <c r="A2823" s="10"/>
      <c r="B2823" s="9"/>
      <c r="C2823" s="9"/>
    </row>
    <row r="2824" spans="1:3">
      <c r="A2824" s="10"/>
      <c r="B2824" s="9"/>
      <c r="C2824" s="9"/>
    </row>
    <row r="2825" spans="1:3">
      <c r="A2825" s="10"/>
      <c r="B2825" s="9"/>
      <c r="C2825" s="9"/>
    </row>
    <row r="2826" spans="1:3">
      <c r="A2826" s="10"/>
      <c r="B2826" s="9"/>
      <c r="C2826" s="9"/>
    </row>
    <row r="2827" spans="1:3">
      <c r="A2827" s="10"/>
      <c r="B2827" s="9"/>
      <c r="C2827" s="9"/>
    </row>
    <row r="2828" spans="1:3">
      <c r="A2828" s="10"/>
      <c r="B2828" s="9"/>
      <c r="C2828" s="9"/>
    </row>
    <row r="2829" spans="1:3">
      <c r="A2829" s="10"/>
      <c r="B2829" s="9"/>
      <c r="C2829" s="9"/>
    </row>
    <row r="2830" spans="1:3">
      <c r="A2830" s="10"/>
      <c r="B2830" s="9"/>
      <c r="C2830" s="9"/>
    </row>
    <row r="2831" spans="1:3">
      <c r="A2831" s="10"/>
      <c r="B2831" s="9"/>
      <c r="C2831" s="9"/>
    </row>
    <row r="2832" spans="1:3">
      <c r="A2832" s="10"/>
      <c r="B2832" s="9"/>
      <c r="C2832" s="9"/>
    </row>
    <row r="2833" spans="1:3">
      <c r="A2833" s="10"/>
      <c r="B2833" s="9"/>
      <c r="C2833" s="9"/>
    </row>
    <row r="2834" spans="1:3">
      <c r="A2834" s="10"/>
      <c r="B2834" s="9"/>
      <c r="C2834" s="9"/>
    </row>
    <row r="2835" spans="1:3">
      <c r="A2835" s="10"/>
      <c r="B2835" s="9"/>
      <c r="C2835" s="9"/>
    </row>
    <row r="2836" spans="1:3">
      <c r="A2836" s="10"/>
      <c r="B2836" s="9"/>
      <c r="C2836" s="9"/>
    </row>
    <row r="2837" spans="1:3">
      <c r="A2837" s="10"/>
      <c r="B2837" s="9"/>
      <c r="C2837" s="9"/>
    </row>
    <row r="2838" spans="1:3">
      <c r="A2838" s="10"/>
      <c r="B2838" s="9"/>
      <c r="C2838" s="9"/>
    </row>
    <row r="2839" spans="1:3">
      <c r="A2839" s="10"/>
      <c r="B2839" s="9"/>
      <c r="C2839" s="9"/>
    </row>
    <row r="2840" spans="1:3">
      <c r="A2840" s="10"/>
      <c r="B2840" s="9"/>
      <c r="C2840" s="9"/>
    </row>
    <row r="2841" spans="1:3">
      <c r="A2841" s="10"/>
      <c r="B2841" s="9"/>
      <c r="C2841" s="9"/>
    </row>
    <row r="2842" spans="1:3">
      <c r="A2842" s="10"/>
      <c r="B2842" s="9"/>
      <c r="C2842" s="9"/>
    </row>
    <row r="2843" spans="1:3">
      <c r="A2843" s="10"/>
      <c r="B2843" s="9"/>
      <c r="C2843" s="9"/>
    </row>
    <row r="2844" spans="1:3">
      <c r="A2844" s="10"/>
      <c r="B2844" s="9"/>
      <c r="C2844" s="9"/>
    </row>
    <row r="2845" spans="1:3">
      <c r="A2845" s="10"/>
      <c r="B2845" s="9"/>
      <c r="C2845" s="9"/>
    </row>
    <row r="2846" spans="1:3">
      <c r="A2846" s="10"/>
      <c r="B2846" s="9"/>
      <c r="C2846" s="9"/>
    </row>
    <row r="2847" spans="1:3">
      <c r="A2847" s="10"/>
      <c r="B2847" s="9"/>
      <c r="C2847" s="9"/>
    </row>
    <row r="2848" spans="1:3">
      <c r="A2848" s="10"/>
      <c r="B2848" s="9"/>
      <c r="C2848" s="9"/>
    </row>
    <row r="2849" spans="1:3">
      <c r="A2849" s="10"/>
      <c r="B2849" s="9"/>
      <c r="C2849" s="9"/>
    </row>
    <row r="2850" spans="1:3">
      <c r="A2850" s="10"/>
      <c r="B2850" s="9"/>
      <c r="C2850" s="9"/>
    </row>
    <row r="2851" spans="1:3">
      <c r="A2851" s="10"/>
      <c r="B2851" s="9"/>
      <c r="C2851" s="9"/>
    </row>
    <row r="2852" spans="1:3">
      <c r="A2852" s="10"/>
      <c r="B2852" s="9"/>
      <c r="C2852" s="9"/>
    </row>
    <row r="2853" spans="1:3">
      <c r="A2853" s="10"/>
      <c r="B2853" s="9"/>
      <c r="C2853" s="9"/>
    </row>
    <row r="2854" spans="1:3">
      <c r="A2854" s="10"/>
      <c r="B2854" s="9"/>
      <c r="C2854" s="9"/>
    </row>
    <row r="2855" spans="1:3">
      <c r="A2855" s="10"/>
      <c r="B2855" s="9"/>
      <c r="C2855" s="9"/>
    </row>
    <row r="2856" spans="1:3">
      <c r="A2856" s="10"/>
      <c r="B2856" s="9"/>
      <c r="C2856" s="9"/>
    </row>
    <row r="2857" spans="1:3">
      <c r="A2857" s="10"/>
      <c r="B2857" s="9"/>
      <c r="C2857" s="9"/>
    </row>
    <row r="2858" spans="1:3">
      <c r="A2858" s="10"/>
      <c r="B2858" s="9"/>
      <c r="C2858" s="9"/>
    </row>
    <row r="2859" spans="1:3">
      <c r="A2859" s="10"/>
      <c r="B2859" s="9"/>
      <c r="C2859" s="9"/>
    </row>
    <row r="2860" spans="1:3">
      <c r="A2860" s="10"/>
      <c r="B2860" s="9"/>
      <c r="C2860" s="9"/>
    </row>
    <row r="2861" spans="1:3">
      <c r="A2861" s="10"/>
      <c r="B2861" s="9"/>
      <c r="C2861" s="9"/>
    </row>
    <row r="2862" spans="1:3">
      <c r="A2862" s="10"/>
      <c r="B2862" s="9"/>
      <c r="C2862" s="9"/>
    </row>
    <row r="2863" spans="1:3">
      <c r="A2863" s="10"/>
      <c r="B2863" s="9"/>
      <c r="C2863" s="9"/>
    </row>
    <row r="2864" spans="1:3">
      <c r="A2864" s="10"/>
      <c r="B2864" s="9"/>
      <c r="C2864" s="9"/>
    </row>
    <row r="2865" spans="1:3">
      <c r="A2865" s="10"/>
      <c r="B2865" s="9"/>
      <c r="C2865" s="9"/>
    </row>
    <row r="2866" spans="1:3">
      <c r="A2866" s="10"/>
      <c r="B2866" s="9"/>
      <c r="C2866" s="9"/>
    </row>
    <row r="2867" spans="1:3">
      <c r="A2867" s="10"/>
      <c r="B2867" s="9"/>
      <c r="C2867" s="9"/>
    </row>
    <row r="2868" spans="1:3">
      <c r="A2868" s="10"/>
      <c r="B2868" s="9"/>
      <c r="C2868" s="9"/>
    </row>
    <row r="2869" spans="1:3">
      <c r="A2869" s="10"/>
      <c r="B2869" s="9"/>
      <c r="C2869" s="9"/>
    </row>
    <row r="2870" spans="1:3">
      <c r="A2870" s="10"/>
      <c r="B2870" s="9"/>
      <c r="C2870" s="9"/>
    </row>
    <row r="2871" spans="1:3">
      <c r="A2871" s="10"/>
      <c r="B2871" s="9"/>
      <c r="C2871" s="9"/>
    </row>
    <row r="2872" spans="1:3">
      <c r="A2872" s="10"/>
      <c r="B2872" s="9"/>
      <c r="C2872" s="9"/>
    </row>
    <row r="2873" spans="1:3">
      <c r="A2873" s="10"/>
      <c r="B2873" s="9"/>
      <c r="C2873" s="9"/>
    </row>
    <row r="2874" spans="1:3">
      <c r="A2874" s="10"/>
      <c r="B2874" s="9"/>
      <c r="C2874" s="9"/>
    </row>
    <row r="2875" spans="1:3">
      <c r="A2875" s="10"/>
      <c r="B2875" s="9"/>
      <c r="C2875" s="9"/>
    </row>
    <row r="2876" spans="1:3">
      <c r="A2876" s="10"/>
      <c r="B2876" s="9"/>
      <c r="C2876" s="9"/>
    </row>
    <row r="2877" spans="1:3">
      <c r="A2877" s="10"/>
      <c r="B2877" s="9"/>
      <c r="C2877" s="9"/>
    </row>
    <row r="2878" spans="1:3">
      <c r="A2878" s="10"/>
      <c r="B2878" s="9"/>
      <c r="C2878" s="9"/>
    </row>
    <row r="2879" spans="1:3">
      <c r="A2879" s="10"/>
      <c r="B2879" s="9"/>
      <c r="C2879" s="9"/>
    </row>
    <row r="2880" spans="1:3">
      <c r="A2880" s="10"/>
      <c r="B2880" s="9"/>
      <c r="C2880" s="9"/>
    </row>
    <row r="2881" spans="1:3">
      <c r="A2881" s="10"/>
      <c r="B2881" s="9"/>
      <c r="C2881" s="9"/>
    </row>
    <row r="2882" spans="1:3">
      <c r="A2882" s="10"/>
      <c r="B2882" s="9"/>
      <c r="C2882" s="9"/>
    </row>
    <row r="2883" spans="1:3">
      <c r="A2883" s="10"/>
      <c r="B2883" s="9"/>
      <c r="C2883" s="9"/>
    </row>
    <row r="2884" spans="1:3">
      <c r="A2884" s="10"/>
      <c r="B2884" s="9"/>
      <c r="C2884" s="9"/>
    </row>
    <row r="2885" spans="1:3">
      <c r="A2885" s="10"/>
      <c r="B2885" s="9"/>
      <c r="C2885" s="9"/>
    </row>
    <row r="2886" spans="1:3">
      <c r="A2886" s="10"/>
      <c r="B2886" s="9"/>
      <c r="C2886" s="9"/>
    </row>
    <row r="2887" spans="1:3">
      <c r="A2887" s="10"/>
      <c r="B2887" s="9"/>
      <c r="C2887" s="9"/>
    </row>
    <row r="2888" spans="1:3">
      <c r="A2888" s="10"/>
      <c r="B2888" s="9"/>
      <c r="C2888" s="9"/>
    </row>
    <row r="2889" spans="1:3">
      <c r="A2889" s="10"/>
      <c r="B2889" s="9"/>
      <c r="C2889" s="9"/>
    </row>
    <row r="2890" spans="1:3">
      <c r="A2890" s="10"/>
      <c r="B2890" s="9"/>
      <c r="C2890" s="9"/>
    </row>
    <row r="2891" spans="1:3">
      <c r="A2891" s="10"/>
      <c r="B2891" s="9"/>
      <c r="C2891" s="9"/>
    </row>
    <row r="2892" spans="1:3">
      <c r="A2892" s="10"/>
      <c r="B2892" s="9"/>
      <c r="C2892" s="9"/>
    </row>
    <row r="2893" spans="1:3">
      <c r="A2893" s="10"/>
      <c r="B2893" s="9"/>
      <c r="C2893" s="9"/>
    </row>
    <row r="2894" spans="1:3">
      <c r="A2894" s="10"/>
      <c r="B2894" s="9"/>
      <c r="C2894" s="9"/>
    </row>
    <row r="2895" spans="1:3">
      <c r="A2895" s="10"/>
      <c r="B2895" s="9"/>
      <c r="C2895" s="9"/>
    </row>
    <row r="2896" spans="1:3">
      <c r="A2896" s="10"/>
      <c r="B2896" s="9"/>
      <c r="C2896" s="9"/>
    </row>
    <row r="2897" spans="1:3">
      <c r="A2897" s="10"/>
      <c r="B2897" s="9"/>
      <c r="C2897" s="9"/>
    </row>
    <row r="2898" spans="1:3">
      <c r="A2898" s="10"/>
      <c r="B2898" s="9"/>
      <c r="C2898" s="9"/>
    </row>
    <row r="2899" spans="1:3">
      <c r="A2899" s="10"/>
      <c r="B2899" s="9"/>
      <c r="C2899" s="9"/>
    </row>
    <row r="2900" spans="1:3">
      <c r="A2900" s="10"/>
      <c r="B2900" s="9"/>
      <c r="C2900" s="9"/>
    </row>
    <row r="2901" spans="1:3">
      <c r="A2901" s="10"/>
      <c r="B2901" s="9"/>
      <c r="C2901" s="9"/>
    </row>
    <row r="2902" spans="1:3">
      <c r="A2902" s="10"/>
      <c r="B2902" s="9"/>
      <c r="C2902" s="9"/>
    </row>
    <row r="2903" spans="1:3">
      <c r="A2903" s="10"/>
      <c r="B2903" s="9"/>
      <c r="C2903" s="9"/>
    </row>
    <row r="2904" spans="1:3">
      <c r="A2904" s="10"/>
      <c r="B2904" s="9"/>
      <c r="C2904" s="9"/>
    </row>
    <row r="2905" spans="1:3">
      <c r="A2905" s="10"/>
      <c r="B2905" s="9"/>
      <c r="C2905" s="9"/>
    </row>
    <row r="2906" spans="1:3">
      <c r="A2906" s="10"/>
      <c r="B2906" s="9"/>
      <c r="C2906" s="9"/>
    </row>
    <row r="2907" spans="1:3">
      <c r="A2907" s="10"/>
      <c r="B2907" s="9"/>
      <c r="C2907" s="9"/>
    </row>
    <row r="2908" spans="1:3">
      <c r="A2908" s="10"/>
      <c r="B2908" s="9"/>
      <c r="C2908" s="9"/>
    </row>
    <row r="2909" spans="1:3">
      <c r="A2909" s="10"/>
      <c r="B2909" s="9"/>
      <c r="C2909" s="9"/>
    </row>
    <row r="2910" spans="1:3">
      <c r="A2910" s="10"/>
      <c r="B2910" s="9"/>
      <c r="C2910" s="9"/>
    </row>
    <row r="2911" spans="1:3">
      <c r="A2911" s="10"/>
      <c r="B2911" s="9"/>
      <c r="C2911" s="9"/>
    </row>
    <row r="2912" spans="1:3">
      <c r="A2912" s="10"/>
      <c r="B2912" s="9"/>
      <c r="C2912" s="9"/>
    </row>
    <row r="2913" spans="1:3">
      <c r="A2913" s="10"/>
      <c r="B2913" s="9"/>
      <c r="C2913" s="9"/>
    </row>
    <row r="2914" spans="1:3">
      <c r="A2914" s="10"/>
      <c r="B2914" s="9"/>
      <c r="C2914" s="9"/>
    </row>
    <row r="2915" spans="1:3">
      <c r="A2915" s="10"/>
      <c r="B2915" s="9"/>
      <c r="C2915" s="9"/>
    </row>
    <row r="2916" spans="1:3">
      <c r="A2916" s="10"/>
      <c r="B2916" s="9"/>
      <c r="C2916" s="9"/>
    </row>
    <row r="2917" spans="1:3">
      <c r="A2917" s="10"/>
      <c r="B2917" s="9"/>
      <c r="C2917" s="9"/>
    </row>
    <row r="2918" spans="1:3">
      <c r="A2918" s="10"/>
      <c r="B2918" s="9"/>
      <c r="C2918" s="9"/>
    </row>
    <row r="2919" spans="1:3">
      <c r="A2919" s="10"/>
      <c r="B2919" s="9"/>
      <c r="C2919" s="9"/>
    </row>
    <row r="2920" spans="1:3">
      <c r="A2920" s="10"/>
      <c r="B2920" s="9"/>
      <c r="C2920" s="9"/>
    </row>
    <row r="2921" spans="1:3">
      <c r="A2921" s="10"/>
      <c r="B2921" s="9"/>
      <c r="C2921" s="9"/>
    </row>
    <row r="2922" spans="1:3">
      <c r="A2922" s="10"/>
      <c r="B2922" s="9"/>
      <c r="C2922" s="9"/>
    </row>
    <row r="2923" spans="1:3">
      <c r="A2923" s="10"/>
      <c r="B2923" s="9"/>
      <c r="C2923" s="9"/>
    </row>
    <row r="2924" spans="1:3">
      <c r="A2924" s="10"/>
      <c r="B2924" s="9"/>
      <c r="C2924" s="9"/>
    </row>
    <row r="2925" spans="1:3">
      <c r="A2925" s="10"/>
      <c r="B2925" s="9"/>
      <c r="C2925" s="9"/>
    </row>
    <row r="2926" spans="1:3">
      <c r="A2926" s="10"/>
      <c r="B2926" s="9"/>
      <c r="C2926" s="9"/>
    </row>
    <row r="2927" spans="1:3">
      <c r="A2927" s="10"/>
      <c r="B2927" s="9"/>
      <c r="C2927" s="9"/>
    </row>
    <row r="2928" spans="1:3">
      <c r="A2928" s="10"/>
      <c r="B2928" s="9"/>
      <c r="C2928" s="9"/>
    </row>
    <row r="2929" spans="1:3">
      <c r="A2929" s="10"/>
      <c r="B2929" s="9"/>
      <c r="C2929" s="9"/>
    </row>
    <row r="2930" spans="1:3">
      <c r="A2930" s="10"/>
      <c r="B2930" s="9"/>
      <c r="C2930" s="9"/>
    </row>
    <row r="2931" spans="1:3">
      <c r="A2931" s="10"/>
      <c r="B2931" s="9"/>
      <c r="C2931" s="9"/>
    </row>
    <row r="2932" spans="1:3">
      <c r="A2932" s="10"/>
      <c r="B2932" s="9"/>
      <c r="C2932" s="9"/>
    </row>
    <row r="2933" spans="1:3">
      <c r="A2933" s="10"/>
      <c r="B2933" s="9"/>
      <c r="C2933" s="9"/>
    </row>
    <row r="2934" spans="1:3">
      <c r="A2934" s="10"/>
      <c r="B2934" s="9"/>
      <c r="C2934" s="9"/>
    </row>
    <row r="2935" spans="1:3">
      <c r="A2935" s="10"/>
      <c r="B2935" s="9"/>
      <c r="C2935" s="9"/>
    </row>
    <row r="2936" spans="1:3">
      <c r="A2936" s="10"/>
      <c r="B2936" s="9"/>
      <c r="C2936" s="9"/>
    </row>
    <row r="2937" spans="1:3">
      <c r="A2937" s="10"/>
      <c r="B2937" s="9"/>
      <c r="C2937" s="9"/>
    </row>
    <row r="2938" spans="1:3">
      <c r="A2938" s="10"/>
      <c r="B2938" s="9"/>
      <c r="C2938" s="9"/>
    </row>
    <row r="2939" spans="1:3">
      <c r="A2939" s="10"/>
      <c r="B2939" s="9"/>
      <c r="C2939" s="9"/>
    </row>
    <row r="2940" spans="1:3">
      <c r="A2940" s="10"/>
      <c r="B2940" s="9"/>
      <c r="C2940" s="9"/>
    </row>
    <row r="2941" spans="1:3">
      <c r="A2941" s="10"/>
      <c r="B2941" s="9"/>
      <c r="C2941" s="9"/>
    </row>
    <row r="2942" spans="1:3">
      <c r="A2942" s="10"/>
      <c r="B2942" s="9"/>
      <c r="C2942" s="9"/>
    </row>
    <row r="2943" spans="1:3">
      <c r="A2943" s="10"/>
      <c r="B2943" s="9"/>
      <c r="C2943" s="9"/>
    </row>
    <row r="2944" spans="1:3">
      <c r="A2944" s="10"/>
      <c r="B2944" s="9"/>
      <c r="C2944" s="9"/>
    </row>
    <row r="2945" spans="1:3">
      <c r="A2945" s="10"/>
      <c r="B2945" s="9"/>
      <c r="C2945" s="9"/>
    </row>
    <row r="2946" spans="1:3">
      <c r="A2946" s="10"/>
      <c r="B2946" s="9"/>
      <c r="C2946" s="9"/>
    </row>
    <row r="2947" spans="1:3">
      <c r="A2947" s="10"/>
      <c r="B2947" s="9"/>
      <c r="C2947" s="9"/>
    </row>
    <row r="2948" spans="1:3">
      <c r="A2948" s="10"/>
      <c r="B2948" s="9"/>
      <c r="C2948" s="9"/>
    </row>
    <row r="2949" spans="1:3">
      <c r="A2949" s="10"/>
      <c r="B2949" s="9"/>
      <c r="C2949" s="9"/>
    </row>
    <row r="2950" spans="1:3">
      <c r="A2950" s="10"/>
      <c r="B2950" s="9"/>
      <c r="C2950" s="9"/>
    </row>
    <row r="2951" spans="1:3">
      <c r="A2951" s="10"/>
      <c r="B2951" s="9"/>
      <c r="C2951" s="9"/>
    </row>
    <row r="2952" spans="1:3">
      <c r="A2952" s="10"/>
      <c r="B2952" s="9"/>
      <c r="C2952" s="9"/>
    </row>
    <row r="2953" spans="1:3">
      <c r="A2953" s="10"/>
      <c r="B2953" s="9"/>
      <c r="C2953" s="9"/>
    </row>
    <row r="2954" spans="1:3">
      <c r="A2954" s="10"/>
      <c r="B2954" s="9"/>
      <c r="C2954" s="9"/>
    </row>
    <row r="2955" spans="1:3">
      <c r="A2955" s="10"/>
      <c r="B2955" s="9"/>
      <c r="C2955" s="9"/>
    </row>
    <row r="2956" spans="1:3">
      <c r="A2956" s="10"/>
      <c r="B2956" s="9"/>
      <c r="C2956" s="9"/>
    </row>
    <row r="2957" spans="1:3">
      <c r="A2957" s="10"/>
      <c r="B2957" s="9"/>
      <c r="C2957" s="9"/>
    </row>
    <row r="2958" spans="1:3">
      <c r="A2958" s="10"/>
      <c r="B2958" s="9"/>
      <c r="C2958" s="9"/>
    </row>
    <row r="2959" spans="1:3">
      <c r="A2959" s="10"/>
      <c r="B2959" s="9"/>
      <c r="C2959" s="9"/>
    </row>
    <row r="2960" spans="1:3">
      <c r="A2960" s="10"/>
      <c r="B2960" s="9"/>
      <c r="C2960" s="9"/>
    </row>
    <row r="2961" spans="1:3">
      <c r="A2961" s="10"/>
      <c r="B2961" s="9"/>
      <c r="C2961" s="9"/>
    </row>
    <row r="2962" spans="1:3">
      <c r="A2962" s="10"/>
      <c r="B2962" s="9"/>
      <c r="C2962" s="9"/>
    </row>
    <row r="2963" spans="1:3">
      <c r="A2963" s="10"/>
      <c r="B2963" s="9"/>
      <c r="C2963" s="9"/>
    </row>
    <row r="2964" spans="1:3">
      <c r="A2964" s="10"/>
      <c r="B2964" s="9"/>
      <c r="C2964" s="9"/>
    </row>
    <row r="2965" spans="1:3">
      <c r="A2965" s="10"/>
      <c r="B2965" s="9"/>
      <c r="C2965" s="9"/>
    </row>
    <row r="2966" spans="1:3">
      <c r="A2966" s="10"/>
      <c r="B2966" s="9"/>
      <c r="C2966" s="9"/>
    </row>
    <row r="2967" spans="1:3">
      <c r="A2967" s="10"/>
      <c r="B2967" s="9"/>
      <c r="C2967" s="9"/>
    </row>
    <row r="2968" spans="1:3">
      <c r="A2968" s="10"/>
      <c r="B2968" s="9"/>
      <c r="C2968" s="9"/>
    </row>
    <row r="2969" spans="1:3">
      <c r="A2969" s="10"/>
      <c r="B2969" s="9"/>
      <c r="C2969" s="9"/>
    </row>
    <row r="2970" spans="1:3">
      <c r="A2970" s="10"/>
      <c r="B2970" s="9"/>
      <c r="C2970" s="9"/>
    </row>
    <row r="2971" spans="1:3">
      <c r="A2971" s="10"/>
      <c r="B2971" s="9"/>
      <c r="C2971" s="9"/>
    </row>
    <row r="2972" spans="1:3">
      <c r="A2972" s="10"/>
      <c r="B2972" s="9"/>
      <c r="C2972" s="9"/>
    </row>
    <row r="2973" spans="1:3">
      <c r="A2973" s="10"/>
      <c r="B2973" s="9"/>
      <c r="C2973" s="9"/>
    </row>
    <row r="2974" spans="1:3">
      <c r="A2974" s="10"/>
      <c r="B2974" s="9"/>
      <c r="C2974" s="9"/>
    </row>
    <row r="2975" spans="1:3">
      <c r="A2975" s="10"/>
      <c r="B2975" s="9"/>
      <c r="C2975" s="9"/>
    </row>
    <row r="2976" spans="1:3">
      <c r="A2976" s="10"/>
      <c r="B2976" s="9"/>
      <c r="C2976" s="9"/>
    </row>
    <row r="2977" spans="1:3">
      <c r="A2977" s="10"/>
      <c r="B2977" s="9"/>
      <c r="C2977" s="9"/>
    </row>
    <row r="2978" spans="1:3">
      <c r="A2978" s="10"/>
      <c r="B2978" s="9"/>
      <c r="C2978" s="9"/>
    </row>
    <row r="2979" spans="1:3">
      <c r="A2979" s="10"/>
      <c r="B2979" s="9"/>
      <c r="C2979" s="9"/>
    </row>
    <row r="2980" spans="1:3">
      <c r="A2980" s="10"/>
      <c r="B2980" s="9"/>
      <c r="C2980" s="9"/>
    </row>
    <row r="2981" spans="1:3">
      <c r="A2981" s="10"/>
      <c r="B2981" s="9"/>
      <c r="C2981" s="9"/>
    </row>
    <row r="2982" spans="1:3">
      <c r="A2982" s="10"/>
      <c r="B2982" s="9"/>
      <c r="C2982" s="9"/>
    </row>
    <row r="2983" spans="1:3">
      <c r="A2983" s="10"/>
      <c r="B2983" s="9"/>
      <c r="C2983" s="9"/>
    </row>
    <row r="2984" spans="1:3">
      <c r="A2984" s="10"/>
      <c r="B2984" s="9"/>
      <c r="C2984" s="9"/>
    </row>
    <row r="2985" spans="1:3">
      <c r="A2985" s="10"/>
      <c r="B2985" s="9"/>
      <c r="C2985" s="9"/>
    </row>
    <row r="2986" spans="1:3">
      <c r="A2986" s="10"/>
      <c r="B2986" s="9"/>
      <c r="C2986" s="9"/>
    </row>
    <row r="2987" spans="1:3">
      <c r="A2987" s="10"/>
      <c r="B2987" s="9"/>
      <c r="C2987" s="9"/>
    </row>
    <row r="2988" spans="1:3">
      <c r="A2988" s="10"/>
      <c r="B2988" s="9"/>
      <c r="C2988" s="9"/>
    </row>
    <row r="2989" spans="1:3">
      <c r="A2989" s="10"/>
      <c r="B2989" s="9"/>
      <c r="C2989" s="9"/>
    </row>
    <row r="2990" spans="1:3">
      <c r="A2990" s="10"/>
      <c r="B2990" s="9"/>
      <c r="C2990" s="9"/>
    </row>
    <row r="2991" spans="1:3">
      <c r="A2991" s="10"/>
      <c r="B2991" s="9"/>
      <c r="C2991" s="9"/>
    </row>
    <row r="2992" spans="1:3">
      <c r="A2992" s="10"/>
      <c r="B2992" s="9"/>
      <c r="C2992" s="9"/>
    </row>
    <row r="2993" spans="1:3">
      <c r="A2993" s="10"/>
      <c r="B2993" s="9"/>
      <c r="C2993" s="9"/>
    </row>
    <row r="2994" spans="1:3">
      <c r="A2994" s="10"/>
      <c r="B2994" s="9"/>
      <c r="C2994" s="9"/>
    </row>
    <row r="2995" spans="1:3">
      <c r="A2995" s="10"/>
      <c r="B2995" s="9"/>
      <c r="C2995" s="9"/>
    </row>
    <row r="2996" spans="1:3">
      <c r="A2996" s="10"/>
      <c r="B2996" s="9"/>
      <c r="C2996" s="9"/>
    </row>
    <row r="2997" spans="1:3">
      <c r="A2997" s="10"/>
      <c r="B2997" s="9"/>
      <c r="C2997" s="9"/>
    </row>
    <row r="2998" spans="1:3">
      <c r="A2998" s="10"/>
      <c r="B2998" s="9"/>
      <c r="C2998" s="9"/>
    </row>
    <row r="2999" spans="1:3">
      <c r="A2999" s="10"/>
      <c r="B2999" s="9"/>
      <c r="C2999" s="9"/>
    </row>
    <row r="3000" spans="1:3">
      <c r="A3000" s="10"/>
      <c r="B3000" s="9"/>
      <c r="C3000" s="9"/>
    </row>
    <row r="3001" spans="1:3">
      <c r="A3001" s="10"/>
      <c r="B3001" s="9"/>
      <c r="C3001" s="9"/>
    </row>
    <row r="3002" spans="1:3">
      <c r="A3002" s="10"/>
      <c r="B3002" s="9"/>
      <c r="C3002" s="9"/>
    </row>
    <row r="3003" spans="1:3">
      <c r="A3003" s="10"/>
      <c r="B3003" s="9"/>
      <c r="C3003" s="9"/>
    </row>
    <row r="3004" spans="1:3">
      <c r="A3004" s="10"/>
      <c r="B3004" s="9"/>
      <c r="C3004" s="9"/>
    </row>
    <row r="3005" spans="1:3">
      <c r="A3005" s="10"/>
      <c r="B3005" s="9"/>
      <c r="C3005" s="9"/>
    </row>
    <row r="3006" spans="1:3">
      <c r="A3006" s="10"/>
      <c r="B3006" s="9"/>
      <c r="C3006" s="9"/>
    </row>
    <row r="3007" spans="1:3">
      <c r="A3007" s="10"/>
      <c r="B3007" s="9"/>
      <c r="C3007" s="9"/>
    </row>
    <row r="3008" spans="1:3">
      <c r="A3008" s="10"/>
      <c r="B3008" s="9"/>
      <c r="C3008" s="9"/>
    </row>
    <row r="3009" spans="1:3">
      <c r="A3009" s="10"/>
      <c r="B3009" s="9"/>
      <c r="C3009" s="9"/>
    </row>
    <row r="3010" spans="1:3">
      <c r="A3010" s="10"/>
      <c r="B3010" s="9"/>
      <c r="C3010" s="9"/>
    </row>
    <row r="3011" spans="1:3">
      <c r="A3011" s="10"/>
      <c r="B3011" s="9"/>
      <c r="C3011" s="9"/>
    </row>
    <row r="3012" spans="1:3">
      <c r="A3012" s="10"/>
      <c r="B3012" s="9"/>
      <c r="C3012" s="9"/>
    </row>
    <row r="3013" spans="1:3">
      <c r="A3013" s="10"/>
      <c r="B3013" s="9"/>
      <c r="C3013" s="9"/>
    </row>
    <row r="3014" spans="1:3">
      <c r="A3014" s="10"/>
      <c r="B3014" s="9"/>
      <c r="C3014" s="9"/>
    </row>
    <row r="3015" spans="1:3">
      <c r="A3015" s="10"/>
      <c r="B3015" s="9"/>
      <c r="C3015" s="9"/>
    </row>
    <row r="3016" spans="1:3">
      <c r="A3016" s="10"/>
      <c r="B3016" s="9"/>
      <c r="C3016" s="9"/>
    </row>
    <row r="3017" spans="1:3">
      <c r="A3017" s="10"/>
      <c r="B3017" s="9"/>
      <c r="C3017" s="9"/>
    </row>
    <row r="3018" spans="1:3">
      <c r="A3018" s="10"/>
      <c r="B3018" s="9"/>
      <c r="C3018" s="9"/>
    </row>
    <row r="3019" spans="1:3">
      <c r="A3019" s="10"/>
      <c r="B3019" s="9"/>
      <c r="C3019" s="9"/>
    </row>
    <row r="3020" spans="1:3">
      <c r="A3020" s="10"/>
      <c r="B3020" s="9"/>
      <c r="C3020" s="9"/>
    </row>
    <row r="3021" spans="1:3">
      <c r="A3021" s="10"/>
      <c r="B3021" s="9"/>
      <c r="C3021" s="9"/>
    </row>
    <row r="3022" spans="1:3">
      <c r="A3022" s="10"/>
      <c r="B3022" s="9"/>
      <c r="C3022" s="9"/>
    </row>
    <row r="3023" spans="1:3">
      <c r="A3023" s="10"/>
      <c r="B3023" s="9"/>
      <c r="C3023" s="9"/>
    </row>
    <row r="3024" spans="1:3">
      <c r="A3024" s="10"/>
      <c r="B3024" s="9"/>
      <c r="C3024" s="9"/>
    </row>
    <row r="3025" spans="1:3">
      <c r="A3025" s="10"/>
      <c r="B3025" s="9"/>
      <c r="C3025" s="9"/>
    </row>
    <row r="3026" spans="1:3">
      <c r="A3026" s="10"/>
      <c r="B3026" s="9"/>
      <c r="C3026" s="9"/>
    </row>
    <row r="3027" spans="1:3">
      <c r="A3027" s="10"/>
      <c r="B3027" s="9"/>
      <c r="C3027" s="9"/>
    </row>
    <row r="3028" spans="1:3">
      <c r="A3028" s="10"/>
      <c r="B3028" s="9"/>
      <c r="C3028" s="9"/>
    </row>
    <row r="3029" spans="1:3">
      <c r="A3029" s="10"/>
      <c r="B3029" s="9"/>
      <c r="C3029" s="9"/>
    </row>
    <row r="3030" spans="1:3">
      <c r="A3030" s="10"/>
      <c r="B3030" s="9"/>
      <c r="C3030" s="9"/>
    </row>
    <row r="3031" spans="1:3">
      <c r="A3031" s="10"/>
      <c r="B3031" s="9"/>
      <c r="C3031" s="9"/>
    </row>
    <row r="3032" spans="1:3">
      <c r="A3032" s="10"/>
      <c r="B3032" s="9"/>
      <c r="C3032" s="9"/>
    </row>
    <row r="3033" spans="1:3">
      <c r="A3033" s="10"/>
      <c r="B3033" s="9"/>
      <c r="C3033" s="9"/>
    </row>
    <row r="3034" spans="1:3">
      <c r="A3034" s="10"/>
      <c r="B3034" s="9"/>
      <c r="C3034" s="9"/>
    </row>
    <row r="3035" spans="1:3">
      <c r="A3035" s="10"/>
      <c r="B3035" s="9"/>
      <c r="C3035" s="9"/>
    </row>
    <row r="3036" spans="1:3">
      <c r="A3036" s="10"/>
      <c r="B3036" s="9"/>
      <c r="C3036" s="9"/>
    </row>
    <row r="3037" spans="1:3">
      <c r="A3037" s="10"/>
      <c r="B3037" s="9"/>
      <c r="C3037" s="9"/>
    </row>
    <row r="3038" spans="1:3">
      <c r="A3038" s="10"/>
      <c r="B3038" s="9"/>
      <c r="C3038" s="9"/>
    </row>
    <row r="3039" spans="1:3">
      <c r="A3039" s="10"/>
      <c r="B3039" s="9"/>
      <c r="C3039" s="9"/>
    </row>
    <row r="3040" spans="1:3">
      <c r="A3040" s="10"/>
      <c r="B3040" s="9"/>
      <c r="C3040" s="9"/>
    </row>
    <row r="3041" spans="1:3">
      <c r="A3041" s="10"/>
      <c r="B3041" s="9"/>
      <c r="C3041" s="9"/>
    </row>
    <row r="3042" spans="1:3">
      <c r="A3042" s="10"/>
      <c r="B3042" s="9"/>
      <c r="C3042" s="9"/>
    </row>
    <row r="3043" spans="1:3">
      <c r="A3043" s="10"/>
      <c r="B3043" s="9"/>
      <c r="C3043" s="9"/>
    </row>
    <row r="3044" spans="1:3">
      <c r="A3044" s="10"/>
      <c r="B3044" s="9"/>
      <c r="C3044" s="9"/>
    </row>
    <row r="3045" spans="1:3">
      <c r="A3045" s="10"/>
      <c r="B3045" s="9"/>
      <c r="C3045" s="9"/>
    </row>
    <row r="3046" spans="1:3">
      <c r="A3046" s="10"/>
      <c r="B3046" s="9"/>
      <c r="C3046" s="9"/>
    </row>
    <row r="3047" spans="1:3">
      <c r="A3047" s="10"/>
      <c r="B3047" s="9"/>
      <c r="C3047" s="9"/>
    </row>
    <row r="3048" spans="1:3">
      <c r="A3048" s="10"/>
      <c r="B3048" s="9"/>
      <c r="C3048" s="9"/>
    </row>
    <row r="3049" spans="1:3">
      <c r="A3049" s="10"/>
      <c r="B3049" s="9"/>
      <c r="C3049" s="9"/>
    </row>
    <row r="3050" spans="1:3">
      <c r="A3050" s="10"/>
      <c r="B3050" s="9"/>
      <c r="C3050" s="9"/>
    </row>
    <row r="3051" spans="1:3">
      <c r="A3051" s="10"/>
      <c r="B3051" s="9"/>
      <c r="C3051" s="9"/>
    </row>
    <row r="3052" spans="1:3">
      <c r="A3052" s="10"/>
      <c r="B3052" s="9"/>
      <c r="C3052" s="9"/>
    </row>
    <row r="3053" spans="1:3">
      <c r="A3053" s="10"/>
      <c r="B3053" s="9"/>
      <c r="C3053" s="9"/>
    </row>
    <row r="3054" spans="1:3">
      <c r="A3054" s="10"/>
      <c r="B3054" s="9"/>
      <c r="C3054" s="9"/>
    </row>
    <row r="3055" spans="1:3">
      <c r="A3055" s="10"/>
      <c r="B3055" s="9"/>
      <c r="C3055" s="9"/>
    </row>
    <row r="3056" spans="1:3">
      <c r="A3056" s="10"/>
      <c r="B3056" s="9"/>
      <c r="C3056" s="9"/>
    </row>
    <row r="3057" spans="1:3">
      <c r="A3057" s="10"/>
      <c r="B3057" s="9"/>
      <c r="C3057" s="9"/>
    </row>
    <row r="3058" spans="1:3">
      <c r="A3058" s="10"/>
      <c r="B3058" s="9"/>
      <c r="C3058" s="9"/>
    </row>
    <row r="3059" spans="1:3">
      <c r="A3059" s="10"/>
      <c r="B3059" s="9"/>
      <c r="C3059" s="9"/>
    </row>
    <row r="3060" spans="1:3">
      <c r="A3060" s="10"/>
      <c r="B3060" s="9"/>
      <c r="C3060" s="9"/>
    </row>
    <row r="3061" spans="1:3">
      <c r="A3061" s="10"/>
      <c r="B3061" s="9"/>
      <c r="C3061" s="9"/>
    </row>
    <row r="3062" spans="1:3">
      <c r="A3062" s="10"/>
      <c r="B3062" s="9"/>
      <c r="C3062" s="9"/>
    </row>
    <row r="3063" spans="1:3">
      <c r="A3063" s="10"/>
      <c r="B3063" s="9"/>
      <c r="C3063" s="9"/>
    </row>
    <row r="3064" spans="1:3">
      <c r="A3064" s="10"/>
      <c r="B3064" s="9"/>
      <c r="C3064" s="9"/>
    </row>
    <row r="3065" spans="1:3">
      <c r="A3065" s="10"/>
      <c r="B3065" s="9"/>
      <c r="C3065" s="9"/>
    </row>
    <row r="3066" spans="1:3">
      <c r="A3066" s="10"/>
      <c r="B3066" s="9"/>
      <c r="C3066" s="9"/>
    </row>
    <row r="3067" spans="1:3">
      <c r="A3067" s="10"/>
      <c r="B3067" s="9"/>
      <c r="C3067" s="9"/>
    </row>
    <row r="3068" spans="1:3">
      <c r="A3068" s="10"/>
      <c r="B3068" s="9"/>
      <c r="C3068" s="9"/>
    </row>
    <row r="3069" spans="1:3">
      <c r="A3069" s="10"/>
      <c r="B3069" s="9"/>
      <c r="C3069" s="9"/>
    </row>
    <row r="3070" spans="1:3">
      <c r="A3070" s="10"/>
      <c r="B3070" s="9"/>
      <c r="C3070" s="9"/>
    </row>
    <row r="3071" spans="1:3">
      <c r="A3071" s="10"/>
      <c r="B3071" s="9"/>
      <c r="C3071" s="9"/>
    </row>
    <row r="3072" spans="1:3">
      <c r="A3072" s="10"/>
      <c r="B3072" s="9"/>
      <c r="C3072" s="9"/>
    </row>
    <row r="3073" spans="1:3">
      <c r="A3073" s="10"/>
      <c r="B3073" s="9"/>
      <c r="C3073" s="9"/>
    </row>
    <row r="3074" spans="1:3">
      <c r="A3074" s="10"/>
      <c r="B3074" s="9"/>
      <c r="C3074" s="9"/>
    </row>
    <row r="3075" spans="1:3">
      <c r="A3075" s="10"/>
      <c r="B3075" s="9"/>
      <c r="C3075" s="9"/>
    </row>
    <row r="3076" spans="1:3">
      <c r="A3076" s="10"/>
      <c r="B3076" s="9"/>
      <c r="C3076" s="9"/>
    </row>
    <row r="3077" spans="1:3">
      <c r="A3077" s="10"/>
      <c r="B3077" s="9"/>
      <c r="C3077" s="9"/>
    </row>
    <row r="3078" spans="1:3">
      <c r="A3078" s="10"/>
      <c r="B3078" s="9"/>
      <c r="C3078" s="9"/>
    </row>
    <row r="3079" spans="1:3">
      <c r="A3079" s="10"/>
      <c r="B3079" s="9"/>
      <c r="C3079" s="9"/>
    </row>
    <row r="3080" spans="1:3">
      <c r="A3080" s="10"/>
      <c r="B3080" s="9"/>
      <c r="C3080" s="9"/>
    </row>
    <row r="3081" spans="1:3">
      <c r="A3081" s="10"/>
      <c r="B3081" s="9"/>
      <c r="C3081" s="9"/>
    </row>
    <row r="3082" spans="1:3">
      <c r="A3082" s="10"/>
      <c r="B3082" s="9"/>
      <c r="C3082" s="9"/>
    </row>
    <row r="3083" spans="1:3">
      <c r="A3083" s="10"/>
      <c r="B3083" s="9"/>
      <c r="C3083" s="9"/>
    </row>
    <row r="3084" spans="1:3">
      <c r="A3084" s="10"/>
      <c r="B3084" s="9"/>
      <c r="C3084" s="9"/>
    </row>
    <row r="3085" spans="1:3">
      <c r="A3085" s="10"/>
      <c r="B3085" s="9"/>
      <c r="C3085" s="9"/>
    </row>
    <row r="3086" spans="1:3">
      <c r="A3086" s="10"/>
      <c r="B3086" s="9"/>
      <c r="C3086" s="9"/>
    </row>
    <row r="3087" spans="1:3">
      <c r="A3087" s="10"/>
      <c r="B3087" s="9"/>
      <c r="C3087" s="9"/>
    </row>
    <row r="3088" spans="1:3">
      <c r="A3088" s="10"/>
      <c r="B3088" s="9"/>
      <c r="C3088" s="9"/>
    </row>
    <row r="3089" spans="1:3">
      <c r="A3089" s="10"/>
      <c r="B3089" s="9"/>
      <c r="C3089" s="9"/>
    </row>
    <row r="3090" spans="1:3">
      <c r="A3090" s="10"/>
      <c r="B3090" s="9"/>
      <c r="C3090" s="9"/>
    </row>
    <row r="3091" spans="1:3">
      <c r="A3091" s="10"/>
      <c r="B3091" s="9"/>
      <c r="C3091" s="9"/>
    </row>
    <row r="3092" spans="1:3">
      <c r="A3092" s="10"/>
      <c r="B3092" s="9"/>
      <c r="C3092" s="9"/>
    </row>
    <row r="3093" spans="1:3">
      <c r="A3093" s="10"/>
      <c r="B3093" s="9"/>
      <c r="C3093" s="9"/>
    </row>
    <row r="3094" spans="1:3">
      <c r="A3094" s="10"/>
      <c r="B3094" s="9"/>
      <c r="C3094" s="9"/>
    </row>
    <row r="3095" spans="1:3">
      <c r="A3095" s="10"/>
      <c r="B3095" s="9"/>
      <c r="C3095" s="9"/>
    </row>
    <row r="3096" spans="1:3">
      <c r="A3096" s="10"/>
      <c r="B3096" s="9"/>
      <c r="C3096" s="9"/>
    </row>
    <row r="3097" spans="1:3">
      <c r="A3097" s="10"/>
      <c r="B3097" s="9"/>
      <c r="C3097" s="9"/>
    </row>
    <row r="3098" spans="1:3">
      <c r="A3098" s="10"/>
      <c r="B3098" s="9"/>
      <c r="C3098" s="9"/>
    </row>
    <row r="3099" spans="1:3">
      <c r="A3099" s="10"/>
      <c r="B3099" s="9"/>
      <c r="C3099" s="9"/>
    </row>
    <row r="3100" spans="1:3">
      <c r="A3100" s="10"/>
      <c r="B3100" s="9"/>
      <c r="C3100" s="9"/>
    </row>
    <row r="3101" spans="1:3">
      <c r="A3101" s="10"/>
      <c r="B3101" s="9"/>
      <c r="C3101" s="9"/>
    </row>
    <row r="3102" spans="1:3">
      <c r="A3102" s="10"/>
      <c r="B3102" s="9"/>
      <c r="C3102" s="9"/>
    </row>
    <row r="3103" spans="1:3">
      <c r="A3103" s="10"/>
      <c r="B3103" s="9"/>
      <c r="C3103" s="9"/>
    </row>
    <row r="3104" spans="1:3">
      <c r="A3104" s="10"/>
      <c r="B3104" s="9"/>
      <c r="C3104" s="9"/>
    </row>
    <row r="3105" spans="1:3">
      <c r="A3105" s="10"/>
      <c r="B3105" s="9"/>
      <c r="C3105" s="9"/>
    </row>
    <row r="3106" spans="1:3">
      <c r="A3106" s="10"/>
      <c r="B3106" s="9"/>
      <c r="C3106" s="9"/>
    </row>
    <row r="3107" spans="1:3">
      <c r="A3107" s="10"/>
      <c r="B3107" s="9"/>
      <c r="C3107" s="9"/>
    </row>
    <row r="3108" spans="1:3">
      <c r="A3108" s="10"/>
      <c r="B3108" s="9"/>
      <c r="C3108" s="9"/>
    </row>
    <row r="3109" spans="1:3">
      <c r="A3109" s="10"/>
      <c r="B3109" s="9"/>
      <c r="C3109" s="9"/>
    </row>
    <row r="3110" spans="1:3">
      <c r="A3110" s="10"/>
      <c r="B3110" s="9"/>
      <c r="C3110" s="9"/>
    </row>
    <row r="3111" spans="1:3">
      <c r="A3111" s="10"/>
      <c r="B3111" s="9"/>
      <c r="C3111" s="9"/>
    </row>
    <row r="3112" spans="1:3">
      <c r="A3112" s="10"/>
      <c r="B3112" s="9"/>
      <c r="C3112" s="9"/>
    </row>
    <row r="3113" spans="1:3">
      <c r="A3113" s="10"/>
      <c r="B3113" s="9"/>
      <c r="C3113" s="9"/>
    </row>
    <row r="3114" spans="1:3">
      <c r="A3114" s="10"/>
      <c r="B3114" s="9"/>
      <c r="C3114" s="9"/>
    </row>
    <row r="3115" spans="1:3">
      <c r="A3115" s="10"/>
      <c r="B3115" s="9"/>
      <c r="C3115" s="9"/>
    </row>
    <row r="3116" spans="1:3">
      <c r="A3116" s="10"/>
      <c r="B3116" s="9"/>
      <c r="C3116" s="9"/>
    </row>
    <row r="3117" spans="1:3">
      <c r="A3117" s="10"/>
      <c r="B3117" s="9"/>
      <c r="C3117" s="9"/>
    </row>
    <row r="3118" spans="1:3">
      <c r="A3118" s="10"/>
      <c r="B3118" s="9"/>
      <c r="C3118" s="9"/>
    </row>
    <row r="3119" spans="1:3">
      <c r="A3119" s="10"/>
      <c r="B3119" s="9"/>
      <c r="C3119" s="9"/>
    </row>
    <row r="3120" spans="1:3">
      <c r="A3120" s="10"/>
      <c r="B3120" s="9"/>
      <c r="C3120" s="9"/>
    </row>
    <row r="3121" spans="1:3">
      <c r="A3121" s="10"/>
      <c r="B3121" s="9"/>
      <c r="C3121" s="9"/>
    </row>
    <row r="3122" spans="1:3">
      <c r="A3122" s="10"/>
      <c r="B3122" s="9"/>
      <c r="C3122" s="9"/>
    </row>
    <row r="3123" spans="1:3">
      <c r="A3123" s="10"/>
      <c r="B3123" s="9"/>
      <c r="C3123" s="9"/>
    </row>
    <row r="3124" spans="1:3">
      <c r="A3124" s="10"/>
      <c r="B3124" s="9"/>
      <c r="C3124" s="9"/>
    </row>
    <row r="3125" spans="1:3">
      <c r="A3125" s="10"/>
      <c r="B3125" s="9"/>
      <c r="C3125" s="9"/>
    </row>
    <row r="3126" spans="1:3">
      <c r="A3126" s="10"/>
      <c r="B3126" s="9"/>
      <c r="C3126" s="9"/>
    </row>
    <row r="3127" spans="1:3">
      <c r="A3127" s="10"/>
      <c r="B3127" s="9"/>
      <c r="C3127" s="9"/>
    </row>
    <row r="3128" spans="1:3">
      <c r="A3128" s="10"/>
      <c r="B3128" s="9"/>
      <c r="C3128" s="9"/>
    </row>
    <row r="3129" spans="1:3">
      <c r="A3129" s="10"/>
      <c r="B3129" s="9"/>
      <c r="C3129" s="9"/>
    </row>
    <row r="3130" spans="1:3">
      <c r="A3130" s="10"/>
      <c r="B3130" s="9"/>
      <c r="C3130" s="9"/>
    </row>
    <row r="3131" spans="1:3">
      <c r="A3131" s="10"/>
      <c r="B3131" s="9"/>
      <c r="C3131" s="9"/>
    </row>
    <row r="3132" spans="1:3">
      <c r="A3132" s="10"/>
      <c r="B3132" s="9"/>
      <c r="C3132" s="9"/>
    </row>
    <row r="3133" spans="1:3">
      <c r="A3133" s="10"/>
      <c r="B3133" s="9"/>
      <c r="C3133" s="9"/>
    </row>
    <row r="3134" spans="1:3">
      <c r="A3134" s="10"/>
      <c r="B3134" s="9"/>
      <c r="C3134" s="9"/>
    </row>
    <row r="3135" spans="1:3">
      <c r="A3135" s="10"/>
      <c r="B3135" s="9"/>
      <c r="C3135" s="9"/>
    </row>
    <row r="3136" spans="1:3">
      <c r="A3136" s="10"/>
      <c r="B3136" s="9"/>
      <c r="C3136" s="9"/>
    </row>
    <row r="3137" spans="1:3">
      <c r="A3137" s="10"/>
      <c r="B3137" s="9"/>
      <c r="C3137" s="9"/>
    </row>
    <row r="3138" spans="1:3">
      <c r="A3138" s="10"/>
      <c r="B3138" s="9"/>
      <c r="C3138" s="9"/>
    </row>
    <row r="3139" spans="1:3">
      <c r="A3139" s="10"/>
      <c r="B3139" s="9"/>
      <c r="C3139" s="9"/>
    </row>
    <row r="3140" spans="1:3">
      <c r="A3140" s="10"/>
      <c r="B3140" s="9"/>
      <c r="C3140" s="9"/>
    </row>
    <row r="3141" spans="1:3">
      <c r="A3141" s="10"/>
      <c r="B3141" s="9"/>
      <c r="C3141" s="9"/>
    </row>
    <row r="3142" spans="1:3">
      <c r="A3142" s="10"/>
      <c r="B3142" s="9"/>
      <c r="C3142" s="9"/>
    </row>
    <row r="3143" spans="1:3">
      <c r="A3143" s="10"/>
      <c r="B3143" s="9"/>
      <c r="C3143" s="9"/>
    </row>
    <row r="3144" spans="1:3">
      <c r="A3144" s="10"/>
      <c r="B3144" s="9"/>
      <c r="C3144" s="9"/>
    </row>
    <row r="3145" spans="1:3">
      <c r="A3145" s="10"/>
      <c r="B3145" s="9"/>
      <c r="C3145" s="9"/>
    </row>
    <row r="3146" spans="1:3">
      <c r="A3146" s="10"/>
      <c r="B3146" s="9"/>
      <c r="C3146" s="9"/>
    </row>
    <row r="3147" spans="1:3">
      <c r="A3147" s="10"/>
      <c r="B3147" s="9"/>
      <c r="C3147" s="9"/>
    </row>
    <row r="3148" spans="1:3">
      <c r="A3148" s="10"/>
      <c r="B3148" s="9"/>
      <c r="C3148" s="9"/>
    </row>
    <row r="3149" spans="1:3">
      <c r="A3149" s="10"/>
      <c r="B3149" s="9"/>
      <c r="C3149" s="9"/>
    </row>
    <row r="3150" spans="1:3">
      <c r="A3150" s="10"/>
      <c r="B3150" s="9"/>
      <c r="C3150" s="9"/>
    </row>
    <row r="3151" spans="1:3">
      <c r="A3151" s="10"/>
      <c r="B3151" s="9"/>
      <c r="C3151" s="9"/>
    </row>
    <row r="3152" spans="1:3">
      <c r="A3152" s="10"/>
      <c r="B3152" s="9"/>
      <c r="C3152" s="9"/>
    </row>
    <row r="3153" spans="1:3">
      <c r="A3153" s="10"/>
      <c r="B3153" s="9"/>
      <c r="C3153" s="9"/>
    </row>
    <row r="3154" spans="1:3">
      <c r="A3154" s="10"/>
      <c r="B3154" s="9"/>
      <c r="C3154" s="9"/>
    </row>
    <row r="3155" spans="1:3">
      <c r="A3155" s="10"/>
      <c r="B3155" s="9"/>
      <c r="C3155" s="9"/>
    </row>
    <row r="3156" spans="1:3">
      <c r="A3156" s="10"/>
      <c r="B3156" s="9"/>
      <c r="C3156" s="9"/>
    </row>
    <row r="3157" spans="1:3">
      <c r="A3157" s="10"/>
      <c r="B3157" s="9"/>
      <c r="C3157" s="9"/>
    </row>
    <row r="3158" spans="1:3">
      <c r="A3158" s="10"/>
      <c r="B3158" s="9"/>
      <c r="C3158" s="9"/>
    </row>
    <row r="3159" spans="1:3">
      <c r="A3159" s="10"/>
      <c r="B3159" s="9"/>
      <c r="C3159" s="9"/>
    </row>
    <row r="3160" spans="1:3">
      <c r="A3160" s="10"/>
      <c r="B3160" s="9"/>
      <c r="C3160" s="9"/>
    </row>
    <row r="3161" spans="1:3">
      <c r="A3161" s="10"/>
      <c r="B3161" s="9"/>
      <c r="C3161" s="9"/>
    </row>
    <row r="3162" spans="1:3">
      <c r="A3162" s="10"/>
      <c r="B3162" s="9"/>
      <c r="C3162" s="9"/>
    </row>
    <row r="3163" spans="1:3">
      <c r="A3163" s="10"/>
      <c r="B3163" s="9"/>
      <c r="C3163" s="9"/>
    </row>
    <row r="3164" spans="1:3">
      <c r="A3164" s="10"/>
      <c r="B3164" s="9"/>
      <c r="C3164" s="9"/>
    </row>
    <row r="3165" spans="1:3">
      <c r="A3165" s="10"/>
      <c r="B3165" s="9"/>
      <c r="C3165" s="9"/>
    </row>
    <row r="3166" spans="1:3">
      <c r="A3166" s="10"/>
      <c r="B3166" s="9"/>
      <c r="C3166" s="9"/>
    </row>
    <row r="3167" spans="1:3">
      <c r="A3167" s="10"/>
      <c r="B3167" s="9"/>
      <c r="C3167" s="9"/>
    </row>
    <row r="3168" spans="1:3">
      <c r="A3168" s="10"/>
      <c r="B3168" s="9"/>
      <c r="C3168" s="9"/>
    </row>
    <row r="3169" spans="1:3">
      <c r="A3169" s="10"/>
      <c r="B3169" s="9"/>
      <c r="C3169" s="9"/>
    </row>
    <row r="3170" spans="1:3">
      <c r="A3170" s="10"/>
      <c r="B3170" s="9"/>
      <c r="C3170" s="9"/>
    </row>
    <row r="3171" spans="1:3">
      <c r="A3171" s="10"/>
      <c r="B3171" s="9"/>
      <c r="C3171" s="9"/>
    </row>
    <row r="3172" spans="1:3">
      <c r="A3172" s="10"/>
      <c r="B3172" s="9"/>
      <c r="C3172" s="9"/>
    </row>
    <row r="3173" spans="1:3">
      <c r="A3173" s="10"/>
      <c r="B3173" s="9"/>
      <c r="C3173" s="9"/>
    </row>
    <row r="3174" spans="1:3">
      <c r="A3174" s="10"/>
      <c r="B3174" s="9"/>
      <c r="C3174" s="9"/>
    </row>
    <row r="3175" spans="1:3">
      <c r="A3175" s="10"/>
      <c r="B3175" s="9"/>
      <c r="C3175" s="9"/>
    </row>
    <row r="3176" spans="1:3">
      <c r="A3176" s="10"/>
      <c r="B3176" s="9"/>
      <c r="C3176" s="9"/>
    </row>
    <row r="3177" spans="1:3">
      <c r="A3177" s="10"/>
      <c r="B3177" s="9"/>
      <c r="C3177" s="9"/>
    </row>
    <row r="3178" spans="1:3">
      <c r="A3178" s="10"/>
      <c r="B3178" s="9"/>
      <c r="C3178" s="9"/>
    </row>
    <row r="3179" spans="1:3">
      <c r="A3179" s="10"/>
      <c r="B3179" s="9"/>
      <c r="C3179" s="9"/>
    </row>
    <row r="3180" spans="1:3">
      <c r="A3180" s="10"/>
      <c r="B3180" s="9"/>
      <c r="C3180" s="9"/>
    </row>
    <row r="3181" spans="1:3">
      <c r="A3181" s="10"/>
      <c r="B3181" s="9"/>
      <c r="C3181" s="9"/>
    </row>
    <row r="3182" spans="1:3">
      <c r="A3182" s="10"/>
      <c r="B3182" s="9"/>
      <c r="C3182" s="9"/>
    </row>
    <row r="3183" spans="1:3">
      <c r="A3183" s="10"/>
      <c r="B3183" s="9"/>
      <c r="C3183" s="9"/>
    </row>
    <row r="3184" spans="1:3">
      <c r="A3184" s="10"/>
      <c r="B3184" s="9"/>
      <c r="C3184" s="9"/>
    </row>
    <row r="3185" spans="1:3">
      <c r="A3185" s="10"/>
      <c r="B3185" s="9"/>
      <c r="C3185" s="9"/>
    </row>
    <row r="3186" spans="1:3">
      <c r="A3186" s="10"/>
      <c r="B3186" s="9"/>
      <c r="C3186" s="9"/>
    </row>
    <row r="3187" spans="1:3">
      <c r="A3187" s="10"/>
      <c r="B3187" s="9"/>
      <c r="C3187" s="9"/>
    </row>
    <row r="3188" spans="1:3">
      <c r="A3188" s="10"/>
      <c r="B3188" s="9"/>
      <c r="C3188" s="9"/>
    </row>
    <row r="3189" spans="1:3">
      <c r="A3189" s="10"/>
      <c r="B3189" s="9"/>
      <c r="C3189" s="9"/>
    </row>
    <row r="3190" spans="1:3">
      <c r="A3190" s="10"/>
      <c r="B3190" s="9"/>
      <c r="C3190" s="9"/>
    </row>
    <row r="3191" spans="1:3">
      <c r="A3191" s="10"/>
      <c r="B3191" s="9"/>
      <c r="C3191" s="9"/>
    </row>
    <row r="3192" spans="1:3">
      <c r="A3192" s="10"/>
      <c r="B3192" s="9"/>
      <c r="C3192" s="9"/>
    </row>
    <row r="3193" spans="1:3">
      <c r="A3193" s="10"/>
      <c r="B3193" s="9"/>
      <c r="C3193" s="9"/>
    </row>
    <row r="3194" spans="1:3">
      <c r="A3194" s="10"/>
      <c r="B3194" s="9"/>
      <c r="C3194" s="9"/>
    </row>
    <row r="3195" spans="1:3">
      <c r="A3195" s="10"/>
      <c r="B3195" s="9"/>
      <c r="C3195" s="9"/>
    </row>
    <row r="3196" spans="1:3">
      <c r="A3196" s="10"/>
      <c r="B3196" s="9"/>
      <c r="C3196" s="9"/>
    </row>
    <row r="3197" spans="1:3">
      <c r="A3197" s="10"/>
      <c r="B3197" s="9"/>
      <c r="C3197" s="9"/>
    </row>
    <row r="3198" spans="1:3">
      <c r="A3198" s="10"/>
      <c r="B3198" s="9"/>
      <c r="C3198" s="9"/>
    </row>
    <row r="3199" spans="1:3">
      <c r="A3199" s="10"/>
      <c r="B3199" s="9"/>
      <c r="C3199" s="9"/>
    </row>
    <row r="3200" spans="1:3">
      <c r="A3200" s="10"/>
      <c r="B3200" s="9"/>
      <c r="C3200" s="9"/>
    </row>
    <row r="3201" spans="1:3">
      <c r="A3201" s="10"/>
      <c r="B3201" s="9"/>
      <c r="C3201" s="9"/>
    </row>
    <row r="3202" spans="1:3">
      <c r="A3202" s="10"/>
      <c r="B3202" s="9"/>
      <c r="C3202" s="9"/>
    </row>
    <row r="3203" spans="1:3">
      <c r="A3203" s="10"/>
      <c r="B3203" s="9"/>
      <c r="C3203" s="9"/>
    </row>
    <row r="3204" spans="1:3">
      <c r="A3204" s="10"/>
      <c r="B3204" s="9"/>
      <c r="C3204" s="9"/>
    </row>
    <row r="3205" spans="1:3">
      <c r="A3205" s="10"/>
      <c r="B3205" s="9"/>
      <c r="C3205" s="9"/>
    </row>
    <row r="3206" spans="1:3">
      <c r="A3206" s="10"/>
      <c r="B3206" s="9"/>
      <c r="C3206" s="9"/>
    </row>
    <row r="3207" spans="1:3">
      <c r="A3207" s="10"/>
      <c r="B3207" s="9"/>
      <c r="C3207" s="9"/>
    </row>
    <row r="3208" spans="1:3">
      <c r="A3208" s="10"/>
      <c r="B3208" s="9"/>
      <c r="C3208" s="9"/>
    </row>
    <row r="3209" spans="1:3">
      <c r="A3209" s="10"/>
      <c r="B3209" s="9"/>
      <c r="C3209" s="9"/>
    </row>
    <row r="3210" spans="1:3">
      <c r="A3210" s="10"/>
      <c r="B3210" s="9"/>
      <c r="C3210" s="9"/>
    </row>
    <row r="3211" spans="1:3">
      <c r="A3211" s="10"/>
      <c r="B3211" s="9"/>
      <c r="C3211" s="9"/>
    </row>
    <row r="3212" spans="1:3">
      <c r="A3212" s="10"/>
      <c r="B3212" s="9"/>
      <c r="C3212" s="9"/>
    </row>
    <row r="3213" spans="1:3">
      <c r="A3213" s="10"/>
      <c r="B3213" s="9"/>
      <c r="C3213" s="9"/>
    </row>
    <row r="3214" spans="1:3">
      <c r="A3214" s="10"/>
      <c r="B3214" s="9"/>
      <c r="C3214" s="9"/>
    </row>
    <row r="3215" spans="1:3">
      <c r="A3215" s="10"/>
      <c r="B3215" s="9"/>
      <c r="C3215" s="9"/>
    </row>
    <row r="3216" spans="1:3">
      <c r="A3216" s="10"/>
      <c r="B3216" s="9"/>
      <c r="C3216" s="9"/>
    </row>
    <row r="3217" spans="1:3">
      <c r="A3217" s="10"/>
      <c r="B3217" s="9"/>
      <c r="C3217" s="9"/>
    </row>
    <row r="3218" spans="1:3">
      <c r="A3218" s="10"/>
      <c r="B3218" s="9"/>
      <c r="C3218" s="9"/>
    </row>
    <row r="3219" spans="1:3">
      <c r="A3219" s="10"/>
      <c r="B3219" s="9"/>
      <c r="C3219" s="9"/>
    </row>
    <row r="3220" spans="1:3">
      <c r="A3220" s="10"/>
      <c r="B3220" s="9"/>
      <c r="C3220" s="9"/>
    </row>
    <row r="3221" spans="1:3">
      <c r="A3221" s="10"/>
      <c r="B3221" s="9"/>
      <c r="C3221" s="9"/>
    </row>
    <row r="3222" spans="1:3">
      <c r="A3222" s="10"/>
      <c r="B3222" s="9"/>
      <c r="C3222" s="9"/>
    </row>
    <row r="3223" spans="1:3">
      <c r="A3223" s="10"/>
      <c r="B3223" s="9"/>
      <c r="C3223" s="9"/>
    </row>
    <row r="3224" spans="1:3">
      <c r="A3224" s="10"/>
      <c r="B3224" s="9"/>
      <c r="C3224" s="9"/>
    </row>
    <row r="3225" spans="1:3">
      <c r="A3225" s="10"/>
      <c r="B3225" s="9"/>
      <c r="C3225" s="9"/>
    </row>
    <row r="3226" spans="1:3">
      <c r="A3226" s="10"/>
      <c r="B3226" s="9"/>
      <c r="C3226" s="9"/>
    </row>
    <row r="3227" spans="1:3">
      <c r="A3227" s="10"/>
      <c r="B3227" s="9"/>
      <c r="C3227" s="9"/>
    </row>
    <row r="3228" spans="1:3">
      <c r="A3228" s="10"/>
      <c r="B3228" s="9"/>
      <c r="C3228" s="9"/>
    </row>
    <row r="3229" spans="1:3">
      <c r="A3229" s="10"/>
      <c r="B3229" s="9"/>
      <c r="C3229" s="9"/>
    </row>
    <row r="3230" spans="1:3">
      <c r="A3230" s="10"/>
      <c r="B3230" s="9"/>
      <c r="C3230" s="9"/>
    </row>
    <row r="3231" spans="1:3">
      <c r="A3231" s="10"/>
      <c r="B3231" s="9"/>
      <c r="C3231" s="9"/>
    </row>
    <row r="3232" spans="1:3">
      <c r="A3232" s="10"/>
      <c r="B3232" s="9"/>
      <c r="C3232" s="9"/>
    </row>
    <row r="3233" spans="1:3">
      <c r="A3233" s="10"/>
      <c r="B3233" s="9"/>
      <c r="C3233" s="9"/>
    </row>
    <row r="3234" spans="1:3">
      <c r="A3234" s="10"/>
      <c r="B3234" s="9"/>
      <c r="C3234" s="9"/>
    </row>
    <row r="3235" spans="1:3">
      <c r="A3235" s="10"/>
      <c r="B3235" s="9"/>
      <c r="C3235" s="9"/>
    </row>
    <row r="3236" spans="1:3">
      <c r="A3236" s="10"/>
      <c r="B3236" s="9"/>
      <c r="C3236" s="9"/>
    </row>
    <row r="3237" spans="1:3">
      <c r="A3237" s="10"/>
      <c r="B3237" s="9"/>
      <c r="C3237" s="9"/>
    </row>
    <row r="3238" spans="1:3">
      <c r="A3238" s="10"/>
      <c r="B3238" s="9"/>
      <c r="C3238" s="9"/>
    </row>
    <row r="3239" spans="1:3">
      <c r="A3239" s="10"/>
      <c r="B3239" s="9"/>
      <c r="C3239" s="9"/>
    </row>
    <row r="3240" spans="1:3">
      <c r="A3240" s="10"/>
      <c r="B3240" s="9"/>
      <c r="C3240" s="9"/>
    </row>
    <row r="3241" spans="1:3">
      <c r="A3241" s="10"/>
      <c r="B3241" s="9"/>
      <c r="C3241" s="9"/>
    </row>
  </sheetData>
  <autoFilter ref="A2:E315"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Akanksha Suresh Palkar</cp:lastModifiedBy>
  <cp:revision/>
  <dcterms:created xsi:type="dcterms:W3CDTF">2024-10-21T06:52:00Z</dcterms:created>
  <dcterms:modified xsi:type="dcterms:W3CDTF">2026-03-25T10:35:56Z</dcterms:modified>
  <cp:category/>
  <cp:contentStatus/>
</cp:coreProperties>
</file>