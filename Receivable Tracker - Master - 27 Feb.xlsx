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4554" documentId="13_ncr:1_{C3252013-B4B7-4F14-A7A9-37843924CAE8}" xr6:coauthVersionLast="47" xr6:coauthVersionMax="47" xr10:uidLastSave="{193B1D4C-B85B-4304-8968-4F8FEC92EA5C}"/>
  <bookViews>
    <workbookView xWindow="-110" yWindow="-110" windowWidth="19420" windowHeight="11500" activeTab="3" xr2:uid="{15A9B8CB-27C2-41AE-9392-F8AAD19FE65C}"/>
  </bookViews>
  <sheets>
    <sheet name="Summary" sheetId="3" r:id="rId1"/>
    <sheet name="Governance" sheetId="8" state="hidden" r:id="rId2"/>
    <sheet name="Sheet1" sheetId="9" state="hidden" r:id="rId3"/>
    <sheet name="Invoices" sheetId="1" r:id="rId4"/>
    <sheet name="Rebates" sheetId="2" r:id="rId5"/>
    <sheet name="XE rates" sheetId="5" state="hidden" r:id="rId6"/>
    <sheet name="Validation" sheetId="4" state="hidden" r:id="rId7"/>
  </sheets>
  <externalReferences>
    <externalReference r:id="rId8"/>
  </externalReferences>
  <definedNames>
    <definedName name="_xlnm._FilterDatabase" localSheetId="3" hidden="1">Invoices!$A$1:$AA$131</definedName>
    <definedName name="_xlnm._FilterDatabase" localSheetId="0" hidden="1">Summary!#REF!</definedName>
    <definedName name="_xlnm._FilterDatabase" localSheetId="6" hidden="1">Validation!$A$2:$E$306</definedName>
    <definedName name="Slicer_Account_Manager">#N/A</definedName>
    <definedName name="Slicer_Region">#N/A</definedName>
  </definedNames>
  <calcPr calcId="191029"/>
  <pivotCaches>
    <pivotCache cacheId="8" r:id="rId9"/>
    <pivotCache cacheId="9" r:id="rId10"/>
    <pivotCache cacheId="10" r:id="rId11"/>
    <pivotCache cacheId="1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3" l="1"/>
  <c r="J15" i="2"/>
  <c r="C307" i="4"/>
  <c r="M128" i="1"/>
  <c r="M129" i="1"/>
  <c r="M130" i="1"/>
  <c r="M131" i="1"/>
  <c r="G128" i="1"/>
  <c r="G129" i="1"/>
  <c r="G130" i="1"/>
  <c r="G131" i="1"/>
  <c r="J128" i="1"/>
  <c r="J129" i="1"/>
  <c r="J130" i="1"/>
  <c r="J131" i="1"/>
  <c r="C127" i="1"/>
  <c r="D127" i="1"/>
  <c r="E127" i="1"/>
  <c r="C128" i="1"/>
  <c r="D128" i="1"/>
  <c r="E128" i="1"/>
  <c r="C129" i="1"/>
  <c r="D129" i="1"/>
  <c r="E129" i="1"/>
  <c r="C130" i="1"/>
  <c r="D130" i="1"/>
  <c r="E130" i="1"/>
  <c r="C131" i="1"/>
  <c r="D131" i="1"/>
  <c r="E131" i="1"/>
  <c r="C306" i="4" l="1"/>
  <c r="C305" i="4"/>
  <c r="C304" i="4"/>
  <c r="C303" i="4"/>
  <c r="C302" i="4"/>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G3" i="1"/>
  <c r="G4" i="1"/>
  <c r="G5" i="1"/>
  <c r="G6" i="1"/>
  <c r="G7" i="1"/>
  <c r="G8" i="1"/>
  <c r="G9" i="1"/>
  <c r="G10" i="1"/>
  <c r="G11" i="1"/>
  <c r="G12" i="1"/>
  <c r="G13" i="1"/>
  <c r="G14" i="1"/>
  <c r="G15" i="1"/>
  <c r="G16" i="1"/>
  <c r="G17" i="1"/>
  <c r="G18" i="1"/>
  <c r="G19" i="1"/>
  <c r="G20" i="1"/>
  <c r="G21" i="1"/>
  <c r="G22" i="1"/>
  <c r="G23" i="1"/>
  <c r="G24" i="1"/>
  <c r="G25"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C107" i="1"/>
  <c r="D107" i="1"/>
  <c r="E107" i="1"/>
  <c r="C108" i="1"/>
  <c r="D108" i="1"/>
  <c r="E108" i="1"/>
  <c r="C109" i="1"/>
  <c r="D109" i="1"/>
  <c r="E109" i="1"/>
  <c r="C110" i="1"/>
  <c r="D110" i="1"/>
  <c r="E110" i="1"/>
  <c r="C111" i="1"/>
  <c r="D111" i="1"/>
  <c r="E111" i="1"/>
  <c r="C112" i="1"/>
  <c r="D112" i="1"/>
  <c r="E112" i="1"/>
  <c r="C113" i="1"/>
  <c r="D113" i="1"/>
  <c r="E113" i="1"/>
  <c r="C114" i="1"/>
  <c r="D114" i="1"/>
  <c r="E114" i="1"/>
  <c r="C115" i="1"/>
  <c r="D115" i="1"/>
  <c r="E115" i="1"/>
  <c r="C116" i="1"/>
  <c r="D116" i="1"/>
  <c r="E116" i="1"/>
  <c r="C117" i="1"/>
  <c r="D117" i="1"/>
  <c r="E117" i="1"/>
  <c r="C118" i="1"/>
  <c r="D118" i="1"/>
  <c r="E118" i="1"/>
  <c r="C119" i="1"/>
  <c r="D119" i="1"/>
  <c r="E119" i="1"/>
  <c r="C120" i="1"/>
  <c r="D120" i="1"/>
  <c r="E120" i="1"/>
  <c r="C121" i="1"/>
  <c r="D121" i="1"/>
  <c r="E121" i="1"/>
  <c r="C122" i="1"/>
  <c r="D122" i="1"/>
  <c r="E122" i="1"/>
  <c r="C123" i="1"/>
  <c r="D123" i="1"/>
  <c r="E123" i="1"/>
  <c r="C124" i="1"/>
  <c r="D124" i="1"/>
  <c r="E124" i="1"/>
  <c r="C125" i="1"/>
  <c r="D125" i="1"/>
  <c r="E125" i="1"/>
  <c r="C126" i="1"/>
  <c r="D126" i="1"/>
  <c r="E126" i="1"/>
  <c r="J76" i="1" l="1"/>
  <c r="J73" i="1"/>
  <c r="J74" i="1"/>
  <c r="J75" i="1"/>
  <c r="M73" i="1"/>
  <c r="M74" i="1"/>
  <c r="M75" i="1"/>
  <c r="C73" i="1"/>
  <c r="D73" i="1"/>
  <c r="E73" i="1"/>
  <c r="C74" i="1"/>
  <c r="D74" i="1"/>
  <c r="E74" i="1"/>
  <c r="C75" i="1"/>
  <c r="D75" i="1"/>
  <c r="E75" i="1"/>
  <c r="Z68" i="1"/>
  <c r="AA68" i="1" s="1"/>
  <c r="Z14" i="1"/>
  <c r="AA14" i="1" s="1"/>
  <c r="Z19" i="1"/>
  <c r="AA19" i="1" s="1"/>
  <c r="Z30" i="1"/>
  <c r="AA30" i="1" s="1"/>
  <c r="Z47" i="1"/>
  <c r="AA47" i="1" s="1"/>
  <c r="Z20" i="1"/>
  <c r="AA20" i="1" s="1"/>
  <c r="Z48" i="1"/>
  <c r="AA48" i="1" s="1"/>
  <c r="Z49" i="1"/>
  <c r="AA49" i="1" s="1"/>
  <c r="Z50" i="1"/>
  <c r="AA50" i="1" s="1"/>
  <c r="Z51" i="1"/>
  <c r="AA51" i="1" s="1"/>
  <c r="Z31" i="1"/>
  <c r="AA31" i="1" s="1"/>
  <c r="Z52" i="1"/>
  <c r="AA52" i="1" s="1"/>
  <c r="Z53" i="1"/>
  <c r="AA53" i="1" s="1"/>
  <c r="Z21" i="1"/>
  <c r="AA21" i="1" s="1"/>
  <c r="Z32" i="1"/>
  <c r="AA32" i="1" s="1"/>
  <c r="Z54" i="1"/>
  <c r="AA54" i="1" s="1"/>
  <c r="Z33" i="1"/>
  <c r="AA33" i="1" s="1"/>
  <c r="Z15" i="1"/>
  <c r="AA15" i="1" s="1"/>
  <c r="Z34" i="1"/>
  <c r="AA34" i="1" s="1"/>
  <c r="Z55" i="1"/>
  <c r="AA55" i="1" s="1"/>
  <c r="Z56" i="1"/>
  <c r="AA56" i="1" s="1"/>
  <c r="Z23" i="1"/>
  <c r="AA23" i="1" s="1"/>
  <c r="Z29" i="1"/>
  <c r="AA29" i="1" s="1"/>
  <c r="Z35" i="1"/>
  <c r="AA35" i="1" s="1"/>
  <c r="Z45" i="1"/>
  <c r="AA45" i="1" s="1"/>
  <c r="Z58" i="1"/>
  <c r="AA58" i="1" s="1"/>
  <c r="Z59" i="1"/>
  <c r="AA59" i="1" s="1"/>
  <c r="Z60" i="1"/>
  <c r="AA60" i="1" s="1"/>
  <c r="Z36" i="1"/>
  <c r="AA36" i="1" s="1"/>
  <c r="Z61" i="1"/>
  <c r="AA61" i="1" s="1"/>
  <c r="Z37" i="1"/>
  <c r="AA37" i="1" s="1"/>
  <c r="Z62" i="1"/>
  <c r="AA62" i="1" s="1"/>
  <c r="Z63" i="1"/>
  <c r="AA63" i="1" s="1"/>
  <c r="Z38" i="1"/>
  <c r="AA38" i="1" s="1"/>
  <c r="Z64" i="1"/>
  <c r="AA64" i="1" s="1"/>
  <c r="Z24" i="1"/>
  <c r="AA24" i="1" s="1"/>
  <c r="Z65" i="1"/>
  <c r="AA65" i="1" s="1"/>
  <c r="Z8" i="1"/>
  <c r="AA8" i="1" s="1"/>
  <c r="Z10" i="1"/>
  <c r="AA10" i="1" s="1"/>
  <c r="Z16" i="1"/>
  <c r="AA16" i="1" s="1"/>
  <c r="Z25" i="1"/>
  <c r="AA25" i="1" s="1"/>
  <c r="Z39" i="1"/>
  <c r="AA39" i="1" s="1"/>
  <c r="Z66" i="1"/>
  <c r="AA66" i="1" s="1"/>
  <c r="Z40" i="1"/>
  <c r="AA40" i="1" s="1"/>
  <c r="Z26" i="1"/>
  <c r="AA26" i="1" s="1"/>
  <c r="Z41" i="1"/>
  <c r="AA41" i="1" s="1"/>
  <c r="Z67" i="1"/>
  <c r="AA67" i="1" s="1"/>
  <c r="Z42" i="1"/>
  <c r="AA42" i="1" s="1"/>
  <c r="Z69" i="1"/>
  <c r="AA69" i="1" s="1"/>
  <c r="Z2" i="1"/>
  <c r="AA2" i="1" s="1"/>
  <c r="Z3" i="1"/>
  <c r="AA3" i="1" s="1"/>
  <c r="Z4" i="1"/>
  <c r="AA4" i="1" s="1"/>
  <c r="Z5" i="1"/>
  <c r="AA5" i="1" s="1"/>
  <c r="Z6" i="1"/>
  <c r="AA6" i="1" s="1"/>
  <c r="Z7" i="1"/>
  <c r="AA7" i="1" s="1"/>
  <c r="Z70" i="1"/>
  <c r="AA70" i="1" s="1"/>
  <c r="Z11" i="1"/>
  <c r="Z17" i="1"/>
  <c r="AA17" i="1" s="1"/>
  <c r="Z9" i="1"/>
  <c r="Z12" i="1"/>
  <c r="AA12" i="1" s="1"/>
  <c r="Z18" i="1"/>
  <c r="AA18" i="1" s="1"/>
  <c r="Z27" i="1"/>
  <c r="AA27" i="1" s="1"/>
  <c r="Z43" i="1"/>
  <c r="AA43" i="1" s="1"/>
  <c r="Z71" i="1"/>
  <c r="AA71" i="1" s="1"/>
  <c r="Z72" i="1"/>
  <c r="AA72" i="1" s="1"/>
  <c r="Z28" i="1"/>
  <c r="AA28" i="1" s="1"/>
  <c r="Z44" i="1"/>
  <c r="AA44" i="1" s="1"/>
  <c r="Z73" i="1"/>
  <c r="AA73" i="1" s="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2" i="1"/>
  <c r="Y3" i="1"/>
  <c r="Y4" i="1"/>
  <c r="Y5" i="1"/>
  <c r="Y6" i="1"/>
  <c r="Y7" i="1"/>
  <c r="Y8" i="1"/>
  <c r="Y9" i="1"/>
  <c r="Y10" i="1"/>
  <c r="Y11" i="1"/>
  <c r="Y12" i="1"/>
  <c r="Y13" i="1"/>
  <c r="C301" i="4"/>
  <c r="C300" i="4"/>
  <c r="C299" i="4"/>
  <c r="C298" i="4"/>
  <c r="C297" i="4"/>
  <c r="M46" i="1"/>
  <c r="M47" i="1"/>
  <c r="M48" i="1"/>
  <c r="M49" i="1"/>
  <c r="M50" i="1"/>
  <c r="M51" i="1"/>
  <c r="M52" i="1"/>
  <c r="M53" i="1"/>
  <c r="M54" i="1"/>
  <c r="M55" i="1"/>
  <c r="M56" i="1"/>
  <c r="M57" i="1"/>
  <c r="M58" i="1"/>
  <c r="M59" i="1"/>
  <c r="M60" i="1"/>
  <c r="M61" i="1"/>
  <c r="M62" i="1"/>
  <c r="M63" i="1"/>
  <c r="M64" i="1"/>
  <c r="M65" i="1"/>
  <c r="M66" i="1"/>
  <c r="M67" i="1"/>
  <c r="M68" i="1"/>
  <c r="M69" i="1"/>
  <c r="M70" i="1"/>
  <c r="M71" i="1"/>
  <c r="M72" i="1"/>
  <c r="J46" i="1"/>
  <c r="J47" i="1"/>
  <c r="J48" i="1"/>
  <c r="J49" i="1"/>
  <c r="J50" i="1"/>
  <c r="J51" i="1"/>
  <c r="J52" i="1"/>
  <c r="J53" i="1"/>
  <c r="J54" i="1"/>
  <c r="J55" i="1"/>
  <c r="J56" i="1"/>
  <c r="J57" i="1"/>
  <c r="J58" i="1"/>
  <c r="J59" i="1"/>
  <c r="J60" i="1"/>
  <c r="J61" i="1"/>
  <c r="J62" i="1"/>
  <c r="J63" i="1"/>
  <c r="J64" i="1"/>
  <c r="J65" i="1"/>
  <c r="J66" i="1"/>
  <c r="J67" i="1"/>
  <c r="J68" i="1"/>
  <c r="J69" i="1"/>
  <c r="J70" i="1"/>
  <c r="J71" i="1"/>
  <c r="J72" i="1"/>
  <c r="C46" i="1"/>
  <c r="D46" i="1"/>
  <c r="E46" i="1"/>
  <c r="C47" i="1"/>
  <c r="D47" i="1"/>
  <c r="E47" i="1"/>
  <c r="C48" i="1"/>
  <c r="D48" i="1"/>
  <c r="E48" i="1"/>
  <c r="C49" i="1"/>
  <c r="D49" i="1"/>
  <c r="E49" i="1"/>
  <c r="C50" i="1"/>
  <c r="D50" i="1"/>
  <c r="E50" i="1"/>
  <c r="C51" i="1"/>
  <c r="D51" i="1"/>
  <c r="E51" i="1"/>
  <c r="C52" i="1"/>
  <c r="D52" i="1"/>
  <c r="E52" i="1"/>
  <c r="C53" i="1"/>
  <c r="D53" i="1"/>
  <c r="E53" i="1"/>
  <c r="C54" i="1"/>
  <c r="D54" i="1"/>
  <c r="E54" i="1"/>
  <c r="C55" i="1"/>
  <c r="D55" i="1"/>
  <c r="E55" i="1"/>
  <c r="C56" i="1"/>
  <c r="D56" i="1"/>
  <c r="E56" i="1"/>
  <c r="C57" i="1"/>
  <c r="D57" i="1"/>
  <c r="E57" i="1"/>
  <c r="C58" i="1"/>
  <c r="D58" i="1"/>
  <c r="E58" i="1"/>
  <c r="C59" i="1"/>
  <c r="D59" i="1"/>
  <c r="E59" i="1"/>
  <c r="C60" i="1"/>
  <c r="D60" i="1"/>
  <c r="E60" i="1"/>
  <c r="C61" i="1"/>
  <c r="D61" i="1"/>
  <c r="E61" i="1"/>
  <c r="C62" i="1"/>
  <c r="D62" i="1"/>
  <c r="E62" i="1"/>
  <c r="C63" i="1"/>
  <c r="D63" i="1"/>
  <c r="E63" i="1"/>
  <c r="C64" i="1"/>
  <c r="D64" i="1"/>
  <c r="E64" i="1"/>
  <c r="C65" i="1"/>
  <c r="D65" i="1"/>
  <c r="E65" i="1"/>
  <c r="C66" i="1"/>
  <c r="D66" i="1"/>
  <c r="E66" i="1"/>
  <c r="C67" i="1"/>
  <c r="D67" i="1"/>
  <c r="E67" i="1"/>
  <c r="C68" i="1"/>
  <c r="D68" i="1"/>
  <c r="E68" i="1"/>
  <c r="C69" i="1"/>
  <c r="D69" i="1"/>
  <c r="E69" i="1"/>
  <c r="C70" i="1"/>
  <c r="D70" i="1"/>
  <c r="E70" i="1"/>
  <c r="C71" i="1"/>
  <c r="D71" i="1"/>
  <c r="E71" i="1"/>
  <c r="C72" i="1"/>
  <c r="D72" i="1"/>
  <c r="E72" i="1"/>
  <c r="C296" i="4"/>
  <c r="R45" i="1"/>
  <c r="M45" i="1"/>
  <c r="J45" i="1"/>
  <c r="C45" i="1"/>
  <c r="D45" i="1"/>
  <c r="E4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289" i="4"/>
  <c r="C290" i="4"/>
  <c r="C291" i="4"/>
  <c r="C292" i="4"/>
  <c r="C293" i="4"/>
  <c r="C294" i="4"/>
  <c r="C295" i="4"/>
  <c r="M30" i="1"/>
  <c r="M31" i="1"/>
  <c r="M32" i="1"/>
  <c r="M33" i="1"/>
  <c r="M34" i="1"/>
  <c r="M35" i="1"/>
  <c r="M36" i="1"/>
  <c r="M37" i="1"/>
  <c r="M38" i="1"/>
  <c r="M39" i="1"/>
  <c r="M40" i="1"/>
  <c r="M41" i="1"/>
  <c r="M42" i="1"/>
  <c r="M43" i="1"/>
  <c r="M44" i="1"/>
  <c r="J28" i="1"/>
  <c r="J29" i="1"/>
  <c r="J30" i="1"/>
  <c r="J31" i="1"/>
  <c r="J32" i="1"/>
  <c r="J33" i="1"/>
  <c r="J34" i="1"/>
  <c r="J35" i="1"/>
  <c r="J36" i="1"/>
  <c r="J37" i="1"/>
  <c r="J38" i="1"/>
  <c r="J39" i="1"/>
  <c r="J40" i="1"/>
  <c r="J41" i="1"/>
  <c r="J42" i="1"/>
  <c r="J43" i="1"/>
  <c r="J44" i="1"/>
  <c r="D30" i="1"/>
  <c r="E30" i="1"/>
  <c r="D31" i="1"/>
  <c r="E31" i="1"/>
  <c r="D32" i="1"/>
  <c r="E32" i="1"/>
  <c r="D33" i="1"/>
  <c r="E33" i="1"/>
  <c r="D34" i="1"/>
  <c r="E34" i="1"/>
  <c r="D35" i="1"/>
  <c r="E35" i="1"/>
  <c r="D36" i="1"/>
  <c r="E36" i="1"/>
  <c r="D37" i="1"/>
  <c r="E37" i="1"/>
  <c r="D38" i="1"/>
  <c r="E38" i="1"/>
  <c r="D39" i="1"/>
  <c r="E39" i="1"/>
  <c r="D40" i="1"/>
  <c r="E40" i="1"/>
  <c r="D41" i="1"/>
  <c r="E41" i="1"/>
  <c r="D42" i="1"/>
  <c r="E42" i="1"/>
  <c r="D43" i="1"/>
  <c r="E43" i="1"/>
  <c r="D44" i="1"/>
  <c r="E44" i="1"/>
  <c r="M29" i="1"/>
  <c r="D29" i="1"/>
  <c r="E29" i="1"/>
  <c r="C268" i="4" l="1"/>
  <c r="C269" i="4"/>
  <c r="C270" i="4"/>
  <c r="C271" i="4"/>
  <c r="C272" i="4"/>
  <c r="C273" i="4"/>
  <c r="C274" i="4"/>
  <c r="C275" i="4"/>
  <c r="C276" i="4"/>
  <c r="C277" i="4"/>
  <c r="C278" i="4"/>
  <c r="C279" i="4"/>
  <c r="C280" i="4"/>
  <c r="C281" i="4"/>
  <c r="C282" i="4"/>
  <c r="C283" i="4"/>
  <c r="C284" i="4"/>
  <c r="C285" i="4"/>
  <c r="C286" i="4"/>
  <c r="C287" i="4"/>
  <c r="C288" i="4"/>
  <c r="C267" i="4"/>
  <c r="M19" i="1" l="1"/>
  <c r="M20" i="1"/>
  <c r="M21" i="1"/>
  <c r="M22" i="1"/>
  <c r="M23" i="1"/>
  <c r="M24" i="1"/>
  <c r="M25" i="1"/>
  <c r="M27" i="1"/>
  <c r="M28" i="1"/>
  <c r="J18" i="1"/>
  <c r="J19" i="1"/>
  <c r="J20" i="1"/>
  <c r="J21" i="1"/>
  <c r="J22" i="1"/>
  <c r="J23" i="1"/>
  <c r="J24" i="1"/>
  <c r="J25" i="1"/>
  <c r="J26" i="1"/>
  <c r="J27" i="1"/>
  <c r="D19" i="1"/>
  <c r="E19" i="1"/>
  <c r="D20" i="1"/>
  <c r="E20" i="1"/>
  <c r="D21" i="1"/>
  <c r="E21" i="1"/>
  <c r="D22" i="1"/>
  <c r="E22" i="1"/>
  <c r="D23" i="1"/>
  <c r="E23" i="1"/>
  <c r="D24" i="1"/>
  <c r="E24" i="1"/>
  <c r="D25" i="1"/>
  <c r="E25" i="1"/>
  <c r="D26" i="1"/>
  <c r="E26" i="1"/>
  <c r="D27" i="1"/>
  <c r="E27" i="1"/>
  <c r="D28" i="1"/>
  <c r="E28" i="1"/>
  <c r="K11" i="1"/>
  <c r="K9" i="1"/>
  <c r="M13" i="1"/>
  <c r="M14" i="1"/>
  <c r="M15" i="1"/>
  <c r="M16" i="1"/>
  <c r="M17" i="1"/>
  <c r="M18" i="1"/>
  <c r="J13" i="1"/>
  <c r="J14" i="1"/>
  <c r="J15" i="1"/>
  <c r="J16" i="1"/>
  <c r="J17" i="1"/>
  <c r="D14" i="1"/>
  <c r="E14" i="1"/>
  <c r="D15" i="1"/>
  <c r="E15" i="1"/>
  <c r="D16" i="1"/>
  <c r="E16" i="1"/>
  <c r="D17" i="1"/>
  <c r="E17" i="1"/>
  <c r="D18" i="1"/>
  <c r="E18" i="1"/>
  <c r="AA9" i="1" l="1"/>
  <c r="AA11" i="1"/>
  <c r="D2" i="1"/>
  <c r="D13" i="1" l="1"/>
  <c r="E13" i="1"/>
  <c r="M10" i="1" l="1"/>
  <c r="M11" i="1"/>
  <c r="M12" i="1"/>
  <c r="J10" i="1"/>
  <c r="J11" i="1"/>
  <c r="J12" i="1"/>
  <c r="D10" i="1"/>
  <c r="E10" i="1"/>
  <c r="D11" i="1"/>
  <c r="E11" i="1"/>
  <c r="D12" i="1"/>
  <c r="E12" i="1"/>
  <c r="J2" i="1" l="1"/>
  <c r="J3" i="1"/>
  <c r="J4" i="1"/>
  <c r="J6" i="1"/>
  <c r="J7" i="1"/>
  <c r="J8" i="1"/>
  <c r="J9" i="1"/>
  <c r="M8" i="1"/>
  <c r="M9" i="1"/>
  <c r="D8" i="1"/>
  <c r="E8" i="1"/>
  <c r="D9" i="1"/>
  <c r="E9" i="1"/>
  <c r="M6" i="1" l="1"/>
  <c r="M7" i="1"/>
  <c r="D15" i="3"/>
  <c r="F15" i="3"/>
  <c r="C16" i="3"/>
  <c r="F16" i="3"/>
  <c r="E16" i="3"/>
  <c r="C15" i="3"/>
  <c r="D16" i="3"/>
  <c r="E15" i="3"/>
  <c r="G16" i="3"/>
  <c r="D6" i="1" l="1"/>
  <c r="E6" i="1"/>
  <c r="D7" i="1"/>
  <c r="E7" i="1"/>
  <c r="M2" i="1"/>
  <c r="M3" i="1"/>
  <c r="M4" i="1"/>
  <c r="M5" i="1"/>
  <c r="E2" i="1"/>
  <c r="D3" i="1"/>
  <c r="E3" i="1"/>
  <c r="D4" i="1"/>
  <c r="E4" i="1"/>
  <c r="D5" i="1"/>
  <c r="E5" i="1"/>
  <c r="J5" i="1" l="1"/>
  <c r="G2" i="1" l="1"/>
  <c r="E14" i="3"/>
  <c r="F13" i="3"/>
  <c r="D14" i="3"/>
  <c r="D13" i="3"/>
  <c r="C14" i="3"/>
  <c r="F14" i="3"/>
  <c r="C13" i="3"/>
  <c r="E13" i="3"/>
  <c r="C17" i="3" l="1"/>
  <c r="D17" i="3"/>
  <c r="E17" i="3"/>
  <c r="F17" i="3"/>
  <c r="G15" i="3"/>
  <c r="G14" i="3"/>
  <c r="G13" i="3"/>
  <c r="G17" i="3" l="1"/>
  <c r="H16" i="3" s="1"/>
  <c r="Y1" i="1"/>
  <c r="N131" i="1" l="1"/>
  <c r="O131" i="1" s="1"/>
  <c r="N128" i="1"/>
  <c r="O128" i="1" s="1"/>
  <c r="N129" i="1"/>
  <c r="O129" i="1" s="1"/>
  <c r="N130" i="1"/>
  <c r="O130" i="1" s="1"/>
  <c r="N79" i="1"/>
  <c r="O79" i="1" s="1"/>
  <c r="N84" i="1"/>
  <c r="O84" i="1" s="1"/>
  <c r="N86" i="1"/>
  <c r="O86" i="1" s="1"/>
  <c r="N89" i="1"/>
  <c r="O89" i="1" s="1"/>
  <c r="N97" i="1"/>
  <c r="O97" i="1" s="1"/>
  <c r="N102" i="1"/>
  <c r="O102" i="1" s="1"/>
  <c r="N106" i="1"/>
  <c r="O106" i="1" s="1"/>
  <c r="N111" i="1"/>
  <c r="O111" i="1" s="1"/>
  <c r="N113" i="1"/>
  <c r="O113" i="1" s="1"/>
  <c r="N117" i="1"/>
  <c r="O117" i="1" s="1"/>
  <c r="N120" i="1"/>
  <c r="O120" i="1" s="1"/>
  <c r="N123" i="1"/>
  <c r="O123" i="1" s="1"/>
  <c r="N127" i="1"/>
  <c r="O127" i="1" s="1"/>
  <c r="N90" i="1"/>
  <c r="O90" i="1" s="1"/>
  <c r="N100" i="1"/>
  <c r="O100" i="1" s="1"/>
  <c r="N103" i="1"/>
  <c r="O103" i="1" s="1"/>
  <c r="N112" i="1"/>
  <c r="O112" i="1" s="1"/>
  <c r="N118" i="1"/>
  <c r="O118" i="1" s="1"/>
  <c r="N121" i="1"/>
  <c r="O121" i="1" s="1"/>
  <c r="N80" i="1"/>
  <c r="O80" i="1" s="1"/>
  <c r="N94" i="1"/>
  <c r="O94" i="1" s="1"/>
  <c r="N98" i="1"/>
  <c r="O98" i="1" s="1"/>
  <c r="N108" i="1"/>
  <c r="O108" i="1" s="1"/>
  <c r="N77" i="1"/>
  <c r="O77" i="1" s="1"/>
  <c r="N81" i="1"/>
  <c r="O81" i="1" s="1"/>
  <c r="N82" i="1"/>
  <c r="O82" i="1" s="1"/>
  <c r="N87" i="1"/>
  <c r="O87" i="1" s="1"/>
  <c r="N92" i="1"/>
  <c r="O92" i="1" s="1"/>
  <c r="N95" i="1"/>
  <c r="O95" i="1" s="1"/>
  <c r="N101" i="1"/>
  <c r="O101" i="1" s="1"/>
  <c r="N104" i="1"/>
  <c r="O104" i="1" s="1"/>
  <c r="N109" i="1"/>
  <c r="O109" i="1" s="1"/>
  <c r="N115" i="1"/>
  <c r="O115" i="1" s="1"/>
  <c r="N119" i="1"/>
  <c r="O119" i="1" s="1"/>
  <c r="N122" i="1"/>
  <c r="O122" i="1" s="1"/>
  <c r="N125" i="1"/>
  <c r="O125" i="1" s="1"/>
  <c r="N85" i="1"/>
  <c r="O85" i="1" s="1"/>
  <c r="N114" i="1"/>
  <c r="O114" i="1" s="1"/>
  <c r="N124" i="1"/>
  <c r="O124" i="1" s="1"/>
  <c r="N76" i="1"/>
  <c r="O76" i="1" s="1"/>
  <c r="N78" i="1"/>
  <c r="O78" i="1" s="1"/>
  <c r="N83" i="1"/>
  <c r="O83" i="1" s="1"/>
  <c r="N88" i="1"/>
  <c r="O88" i="1" s="1"/>
  <c r="N91" i="1"/>
  <c r="O91" i="1" s="1"/>
  <c r="N93" i="1"/>
  <c r="O93" i="1" s="1"/>
  <c r="N96" i="1"/>
  <c r="O96" i="1" s="1"/>
  <c r="N99" i="1"/>
  <c r="O99" i="1" s="1"/>
  <c r="N105" i="1"/>
  <c r="O105" i="1" s="1"/>
  <c r="N107" i="1"/>
  <c r="O107" i="1" s="1"/>
  <c r="N110" i="1"/>
  <c r="O110" i="1" s="1"/>
  <c r="N116" i="1"/>
  <c r="O116" i="1" s="1"/>
  <c r="N126" i="1"/>
  <c r="O126" i="1" s="1"/>
  <c r="N73" i="1"/>
  <c r="O73" i="1" s="1"/>
  <c r="N74" i="1"/>
  <c r="O74" i="1" s="1"/>
  <c r="N75" i="1"/>
  <c r="O75" i="1" s="1"/>
  <c r="N45" i="1"/>
  <c r="O45" i="1" s="1"/>
  <c r="N46" i="1"/>
  <c r="O46" i="1" s="1"/>
  <c r="N47" i="1"/>
  <c r="O47" i="1" s="1"/>
  <c r="N48" i="1"/>
  <c r="O48" i="1" s="1"/>
  <c r="N49" i="1"/>
  <c r="O49" i="1" s="1"/>
  <c r="N50" i="1"/>
  <c r="O50" i="1" s="1"/>
  <c r="N52" i="1"/>
  <c r="O52" i="1" s="1"/>
  <c r="N53" i="1"/>
  <c r="O53" i="1" s="1"/>
  <c r="N54" i="1"/>
  <c r="O54" i="1" s="1"/>
  <c r="N69" i="1"/>
  <c r="O69" i="1" s="1"/>
  <c r="N71" i="1"/>
  <c r="O71"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70" i="1"/>
  <c r="O70" i="1" s="1"/>
  <c r="N51" i="1"/>
  <c r="O51" i="1" s="1"/>
  <c r="N72" i="1"/>
  <c r="O72" i="1" s="1"/>
  <c r="N39" i="1"/>
  <c r="O39" i="1" s="1"/>
  <c r="N40" i="1"/>
  <c r="O40" i="1" s="1"/>
  <c r="N32" i="1"/>
  <c r="O32" i="1" s="1"/>
  <c r="N33" i="1"/>
  <c r="O33" i="1" s="1"/>
  <c r="N34" i="1"/>
  <c r="O34" i="1" s="1"/>
  <c r="N35" i="1"/>
  <c r="O35" i="1" s="1"/>
  <c r="N36" i="1"/>
  <c r="O36" i="1" s="1"/>
  <c r="N41" i="1"/>
  <c r="O41" i="1" s="1"/>
  <c r="N43" i="1"/>
  <c r="O43" i="1" s="1"/>
  <c r="N44" i="1"/>
  <c r="O44" i="1" s="1"/>
  <c r="N31" i="1"/>
  <c r="O31" i="1" s="1"/>
  <c r="N38" i="1"/>
  <c r="O38" i="1" s="1"/>
  <c r="N30" i="1"/>
  <c r="O30" i="1" s="1"/>
  <c r="N37" i="1"/>
  <c r="O37" i="1" s="1"/>
  <c r="N42" i="1"/>
  <c r="O42" i="1" s="1"/>
  <c r="N29" i="1"/>
  <c r="O29" i="1" s="1"/>
  <c r="N28" i="1"/>
  <c r="O28" i="1" s="1"/>
  <c r="N23" i="1"/>
  <c r="O23" i="1" s="1"/>
  <c r="N24" i="1"/>
  <c r="O24" i="1" s="1"/>
  <c r="N27" i="1"/>
  <c r="O27" i="1" s="1"/>
  <c r="N25" i="1"/>
  <c r="O25" i="1" s="1"/>
  <c r="N20" i="1"/>
  <c r="O20" i="1" s="1"/>
  <c r="N22" i="1"/>
  <c r="O22" i="1" s="1"/>
  <c r="N26" i="1"/>
  <c r="O26" i="1" s="1"/>
  <c r="N21" i="1"/>
  <c r="O21" i="1" s="1"/>
  <c r="N19" i="1"/>
  <c r="O19" i="1" s="1"/>
  <c r="N13" i="1"/>
  <c r="O13" i="1" s="1"/>
  <c r="N14" i="1"/>
  <c r="O14" i="1" s="1"/>
  <c r="N16" i="1"/>
  <c r="O16" i="1" s="1"/>
  <c r="N15" i="1"/>
  <c r="O15" i="1" s="1"/>
  <c r="N17" i="1"/>
  <c r="O17" i="1" s="1"/>
  <c r="N18" i="1"/>
  <c r="O18" i="1" s="1"/>
  <c r="N11" i="1"/>
  <c r="O11" i="1" s="1"/>
  <c r="N12" i="1"/>
  <c r="O12" i="1" s="1"/>
  <c r="N10" i="1"/>
  <c r="O10" i="1" s="1"/>
  <c r="N8" i="1"/>
  <c r="O8" i="1" s="1"/>
  <c r="N9" i="1"/>
  <c r="O9" i="1" s="1"/>
  <c r="F18" i="3"/>
  <c r="E18" i="3"/>
  <c r="H13" i="3"/>
  <c r="H14" i="3"/>
  <c r="H15" i="3"/>
  <c r="C18" i="3"/>
  <c r="D18" i="3"/>
  <c r="N6" i="1"/>
  <c r="O6" i="1" s="1"/>
  <c r="N7" i="1"/>
  <c r="O7" i="1" s="1"/>
  <c r="N3" i="1"/>
  <c r="O3" i="1" s="1"/>
  <c r="N5" i="1"/>
  <c r="O5" i="1" s="1"/>
  <c r="N4" i="1"/>
  <c r="O4" i="1" s="1"/>
  <c r="N2" i="1"/>
  <c r="O2" i="1" s="1"/>
</calcChain>
</file>

<file path=xl/sharedStrings.xml><?xml version="1.0" encoding="utf-8"?>
<sst xmlns="http://schemas.openxmlformats.org/spreadsheetml/2006/main" count="4149" uniqueCount="938">
  <si>
    <t>RECEIVABLE SUMMARY(In $)</t>
  </si>
  <si>
    <t>Sum of USD AMOUNT</t>
  </si>
  <si>
    <t>Column Labels</t>
  </si>
  <si>
    <t>Row Labels</t>
  </si>
  <si>
    <t>0-30 days</t>
  </si>
  <si>
    <t>31-60 days</t>
  </si>
  <si>
    <t>61-90 days</t>
  </si>
  <si>
    <t>Over 90+ days</t>
  </si>
  <si>
    <t>Grand Total</t>
  </si>
  <si>
    <t>EU/UK</t>
  </si>
  <si>
    <t>USA</t>
  </si>
  <si>
    <t>APAC/ME</t>
  </si>
  <si>
    <t>Region</t>
  </si>
  <si>
    <t>Region-wise contribution(%)</t>
  </si>
  <si>
    <t>Ageing-wise contribution(%)</t>
  </si>
  <si>
    <t>Month</t>
  </si>
  <si>
    <t>Customer Label</t>
  </si>
  <si>
    <t>Platform</t>
  </si>
  <si>
    <t>Settlement Type</t>
  </si>
  <si>
    <t>Client Status</t>
  </si>
  <si>
    <t>Region2</t>
  </si>
  <si>
    <t>AR's Comments</t>
  </si>
  <si>
    <t>AM's Comments</t>
  </si>
  <si>
    <t>Account Manager</t>
  </si>
  <si>
    <t>BD</t>
  </si>
  <si>
    <t>Year</t>
  </si>
  <si>
    <t>4400 WE Technologies Inc.</t>
  </si>
  <si>
    <t>N1</t>
  </si>
  <si>
    <t>Bank Transfer</t>
  </si>
  <si>
    <t>Active</t>
  </si>
  <si>
    <t>Tanu Arora</t>
  </si>
  <si>
    <t>NA</t>
  </si>
  <si>
    <t>4400 WE Technologies, Inc.</t>
  </si>
  <si>
    <t>Masspay</t>
  </si>
  <si>
    <t>6G Digital Remittance Limited</t>
  </si>
  <si>
    <t>Greg McAllister</t>
  </si>
  <si>
    <t>A.D. Financial (AUS) Pty Ltd</t>
  </si>
  <si>
    <t>APAC</t>
  </si>
  <si>
    <t>Hao Nguyen</t>
  </si>
  <si>
    <t>Vinoth M</t>
  </si>
  <si>
    <t>AFT HK Limited</t>
  </si>
  <si>
    <t>Gitesh Athavale</t>
  </si>
  <si>
    <t>Ailingual Limited</t>
  </si>
  <si>
    <t>Hui Ting Hoe</t>
  </si>
  <si>
    <t>AKBAR MONEY CHANGER SDN BHD</t>
  </si>
  <si>
    <t>Winfred</t>
  </si>
  <si>
    <t>Al Dhahery Money Exchange</t>
  </si>
  <si>
    <t>Saikat Roy</t>
  </si>
  <si>
    <t>Rohit Bammi</t>
  </si>
  <si>
    <t>alchemy agps solutions ltd</t>
  </si>
  <si>
    <t>Jerome Coelho</t>
  </si>
  <si>
    <t>AlquimiaDigital.mx S.A de C.V.</t>
  </si>
  <si>
    <t>Christina Hutchinson</t>
  </si>
  <si>
    <t>ASIABILL COMPANY LIMITED</t>
  </si>
  <si>
    <t>Edward Li</t>
  </si>
  <si>
    <t>Aspire FT Pte Ltd</t>
  </si>
  <si>
    <t>Azimo Limited.</t>
  </si>
  <si>
    <t>BAAS Corporation</t>
  </si>
  <si>
    <t>Michael Bermingham</t>
  </si>
  <si>
    <t>BRQ LINK Payment Services Inc</t>
  </si>
  <si>
    <t>Bud Infrastructure Limited</t>
  </si>
  <si>
    <t>Budgetly Pty Ltd</t>
  </si>
  <si>
    <t>CADANA INC</t>
  </si>
  <si>
    <t>Cash In Asia Pte Ltd</t>
  </si>
  <si>
    <t>DEEL Inc.</t>
  </si>
  <si>
    <t>Lia Susin</t>
  </si>
  <si>
    <t>Digital Services SG Five Pte Ltd</t>
  </si>
  <si>
    <t>Distributed Inc.</t>
  </si>
  <si>
    <t>DK Limited</t>
  </si>
  <si>
    <t>East Africa Bank SA</t>
  </si>
  <si>
    <t>ebury mass payments</t>
  </si>
  <si>
    <t>Margarita</t>
  </si>
  <si>
    <t>Franklin Technologies ApS</t>
  </si>
  <si>
    <t>Gagan Smara</t>
  </si>
  <si>
    <t>GET GLOBAL HOLDINGS PTE LTD</t>
  </si>
  <si>
    <t>Glide APAC Pte. Ltd.</t>
  </si>
  <si>
    <t>Global E-Payment Limited</t>
  </si>
  <si>
    <t>Gusto, Inc.</t>
  </si>
  <si>
    <t>Hong Leong Finance Limited</t>
  </si>
  <si>
    <t>IAPPS Pte. Ltd.</t>
  </si>
  <si>
    <t>iFast Financial Pte Ltd</t>
  </si>
  <si>
    <t>Jeonbuk bank</t>
  </si>
  <si>
    <t>Joon Young Kim</t>
  </si>
  <si>
    <t>just wallet inc</t>
  </si>
  <si>
    <t>KappaPayCameroonS.A.(KPC)</t>
  </si>
  <si>
    <t>Michael Podrid</t>
  </si>
  <si>
    <t>Laverne Money Pty Ltd</t>
  </si>
  <si>
    <t>lemonway</t>
  </si>
  <si>
    <t>LENDERWIZE LTD</t>
  </si>
  <si>
    <t>LianLian International Company Limited</t>
  </si>
  <si>
    <t>Maple Digital Financial Solutions Ltd</t>
  </si>
  <si>
    <t>MeshPay EU B.V.</t>
  </si>
  <si>
    <t>MESHPAY GBL PTE. LTD.</t>
  </si>
  <si>
    <t>MeshPay UK Ltd</t>
  </si>
  <si>
    <t>Monex Inc</t>
  </si>
  <si>
    <t>Nala Inc</t>
  </si>
  <si>
    <t>Nala Payments Canada</t>
  </si>
  <si>
    <t>Nexpay Pty Ltd</t>
  </si>
  <si>
    <t>Nuvei Limited</t>
  </si>
  <si>
    <t>OWLPAY HOLDINGS PTE. LTD.</t>
  </si>
  <si>
    <t>Pacific Basin Shipping (HK) Limited</t>
  </si>
  <si>
    <t>Payana Ltd.</t>
  </si>
  <si>
    <t>Kyle Reny</t>
  </si>
  <si>
    <t>Paysafe Financial Services Limited</t>
  </si>
  <si>
    <t>Pelican General Limited</t>
  </si>
  <si>
    <t>Lisa Sung</t>
  </si>
  <si>
    <t>Pelikin Holdings Limited</t>
  </si>
  <si>
    <t>pesapeer incorporated</t>
  </si>
  <si>
    <t>Photon Dance (HongKong) Limited</t>
  </si>
  <si>
    <t>ppsl paysafe</t>
  </si>
  <si>
    <t>ppsl skrill</t>
  </si>
  <si>
    <t>PT Dhanapatra Loka Abadi</t>
  </si>
  <si>
    <t>Hari Budiman</t>
  </si>
  <si>
    <t>PT FLIPTECH LENTERA INSPIRASI PERTIWI</t>
  </si>
  <si>
    <t>PT Harsya Remitindo</t>
  </si>
  <si>
    <t>PT Indo Koala Remittance</t>
  </si>
  <si>
    <t>PT Midtrans</t>
  </si>
  <si>
    <t>PT PELITA TRANSFER NUSANTARA</t>
  </si>
  <si>
    <t>Luciana</t>
  </si>
  <si>
    <t>PT Reyhan Putra Mandiri</t>
  </si>
  <si>
    <t>PT Transwap Dunamis Indonesia</t>
  </si>
  <si>
    <t>PT Worldwide Express Remittance</t>
  </si>
  <si>
    <t>Qolo Inc.</t>
  </si>
  <si>
    <t>Red Owl Pty Ltd</t>
  </si>
  <si>
    <t>Remote Europe Holding B.V.</t>
  </si>
  <si>
    <t>Danny May</t>
  </si>
  <si>
    <t>Remotely Works Inc.</t>
  </si>
  <si>
    <t>Rippling Payments Inc</t>
  </si>
  <si>
    <t>Oren Cohen</t>
  </si>
  <si>
    <t>SIAM COMMERCIAL BANK PUBLIC COMPANY LIMITED</t>
  </si>
  <si>
    <t>SingCash Pte Ltd</t>
  </si>
  <si>
    <t>Skrill Ltd</t>
  </si>
  <si>
    <t>Sleek Tech Pte. Ltd.</t>
  </si>
  <si>
    <t>SPROUT CORPORATE SERVICES PTE LTD</t>
  </si>
  <si>
    <t>SWiM Pay Pty Ltd</t>
  </si>
  <si>
    <t>TAURUS ONE PRIVATE LIMITED</t>
  </si>
  <si>
    <t>Tazapay Pte. Ltd.</t>
  </si>
  <si>
    <t>Febriali Tan</t>
  </si>
  <si>
    <t>TClub Inc.</t>
  </si>
  <si>
    <t>The CurrencyCloud Limited</t>
  </si>
  <si>
    <t>tiagn i inc. dba libertypay</t>
  </si>
  <si>
    <t>Transwap Private Limited</t>
  </si>
  <si>
    <t>Travel Easy Innovation GmbH</t>
  </si>
  <si>
    <t>Travel Ledger UK</t>
  </si>
  <si>
    <t>UQPAY PTE LTD</t>
  </si>
  <si>
    <t>UTU Rewards S.R.L.</t>
  </si>
  <si>
    <t>Varni Tech Inc</t>
  </si>
  <si>
    <t>Volopay Co Pte Ltd.</t>
  </si>
  <si>
    <t>WEEL HOLDINGS PTY LTD</t>
  </si>
  <si>
    <t>Widoph Remit</t>
  </si>
  <si>
    <t>Yariex Group Corp</t>
  </si>
  <si>
    <t>Yondr Money Pty Ltd</t>
  </si>
  <si>
    <t>zenus bank international, inc</t>
  </si>
  <si>
    <t>ZipHQ, Inc</t>
  </si>
  <si>
    <t>Currency</t>
  </si>
  <si>
    <t>USD AMOUNT</t>
  </si>
  <si>
    <t>Invoice Amount</t>
  </si>
  <si>
    <t>Billing Period</t>
  </si>
  <si>
    <t>Days</t>
  </si>
  <si>
    <t>Ageing Tier</t>
  </si>
  <si>
    <t>Fee Type</t>
  </si>
  <si>
    <t>Invoice Date</t>
  </si>
  <si>
    <t>Due Date</t>
  </si>
  <si>
    <t>Invoice Status</t>
  </si>
  <si>
    <t>Invoice Number</t>
  </si>
  <si>
    <t>Reminder Sent</t>
  </si>
  <si>
    <t>LOD</t>
  </si>
  <si>
    <t>USD</t>
  </si>
  <si>
    <t>Monthly Billing</t>
  </si>
  <si>
    <t>Outstanding</t>
  </si>
  <si>
    <t>Yes</t>
  </si>
  <si>
    <t>No</t>
  </si>
  <si>
    <t>SGD</t>
  </si>
  <si>
    <t>AUD</t>
  </si>
  <si>
    <t>Invoice Sent</t>
  </si>
  <si>
    <t>Setup Fee</t>
  </si>
  <si>
    <t>IDR</t>
  </si>
  <si>
    <t>Card Printing and Delivery</t>
  </si>
  <si>
    <t>INV-041224105640</t>
  </si>
  <si>
    <t>GBP</t>
  </si>
  <si>
    <t>EUR</t>
  </si>
  <si>
    <t>MYR</t>
  </si>
  <si>
    <t>Name</t>
  </si>
  <si>
    <t>Units per USD</t>
  </si>
  <si>
    <t>USD per unit</t>
  </si>
  <si>
    <t>US Dollar</t>
  </si>
  <si>
    <t>Euro</t>
  </si>
  <si>
    <t>British Pound</t>
  </si>
  <si>
    <t>INR</t>
  </si>
  <si>
    <t>Indian Rupee</t>
  </si>
  <si>
    <t>Australian Dollar</t>
  </si>
  <si>
    <t>CAD</t>
  </si>
  <si>
    <t>Canadian Dollar</t>
  </si>
  <si>
    <t>Singapore Dollar</t>
  </si>
  <si>
    <t>CHF</t>
  </si>
  <si>
    <t>Swiss Franc</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</si>
  <si>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</si>
  <si>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</si>
  <si>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</si>
  <si>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</si>
  <si>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</si>
  <si>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</si>
  <si>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</si>
  <si>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</si>
  <si>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</si>
  <si>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</si>
  <si>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</si>
  <si>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</si>
  <si>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</si>
  <si>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</si>
  <si>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</si>
  <si>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</si>
  <si>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</si>
  <si>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</si>
  <si>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</si>
  <si>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</si>
  <si>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</si>
  <si>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</si>
  <si>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</si>
  <si>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</si>
  <si>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</si>
  <si>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</si>
  <si>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</si>
  <si>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</si>
  <si>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</si>
  <si>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</si>
  <si>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</si>
  <si>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</si>
  <si>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</si>
  <si>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</si>
  <si>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</si>
  <si>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</si>
  <si>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</si>
  <si>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</si>
  <si>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</si>
  <si>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</si>
  <si>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</si>
  <si>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</si>
  <si>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</si>
  <si>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</si>
  <si>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</si>
  <si>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</si>
  <si>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</si>
  <si>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</si>
  <si>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</si>
  <si>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</si>
  <si>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</si>
  <si>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</si>
  <si>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</si>
  <si>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</si>
  <si>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</si>
  <si>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</si>
  <si>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</si>
  <si>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</si>
  <si>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</si>
  <si>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</si>
  <si>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</si>
  <si>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</si>
  <si>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</si>
  <si>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</si>
  <si>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</si>
  <si>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</si>
  <si>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</si>
  <si>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</si>
  <si>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</si>
  <si>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</si>
  <si>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</si>
  <si>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</si>
  <si>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</si>
  <si>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</si>
  <si>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</si>
  <si>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</si>
  <si>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</si>
  <si>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</si>
  <si>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</si>
  <si>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</si>
  <si>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</si>
  <si>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</si>
  <si>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</si>
  <si>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</si>
  <si>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</si>
  <si>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</si>
  <si>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</si>
  <si>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</si>
  <si>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</si>
  <si>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</si>
  <si>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</si>
  <si>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</si>
  <si>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</si>
  <si>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</si>
  <si>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</si>
  <si>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</si>
  <si>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</si>
  <si>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</si>
  <si>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</si>
  <si>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</si>
  <si>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Venezuelan Bolívar</t>
  </si>
  <si>
    <t>VES</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</si>
  <si>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</si>
  <si>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</si>
  <si>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</si>
  <si>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</si>
  <si>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</si>
  <si>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</si>
  <si>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</si>
  <si>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</si>
  <si>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</si>
  <si>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</si>
  <si>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</si>
  <si>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</si>
  <si>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</si>
  <si>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</si>
  <si>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</si>
  <si>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</si>
  <si>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</si>
  <si>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</si>
  <si>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</si>
  <si>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</si>
  <si>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</si>
  <si>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</si>
  <si>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</si>
  <si>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</si>
  <si>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</si>
  <si>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</si>
  <si>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</si>
  <si>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</si>
  <si>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</si>
  <si>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</si>
  <si>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</si>
  <si>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</si>
  <si>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</si>
  <si>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</si>
  <si>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</si>
  <si>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</si>
  <si>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</si>
  <si>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</si>
  <si>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</si>
  <si>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</si>
  <si>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</si>
  <si>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</si>
  <si>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</si>
  <si>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</si>
  <si>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</si>
  <si>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</si>
  <si>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</si>
  <si>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</si>
  <si>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</si>
  <si>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</si>
  <si>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Zimbabwean Dollar</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</si>
  <si>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</si>
  <si>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</si>
  <si>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</si>
  <si>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</si>
  <si>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</si>
  <si>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</si>
  <si>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</si>
  <si>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</si>
  <si>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</si>
  <si>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</si>
  <si>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</si>
  <si>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</si>
  <si>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</si>
  <si>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</si>
  <si>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</si>
  <si>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</si>
  <si>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</si>
  <si>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</si>
  <si>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</si>
  <si>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</si>
  <si>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</si>
  <si>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</si>
  <si>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</si>
  <si>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</si>
  <si>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</si>
  <si>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</si>
  <si>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</si>
  <si>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</si>
  <si>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</si>
  <si>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</si>
  <si>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</si>
  <si>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</si>
  <si>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</si>
  <si>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</si>
  <si>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</si>
  <si>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</si>
  <si>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</si>
  <si>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</si>
  <si>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</si>
  <si>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</si>
  <si>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</si>
  <si>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</si>
  <si>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</si>
  <si>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</si>
  <si>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</si>
  <si>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</si>
  <si>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</si>
  <si>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</si>
  <si>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</si>
  <si>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</si>
  <si>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</si>
  <si>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</si>
  <si>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</si>
  <si>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Sierra Leonean Leone</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</si>
  <si>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</si>
  <si>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</si>
  <si>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</si>
  <si>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</si>
  <si>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</si>
  <si>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</si>
  <si>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</si>
  <si>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</si>
  <si>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</si>
  <si>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</si>
  <si>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</si>
  <si>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</si>
  <si>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</si>
  <si>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</si>
  <si>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</si>
  <si>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</si>
  <si>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</si>
  <si>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</si>
  <si>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</si>
  <si>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</si>
  <si>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</si>
  <si>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</si>
  <si>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</si>
  <si>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</si>
  <si>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</si>
  <si>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</si>
  <si>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</si>
  <si>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</si>
  <si>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</si>
  <si>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</si>
  <si>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</si>
  <si>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</si>
  <si>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</si>
  <si>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</si>
  <si>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</si>
  <si>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</si>
  <si>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</si>
  <si>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</si>
  <si>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</si>
  <si>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</si>
  <si>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</si>
  <si>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</si>
  <si>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</si>
  <si>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</si>
  <si>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</si>
  <si>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</si>
  <si>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</si>
  <si>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</si>
  <si>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</si>
  <si>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</si>
  <si>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</si>
  <si>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</si>
  <si>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</si>
  <si>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</si>
  <si>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</si>
  <si>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</si>
  <si>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</si>
  <si>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</si>
  <si>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</si>
  <si>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</si>
  <si>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</si>
  <si>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</si>
  <si>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</si>
  <si>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</si>
  <si>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</si>
  <si>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</si>
  <si>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</si>
  <si>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</si>
  <si>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</si>
  <si>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</si>
  <si>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</si>
  <si>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</si>
  <si>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</si>
  <si>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</si>
  <si>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</si>
  <si>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</si>
  <si>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</si>
  <si>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</si>
  <si>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</si>
  <si>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</si>
  <si>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</si>
  <si>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</si>
  <si>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</si>
  <si>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</si>
  <si>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</si>
  <si>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</si>
  <si>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</si>
  <si>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</si>
  <si>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</si>
  <si>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</si>
  <si>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</si>
  <si>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</si>
  <si>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</si>
  <si>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</si>
  <si>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</si>
  <si>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</si>
  <si>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</si>
  <si>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</si>
  <si>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</si>
  <si>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</si>
  <si>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</si>
  <si>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</si>
  <si>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BTC</t>
  </si>
  <si>
    <t>Bitcoin</t>
  </si>
  <si>
    <t>CLF</t>
  </si>
  <si>
    <t>CNH</t>
  </si>
  <si>
    <t>Chinese Yuan Renminbi Offshore</t>
  </si>
  <si>
    <t>DOGE</t>
  </si>
  <si>
    <t>Dogecoin</t>
  </si>
  <si>
    <t>DOT</t>
  </si>
  <si>
    <t>Polkadot</t>
  </si>
  <si>
    <t>ETH</t>
  </si>
  <si>
    <t>Ethereum</t>
  </si>
  <si>
    <t>LINK</t>
  </si>
  <si>
    <t>Chainlink</t>
  </si>
  <si>
    <t>LTC</t>
  </si>
  <si>
    <t>Litecoin</t>
  </si>
  <si>
    <t>LUNA</t>
  </si>
  <si>
    <t>Terra</t>
  </si>
  <si>
    <t>MXV</t>
  </si>
  <si>
    <t>SLE</t>
  </si>
  <si>
    <t>UNI</t>
  </si>
  <si>
    <t>Uniswap</t>
  </si>
  <si>
    <t>VED</t>
  </si>
  <si>
    <t>XBT</t>
  </si>
  <si>
    <t>XLM</t>
  </si>
  <si>
    <t>Stellar Lumen</t>
  </si>
  <si>
    <t>XRP</t>
  </si>
  <si>
    <t>Ripple</t>
  </si>
  <si>
    <t>ZWG</t>
  </si>
  <si>
    <t>MESHPAY UK LTD</t>
  </si>
  <si>
    <t>OWLPAY HOLDINGS PTE. LTD</t>
  </si>
  <si>
    <t>Stylopay Pte. Ltd</t>
  </si>
  <si>
    <t>PayQuicker LLC</t>
  </si>
  <si>
    <t>aerapass pte. ltd</t>
  </si>
  <si>
    <t>Knox Payments Ltd.</t>
  </si>
  <si>
    <t>MeshPay UK</t>
  </si>
  <si>
    <t>Coda Payments</t>
  </si>
  <si>
    <t>SME</t>
  </si>
  <si>
    <t>Michael Ang</t>
  </si>
  <si>
    <t>coda payments malaysia - aplikasi</t>
  </si>
  <si>
    <t>Leon Lim</t>
  </si>
  <si>
    <t>Hedgewiz Pure Risk Management Solutions Ltd</t>
  </si>
  <si>
    <t>Kwadwo</t>
  </si>
  <si>
    <t>Hedgewiz Pure Risk Management Solutions Ltd - EU</t>
  </si>
  <si>
    <t>Hedgewiz Pure Risk Management Solutions Ltd -UK</t>
  </si>
  <si>
    <t>Hedgewiz Pure Risk Management Solutions Ltd -US</t>
  </si>
  <si>
    <t>Pay Set Limited</t>
  </si>
  <si>
    <t>SAAD EXCHANGE</t>
  </si>
  <si>
    <t>CAMBIONET CORRETORA DE CAMBIO LTDA</t>
  </si>
  <si>
    <t>CQUR Bank LLC</t>
  </si>
  <si>
    <t>Ashraf Omran</t>
  </si>
  <si>
    <t>KUWAIT INDIA INTERNATIONAL EXCHANGE COMPANY(W.L.L)</t>
  </si>
  <si>
    <t>LENDERWIZE LTD-UK</t>
  </si>
  <si>
    <t>Maritime Payment Solutions, LLC (ShipMoney)</t>
  </si>
  <si>
    <t>MESHPAY AU PTY LTD</t>
  </si>
  <si>
    <t>MP Payments UK Limited</t>
  </si>
  <si>
    <t>Paysure Solutions Ltd</t>
  </si>
  <si>
    <t>Andrew Mere</t>
  </si>
  <si>
    <t>Playerauctions HK Co Limited</t>
  </si>
  <si>
    <t>SENDER ÖDEME HIZMETLERI ANONIM SIRKETI</t>
  </si>
  <si>
    <t>The New Money Company of San Francisco, Inc</t>
  </si>
  <si>
    <t>MIchael Podrid</t>
  </si>
  <si>
    <t>Yorbis Inc.</t>
  </si>
  <si>
    <t>Andrew Gyenis</t>
  </si>
  <si>
    <t>EBURY PARTNERS UK LIMITED</t>
  </si>
  <si>
    <t>teledolar</t>
  </si>
  <si>
    <t>global feeder shipping pte ltd</t>
  </si>
  <si>
    <t>Ernest Poh</t>
  </si>
  <si>
    <t>UFintechHub Inc</t>
  </si>
  <si>
    <t>Remofirst, Inc.</t>
  </si>
  <si>
    <t>Corporate Alliance Payments Pty Ltd - NSP</t>
  </si>
  <si>
    <t>OZ CORRETORA DE CÂMBIO SA</t>
  </si>
  <si>
    <t>AYP Staffing Pte Ltd</t>
  </si>
  <si>
    <t>Rippling Payments Inc FI US</t>
  </si>
  <si>
    <t>Rippling Payments Inc FI SG</t>
  </si>
  <si>
    <t>Butlr Ltd T/A Ryftpay</t>
  </si>
  <si>
    <t>BEXS BANCO DE CAMBIO S.A.</t>
  </si>
  <si>
    <t>Klasha Technologies Limited</t>
  </si>
  <si>
    <t>Supra Negocios SAS</t>
  </si>
  <si>
    <t>REMIT5</t>
  </si>
  <si>
    <t>borderless llc</t>
  </si>
  <si>
    <t>Aboki Finance Inc</t>
  </si>
  <si>
    <t>G Pay Instant Solutions Ltd</t>
  </si>
  <si>
    <t>Global Payment E-Commerce Limited</t>
  </si>
  <si>
    <t>Hax Capital Pty Ltd</t>
  </si>
  <si>
    <t>ORBIS TECHNOLOGY LIMITED</t>
  </si>
  <si>
    <t>Pywave Network Technology Limited</t>
  </si>
  <si>
    <t>Skuad Pte Ltd</t>
  </si>
  <si>
    <t>City International Exchange Co. wll</t>
  </si>
  <si>
    <t>DRUO, Inc.</t>
  </si>
  <si>
    <t>goLance, Inc.</t>
  </si>
  <si>
    <t>Nowports, Inc.</t>
  </si>
  <si>
    <t>Spreadfun Pte. Ltd.</t>
  </si>
  <si>
    <t>Taram Inc.,</t>
  </si>
  <si>
    <t>Unified Signal, Inc.</t>
  </si>
  <si>
    <t>Wingspan Networks Inc</t>
  </si>
  <si>
    <t>Eduardo Avallone</t>
  </si>
  <si>
    <t>EU</t>
  </si>
  <si>
    <t>Rank Wyre pay Inc</t>
  </si>
  <si>
    <t>SlideSG Pte. Ltd.</t>
  </si>
  <si>
    <t>GLOBAL ROOTS INC</t>
  </si>
  <si>
    <t>OZ CORRETORA DE CÃ‚MBIO SA</t>
  </si>
  <si>
    <t>isx financial eu ltd</t>
  </si>
  <si>
    <t>WORLDPAY AP LTD (Verify)</t>
  </si>
  <si>
    <t>Ripple Services Inc</t>
  </si>
  <si>
    <t>klu tech</t>
  </si>
  <si>
    <t>OYSTER HR, INC.</t>
  </si>
  <si>
    <t>Everpro Holdings Limited</t>
  </si>
  <si>
    <t>Banque Patronus</t>
  </si>
  <si>
    <t>Bendix Foreign Exchange Corporation</t>
  </si>
  <si>
    <t>Evocabank CJSC</t>
  </si>
  <si>
    <t>Futurepay Global Limited</t>
  </si>
  <si>
    <t>GOGOTRANX HONG KONG LIMITED</t>
  </si>
  <si>
    <t>Istanbul Ödeme ve Elektronik Para A.S</t>
  </si>
  <si>
    <t>KOHO Financial Inc.</t>
  </si>
  <si>
    <t>Loadpass LTDA</t>
  </si>
  <si>
    <t>Niural, Inc.</t>
  </si>
  <si>
    <t>Robinhood Canada Ltd.</t>
  </si>
  <si>
    <t>Robinhood Europe, UAB</t>
  </si>
  <si>
    <t>Robinhood Singapore Pte. Ltd.</t>
  </si>
  <si>
    <t>INV-050225183406</t>
  </si>
  <si>
    <t>Tyler Reed</t>
  </si>
  <si>
    <t>WSFx Global Pay Ltd.</t>
  </si>
  <si>
    <t>Kailash Gupta</t>
  </si>
  <si>
    <t>kasikorn bank</t>
  </si>
  <si>
    <t>paysera</t>
  </si>
  <si>
    <t>you technologies group (singapore) pte. ltd</t>
  </si>
  <si>
    <t>you technologies group (singapore) pte. Ltd - Verify</t>
  </si>
  <si>
    <t>EZ Money Sdn Bhd.</t>
  </si>
  <si>
    <t>INV-050325103203</t>
  </si>
  <si>
    <t>Orbit Money</t>
  </si>
  <si>
    <t>ORO Labs, Inc.</t>
  </si>
  <si>
    <t>Poaster Technologies Inc. DBA Warp</t>
  </si>
  <si>
    <t>QEEBEY TECH PTE. LTD</t>
  </si>
  <si>
    <t>Banco Topazio (Beetech)</t>
  </si>
  <si>
    <t>CashD Pty Ltd</t>
  </si>
  <si>
    <t>WorkMotion Software GmbH</t>
  </si>
  <si>
    <t>e9 pay</t>
  </si>
  <si>
    <t>frente</t>
  </si>
  <si>
    <t>Ibanera Private Limited</t>
  </si>
  <si>
    <t>nsKnox Technologies Ltd</t>
  </si>
  <si>
    <t>rewire</t>
  </si>
  <si>
    <t>Depiteq, Inc.</t>
  </si>
  <si>
    <t>Genieum Services Pty Ltd</t>
  </si>
  <si>
    <t>OZIN INTERNATIONAL PTY LTD</t>
  </si>
  <si>
    <t>Payease Technology (Hong Kong) Limited</t>
  </si>
  <si>
    <t>Pelikin Ventures Pty Ltd</t>
  </si>
  <si>
    <t>WAN GUO GROUP HOLDING LIMITED</t>
  </si>
  <si>
    <t>INV-020425174717</t>
  </si>
  <si>
    <t>ME</t>
  </si>
  <si>
    <t>Regional Outstanding (In $)</t>
  </si>
  <si>
    <t>AL FUAD EXCHANGE</t>
  </si>
  <si>
    <t>AVENIDA VESSEL</t>
  </si>
  <si>
    <t>EPAY LIMITED</t>
  </si>
  <si>
    <t>Jillion Group International Trading Limited</t>
  </si>
  <si>
    <t>Zeni, Inc.</t>
  </si>
  <si>
    <t>INV-050525114818</t>
  </si>
  <si>
    <t>UK</t>
  </si>
  <si>
    <t>XiaoXiao</t>
  </si>
  <si>
    <t>Pat Sarisa</t>
  </si>
  <si>
    <t>XCG</t>
  </si>
  <si>
    <t>Caribbean Guilder</t>
  </si>
  <si>
    <t>Mizzen Digital DMCC</t>
  </si>
  <si>
    <t>Cimb Speedsend</t>
  </si>
  <si>
    <t>Cimb Speedsend-EUR Corridor</t>
  </si>
  <si>
    <t>Cimb Speedsend-GBP Corridor</t>
  </si>
  <si>
    <t>Cimb Speedsend-SGD Corridor</t>
  </si>
  <si>
    <t>AL DAR FOR EXCHANGE WORKS</t>
  </si>
  <si>
    <t>Emirates Islamic Bank PJSC</t>
  </si>
  <si>
    <t>Emirates NBD Bank PJSC</t>
  </si>
  <si>
    <t>KOHO Financial Inc.-Verify</t>
  </si>
  <si>
    <t>SBI Remit Co., Ltd.</t>
  </si>
  <si>
    <t>Tensec Payments, Inc.</t>
  </si>
  <si>
    <t>INV-040625165635</t>
  </si>
  <si>
    <t>Client Name</t>
  </si>
  <si>
    <t>Alipay Merchant Services Pte. Ltd.</t>
  </si>
  <si>
    <t>DK Limited-Verify</t>
  </si>
  <si>
    <t>PT UCE Global Utama</t>
  </si>
  <si>
    <t>VECTOR HOLDINGS PTY LTD</t>
  </si>
  <si>
    <t>cohortgo</t>
  </si>
  <si>
    <t>No response from the client post reminder sent</t>
  </si>
  <si>
    <t>Nomba Financial Services Ltd</t>
  </si>
  <si>
    <t>Bosnia-Herzegovina Convertible Mark</t>
  </si>
  <si>
    <t>EURC</t>
  </si>
  <si>
    <t>SOL</t>
  </si>
  <si>
    <t>USDC</t>
  </si>
  <si>
    <t>USDP</t>
  </si>
  <si>
    <t>bank of ayudhya public company</t>
  </si>
  <si>
    <t>Qatar National Bank (Q.P.S.C.)</t>
  </si>
  <si>
    <t>Ardua Solutions Corp</t>
  </si>
  <si>
    <t>BANCO BS2 S/A</t>
  </si>
  <si>
    <t>Banco Ourinvest S.A.</t>
  </si>
  <si>
    <t>Hitpay Payment Solutions Pte. Ltd.</t>
  </si>
  <si>
    <t>International Payments Identity Pte. Ltd.</t>
  </si>
  <si>
    <t>PIPO (SG) Pte. Ltd.</t>
  </si>
  <si>
    <t>INV-050825115818</t>
  </si>
  <si>
    <t>INV-050825195438</t>
  </si>
  <si>
    <t>Jul</t>
  </si>
  <si>
    <t>Shi Yin</t>
  </si>
  <si>
    <t>kina bank</t>
  </si>
  <si>
    <t>PT Kredigram Pembayaran Elektronis</t>
  </si>
  <si>
    <t>Al Muzaini Exchange</t>
  </si>
  <si>
    <t>Bank of Ayudhya Public Company Limited</t>
  </si>
  <si>
    <t>Commercial Bank of Kuwait KPSC</t>
  </si>
  <si>
    <t>FIRSTKYC PTE. LTD.</t>
  </si>
  <si>
    <t>Global E-Payment Limited-SG</t>
  </si>
  <si>
    <t>Utransfer US LLC</t>
  </si>
  <si>
    <t>WORLDFIRST (SINGAPORE) MERCHANT SERVICES PTE. LTD.</t>
  </si>
  <si>
    <t>Wallet Debit</t>
  </si>
  <si>
    <t>CN-INV-030925182457</t>
  </si>
  <si>
    <t>INV-020925171323</t>
  </si>
  <si>
    <t>INV-040925095830</t>
  </si>
  <si>
    <t>INV-030925145658</t>
  </si>
  <si>
    <t>Credit Note-Waive off</t>
  </si>
  <si>
    <t>Aug</t>
  </si>
  <si>
    <t>Sep</t>
  </si>
  <si>
    <t>MeshPay EU Ltd</t>
  </si>
  <si>
    <t>Setup Fee billed</t>
  </si>
  <si>
    <t>INV-220925103638</t>
  </si>
  <si>
    <t>Setup fee billed</t>
  </si>
  <si>
    <t>Client is disputing on decline charges on blocked cards,awaiting further update from AM.</t>
  </si>
  <si>
    <t xml:space="preserve">FTB HUB S.A.C </t>
  </si>
  <si>
    <t>moneycorp bank limited</t>
  </si>
  <si>
    <t>Bivo Inc.</t>
  </si>
  <si>
    <t>JPMORGAN CHASE BANK</t>
  </si>
  <si>
    <t>Niural, Inc. (Platform)</t>
  </si>
  <si>
    <t>Union Bank of the Philippines</t>
  </si>
  <si>
    <t>WORLDFIRST (SINGAPORE) MERCHANT SERVICESPTE. LTD.</t>
  </si>
  <si>
    <t>SG-FTBHUB-09/2025</t>
  </si>
  <si>
    <t>INV-021025161120</t>
  </si>
  <si>
    <t>INV-021025184847</t>
  </si>
  <si>
    <t>CN-INV-061025093259</t>
  </si>
  <si>
    <t>INV-061025143320</t>
  </si>
  <si>
    <t>INV-061025125629</t>
  </si>
  <si>
    <t>Oct</t>
  </si>
  <si>
    <t>wallet debited, insufficient funds</t>
  </si>
  <si>
    <t>Amount($)</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</si>
  <si>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</si>
  <si>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</si>
  <si>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</si>
  <si>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</si>
  <si>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</si>
  <si>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</si>
  <si>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</si>
  <si>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</si>
  <si>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</si>
  <si>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</si>
  <si>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</si>
  <si>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</si>
  <si>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</si>
  <si>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</si>
  <si>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</si>
  <si>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</si>
  <si>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Abu Sheikha Exchange</t>
  </si>
  <si>
    <t>Atlantic Partners Asia (SG) Pte. Ltd.</t>
  </si>
  <si>
    <t>BANCO BS2 SA</t>
  </si>
  <si>
    <t>Global Money Express Co., LTD</t>
  </si>
  <si>
    <t>Hello Clever Pty Ltd</t>
  </si>
  <si>
    <t>Monex Canada Inc</t>
  </si>
  <si>
    <t>MULTIPLIER TECHNOLOGIES PTE. LTD</t>
  </si>
  <si>
    <t>Tremendous, LLC</t>
  </si>
  <si>
    <t>VOLOPAY.CO PTE. LTD.</t>
  </si>
  <si>
    <t>Credit Note-Rebate</t>
  </si>
  <si>
    <t>SG-FTBHUB-10/2025</t>
  </si>
  <si>
    <t>ID-ptpelita-10/2025</t>
  </si>
  <si>
    <t>INV-031125184753</t>
  </si>
  <si>
    <t>INV-051125092759</t>
  </si>
  <si>
    <t>INV-281025170000</t>
  </si>
  <si>
    <t>INV-051125174218</t>
  </si>
  <si>
    <t>INV-051125173213</t>
  </si>
  <si>
    <t>INV-051125161416</t>
  </si>
  <si>
    <t>CN-INV-051125105233</t>
  </si>
  <si>
    <t>INV-061125120844</t>
  </si>
  <si>
    <t>INV-061125104927</t>
  </si>
  <si>
    <t>INV-041125182344</t>
  </si>
  <si>
    <t>Sep &amp; oct-2025</t>
  </si>
  <si>
    <t>Unmanaged - Harshita or saloni</t>
  </si>
  <si>
    <t>INV-171125170000</t>
  </si>
  <si>
    <t xml:space="preserve">client has made progress with their capital raise however not provided exact settlement date to clear all o/s </t>
  </si>
  <si>
    <t>Client settles the invoice basis due date</t>
  </si>
  <si>
    <t>Partially settled by the client</t>
  </si>
  <si>
    <t>AM is chasing the client to clear all o/s invoices</t>
  </si>
  <si>
    <t>Total</t>
  </si>
  <si>
    <t>APAYLATER FINANCIALS PTE. LTD.</t>
  </si>
  <si>
    <t>Evocabank OJSC</t>
  </si>
  <si>
    <t>Finofo Inc</t>
  </si>
  <si>
    <t>VPLUS GREATER BAY EXCHANGE LIMITED</t>
  </si>
  <si>
    <t>INV-031225091936</t>
  </si>
  <si>
    <t>INV-041225150054</t>
  </si>
  <si>
    <t>INV-041225180916</t>
  </si>
  <si>
    <t>INV-031225181126</t>
  </si>
  <si>
    <t>INV-031225170417</t>
  </si>
  <si>
    <t>INV2025-MSH-011</t>
  </si>
  <si>
    <t>INV-021225201549</t>
  </si>
  <si>
    <t>INV-021225185612</t>
  </si>
  <si>
    <t>INV-021225190800</t>
  </si>
  <si>
    <t>INV-021225154117</t>
  </si>
  <si>
    <t>INV-151225170000</t>
  </si>
  <si>
    <t>INV-021225163914</t>
  </si>
  <si>
    <t>INV-031225114343</t>
  </si>
  <si>
    <t>INV-021225130146</t>
  </si>
  <si>
    <t>US-youtech-Verify-11/2025</t>
  </si>
  <si>
    <t>SG-FTBHUB-11/2025</t>
  </si>
  <si>
    <t>Overdue</t>
  </si>
  <si>
    <t>Force Settlement</t>
  </si>
  <si>
    <t>Partially Paid</t>
  </si>
  <si>
    <t>Nov</t>
  </si>
  <si>
    <t>Dec</t>
  </si>
  <si>
    <t>Every, Inc.</t>
  </si>
  <si>
    <t>INV-181225104616</t>
  </si>
  <si>
    <t>Jan</t>
  </si>
  <si>
    <t>AM/BD</t>
  </si>
  <si>
    <t>Amount ($)</t>
  </si>
  <si>
    <t>Phnom Penh Commercial Bank Plc.</t>
  </si>
  <si>
    <t xml:space="preserve">Toss Bank </t>
  </si>
  <si>
    <t>Yala Global Technologies Inc.</t>
  </si>
  <si>
    <t>iPiD Europe B.V.</t>
  </si>
  <si>
    <t>Relay Financial (US), Corp-SG</t>
  </si>
  <si>
    <t>US-GLOBAL ROOTS INC-12/2025</t>
  </si>
  <si>
    <t>ID-PT FLIPTECH-12/2025</t>
  </si>
  <si>
    <t>ID-ptpelita-12/2025</t>
  </si>
  <si>
    <t>CA-REMIT5-12/2025</t>
  </si>
  <si>
    <t>US-TClub Inc.-12/2025</t>
  </si>
  <si>
    <t>CA-Yala-12/2025</t>
  </si>
  <si>
    <t>SG-Zenusbank-12/2025</t>
  </si>
  <si>
    <t>INV-060126150040</t>
  </si>
  <si>
    <t>INV-020126135021</t>
  </si>
  <si>
    <t>INV-020126141332</t>
  </si>
  <si>
    <t>INV-060126122618</t>
  </si>
  <si>
    <t>INV-050126162303</t>
  </si>
  <si>
    <t>INV-050126095427</t>
  </si>
  <si>
    <t>INV-020126193151</t>
  </si>
  <si>
    <t>INV-060126162316</t>
  </si>
  <si>
    <t>INV-020126171358</t>
  </si>
  <si>
    <t>INV-050126182028</t>
  </si>
  <si>
    <t>INV-060126114015</t>
  </si>
  <si>
    <t>INV-050126150313</t>
  </si>
  <si>
    <t>INV-050126184308</t>
  </si>
  <si>
    <t>INV-050126153219</t>
  </si>
  <si>
    <t>INV-050126154823</t>
  </si>
  <si>
    <t>INV-050126125120</t>
  </si>
  <si>
    <t>CN-INV-031225192101</t>
  </si>
  <si>
    <t>CN-INV-050126163126</t>
  </si>
  <si>
    <t>INV-070126100548</t>
  </si>
  <si>
    <t>INV-060126174349</t>
  </si>
  <si>
    <t>INV-060126133501</t>
  </si>
  <si>
    <t>INV-060126181825</t>
  </si>
  <si>
    <t>INV-020126172929</t>
  </si>
  <si>
    <t>INV-030126111809</t>
  </si>
  <si>
    <t>BNB</t>
  </si>
  <si>
    <t>SSP</t>
  </si>
  <si>
    <t>USDT</t>
  </si>
  <si>
    <t>Card printing invoice pending</t>
  </si>
  <si>
    <t>LOD sent, client will be suspended if payment not received by 3rd feb</t>
  </si>
  <si>
    <t>INV-230126220000</t>
  </si>
  <si>
    <t>INV-230126170000</t>
  </si>
  <si>
    <t>INV-230126143000</t>
  </si>
  <si>
    <t>credit note will be settled against future invoices</t>
  </si>
  <si>
    <t>credit will be settled against future invoices</t>
  </si>
  <si>
    <t>CODA PAYMENTS PTE. LTD.</t>
  </si>
  <si>
    <t>Express Hub Services Pty Ltd</t>
  </si>
  <si>
    <t>HONGKONG FORTUNETECH LIMITED</t>
  </si>
  <si>
    <t>MyBeacon Services Inc.</t>
  </si>
  <si>
    <t>MyBeacon Services Inc.-Verify</t>
  </si>
  <si>
    <t>HK-Everpro-01/2026</t>
  </si>
  <si>
    <t>US-GLOBAL ROOTS INC-01/2026</t>
  </si>
  <si>
    <t>SG-Isxfin-01/2026</t>
  </si>
  <si>
    <t>SG-Lemonway-01/2026</t>
  </si>
  <si>
    <t>SG-Nuvei-01/2026</t>
  </si>
  <si>
    <t>ID-PT FLIPTECH-01/2026</t>
  </si>
  <si>
    <t>ID-Harsya Remitindo-01/2026</t>
  </si>
  <si>
    <t>ID-PT Midtrans-01/2026</t>
  </si>
  <si>
    <t>US-Remofirst, Inc.-01/2026</t>
  </si>
  <si>
    <t>US-TClub Inc.-01/2026</t>
  </si>
  <si>
    <t>CA-Yala-01/2026</t>
  </si>
  <si>
    <t>SG-youtech-01/2026</t>
  </si>
  <si>
    <t>US-youtech-Verify-01/2026</t>
  </si>
  <si>
    <t>SG-Zenusbank-01/2026</t>
  </si>
  <si>
    <t>INV-050226011321</t>
  </si>
  <si>
    <t>INV-070226172013</t>
  </si>
  <si>
    <t>INV-030226122636</t>
  </si>
  <si>
    <t>INV-020226153711</t>
  </si>
  <si>
    <t>INV-020226220215</t>
  </si>
  <si>
    <t>INV-070226133026</t>
  </si>
  <si>
    <t>INV-040226191953</t>
  </si>
  <si>
    <t>INV-090226192522</t>
  </si>
  <si>
    <t>INV-040226200358</t>
  </si>
  <si>
    <t>INV-040226171625</t>
  </si>
  <si>
    <t>INV-060226135736</t>
  </si>
  <si>
    <t>INV-060226120820</t>
  </si>
  <si>
    <t>INV-040226203353</t>
  </si>
  <si>
    <t>INV-050226031828</t>
  </si>
  <si>
    <t>INV-070226150656</t>
  </si>
  <si>
    <t>INV-060226113511</t>
  </si>
  <si>
    <t>INV-020226191052</t>
  </si>
  <si>
    <t>INV-130226161341</t>
  </si>
  <si>
    <t>INV-040226210124</t>
  </si>
  <si>
    <t>INV-040226161408</t>
  </si>
  <si>
    <t>INV-020226182425</t>
  </si>
  <si>
    <t>INV-040226140355</t>
  </si>
  <si>
    <t>INV-050226013546</t>
  </si>
  <si>
    <t>INV-030226233006</t>
  </si>
  <si>
    <t>INV-050226133127</t>
  </si>
  <si>
    <t>INV-030226181855</t>
  </si>
  <si>
    <t>INV-040226185603</t>
  </si>
  <si>
    <t>INV-050226183011</t>
  </si>
  <si>
    <t>INV-050226185948</t>
  </si>
  <si>
    <t>INV-050226141818</t>
  </si>
  <si>
    <t>INV-060226194701</t>
  </si>
  <si>
    <t>INV-060226200521</t>
  </si>
  <si>
    <t>INV-090226133228</t>
  </si>
  <si>
    <t>INV-100226170854</t>
  </si>
  <si>
    <t>INV-090226161845</t>
  </si>
  <si>
    <t>INV-020226191330</t>
  </si>
  <si>
    <t>INV-060226140346</t>
  </si>
  <si>
    <t>INV-070226184910</t>
  </si>
  <si>
    <t>INV-060226124635</t>
  </si>
  <si>
    <t>INV-060226143545</t>
  </si>
  <si>
    <t>INV-050226121256</t>
  </si>
  <si>
    <t>Integration Fee</t>
  </si>
  <si>
    <t>APIv2 Integration Fee Invoice</t>
  </si>
  <si>
    <t>Wendy zhai</t>
  </si>
  <si>
    <t>Sachli Zare</t>
  </si>
  <si>
    <t>Denis Tan</t>
  </si>
  <si>
    <t>Feb</t>
  </si>
  <si>
    <t>Mar</t>
  </si>
  <si>
    <t>Apr</t>
  </si>
  <si>
    <t>May</t>
  </si>
  <si>
    <t>Trustpilot A/S</t>
  </si>
  <si>
    <t>US-CN-Borderless-01-2026</t>
  </si>
  <si>
    <t>INV-200226220000</t>
  </si>
  <si>
    <t>INV-200226170000</t>
  </si>
  <si>
    <t>INV-200226114219</t>
  </si>
  <si>
    <t>INV-200226132000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</si>
</sst>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75">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9" fontId="0" fillId="0" borderId="3" xfId="2" applyFont="1" applyBorder="1" applyAlignment="1">
      <alignment horizontal="center"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0" fillId="4" borderId="0" xfId="0" applyFill="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quotePrefix="1"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Border="1" applyAlignment="1">
      <alignment horizontal="center" vertical="center"/>
    </xf>
    <xf numFmtId="165" fontId="1" fillId="0" borderId="1" xfId="1" applyNumberFormat="1" applyFont="1" applyFill="1" applyBorder="1" applyAlignment="1">
      <alignment horizontal="center" vertical="center"/>
    </xf>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0" applyNumberFormat="1" applyBorder="1" applyAlignment="1">
      <alignment horizontal="center"/>
    </xf>
    <xf numFmtId="165" fontId="0" fillId="0" borderId="0" xfId="1" applyNumberFormat="1" applyFont="1"/>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1" xfId="0" applyFont="1" applyBorder="1" applyAlignment="1">
      <alignment vertical="center"/>
    </xf>
    <xf numFmtId="0" fontId="0" fillId="0" borderId="1" xfId="0" applyBorder="1"/>
    <xf numFmtId="0" fontId="14" fillId="0" borderId="8" xfId="0" applyFont="1" applyBorder="1" applyAlignment="1">
      <alignment vertical="center"/>
    </xf>
    <xf numFmtId="166" fontId="2" fillId="0" borderId="8" xfId="0" applyNumberFormat="1" applyFont="1" applyBorder="1"/>
    <xf numFmtId="11" fontId="13" fillId="5" borderId="7" xfId="0" applyNumberFormat="1" applyFont="1" applyFill="1" applyBorder="1" applyAlignment="1">
      <alignment horizontal="right" vertical="center" indent="2"/>
    </xf>
    <xf numFmtId="165" fontId="3" fillId="0" borderId="1" xfId="1" applyNumberFormat="1" applyFont="1" applyBorder="1" applyAlignment="1" applyProtection="1">
      <alignment vertical="top"/>
      <protection locked="0"/>
    </xf>
    <xf numFmtId="165" fontId="0" fillId="0" borderId="1" xfId="1" applyNumberFormat="1" applyFont="1" applyBorder="1" applyAlignment="1">
      <alignment vertical="top"/>
    </xf>
    <xf numFmtId="165" fontId="0" fillId="0" borderId="1" xfId="1" applyNumberFormat="1" applyFont="1" applyBorder="1" applyAlignment="1"/>
    <xf numFmtId="165" fontId="0" fillId="0" borderId="1" xfId="1" applyNumberFormat="1" applyFont="1" applyFill="1" applyBorder="1" applyAlignment="1"/>
    <xf numFmtId="165" fontId="0" fillId="0" borderId="1" xfId="0" applyNumberFormat="1" applyBorder="1"/>
    <xf numFmtId="3" fontId="0" fillId="0" borderId="1" xfId="0" applyNumberFormat="1" applyBorder="1"/>
    <xf numFmtId="4" fontId="0" fillId="0" borderId="1" xfId="0" applyNumberFormat="1" applyBorder="1"/>
    <xf numFmtId="165" fontId="0" fillId="0" borderId="0" xfId="1" applyNumberFormat="1" applyFont="1" applyAlignment="1"/>
    <xf numFmtId="0" fontId="2" fillId="0" borderId="1" xfId="0" applyFont="1" applyBorder="1" applyAlignment="1">
      <alignment horizontal="center"/>
    </xf>
    <xf numFmtId="165" fontId="2" fillId="0" borderId="1" xfId="0" applyNumberFormat="1" applyFont="1" applyBorder="1"/>
    <xf numFmtId="166" fontId="0" fillId="0" borderId="1" xfId="0" applyNumberFormat="1" applyBorder="1"/>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76.44426689815" createdVersion="8" refreshedVersion="8" minRefreshableVersion="3" recordCount="166" xr:uid="{A9C81DF6-5273-405A-9D2D-456FABC18B31}">
  <cacheSource type="worksheet">
    <worksheetSource ref="A1:W127" sheet="Invoices"/>
  </cacheSource>
  <cacheFields count="23">
    <cacheField name="Platform" numFmtId="0">
      <sharedItems count="2">
        <s v="N1"/>
        <s v="Masspay"/>
      </sharedItems>
    </cacheField>
    <cacheField name="Customer Label" numFmtId="0">
      <sharedItems count="104">
        <s v="SWiM Pay Pty Ltd"/>
        <s v="Loadpass LTDA"/>
        <s v="Yondr Money Pty Ltd"/>
        <s v="VOLOPAY.CO PTE. LTD."/>
        <s v="Red Owl Pty Ltd"/>
        <s v="FTB HUB S.A.C "/>
        <s v="Bud Infrastructure Limited"/>
        <s v="PT PELITA TRANSFER NUSANTARA"/>
        <s v="Azimo Limited."/>
        <s v="Budgetly Pty Ltd"/>
        <s v="JPMORGAN CHASE BANK"/>
        <s v="MULTIPLIER TECHNOLOGIES PTE. LTD"/>
        <s v="SPROUT CORPORATE SERVICES PTE LTD"/>
        <s v="Zeni, Inc."/>
        <s v="you technologies group (singapore) pte. Ltd - Verify"/>
        <s v="Bendix Foreign Exchange Corporation"/>
        <s v="Evocabank OJSC"/>
        <s v="goLance, Inc."/>
        <s v="International Payments Identity Pte. Ltd."/>
        <s v="Istanbul Ödeme ve Elektronik Para A.S"/>
        <s v="MeshPay EU Ltd"/>
        <s v="Nomba Financial Services Ltd"/>
        <s v="Every, Inc."/>
        <s v="Everpro Holdings Limited"/>
        <s v="GLOBAL ROOTS INC"/>
        <s v="PT FLIPTECH LENTERA INSPIRASI PERTIWI"/>
        <s v="REMIT5"/>
        <s v="TClub Inc."/>
        <s v="Yala Global Technologies Inc."/>
        <s v="zenus bank international, inc"/>
        <s v="Al Muzaini Exchange"/>
        <s v="APAYLATER FINANCIALS PTE. LTD."/>
        <s v="DK Limited"/>
        <s v="FIRSTKYC PTE. LTD."/>
        <s v="Futurepay Global Limited"/>
        <s v="Global E-Payment Limited"/>
        <s v="Gusto, Inc."/>
        <s v="iPiD Europe B.V."/>
        <s v="SingCash Pte Ltd"/>
        <s v="VECTOR HOLDINGS PTY LTD"/>
        <s v="VPLUS GREATER BAY EXCHANGE LIMITED"/>
        <s v="Yorbis Inc."/>
        <s v="Aspire FT Pte Ltd"/>
        <s v="Pelikin Ventures Pty Ltd"/>
        <s v="WEEL HOLDINGS PTY LTD"/>
        <s v="Relay Financial (US), Corp-SG"/>
        <s v="SBI Remit Co., Ltd."/>
        <s v="ebury mass payments"/>
        <s v="isx financial eu ltd"/>
        <s v="lemonway"/>
        <s v="Nuvei Limited"/>
        <s v="ppsl paysafe"/>
        <s v="ppsl skrill"/>
        <s v="PT Harsya Remitindo"/>
        <s v="PT Midtrans"/>
        <s v="Remofirst, Inc."/>
        <s v="The CurrencyCloud Limited"/>
        <s v="you technologies group (singapore) pte. ltd"/>
        <s v="Ailingual Limited"/>
        <s v="AVENIDA VESSEL"/>
        <s v="CashD Pty Ltd"/>
        <s v="CODA PAYMENTS PTE. LTD."/>
        <s v="Emirates Islamic Bank PJSC"/>
        <s v="Emirates NBD Bank PJSC"/>
        <s v="Express Hub Services Pty Ltd"/>
        <s v="Genieum Services Pty Ltd"/>
        <s v="Global E-Payment Limited-SG"/>
        <s v="HONGKONG FORTUNETECH LIMITED"/>
        <s v="iFast Financial Pte Ltd"/>
        <s v="KOHO Financial Inc.-Verify"/>
        <s v="Maritime Payment Solutions, LLC (ShipMoney)"/>
        <s v="MESHPAY AU PTY LTD"/>
        <s v="MESHPAY GBL PTE. LTD."/>
        <s v="MyBeacon Services Inc."/>
        <s v="MyBeacon Services Inc.-Verify"/>
        <s v="Niural, Inc."/>
        <s v="Niural, Inc. (Platform)"/>
        <s v="OWLPAY HOLDINGS PTE. LTD"/>
        <s v="Paysure Solutions Ltd"/>
        <s v="SlideSG Pte. Ltd."/>
        <s v="Travel Ledger UK"/>
        <s v="Tremendous, LLC"/>
        <s v="Volopay Co Pte Ltd."/>
        <s v="WORLDFIRST (SINGAPORE) MERCHANT SERVICESPTE. LTD."/>
        <s v="PT UCE Global Utama" u="1"/>
        <s v="WorkMotion Software GmbH" u="1"/>
        <s v="ORO Labs, Inc." u="1"/>
        <s v="Corporate Alliance Payments Pty Ltd - NSP" u="1"/>
        <s v="EBURY PARTNERS UK LIMITED" u="1"/>
        <s v="Paysafe Financial Services Limited" u="1"/>
        <s v="PT Transwap Dunamis Indonesia" u="1"/>
        <s v="PT Worldwide Express Remittance" u="1"/>
        <s v="Rippling Payments Inc" u="1"/>
        <s v="Rippling Payments Inc FI SG" u="1"/>
        <s v="Rippling Payments Inc FI US" u="1"/>
        <s v="Skrill Ltd" u="1"/>
        <s v="East Africa Bank SA" u="1"/>
        <s v="Franklin Technologies ApS" u="1"/>
        <s v="Hitpay Payment Solutions Pte. Ltd." u="1"/>
        <s v="MeshPay EU B.V." u="1"/>
        <s v="MESHPAY UK LTD" u="1"/>
        <s v="Poaster Technologies Inc. DBA Warp" u="1"/>
        <s v="Remote Europe Holding B.V." u="1"/>
        <s v="ZipHQ, Inc" u="1"/>
      </sharedItems>
    </cacheField>
    <cacheField name="Region" numFmtId="0">
      <sharedItems count="4">
        <s v="APAC"/>
        <s v="USA"/>
        <s v="EU/UK"/>
        <s v="ME"/>
      </sharedItems>
    </cacheField>
    <cacheField name="Account Manager" numFmtId="0">
      <sharedItems count="14">
        <s v="NA"/>
        <s v="Eduardo Avallone"/>
        <s v="Hao Nguyen"/>
        <s v="XiaoXiao"/>
        <s v="Luciana"/>
        <s v="Sachli Zare"/>
        <s v="Shi Yin"/>
        <s v="Jerome Coelho"/>
        <s v="Tanu Arora"/>
        <s v="Pat Sarisa"/>
        <s v="Lia Susin"/>
        <s v="Margarita"/>
        <s v="Unmanaged - Harshita or saloni"/>
        <s v="Hari Budiman" u="1"/>
      </sharedItems>
    </cacheField>
    <cacheField name="BD" numFmtId="0">
      <sharedItems count="22">
        <s v="Vinoth M"/>
        <s v="Christina Hutchinson"/>
        <s v="NA"/>
        <s v="Gitesh Athavale"/>
        <s v="Michael Bermingham"/>
        <s v="Tyler Reed"/>
        <s v="Ashraf Omran"/>
        <s v="Greg McAllister"/>
        <s v="Febriali Tan"/>
        <s v="Winfred"/>
        <s v="Lisa Sung"/>
        <s v="Denis Tan"/>
        <s v="Edward Li"/>
        <s v="Andrew Gyenis"/>
        <s v="Rohit Bammi"/>
        <s v="Hari Budiman"/>
        <s v="Kyle Reny"/>
        <s v="Wendy zhai"/>
        <s v="Andrew Mere"/>
        <s v="Danny May"/>
        <s v="Gagan Smara" u="1"/>
        <s v="Oren Cohen" u="1"/>
      </sharedItems>
    </cacheField>
    <cacheField name="Client Status" numFmtId="0">
      <sharedItems count="2">
        <s v="Active"/>
        <s v="Setup Fee billed"/>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85143.008119189122" maxValue="66082.648583379123"/>
    </cacheField>
    <cacheField name="Invoice Amount" numFmtId="0">
      <sharedItems containsSemiMixedTypes="0" containsString="0" containsNumber="1" minValue="-109615.32439999992" maxValue="6029149"/>
    </cacheField>
    <cacheField name="Billing Period" numFmtId="0">
      <sharedItems containsDate="1" containsMixedTypes="1" minDate="2024-11-01T00:00:00" maxDate="2026-02-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0" maxValue="439"/>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2-14T00:00:00"/>
    </cacheField>
    <cacheField name="Due Date" numFmtId="14">
      <sharedItems containsSemiMixedTypes="0" containsNonDate="0" containsDate="1" containsString="0" minDate="2024-12-11T00:00:00" maxDate="2026-03-06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ount="12">
        <s v="client has made progress with their capital raise however not provided exact settlement date to clear all o/s "/>
        <s v="AM is chasing the client to clear all o/s invoices"/>
        <s v="LOD sent, client will be suspended if payment not received by 3rd feb"/>
        <s v="Client is disputing on decline charges on blocked cards,awaiting further update from AM."/>
        <s v="Setup fee billed"/>
        <s v="wallet debited, insufficient funds"/>
        <s v="No response from the client post reminder sent"/>
        <s v="Card printing invoice pending"/>
        <s v="Partially settled by the client"/>
        <s v="credit note will be settled against future invoices"/>
        <s v="Client settles the invoice basis due date"/>
        <s v="credit will be settled against future invoic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80.517991666668" createdVersion="8" refreshedVersion="8" minRefreshableVersion="3" recordCount="13" xr:uid="{E058A418-53FF-4FDD-890C-5E85FB33DF4D}">
  <cacheSource type="worksheet">
    <worksheetSource ref="A1:X14" sheet="Rebates"/>
  </cacheSource>
  <cacheFields count="24">
    <cacheField name="Platform" numFmtId="0">
      <sharedItems/>
    </cacheField>
    <cacheField name="Customer Label" numFmtId="0">
      <sharedItems count="7">
        <s v="Al Muzaini Exchange"/>
        <s v="SBI Remit Co., Ltd."/>
        <s v="VOLOPAY.CO PTE. LTD."/>
        <s v="Aspire FT Pte Ltd"/>
        <s v="Loadpass LTDA"/>
        <s v="borderless llc"/>
        <s v="Volopay Co Pte Ltd." u="1"/>
      </sharedItems>
    </cacheField>
    <cacheField name="Region" numFmtId="0">
      <sharedItems/>
    </cacheField>
    <cacheField name="Account Manager" numFmtId="0">
      <sharedItems count="5">
        <s v="Jerome Coelho"/>
        <s v="XiaoXiao"/>
        <s v="Shi Yin"/>
        <s v="Eduardo Avallone"/>
        <s v="Lia Susin"/>
      </sharedItems>
    </cacheField>
    <cacheField name="BD" numFmtId="0">
      <sharedItems count="5">
        <s v="Ashraf Omran"/>
        <s v="Rohit Bammi"/>
        <s v="Gitesh Athavale"/>
        <s v="Christina Hutchinson"/>
        <s v="NA"/>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85143.008119189122" maxValue="-10"/>
    </cacheField>
    <cacheField name="Invoice Amount" numFmtId="0">
      <sharedItems containsSemiMixedTypes="0" containsString="0" containsNumber="1" minValue="-109615.32439999992" maxValue="-10"/>
    </cacheField>
    <cacheField name="Billing Period" numFmtId="14">
      <sharedItems containsSemiMixedTypes="0" containsNonDate="0" containsDate="1" containsString="0" minDate="2025-08-01T00:00:00" maxDate="2026-01-02T00:00:00"/>
    </cacheField>
    <cacheField name="Month" numFmtId="2">
      <sharedItems/>
    </cacheField>
    <cacheField name="Days" numFmtId="0">
      <sharedItems containsSemiMixedTypes="0" containsString="0" containsNumber="1" containsInteger="1" minValue="-27" maxValue="170"/>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2-27T00:00:00"/>
    </cacheField>
    <cacheField name="Due Date" numFmtId="14">
      <sharedItems containsSemiMixedTypes="0" containsNonDate="0" containsDate="1" containsString="0" minDate="2025-09-10T00:00:00" maxDate="2026-03-27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80.660769675924" createdVersion="8" refreshedVersion="8" minRefreshableVersion="3" recordCount="130" xr:uid="{729F158E-BFCE-4811-8187-9D9ED1BCDBC0}">
  <cacheSource type="worksheet">
    <worksheetSource ref="A1:X131" sheet="Invoices"/>
  </cacheSource>
  <cacheFields count="24">
    <cacheField name="Platform" numFmtId="0">
      <sharedItems/>
    </cacheField>
    <cacheField name="Customer Label" numFmtId="0">
      <sharedItems/>
    </cacheField>
    <cacheField name="Region" numFmtId="0">
      <sharedItems count="4">
        <s v="APAC"/>
        <s v="USA"/>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0.5" maxValue="66082.648583379123"/>
    </cacheField>
    <cacheField name="Invoice Amount" numFmtId="0">
      <sharedItems containsSemiMixedTypes="0" containsString="0" containsNumber="1" minValue="0.5" maxValue="6029149"/>
    </cacheField>
    <cacheField name="Billing Period" numFmtId="0">
      <sharedItems containsDate="1" containsMixedTypes="1" minDate="2024-11-01T00:00:00" maxDate="2026-02-02T00:00:00"/>
    </cacheField>
    <cacheField name="Month" numFmtId="2">
      <sharedItems/>
    </cacheField>
    <cacheField name="Days" numFmtId="0">
      <sharedItems containsSemiMixedTypes="0" containsString="0" containsNumber="1" containsInteger="1" minValue="-21" maxValue="443"/>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2-21T00:00:00"/>
    </cacheField>
    <cacheField name="Due Date" numFmtId="14">
      <sharedItems containsSemiMixedTypes="0" containsNonDate="0" containsDate="1" containsString="0" minDate="2024-12-11T00:00:00" maxDate="2026-03-21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
  <r>
    <x v="0"/>
    <x v="0"/>
    <x v="0"/>
    <x v="0"/>
    <x v="0"/>
    <x v="0"/>
    <x v="0"/>
    <x v="0"/>
    <s v="USD"/>
    <n v="5500"/>
    <n v="5500"/>
    <d v="2024-11-01T00:00:00"/>
    <x v="0"/>
    <n v="439"/>
    <s v="Over 90+ days"/>
    <s v="Monthly Billing"/>
    <d v="2024-11-01T00:00:00"/>
    <d v="2024-12-11T00:00:00"/>
    <s v="Outstanding"/>
    <s v="INV-041224105640"/>
    <s v="Yes"/>
    <s v="Yes"/>
    <x v="0"/>
  </r>
  <r>
    <x v="0"/>
    <x v="0"/>
    <x v="0"/>
    <x v="0"/>
    <x v="0"/>
    <x v="0"/>
    <x v="1"/>
    <x v="0"/>
    <s v="USD"/>
    <n v="9930"/>
    <n v="9930"/>
    <d v="2025-01-01T00:00:00"/>
    <x v="1"/>
    <n v="376"/>
    <s v="Over 90+ days"/>
    <s v="Monthly Billing"/>
    <d v="2025-02-05T00:00:00"/>
    <d v="2025-02-12T00:00:00"/>
    <s v="Outstanding"/>
    <s v="INV-050225183406"/>
    <s v="Yes"/>
    <s v="Yes"/>
    <x v="0"/>
  </r>
  <r>
    <x v="0"/>
    <x v="0"/>
    <x v="0"/>
    <x v="0"/>
    <x v="0"/>
    <x v="0"/>
    <x v="1"/>
    <x v="0"/>
    <s v="USD"/>
    <n v="10000"/>
    <n v="10000"/>
    <d v="2025-02-01T00:00:00"/>
    <x v="2"/>
    <n v="348"/>
    <s v="Over 90+ days"/>
    <s v="Monthly Billing"/>
    <d v="2025-03-05T00:00:00"/>
    <d v="2025-03-12T00:00:00"/>
    <s v="Outstanding"/>
    <s v="INV-050325103203"/>
    <s v="Yes"/>
    <s v="Yes"/>
    <x v="0"/>
  </r>
  <r>
    <x v="0"/>
    <x v="0"/>
    <x v="0"/>
    <x v="0"/>
    <x v="0"/>
    <x v="0"/>
    <x v="1"/>
    <x v="0"/>
    <s v="USD"/>
    <n v="10000"/>
    <n v="10000"/>
    <d v="2025-03-01T00:00:00"/>
    <x v="3"/>
    <n v="320"/>
    <s v="Over 90+ days"/>
    <s v="Monthly Billing"/>
    <d v="2025-04-02T00:00:00"/>
    <d v="2025-04-09T00:00:00"/>
    <s v="Outstanding"/>
    <s v="INV-020425174717"/>
    <s v="Yes"/>
    <s v="Yes"/>
    <x v="0"/>
  </r>
  <r>
    <x v="0"/>
    <x v="0"/>
    <x v="0"/>
    <x v="0"/>
    <x v="0"/>
    <x v="0"/>
    <x v="1"/>
    <x v="0"/>
    <s v="USD"/>
    <n v="10000"/>
    <n v="10000"/>
    <d v="2025-04-01T00:00:00"/>
    <x v="4"/>
    <n v="287"/>
    <s v="Over 90+ days"/>
    <s v="Monthly Billing"/>
    <d v="2025-05-05T00:00:00"/>
    <d v="2025-05-12T00:00:00"/>
    <s v="Outstanding"/>
    <s v="INV-050525114818"/>
    <s v="Yes"/>
    <s v="Yes"/>
    <x v="0"/>
  </r>
  <r>
    <x v="0"/>
    <x v="0"/>
    <x v="0"/>
    <x v="0"/>
    <x v="0"/>
    <x v="0"/>
    <x v="1"/>
    <x v="0"/>
    <s v="USD"/>
    <n v="10000"/>
    <n v="10000"/>
    <d v="2025-05-01T00:00:00"/>
    <x v="5"/>
    <n v="257"/>
    <s v="Over 90+ days"/>
    <s v="Monthly Billing"/>
    <d v="2025-06-04T00:00:00"/>
    <d v="2025-06-11T00:00:00"/>
    <s v="Outstanding"/>
    <s v="INV-040625165635"/>
    <s v="Yes"/>
    <s v="Yes"/>
    <x v="0"/>
  </r>
  <r>
    <x v="0"/>
    <x v="1"/>
    <x v="1"/>
    <x v="1"/>
    <x v="1"/>
    <x v="0"/>
    <x v="1"/>
    <x v="0"/>
    <s v="USD"/>
    <n v="3495.5"/>
    <n v="3495.5"/>
    <d v="2025-07-01T00:00:00"/>
    <x v="6"/>
    <n v="195"/>
    <s v="Over 90+ days"/>
    <s v="Monthly Billing"/>
    <d v="2025-08-05T00:00:00"/>
    <d v="2025-08-12T00:00:00"/>
    <s v="Outstanding"/>
    <s v="INV-050825115818"/>
    <s v="Yes"/>
    <s v="No"/>
    <x v="1"/>
  </r>
  <r>
    <x v="0"/>
    <x v="2"/>
    <x v="0"/>
    <x v="2"/>
    <x v="2"/>
    <x v="0"/>
    <x v="1"/>
    <x v="0"/>
    <s v="AUD"/>
    <n v="1319.9063350274675"/>
    <n v="1971.5749999999998"/>
    <d v="2025-07-01T00:00:00"/>
    <x v="6"/>
    <n v="195"/>
    <s v="Over 90+ days"/>
    <s v="Monthly Billing"/>
    <d v="2025-08-05T00:00:00"/>
    <d v="2025-08-12T00:00:00"/>
    <s v="Partially Paid"/>
    <s v="INV-050825195438"/>
    <s v="Yes"/>
    <s v="Yes"/>
    <x v="2"/>
  </r>
  <r>
    <x v="0"/>
    <x v="1"/>
    <x v="1"/>
    <x v="1"/>
    <x v="1"/>
    <x v="0"/>
    <x v="1"/>
    <x v="0"/>
    <s v="USD"/>
    <n v="3485"/>
    <n v="3485"/>
    <d v="2025-08-01T00:00:00"/>
    <x v="7"/>
    <n v="167"/>
    <s v="Over 90+ days"/>
    <s v="Monthly Billing"/>
    <d v="2025-09-02T00:00:00"/>
    <d v="2025-09-09T00:00:00"/>
    <s v="Outstanding"/>
    <s v="INV-020925171323"/>
    <s v="Yes"/>
    <s v="No"/>
    <x v="1"/>
  </r>
  <r>
    <x v="0"/>
    <x v="3"/>
    <x v="0"/>
    <x v="3"/>
    <x v="3"/>
    <x v="0"/>
    <x v="1"/>
    <x v="0"/>
    <s v="USD"/>
    <n v="25680.39"/>
    <n v="25680.39"/>
    <d v="2025-08-01T00:00:00"/>
    <x v="7"/>
    <n v="165"/>
    <s v="Over 90+ days"/>
    <s v="Monthly Billing"/>
    <d v="2025-09-04T00:00:00"/>
    <d v="2025-09-11T00:00:00"/>
    <s v="Partially Paid"/>
    <s v="INV-040925095830"/>
    <s v="Yes"/>
    <s v="No"/>
    <x v="3"/>
  </r>
  <r>
    <x v="0"/>
    <x v="2"/>
    <x v="0"/>
    <x v="2"/>
    <x v="2"/>
    <x v="0"/>
    <x v="1"/>
    <x v="0"/>
    <s v="AUD"/>
    <n v="4600.2592748113921"/>
    <n v="6871.5150000000003"/>
    <d v="2025-08-01T00:00:00"/>
    <x v="7"/>
    <n v="166"/>
    <s v="Over 90+ days"/>
    <s v="Monthly Billing"/>
    <d v="2025-09-03T00:00:00"/>
    <d v="2025-09-10T00:00:00"/>
    <s v="Outstanding"/>
    <s v="INV-030925145658"/>
    <s v="Yes"/>
    <s v="Yes"/>
    <x v="2"/>
  </r>
  <r>
    <x v="0"/>
    <x v="4"/>
    <x v="0"/>
    <x v="0"/>
    <x v="0"/>
    <x v="1"/>
    <x v="1"/>
    <x v="0"/>
    <s v="AUD"/>
    <n v="21590.342393586769"/>
    <n v="32250"/>
    <d v="2025-09-01T00:00:00"/>
    <x v="8"/>
    <n v="124"/>
    <s v="Over 90+ days"/>
    <s v="Setup Fee"/>
    <d v="2025-09-22T00:00:00"/>
    <d v="2025-10-22T00:00:00"/>
    <s v="Outstanding"/>
    <s v="INV-220925103638"/>
    <s v="Yes"/>
    <s v="No"/>
    <x v="4"/>
  </r>
  <r>
    <x v="1"/>
    <x v="5"/>
    <x v="1"/>
    <x v="1"/>
    <x v="2"/>
    <x v="0"/>
    <x v="1"/>
    <x v="1"/>
    <s v="USD"/>
    <n v="1020"/>
    <n v="1020"/>
    <d v="2025-09-01T00:00:00"/>
    <x v="8"/>
    <n v="139"/>
    <s v="Over 90+ days"/>
    <s v="Monthly Billing"/>
    <d v="2025-10-01T00:00:00"/>
    <d v="2025-10-07T00:00:00"/>
    <s v="Force Settlement"/>
    <s v="SG-FTBHUB-09/2025"/>
    <s v="Yes"/>
    <s v="No"/>
    <x v="5"/>
  </r>
  <r>
    <x v="0"/>
    <x v="6"/>
    <x v="1"/>
    <x v="0"/>
    <x v="4"/>
    <x v="0"/>
    <x v="1"/>
    <x v="0"/>
    <s v="USD"/>
    <n v="2000"/>
    <n v="2000"/>
    <d v="2025-09-01T00:00:00"/>
    <x v="8"/>
    <n v="137"/>
    <s v="Over 90+ days"/>
    <s v="Monthly Billing"/>
    <d v="2025-10-02T00:00:00"/>
    <d v="2025-10-09T00:00:00"/>
    <s v="Force Settlement"/>
    <s v="INV-021025161120"/>
    <s v="Yes"/>
    <s v="No"/>
    <x v="6"/>
  </r>
  <r>
    <x v="0"/>
    <x v="1"/>
    <x v="1"/>
    <x v="1"/>
    <x v="1"/>
    <x v="0"/>
    <x v="1"/>
    <x v="0"/>
    <s v="USD"/>
    <n v="3487.5"/>
    <n v="3487.5"/>
    <d v="2025-09-01T00:00:00"/>
    <x v="8"/>
    <n v="137"/>
    <s v="Over 90+ days"/>
    <s v="Monthly Billing"/>
    <d v="2025-10-02T00:00:00"/>
    <d v="2025-10-09T00:00:00"/>
    <s v="Outstanding"/>
    <s v="INV-021025184847"/>
    <s v="Yes"/>
    <s v="No"/>
    <x v="1"/>
  </r>
  <r>
    <x v="0"/>
    <x v="3"/>
    <x v="0"/>
    <x v="3"/>
    <x v="3"/>
    <x v="0"/>
    <x v="1"/>
    <x v="0"/>
    <s v="USD"/>
    <n v="1430.625"/>
    <n v="1430.625"/>
    <d v="2025-09-01T00:00:00"/>
    <x v="8"/>
    <n v="133"/>
    <s v="Over 90+ days"/>
    <s v="Monthly Billing"/>
    <d v="2025-10-06T00:00:00"/>
    <d v="2025-10-13T00:00:00"/>
    <s v="Outstanding"/>
    <s v="INV-061025143320"/>
    <s v="Yes"/>
    <s v="No"/>
    <x v="3"/>
  </r>
  <r>
    <x v="0"/>
    <x v="2"/>
    <x v="0"/>
    <x v="2"/>
    <x v="2"/>
    <x v="0"/>
    <x v="1"/>
    <x v="0"/>
    <s v="AUD"/>
    <n v="4495.6247766902861"/>
    <n v="6715.2199999999993"/>
    <d v="2025-09-01T00:00:00"/>
    <x v="8"/>
    <n v="133"/>
    <s v="Over 90+ days"/>
    <s v="Monthly Billing"/>
    <d v="2025-10-06T00:00:00"/>
    <d v="2025-10-13T00:00:00"/>
    <s v="Outstanding"/>
    <s v="INV-061025125629"/>
    <s v="Yes"/>
    <s v="Yes"/>
    <x v="2"/>
  </r>
  <r>
    <x v="1"/>
    <x v="5"/>
    <x v="1"/>
    <x v="1"/>
    <x v="2"/>
    <x v="0"/>
    <x v="1"/>
    <x v="1"/>
    <s v="USD"/>
    <n v="1000"/>
    <n v="1000"/>
    <d v="2025-10-01T00:00:00"/>
    <x v="9"/>
    <n v="108"/>
    <s v="Over 90+ days"/>
    <s v="Monthly Billing"/>
    <d v="2025-11-01T00:00:00"/>
    <d v="2025-11-07T00:00:00"/>
    <s v="Force Settlement"/>
    <s v="SG-FTBHUB-10/2025"/>
    <s v="Yes"/>
    <s v="No"/>
    <x v="5"/>
  </r>
  <r>
    <x v="1"/>
    <x v="7"/>
    <x v="0"/>
    <x v="4"/>
    <x v="2"/>
    <x v="0"/>
    <x v="1"/>
    <x v="0"/>
    <s v="IDR"/>
    <n v="5.6508548239204046"/>
    <n v="95444"/>
    <d v="2025-10-01T00:00:00"/>
    <x v="9"/>
    <n v="97"/>
    <s v="Over 90+ days"/>
    <s v="Monthly Billing"/>
    <d v="2025-11-03T00:00:00"/>
    <d v="2025-11-18T00:00:00"/>
    <s v="Overdue"/>
    <s v="ID-ptpelita-10/2025"/>
    <s v="Yes"/>
    <s v="No"/>
    <x v="6"/>
  </r>
  <r>
    <x v="0"/>
    <x v="8"/>
    <x v="2"/>
    <x v="5"/>
    <x v="3"/>
    <x v="0"/>
    <x v="1"/>
    <x v="0"/>
    <s v="GBP"/>
    <n v="186.0952808811318"/>
    <n v="139.19"/>
    <d v="2025-10-01T00:00:00"/>
    <x v="9"/>
    <n v="105"/>
    <s v="Over 90+ days"/>
    <s v="Monthly Billing"/>
    <d v="2025-11-03T00:00:00"/>
    <d v="2025-11-10T00:00:00"/>
    <s v="Outstanding"/>
    <s v="INV-031125184753"/>
    <s v="Yes"/>
    <s v="No"/>
    <x v="6"/>
  </r>
  <r>
    <x v="0"/>
    <x v="6"/>
    <x v="1"/>
    <x v="0"/>
    <x v="4"/>
    <x v="0"/>
    <x v="1"/>
    <x v="0"/>
    <s v="USD"/>
    <n v="2000"/>
    <n v="2000"/>
    <d v="2025-10-01T00:00:00"/>
    <x v="9"/>
    <n v="103"/>
    <s v="Over 90+ days"/>
    <s v="Monthly Billing"/>
    <d v="2025-11-05T00:00:00"/>
    <d v="2025-11-12T00:00:00"/>
    <s v="Force Settlement"/>
    <s v="INV-051125092759"/>
    <s v="Yes"/>
    <s v="No"/>
    <x v="6"/>
  </r>
  <r>
    <x v="0"/>
    <x v="9"/>
    <x v="0"/>
    <x v="2"/>
    <x v="0"/>
    <x v="0"/>
    <x v="1"/>
    <x v="0"/>
    <s v="AUD"/>
    <n v="919.11259138465959"/>
    <n v="1372.8999999999999"/>
    <d v="2025-09-01T00:00:00"/>
    <x v="8"/>
    <n v="87"/>
    <s v="61-90 days"/>
    <s v="Card Printing and Delivery"/>
    <d v="2025-10-28T00:00:00"/>
    <d v="2025-11-28T00:00:00"/>
    <s v="Outstanding"/>
    <s v="INV-281025170000"/>
    <s v="Yes"/>
    <s v="No"/>
    <x v="7"/>
  </r>
  <r>
    <x v="0"/>
    <x v="10"/>
    <x v="2"/>
    <x v="5"/>
    <x v="2"/>
    <x v="0"/>
    <x v="1"/>
    <x v="0"/>
    <s v="USD"/>
    <n v="143.5"/>
    <n v="143.5"/>
    <d v="2025-10-01T00:00:00"/>
    <x v="9"/>
    <n v="103"/>
    <s v="Over 90+ days"/>
    <s v="Monthly Billing"/>
    <d v="2025-11-05T00:00:00"/>
    <d v="2025-11-12T00:00:00"/>
    <s v="Partially Paid"/>
    <s v="INV-051125174218"/>
    <s v="Yes"/>
    <s v="No"/>
    <x v="8"/>
  </r>
  <r>
    <x v="0"/>
    <x v="1"/>
    <x v="1"/>
    <x v="1"/>
    <x v="1"/>
    <x v="0"/>
    <x v="1"/>
    <x v="0"/>
    <s v="USD"/>
    <n v="2602.25"/>
    <n v="2602.25"/>
    <d v="2025-10-01T00:00:00"/>
    <x v="9"/>
    <n v="103"/>
    <s v="Over 90+ days"/>
    <s v="Monthly Billing"/>
    <d v="2025-11-05T00:00:00"/>
    <d v="2025-11-12T00:00:00"/>
    <s v="Outstanding"/>
    <s v="INV-051125173213"/>
    <s v="Yes"/>
    <s v="No"/>
    <x v="1"/>
  </r>
  <r>
    <x v="0"/>
    <x v="11"/>
    <x v="0"/>
    <x v="6"/>
    <x v="0"/>
    <x v="0"/>
    <x v="1"/>
    <x v="0"/>
    <s v="USD"/>
    <n v="2756.75"/>
    <n v="2756.75"/>
    <s v="Sep &amp; oct-2025"/>
    <x v="9"/>
    <n v="96"/>
    <s v="Over 90+ days"/>
    <s v="Monthly Billing"/>
    <d v="2025-11-05T00:00:00"/>
    <d v="2025-11-19T00:00:00"/>
    <s v="Partially Paid"/>
    <s v="INV-051125161416"/>
    <s v="Yes"/>
    <s v="No"/>
    <x v="6"/>
  </r>
  <r>
    <x v="0"/>
    <x v="12"/>
    <x v="0"/>
    <x v="6"/>
    <x v="3"/>
    <x v="0"/>
    <x v="1"/>
    <x v="0"/>
    <s v="SGD"/>
    <n v="814.99673035719275"/>
    <n v="1049.248"/>
    <d v="2025-10-01T00:00:00"/>
    <x v="9"/>
    <n v="102"/>
    <s v="Over 90+ days"/>
    <s v="Monthly Billing"/>
    <d v="2025-11-06T00:00:00"/>
    <d v="2025-11-13T00:00:00"/>
    <s v="Outstanding"/>
    <s v="INV-061125175920"/>
    <s v="Yes"/>
    <s v="No"/>
    <x v="6"/>
  </r>
  <r>
    <x v="0"/>
    <x v="2"/>
    <x v="0"/>
    <x v="2"/>
    <x v="2"/>
    <x v="0"/>
    <x v="1"/>
    <x v="0"/>
    <s v="AUD"/>
    <n v="4473.4151764140934"/>
    <n v="6682.0450000000001"/>
    <d v="2025-10-01T00:00:00"/>
    <x v="9"/>
    <n v="102"/>
    <s v="Over 90+ days"/>
    <s v="Monthly Billing"/>
    <d v="2025-11-06T00:00:00"/>
    <d v="2025-11-13T00:00:00"/>
    <s v="Outstanding"/>
    <s v="INV-061125104927"/>
    <s v="Yes"/>
    <s v="Yes"/>
    <x v="2"/>
  </r>
  <r>
    <x v="0"/>
    <x v="13"/>
    <x v="1"/>
    <x v="0"/>
    <x v="5"/>
    <x v="0"/>
    <x v="1"/>
    <x v="0"/>
    <s v="USD"/>
    <n v="0.5"/>
    <n v="0.5"/>
    <d v="2025-10-01T00:00:00"/>
    <x v="9"/>
    <n v="103"/>
    <s v="Over 90+ days"/>
    <s v="Monthly Billing"/>
    <d v="2025-11-05T00:00:00"/>
    <d v="2025-11-12T00:00:00"/>
    <s v="Outstanding"/>
    <s v="INV-041125182344"/>
    <s v="Yes"/>
    <s v="No"/>
    <x v="6"/>
  </r>
  <r>
    <x v="0"/>
    <x v="9"/>
    <x v="0"/>
    <x v="2"/>
    <x v="0"/>
    <x v="0"/>
    <x v="1"/>
    <x v="0"/>
    <s v="AUD"/>
    <n v="1730.6282888314197"/>
    <n v="2585.08"/>
    <d v="2025-10-01T00:00:00"/>
    <x v="9"/>
    <n v="68"/>
    <s v="61-90 days"/>
    <s v="Card Printing and Delivery"/>
    <d v="2025-11-17T00:00:00"/>
    <d v="2025-12-17T00:00:00"/>
    <s v="Outstanding"/>
    <s v="INV-171125170000"/>
    <s v="No"/>
    <s v="No"/>
    <x v="7"/>
  </r>
  <r>
    <x v="1"/>
    <x v="5"/>
    <x v="1"/>
    <x v="1"/>
    <x v="2"/>
    <x v="0"/>
    <x v="1"/>
    <x v="1"/>
    <s v="USD"/>
    <n v="1000"/>
    <n v="1000"/>
    <d v="2025-11-01T00:00:00"/>
    <x v="0"/>
    <n v="77"/>
    <s v="61-90 days"/>
    <s v="Monthly Billing"/>
    <d v="2025-12-01T00:00:00"/>
    <d v="2025-12-08T00:00:00"/>
    <s v="Force Settlement"/>
    <s v="SG-FTBHUB-11/2025"/>
    <s v="Yes"/>
    <s v="No"/>
    <x v="5"/>
  </r>
  <r>
    <x v="1"/>
    <x v="14"/>
    <x v="0"/>
    <x v="3"/>
    <x v="2"/>
    <x v="0"/>
    <x v="1"/>
    <x v="0"/>
    <s v="USD"/>
    <n v="3064"/>
    <n v="3064"/>
    <d v="2025-11-01T00:00:00"/>
    <x v="0"/>
    <n v="70"/>
    <s v="61-90 days"/>
    <s v="Monthly Billing"/>
    <d v="2025-12-02T00:00:00"/>
    <d v="2025-12-15T00:00:00"/>
    <s v="Overdue"/>
    <s v="US-youtech-Verify-11/2025"/>
    <s v="Yes"/>
    <s v="No"/>
    <x v="6"/>
  </r>
  <r>
    <x v="0"/>
    <x v="8"/>
    <x v="2"/>
    <x v="5"/>
    <x v="3"/>
    <x v="0"/>
    <x v="1"/>
    <x v="0"/>
    <s v="GBP"/>
    <n v="127.08065556255175"/>
    <n v="95.05"/>
    <d v="2025-11-01T00:00:00"/>
    <x v="0"/>
    <n v="53"/>
    <s v="31-60 days"/>
    <s v="Monthly Billing"/>
    <d v="2025-12-02T00:00:00"/>
    <d v="2026-01-01T00:00:00"/>
    <s v="Invoice Sent"/>
    <s v="INV-021225130146"/>
    <s v="Yes"/>
    <s v="No"/>
    <x v="6"/>
  </r>
  <r>
    <x v="0"/>
    <x v="15"/>
    <x v="1"/>
    <x v="1"/>
    <x v="5"/>
    <x v="0"/>
    <x v="1"/>
    <x v="0"/>
    <s v="USD"/>
    <n v="1902.73"/>
    <n v="1902.73"/>
    <d v="2025-11-01T00:00:00"/>
    <x v="0"/>
    <n v="75"/>
    <s v="61-90 days"/>
    <s v="Monthly Billing"/>
    <d v="2025-12-03T00:00:00"/>
    <d v="2025-12-10T00:00:00"/>
    <s v="Outstanding"/>
    <s v="INV-031225114343"/>
    <s v="Yes"/>
    <s v="No"/>
    <x v="6"/>
  </r>
  <r>
    <x v="0"/>
    <x v="6"/>
    <x v="1"/>
    <x v="0"/>
    <x v="4"/>
    <x v="0"/>
    <x v="1"/>
    <x v="0"/>
    <s v="USD"/>
    <n v="2000"/>
    <n v="2000"/>
    <d v="2025-11-01T00:00:00"/>
    <x v="0"/>
    <n v="76"/>
    <s v="61-90 days"/>
    <s v="Monthly Billing"/>
    <d v="2025-12-02T00:00:00"/>
    <d v="2025-12-09T00:00:00"/>
    <s v="Force Settlement"/>
    <s v="INV-021225163914"/>
    <s v="Yes"/>
    <s v="No"/>
    <x v="6"/>
  </r>
  <r>
    <x v="0"/>
    <x v="9"/>
    <x v="0"/>
    <x v="2"/>
    <x v="0"/>
    <x v="0"/>
    <x v="1"/>
    <x v="0"/>
    <s v="AUD"/>
    <n v="1729.4968879431976"/>
    <n v="2583.39"/>
    <d v="2025-11-01T00:00:00"/>
    <x v="0"/>
    <n v="39"/>
    <s v="31-60 days"/>
    <s v="Card Printing and Delivery"/>
    <d v="2025-12-15T00:00:00"/>
    <d v="2026-01-15T00:00:00"/>
    <s v="Invoice Sent"/>
    <s v="INV-151225170000"/>
    <s v="No"/>
    <s v="No"/>
    <x v="7"/>
  </r>
  <r>
    <x v="0"/>
    <x v="16"/>
    <x v="3"/>
    <x v="7"/>
    <x v="6"/>
    <x v="0"/>
    <x v="1"/>
    <x v="0"/>
    <s v="USD"/>
    <n v="15"/>
    <n v="15"/>
    <d v="2025-11-01T00:00:00"/>
    <x v="0"/>
    <n v="76"/>
    <s v="61-90 days"/>
    <s v="Monthly Billing"/>
    <d v="2025-12-02T00:00:00"/>
    <d v="2025-12-09T00:00:00"/>
    <s v="Outstanding"/>
    <s v="INV-021225200014"/>
    <s v="Yes"/>
    <s v="No"/>
    <x v="6"/>
  </r>
  <r>
    <x v="0"/>
    <x v="17"/>
    <x v="1"/>
    <x v="1"/>
    <x v="7"/>
    <x v="0"/>
    <x v="1"/>
    <x v="0"/>
    <s v="USD"/>
    <n v="130"/>
    <n v="130"/>
    <d v="2025-11-01T00:00:00"/>
    <x v="0"/>
    <n v="76"/>
    <s v="61-90 days"/>
    <s v="Monthly Billing"/>
    <d v="2025-12-02T00:00:00"/>
    <d v="2025-12-09T00:00:00"/>
    <s v="Outstanding"/>
    <s v="INV-021225154117"/>
    <s v="Yes"/>
    <s v="No"/>
    <x v="6"/>
  </r>
  <r>
    <x v="0"/>
    <x v="18"/>
    <x v="0"/>
    <x v="0"/>
    <x v="8"/>
    <x v="0"/>
    <x v="1"/>
    <x v="0"/>
    <s v="USD"/>
    <n v="302.05"/>
    <n v="302.05"/>
    <d v="2025-11-01T00:00:00"/>
    <x v="0"/>
    <n v="76"/>
    <s v="61-90 days"/>
    <s v="Monthly Billing"/>
    <d v="2025-12-02T00:00:00"/>
    <d v="2025-12-09T00:00:00"/>
    <s v="Outstanding"/>
    <s v="INV-021225190800"/>
    <s v="Yes"/>
    <s v="No"/>
    <x v="6"/>
  </r>
  <r>
    <x v="0"/>
    <x v="19"/>
    <x v="3"/>
    <x v="7"/>
    <x v="6"/>
    <x v="0"/>
    <x v="1"/>
    <x v="0"/>
    <s v="USD"/>
    <n v="57.489999999999782"/>
    <n v="57.489999999999782"/>
    <d v="2025-11-01T00:00:00"/>
    <x v="0"/>
    <n v="76"/>
    <s v="61-90 days"/>
    <s v="Monthly Billing"/>
    <d v="2025-12-02T00:00:00"/>
    <d v="2025-12-09T00:00:00"/>
    <s v="Partially Paid"/>
    <s v="INV-021225185612"/>
    <s v="Yes"/>
    <s v="No"/>
    <x v="6"/>
  </r>
  <r>
    <x v="0"/>
    <x v="1"/>
    <x v="1"/>
    <x v="1"/>
    <x v="1"/>
    <x v="0"/>
    <x v="1"/>
    <x v="0"/>
    <s v="USD"/>
    <n v="1786.14"/>
    <n v="1786.14"/>
    <d v="2025-11-01T00:00:00"/>
    <x v="0"/>
    <n v="76"/>
    <s v="61-90 days"/>
    <s v="Monthly Billing"/>
    <d v="2025-12-02T00:00:00"/>
    <d v="2025-12-09T00:00:00"/>
    <s v="Outstanding"/>
    <s v="INV-021225201549"/>
    <s v="Yes"/>
    <s v="No"/>
    <x v="1"/>
  </r>
  <r>
    <x v="0"/>
    <x v="20"/>
    <x v="2"/>
    <x v="5"/>
    <x v="2"/>
    <x v="0"/>
    <x v="1"/>
    <x v="0"/>
    <s v="USD"/>
    <n v="66.3"/>
    <n v="66.3"/>
    <d v="2025-11-01T00:00:00"/>
    <x v="0"/>
    <n v="39"/>
    <s v="31-60 days"/>
    <s v="Card Printing and Delivery"/>
    <d v="2025-12-15T00:00:00"/>
    <d v="2026-01-15T00:00:00"/>
    <s v="Invoice Sent"/>
    <s v="INV2025-MSH-011"/>
    <s v="No"/>
    <s v="No"/>
    <x v="6"/>
  </r>
  <r>
    <x v="0"/>
    <x v="11"/>
    <x v="0"/>
    <x v="6"/>
    <x v="0"/>
    <x v="0"/>
    <x v="1"/>
    <x v="0"/>
    <s v="USD"/>
    <n v="2743"/>
    <n v="2743"/>
    <d v="2025-11-01T00:00:00"/>
    <x v="0"/>
    <n v="67"/>
    <s v="61-90 days"/>
    <s v="Monthly Billing"/>
    <d v="2025-12-03T00:00:00"/>
    <d v="2025-12-18T00:00:00"/>
    <s v="Invoice Sent"/>
    <s v="INV-031225170417"/>
    <s v="Yes"/>
    <s v="No"/>
    <x v="6"/>
  </r>
  <r>
    <x v="0"/>
    <x v="21"/>
    <x v="3"/>
    <x v="7"/>
    <x v="9"/>
    <x v="0"/>
    <x v="1"/>
    <x v="0"/>
    <s v="USD"/>
    <n v="50"/>
    <n v="50"/>
    <d v="2025-11-01T00:00:00"/>
    <x v="0"/>
    <n v="75"/>
    <s v="61-90 days"/>
    <s v="Monthly Billing"/>
    <d v="2025-12-03T00:00:00"/>
    <d v="2025-12-10T00:00:00"/>
    <s v="Outstanding"/>
    <s v="INV-031225181126"/>
    <s v="Yes"/>
    <s v="No"/>
    <x v="6"/>
  </r>
  <r>
    <x v="0"/>
    <x v="12"/>
    <x v="0"/>
    <x v="6"/>
    <x v="3"/>
    <x v="0"/>
    <x v="1"/>
    <x v="0"/>
    <s v="SGD"/>
    <n v="857.18829631475637"/>
    <n v="1103.5665199999999"/>
    <d v="2025-11-01T00:00:00"/>
    <x v="0"/>
    <n v="74"/>
    <s v="61-90 days"/>
    <s v="Monthly Billing"/>
    <d v="2025-12-04T00:00:00"/>
    <d v="2025-12-11T00:00:00"/>
    <s v="Outstanding"/>
    <s v="INV-041225161100"/>
    <s v="Yes"/>
    <s v="No"/>
    <x v="6"/>
  </r>
  <r>
    <x v="0"/>
    <x v="2"/>
    <x v="0"/>
    <x v="2"/>
    <x v="2"/>
    <x v="0"/>
    <x v="1"/>
    <x v="0"/>
    <s v="AUD"/>
    <n v="4586.6382792659679"/>
    <n v="6851.1689999999999"/>
    <d v="2025-11-01T00:00:00"/>
    <x v="0"/>
    <n v="74"/>
    <s v="61-90 days"/>
    <s v="Monthly Billing"/>
    <d v="2025-12-04T00:00:00"/>
    <d v="2025-12-11T00:00:00"/>
    <s v="Outstanding"/>
    <s v="INV-041225150054"/>
    <s v="Yes"/>
    <s v="Yes"/>
    <x v="2"/>
  </r>
  <r>
    <x v="0"/>
    <x v="13"/>
    <x v="1"/>
    <x v="0"/>
    <x v="5"/>
    <x v="0"/>
    <x v="1"/>
    <x v="0"/>
    <s v="USD"/>
    <n v="500"/>
    <n v="500"/>
    <d v="2025-11-01T00:00:00"/>
    <x v="0"/>
    <n v="75"/>
    <s v="61-90 days"/>
    <s v="Monthly Billing"/>
    <d v="2025-12-03T00:00:00"/>
    <d v="2025-12-10T00:00:00"/>
    <s v="Outstanding"/>
    <s v="INV-031225091936"/>
    <s v="Yes"/>
    <s v="No"/>
    <x v="6"/>
  </r>
  <r>
    <x v="0"/>
    <x v="22"/>
    <x v="1"/>
    <x v="0"/>
    <x v="4"/>
    <x v="0"/>
    <x v="1"/>
    <x v="0"/>
    <s v="USD"/>
    <n v="2500"/>
    <n v="2500"/>
    <d v="2025-12-01T00:00:00"/>
    <x v="10"/>
    <n v="60"/>
    <s v="31-60 days"/>
    <s v="Setup Fee"/>
    <d v="2025-12-18T00:00:00"/>
    <d v="2025-12-25T00:00:00"/>
    <s v="Invoice Sent"/>
    <s v="INV-181225104616"/>
    <s v="Yes"/>
    <s v="No"/>
    <x v="6"/>
  </r>
  <r>
    <x v="1"/>
    <x v="23"/>
    <x v="0"/>
    <x v="0"/>
    <x v="10"/>
    <x v="0"/>
    <x v="1"/>
    <x v="0"/>
    <s v="USD"/>
    <n v="5000"/>
    <n v="5000"/>
    <d v="2025-12-01T00:00:00"/>
    <x v="10"/>
    <n v="44"/>
    <s v="31-60 days"/>
    <s v="Monthly Billing"/>
    <d v="2026-01-03T00:00:00"/>
    <d v="2026-01-10T00:00:00"/>
    <s v="Overdue"/>
    <s v="HK-Everpro-12/2025"/>
    <s v="Yes"/>
    <s v="No"/>
    <x v="6"/>
  </r>
  <r>
    <x v="1"/>
    <x v="24"/>
    <x v="1"/>
    <x v="1"/>
    <x v="2"/>
    <x v="0"/>
    <x v="1"/>
    <x v="0"/>
    <s v="USD"/>
    <n v="2217.6"/>
    <n v="2217.6"/>
    <d v="2025-12-01T00:00:00"/>
    <x v="10"/>
    <n v="37"/>
    <s v="31-60 days"/>
    <s v="Monthly Billing"/>
    <d v="2026-01-02T00:00:00"/>
    <d v="2026-01-17T00:00:00"/>
    <s v="Invoice Sent"/>
    <s v="US-GLOBAL ROOTS INC-12/2025"/>
    <s v="Yes"/>
    <s v="No"/>
    <x v="6"/>
  </r>
  <r>
    <x v="1"/>
    <x v="25"/>
    <x v="0"/>
    <x v="2"/>
    <x v="2"/>
    <x v="0"/>
    <x v="1"/>
    <x v="0"/>
    <s v="USD"/>
    <n v="6022.36"/>
    <n v="6022.36"/>
    <d v="2025-12-01T00:00:00"/>
    <x v="10"/>
    <n v="37"/>
    <s v="31-60 days"/>
    <s v="Monthly Billing"/>
    <d v="2026-01-02T00:00:00"/>
    <d v="2026-01-17T00:00:00"/>
    <s v="Invoice Sent"/>
    <s v="ID-PT FLIPTECH-12/2025"/>
    <s v="Yes"/>
    <s v="No"/>
    <x v="6"/>
  </r>
  <r>
    <x v="1"/>
    <x v="7"/>
    <x v="0"/>
    <x v="4"/>
    <x v="2"/>
    <x v="0"/>
    <x v="1"/>
    <x v="0"/>
    <s v="IDR"/>
    <n v="5.6508548239204046"/>
    <n v="95444"/>
    <d v="2025-12-01T00:00:00"/>
    <x v="10"/>
    <n v="37"/>
    <s v="31-60 days"/>
    <s v="Monthly Billing"/>
    <d v="2026-01-02T00:00:00"/>
    <d v="2026-01-17T00:00:00"/>
    <s v="Invoice Sent"/>
    <s v="ID-ptpelita-12/2025"/>
    <s v="Yes"/>
    <s v="No"/>
    <x v="6"/>
  </r>
  <r>
    <x v="1"/>
    <x v="26"/>
    <x v="1"/>
    <x v="8"/>
    <x v="4"/>
    <x v="0"/>
    <x v="1"/>
    <x v="0"/>
    <s v="USD"/>
    <n v="2500"/>
    <n v="2500"/>
    <d v="2025-12-01T00:00:00"/>
    <x v="10"/>
    <n v="44"/>
    <s v="31-60 days"/>
    <s v="Monthly Billing"/>
    <d v="2026-01-03T00:00:00"/>
    <d v="2026-01-10T00:00:00"/>
    <s v="Overdue"/>
    <s v="CA-REMIT5-12/2025"/>
    <s v="Yes"/>
    <s v="No"/>
    <x v="6"/>
  </r>
  <r>
    <x v="1"/>
    <x v="27"/>
    <x v="1"/>
    <x v="8"/>
    <x v="2"/>
    <x v="0"/>
    <x v="1"/>
    <x v="0"/>
    <s v="USD"/>
    <n v="1.5"/>
    <n v="1.5"/>
    <d v="2025-12-01T00:00:00"/>
    <x v="10"/>
    <n v="44"/>
    <s v="31-60 days"/>
    <s v="Monthly Billing"/>
    <d v="2026-01-03T00:00:00"/>
    <d v="2026-01-10T00:00:00"/>
    <s v="Overdue"/>
    <s v="US-TClub Inc.-12/2025"/>
    <s v="Yes"/>
    <s v="No"/>
    <x v="6"/>
  </r>
  <r>
    <x v="1"/>
    <x v="28"/>
    <x v="3"/>
    <x v="7"/>
    <x v="9"/>
    <x v="0"/>
    <x v="1"/>
    <x v="0"/>
    <s v="USD"/>
    <n v="3323"/>
    <n v="3323"/>
    <d v="2025-12-01T00:00:00"/>
    <x v="10"/>
    <n v="44"/>
    <s v="31-60 days"/>
    <s v="Monthly Billing"/>
    <d v="2026-01-03T00:00:00"/>
    <d v="2026-01-10T00:00:00"/>
    <s v="Overdue"/>
    <s v="CA-Yala-12/2025"/>
    <s v="Yes"/>
    <s v="No"/>
    <x v="6"/>
  </r>
  <r>
    <x v="1"/>
    <x v="29"/>
    <x v="1"/>
    <x v="1"/>
    <x v="4"/>
    <x v="0"/>
    <x v="1"/>
    <x v="0"/>
    <s v="USD"/>
    <n v="2500"/>
    <n v="2500"/>
    <d v="2025-12-01T00:00:00"/>
    <x v="10"/>
    <n v="44"/>
    <s v="31-60 days"/>
    <s v="Monthly Billing"/>
    <d v="2026-01-03T00:00:00"/>
    <d v="2026-01-10T00:00:00"/>
    <s v="Overdue"/>
    <s v="SG-Zenusbank-12/2025"/>
    <s v="Yes"/>
    <s v="No"/>
    <x v="6"/>
  </r>
  <r>
    <x v="0"/>
    <x v="30"/>
    <x v="3"/>
    <x v="7"/>
    <x v="6"/>
    <x v="0"/>
    <x v="1"/>
    <x v="0"/>
    <s v="USD"/>
    <n v="10"/>
    <n v="10"/>
    <d v="2025-11-01T00:00:00"/>
    <x v="0"/>
    <n v="41"/>
    <s v="31-60 days"/>
    <s v="Monthly Billing"/>
    <d v="2026-01-06T00:00:00"/>
    <d v="2026-01-13T00:00:00"/>
    <s v="Outstanding"/>
    <s v="INV-060126150040"/>
    <s v="Yes"/>
    <s v="No"/>
    <x v="9"/>
  </r>
  <r>
    <x v="0"/>
    <x v="31"/>
    <x v="0"/>
    <x v="0"/>
    <x v="8"/>
    <x v="0"/>
    <x v="1"/>
    <x v="0"/>
    <s v="USD"/>
    <n v="14.33"/>
    <n v="14.33"/>
    <d v="2025-12-01T00:00:00"/>
    <x v="10"/>
    <n v="19"/>
    <s v="0-30 days"/>
    <s v="Monthly Billing"/>
    <d v="2026-01-05T00:00:00"/>
    <d v="2026-02-04T00:00:00"/>
    <s v="Invoice Sent"/>
    <s v="INV-050126144845"/>
    <s v="Yes"/>
    <s v="No"/>
    <x v="6"/>
  </r>
  <r>
    <x v="0"/>
    <x v="8"/>
    <x v="2"/>
    <x v="5"/>
    <x v="3"/>
    <x v="0"/>
    <x v="1"/>
    <x v="0"/>
    <s v="GBP"/>
    <n v="29.961888386709994"/>
    <n v="22.41"/>
    <d v="2025-12-01T00:00:00"/>
    <x v="10"/>
    <n v="22"/>
    <s v="0-30 days"/>
    <s v="Monthly Billing"/>
    <d v="2026-01-02T00:00:00"/>
    <d v="2026-02-01T00:00:00"/>
    <s v="Invoice Sent"/>
    <s v="INV-020126135021"/>
    <s v="Yes"/>
    <s v="No"/>
    <x v="6"/>
  </r>
  <r>
    <x v="0"/>
    <x v="6"/>
    <x v="1"/>
    <x v="0"/>
    <x v="4"/>
    <x v="0"/>
    <x v="1"/>
    <x v="0"/>
    <s v="USD"/>
    <n v="2000"/>
    <n v="2000"/>
    <d v="2025-12-01T00:00:00"/>
    <x v="10"/>
    <n v="45"/>
    <s v="31-60 days"/>
    <s v="Monthly Billing"/>
    <d v="2026-01-02T00:00:00"/>
    <d v="2026-01-09T00:00:00"/>
    <s v="Outstanding"/>
    <s v="INV-020126141332"/>
    <s v="Yes"/>
    <s v="No"/>
    <x v="6"/>
  </r>
  <r>
    <x v="0"/>
    <x v="9"/>
    <x v="0"/>
    <x v="2"/>
    <x v="0"/>
    <x v="0"/>
    <x v="1"/>
    <x v="0"/>
    <s v="AUD"/>
    <n v="795.00527809449466"/>
    <n v="1187.5180000000037"/>
    <d v="2025-12-01T00:00:00"/>
    <x v="10"/>
    <n v="18"/>
    <s v="0-30 days"/>
    <s v="Monthly Billing"/>
    <d v="2026-01-06T00:00:00"/>
    <d v="2026-02-05T00:00:00"/>
    <s v="Invoice Sent"/>
    <s v="INV-060126122618"/>
    <s v="Yes"/>
    <s v="No"/>
    <x v="7"/>
  </r>
  <r>
    <x v="0"/>
    <x v="32"/>
    <x v="0"/>
    <x v="0"/>
    <x v="3"/>
    <x v="0"/>
    <x v="1"/>
    <x v="0"/>
    <s v="USD"/>
    <n v="2897.79"/>
    <n v="2897.79"/>
    <d v="2025-12-01T00:00:00"/>
    <x v="10"/>
    <n v="42"/>
    <s v="31-60 days"/>
    <s v="Monthly Billing"/>
    <d v="2026-01-05T00:00:00"/>
    <d v="2026-01-12T00:00:00"/>
    <s v="Outstanding"/>
    <s v="INV-050126162303"/>
    <s v="Yes"/>
    <s v="No"/>
    <x v="6"/>
  </r>
  <r>
    <x v="0"/>
    <x v="33"/>
    <x v="0"/>
    <x v="0"/>
    <x v="11"/>
    <x v="0"/>
    <x v="1"/>
    <x v="0"/>
    <s v="USD"/>
    <n v="1.72"/>
    <n v="1.72"/>
    <d v="2025-12-01T00:00:00"/>
    <x v="10"/>
    <n v="42"/>
    <s v="31-60 days"/>
    <s v="Monthly Billing"/>
    <d v="2026-01-05T00:00:00"/>
    <d v="2026-01-12T00:00:00"/>
    <s v="Outstanding"/>
    <s v="INV-050126095427"/>
    <s v="Yes"/>
    <s v="No"/>
    <x v="6"/>
  </r>
  <r>
    <x v="0"/>
    <x v="34"/>
    <x v="0"/>
    <x v="0"/>
    <x v="12"/>
    <x v="0"/>
    <x v="1"/>
    <x v="0"/>
    <s v="USD"/>
    <n v="1184.1099999999999"/>
    <n v="1184.1099999999999"/>
    <d v="2025-12-01T00:00:00"/>
    <x v="10"/>
    <n v="45"/>
    <s v="31-60 days"/>
    <s v="Monthly Billing"/>
    <d v="2026-01-02T00:00:00"/>
    <d v="2026-01-09T00:00:00"/>
    <s v="Outstanding"/>
    <s v="INV-020126193151"/>
    <s v="Yes"/>
    <s v="No"/>
    <x v="6"/>
  </r>
  <r>
    <x v="0"/>
    <x v="35"/>
    <x v="0"/>
    <x v="9"/>
    <x v="3"/>
    <x v="0"/>
    <x v="1"/>
    <x v="0"/>
    <s v="USD"/>
    <n v="44332.25"/>
    <n v="44332.25"/>
    <d v="2025-12-01T00:00:00"/>
    <x v="10"/>
    <n v="41"/>
    <s v="31-60 days"/>
    <s v="Monthly Billing"/>
    <d v="2026-01-06T00:00:00"/>
    <d v="2026-01-13T00:00:00"/>
    <s v="Outstanding"/>
    <s v="INV-060126162316"/>
    <s v="Yes"/>
    <s v="No"/>
    <x v="6"/>
  </r>
  <r>
    <x v="0"/>
    <x v="17"/>
    <x v="1"/>
    <x v="1"/>
    <x v="7"/>
    <x v="0"/>
    <x v="1"/>
    <x v="0"/>
    <s v="USD"/>
    <n v="100"/>
    <n v="100"/>
    <d v="2025-12-01T00:00:00"/>
    <x v="10"/>
    <n v="45"/>
    <s v="31-60 days"/>
    <s v="Monthly Billing"/>
    <d v="2026-01-02T00:00:00"/>
    <d v="2026-01-09T00:00:00"/>
    <s v="Outstanding"/>
    <s v="INV-020126171358"/>
    <s v="Yes"/>
    <s v="No"/>
    <x v="6"/>
  </r>
  <r>
    <x v="0"/>
    <x v="36"/>
    <x v="1"/>
    <x v="8"/>
    <x v="2"/>
    <x v="0"/>
    <x v="1"/>
    <x v="0"/>
    <s v="USD"/>
    <n v="42628.25"/>
    <n v="42628.25"/>
    <d v="2025-12-01T00:00:00"/>
    <x v="10"/>
    <n v="42"/>
    <s v="31-60 days"/>
    <s v="Monthly Billing"/>
    <d v="2026-01-05T00:00:00"/>
    <d v="2026-01-12T00:00:00"/>
    <s v="Outstanding"/>
    <s v="INV-050126152156"/>
    <s v="Yes"/>
    <s v="No"/>
    <x v="6"/>
  </r>
  <r>
    <x v="0"/>
    <x v="18"/>
    <x v="0"/>
    <x v="0"/>
    <x v="8"/>
    <x v="0"/>
    <x v="1"/>
    <x v="0"/>
    <s v="USD"/>
    <n v="7"/>
    <n v="7"/>
    <d v="2025-12-01T00:00:00"/>
    <x v="10"/>
    <n v="42"/>
    <s v="31-60 days"/>
    <s v="Monthly Billing"/>
    <d v="2026-01-05T00:00:00"/>
    <d v="2026-01-12T00:00:00"/>
    <s v="Outstanding"/>
    <s v="INV-050126182028"/>
    <s v="Yes"/>
    <s v="No"/>
    <x v="6"/>
  </r>
  <r>
    <x v="0"/>
    <x v="37"/>
    <x v="0"/>
    <x v="0"/>
    <x v="8"/>
    <x v="0"/>
    <x v="1"/>
    <x v="0"/>
    <s v="USD"/>
    <n v="2000"/>
    <n v="2000"/>
    <d v="2025-12-01T00:00:00"/>
    <x v="10"/>
    <n v="41"/>
    <s v="31-60 days"/>
    <s v="Monthly Billing"/>
    <d v="2026-01-06T00:00:00"/>
    <d v="2026-01-13T00:00:00"/>
    <s v="Outstanding"/>
    <s v="INV-060126114015"/>
    <s v="Yes"/>
    <s v="No"/>
    <x v="6"/>
  </r>
  <r>
    <x v="0"/>
    <x v="19"/>
    <x v="3"/>
    <x v="7"/>
    <x v="6"/>
    <x v="0"/>
    <x v="1"/>
    <x v="0"/>
    <s v="USD"/>
    <n v="2500"/>
    <n v="2500"/>
    <d v="2025-12-01T00:00:00"/>
    <x v="10"/>
    <n v="42"/>
    <s v="31-60 days"/>
    <s v="Monthly Billing"/>
    <d v="2026-01-05T00:00:00"/>
    <d v="2026-01-12T00:00:00"/>
    <s v="Force Settlement"/>
    <s v="INV-050126150313"/>
    <s v="Yes"/>
    <s v="No"/>
    <x v="6"/>
  </r>
  <r>
    <x v="0"/>
    <x v="10"/>
    <x v="2"/>
    <x v="5"/>
    <x v="2"/>
    <x v="0"/>
    <x v="1"/>
    <x v="0"/>
    <s v="USD"/>
    <n v="2.5"/>
    <n v="2.5"/>
    <d v="2025-12-01T00:00:00"/>
    <x v="10"/>
    <n v="42"/>
    <s v="31-60 days"/>
    <s v="Monthly Billing"/>
    <d v="2026-01-05T00:00:00"/>
    <d v="2026-01-12T00:00:00"/>
    <s v="Outstanding"/>
    <s v="INV-050126184308"/>
    <s v="Yes"/>
    <s v="No"/>
    <x v="8"/>
  </r>
  <r>
    <x v="0"/>
    <x v="1"/>
    <x v="1"/>
    <x v="1"/>
    <x v="1"/>
    <x v="0"/>
    <x v="1"/>
    <x v="0"/>
    <s v="USD"/>
    <n v="1659.6200000000001"/>
    <n v="1659.6200000000001"/>
    <d v="2025-12-01T00:00:00"/>
    <x v="10"/>
    <n v="42"/>
    <s v="31-60 days"/>
    <s v="Monthly Billing"/>
    <d v="2026-01-05T00:00:00"/>
    <d v="2026-01-12T00:00:00"/>
    <s v="Outstanding"/>
    <s v="INV-050126153219"/>
    <s v="Yes"/>
    <s v="No"/>
    <x v="1"/>
  </r>
  <r>
    <x v="0"/>
    <x v="11"/>
    <x v="0"/>
    <x v="6"/>
    <x v="0"/>
    <x v="0"/>
    <x v="1"/>
    <x v="0"/>
    <s v="USD"/>
    <n v="2034"/>
    <n v="2034"/>
    <d v="2025-12-01T00:00:00"/>
    <x v="10"/>
    <n v="42"/>
    <s v="31-60 days"/>
    <s v="Monthly Billing"/>
    <d v="2026-01-05T00:00:00"/>
    <d v="2026-01-12T00:00:00"/>
    <s v="Outstanding"/>
    <s v="INV-050126154823"/>
    <s v="Yes"/>
    <s v="No"/>
    <x v="6"/>
  </r>
  <r>
    <x v="0"/>
    <x v="21"/>
    <x v="3"/>
    <x v="7"/>
    <x v="9"/>
    <x v="0"/>
    <x v="1"/>
    <x v="0"/>
    <s v="USD"/>
    <n v="3025"/>
    <n v="3025"/>
    <d v="2025-12-01T00:00:00"/>
    <x v="10"/>
    <n v="42"/>
    <s v="31-60 days"/>
    <s v="Monthly Billing"/>
    <d v="2026-01-05T00:00:00"/>
    <d v="2026-01-12T00:00:00"/>
    <s v="Outstanding"/>
    <s v="INV-050126125120"/>
    <s v="Yes"/>
    <s v="No"/>
    <x v="6"/>
  </r>
  <r>
    <x v="0"/>
    <x v="38"/>
    <x v="0"/>
    <x v="6"/>
    <x v="3"/>
    <x v="0"/>
    <x v="1"/>
    <x v="0"/>
    <s v="SGD"/>
    <n v="55032.238341047159"/>
    <n v="70849.935790000003"/>
    <d v="2025-12-01T00:00:00"/>
    <x v="10"/>
    <n v="17"/>
    <s v="0-30 days"/>
    <s v="Monthly Billing"/>
    <d v="2026-01-07T00:00:00"/>
    <d v="2026-02-06T00:00:00"/>
    <s v="Invoice Sent"/>
    <s v="INV-070126100548"/>
    <s v="Yes"/>
    <s v="No"/>
    <x v="10"/>
  </r>
  <r>
    <x v="0"/>
    <x v="12"/>
    <x v="0"/>
    <x v="6"/>
    <x v="3"/>
    <x v="0"/>
    <x v="1"/>
    <x v="0"/>
    <s v="SGD"/>
    <n v="854.36124455983986"/>
    <n v="1099.9268999999999"/>
    <d v="2025-12-01T00:00:00"/>
    <x v="10"/>
    <n v="41"/>
    <s v="31-60 days"/>
    <s v="Monthly Billing"/>
    <d v="2026-01-06T00:00:00"/>
    <d v="2026-01-13T00:00:00"/>
    <s v="Outstanding"/>
    <s v="INV-060126153201"/>
    <s v="Yes"/>
    <s v="No"/>
    <x v="6"/>
  </r>
  <r>
    <x v="0"/>
    <x v="39"/>
    <x v="0"/>
    <x v="2"/>
    <x v="2"/>
    <x v="0"/>
    <x v="1"/>
    <x v="0"/>
    <s v="AUD"/>
    <n v="7513.7564807912822"/>
    <n v="11223.473999999998"/>
    <d v="2025-12-01T00:00:00"/>
    <x v="10"/>
    <n v="41"/>
    <s v="31-60 days"/>
    <s v="Monthly Billing"/>
    <d v="2026-01-06T00:00:00"/>
    <d v="2026-01-13T00:00:00"/>
    <s v="Outstanding"/>
    <s v="INV-060126174349"/>
    <s v="Yes"/>
    <s v="No"/>
    <x v="6"/>
  </r>
  <r>
    <x v="0"/>
    <x v="40"/>
    <x v="0"/>
    <x v="0"/>
    <x v="10"/>
    <x v="0"/>
    <x v="1"/>
    <x v="0"/>
    <s v="USD"/>
    <n v="10155"/>
    <n v="10155"/>
    <d v="2025-12-01T00:00:00"/>
    <x v="10"/>
    <n v="42"/>
    <s v="31-60 days"/>
    <s v="Monthly Billing"/>
    <d v="2026-01-05T00:00:00"/>
    <d v="2026-01-12T00:00:00"/>
    <s v="Outstanding"/>
    <s v="INV-050126135014"/>
    <s v="Yes"/>
    <s v="No"/>
    <x v="6"/>
  </r>
  <r>
    <x v="0"/>
    <x v="2"/>
    <x v="0"/>
    <x v="2"/>
    <x v="2"/>
    <x v="0"/>
    <x v="1"/>
    <x v="0"/>
    <s v="AUD"/>
    <n v="4550.0558709014676"/>
    <n v="6796.5250000000005"/>
    <d v="2025-12-01T00:00:00"/>
    <x v="10"/>
    <n v="41"/>
    <s v="31-60 days"/>
    <s v="Monthly Billing"/>
    <d v="2026-01-06T00:00:00"/>
    <d v="2026-01-13T00:00:00"/>
    <s v="Outstanding"/>
    <s v="INV-060126181825"/>
    <s v="Yes"/>
    <s v="Yes"/>
    <x v="2"/>
  </r>
  <r>
    <x v="0"/>
    <x v="41"/>
    <x v="1"/>
    <x v="10"/>
    <x v="13"/>
    <x v="0"/>
    <x v="1"/>
    <x v="0"/>
    <s v="USD"/>
    <n v="2529.59"/>
    <n v="2529.59"/>
    <d v="2025-12-01T00:00:00"/>
    <x v="10"/>
    <n v="22"/>
    <s v="0-30 days"/>
    <s v="Monthly Billing"/>
    <d v="2026-01-02T00:00:00"/>
    <d v="2026-02-01T00:00:00"/>
    <s v="Invoice Sent"/>
    <s v="INV-020126172929"/>
    <s v="Yes"/>
    <s v="No"/>
    <x v="6"/>
  </r>
  <r>
    <x v="0"/>
    <x v="13"/>
    <x v="1"/>
    <x v="0"/>
    <x v="5"/>
    <x v="0"/>
    <x v="1"/>
    <x v="0"/>
    <s v="USD"/>
    <n v="550"/>
    <n v="550"/>
    <d v="2025-12-01T00:00:00"/>
    <x v="10"/>
    <n v="44"/>
    <s v="31-60 days"/>
    <s v="Monthly Billing"/>
    <d v="2026-01-03T00:00:00"/>
    <d v="2026-01-10T00:00:00"/>
    <s v="Outstanding"/>
    <s v="INV-030126111809"/>
    <s v="Yes"/>
    <s v="No"/>
    <x v="6"/>
  </r>
  <r>
    <x v="0"/>
    <x v="42"/>
    <x v="0"/>
    <x v="6"/>
    <x v="3"/>
    <x v="0"/>
    <x v="1"/>
    <x v="0"/>
    <s v="SGD"/>
    <n v="1226.4160975246832"/>
    <n v="1578.92"/>
    <d v="2025-12-01T00:00:00"/>
    <x v="10"/>
    <n v="0"/>
    <s v="0-30 days"/>
    <s v="Card Printing and Delivery"/>
    <d v="2026-01-23T00:00:00"/>
    <d v="2026-02-23T00:00:00"/>
    <s v="Invoice Sent"/>
    <s v="INV-230126220000"/>
    <s v="Yes"/>
    <s v="No"/>
    <x v="6"/>
  </r>
  <r>
    <x v="0"/>
    <x v="9"/>
    <x v="0"/>
    <x v="2"/>
    <x v="0"/>
    <x v="0"/>
    <x v="1"/>
    <x v="0"/>
    <s v="AUD"/>
    <n v="1489.0775465359145"/>
    <n v="2224.27"/>
    <d v="2025-12-01T00:00:00"/>
    <x v="10"/>
    <n v="0"/>
    <s v="0-30 days"/>
    <s v="Card Printing and Delivery"/>
    <d v="2026-01-23T00:00:00"/>
    <d v="2026-02-23T00:00:00"/>
    <s v="Invoice Sent"/>
    <s v="INV-230126170000"/>
    <s v="No"/>
    <s v="No"/>
    <x v="7"/>
  </r>
  <r>
    <x v="0"/>
    <x v="43"/>
    <x v="0"/>
    <x v="2"/>
    <x v="0"/>
    <x v="0"/>
    <x v="1"/>
    <x v="0"/>
    <s v="AUD"/>
    <n v="137.8233732889212"/>
    <n v="205.87"/>
    <d v="2025-12-01T00:00:00"/>
    <x v="10"/>
    <n v="0"/>
    <s v="0-30 days"/>
    <s v="Card Printing and Delivery"/>
    <d v="2026-01-23T00:00:00"/>
    <d v="2026-02-23T00:00:00"/>
    <s v="Invoice Sent"/>
    <s v="INV-230126143000"/>
    <s v="No"/>
    <s v="No"/>
    <x v="6"/>
  </r>
  <r>
    <x v="0"/>
    <x v="44"/>
    <x v="0"/>
    <x v="2"/>
    <x v="0"/>
    <x v="0"/>
    <x v="1"/>
    <x v="0"/>
    <s v="AUD"/>
    <n v="1021.6148339856542"/>
    <n v="1526.01"/>
    <d v="2025-12-01T00:00:00"/>
    <x v="10"/>
    <n v="0"/>
    <s v="0-30 days"/>
    <s v="Card Printing and Delivery"/>
    <d v="2026-01-23T00:00:00"/>
    <d v="2026-02-23T00:00:00"/>
    <s v="Invoice Sent"/>
    <s v="INV-230126132000"/>
    <s v="No"/>
    <s v="No"/>
    <x v="6"/>
  </r>
  <r>
    <x v="0"/>
    <x v="30"/>
    <x v="3"/>
    <x v="7"/>
    <x v="6"/>
    <x v="0"/>
    <x v="1"/>
    <x v="0"/>
    <s v="USD"/>
    <n v="-68"/>
    <n v="-68"/>
    <d v="2025-08-01T00:00:00"/>
    <x v="7"/>
    <n v="166"/>
    <s v="Over 90+ days"/>
    <s v="Credit Note-Waive off"/>
    <d v="2025-09-03T00:00:00"/>
    <d v="2025-09-10T00:00:00"/>
    <s v="Outstanding"/>
    <s v="CN-INV-030925182457"/>
    <s v="No"/>
    <s v="No"/>
    <x v="9"/>
  </r>
  <r>
    <x v="0"/>
    <x v="45"/>
    <x v="1"/>
    <x v="0"/>
    <x v="4"/>
    <x v="0"/>
    <x v="1"/>
    <x v="0"/>
    <s v="USD"/>
    <n v="12801.23"/>
    <n v="12801.23"/>
    <s v="Nov25 &amp; Dec25"/>
    <x v="10"/>
    <n v="41"/>
    <s v="31-60 days"/>
    <s v="Monthly Billing"/>
    <d v="2026-01-06T00:00:00"/>
    <d v="2026-01-13T00:00:00"/>
    <s v="Outstanding"/>
    <s v="INV-060126175157"/>
    <s v="Yes"/>
    <s v="No"/>
    <x v="9"/>
  </r>
  <r>
    <x v="0"/>
    <x v="46"/>
    <x v="3"/>
    <x v="7"/>
    <x v="14"/>
    <x v="0"/>
    <x v="1"/>
    <x v="0"/>
    <s v="USD"/>
    <n v="-10"/>
    <n v="-10"/>
    <d v="2025-09-01T00:00:00"/>
    <x v="8"/>
    <n v="133"/>
    <s v="Over 90+ days"/>
    <s v="Credit Note-Rebate"/>
    <d v="2025-10-06T00:00:00"/>
    <d v="2025-10-13T00:00:00"/>
    <s v="Outstanding"/>
    <s v="CN-INV-061025093259"/>
    <s v="No"/>
    <s v="No"/>
    <x v="9"/>
  </r>
  <r>
    <x v="0"/>
    <x v="46"/>
    <x v="3"/>
    <x v="7"/>
    <x v="14"/>
    <x v="0"/>
    <x v="1"/>
    <x v="0"/>
    <s v="USD"/>
    <n v="-25"/>
    <n v="-25"/>
    <d v="2025-10-01T00:00:00"/>
    <x v="9"/>
    <n v="103"/>
    <s v="Over 90+ days"/>
    <s v="Credit Note-Rebate"/>
    <d v="2025-11-05T00:00:00"/>
    <d v="2025-11-12T00:00:00"/>
    <s v="Outstanding"/>
    <s v="CN-INV-051125105233"/>
    <s v="No"/>
    <s v="No"/>
    <x v="9"/>
  </r>
  <r>
    <x v="0"/>
    <x v="46"/>
    <x v="3"/>
    <x v="7"/>
    <x v="14"/>
    <x v="0"/>
    <x v="1"/>
    <x v="0"/>
    <s v="USD"/>
    <n v="-115"/>
    <n v="-115"/>
    <d v="2025-11-01T00:00:00"/>
    <x v="0"/>
    <n v="75"/>
    <s v="61-90 days"/>
    <s v="Credit Note-Rebate"/>
    <d v="2025-12-03T00:00:00"/>
    <d v="2025-12-10T00:00:00"/>
    <s v="Outstanding"/>
    <s v="CN-INV-031225192101"/>
    <s v="No"/>
    <s v="No"/>
    <x v="9"/>
  </r>
  <r>
    <x v="0"/>
    <x v="46"/>
    <x v="3"/>
    <x v="7"/>
    <x v="14"/>
    <x v="0"/>
    <x v="1"/>
    <x v="0"/>
    <s v="USD"/>
    <n v="-96"/>
    <n v="-96"/>
    <d v="2025-12-01T00:00:00"/>
    <x v="10"/>
    <n v="42"/>
    <s v="31-60 days"/>
    <s v="Credit Note-Rebate"/>
    <d v="2026-01-05T00:00:00"/>
    <d v="2026-01-12T00:00:00"/>
    <s v="Outstanding"/>
    <s v="CN-INV-050126163126"/>
    <s v="Yes"/>
    <s v="No"/>
    <x v="9"/>
  </r>
  <r>
    <x v="0"/>
    <x v="3"/>
    <x v="0"/>
    <x v="3"/>
    <x v="3"/>
    <x v="0"/>
    <x v="1"/>
    <x v="0"/>
    <s v="USD"/>
    <n v="-527.48510000000533"/>
    <n v="-527.48510000000533"/>
    <d v="2025-10-01T00:00:00"/>
    <x v="9"/>
    <n v="102"/>
    <s v="Over 90+ days"/>
    <s v="Monthly Billing"/>
    <d v="2025-11-06T00:00:00"/>
    <d v="2025-11-13T00:00:00"/>
    <s v="Outstanding"/>
    <s v="INV-061125120844"/>
    <s v="Yes"/>
    <s v="No"/>
    <x v="11"/>
  </r>
  <r>
    <x v="0"/>
    <x v="3"/>
    <x v="0"/>
    <x v="3"/>
    <x v="3"/>
    <x v="0"/>
    <x v="1"/>
    <x v="0"/>
    <s v="USD"/>
    <n v="-3888.0024000000049"/>
    <n v="-3888.0024000000049"/>
    <d v="2025-11-01T00:00:00"/>
    <x v="0"/>
    <n v="74"/>
    <s v="61-90 days"/>
    <s v="Monthly Billing"/>
    <d v="2025-12-04T00:00:00"/>
    <d v="2025-12-11T00:00:00"/>
    <s v="Outstanding"/>
    <s v="INV-041225180916"/>
    <s v="Yes"/>
    <s v="No"/>
    <x v="11"/>
  </r>
  <r>
    <x v="0"/>
    <x v="3"/>
    <x v="0"/>
    <x v="3"/>
    <x v="3"/>
    <x v="0"/>
    <x v="1"/>
    <x v="0"/>
    <s v="USD"/>
    <n v="-1738.4406000000017"/>
    <n v="-1738.4406000000017"/>
    <d v="2025-12-01T00:00:00"/>
    <x v="10"/>
    <n v="41"/>
    <s v="31-60 days"/>
    <s v="Monthly Billing"/>
    <d v="2026-01-06T00:00:00"/>
    <d v="2026-01-13T00:00:00"/>
    <s v="Outstanding"/>
    <s v="INV-060126133501"/>
    <s v="Yes"/>
    <s v="No"/>
    <x v="11"/>
  </r>
  <r>
    <x v="1"/>
    <x v="47"/>
    <x v="2"/>
    <x v="11"/>
    <x v="2"/>
    <x v="0"/>
    <x v="2"/>
    <x v="0"/>
    <s v="USD"/>
    <n v="696.75"/>
    <n v="696.75"/>
    <d v="2026-01-01T00:00:00"/>
    <x v="1"/>
    <n v="16"/>
    <s v="0-30 days"/>
    <s v="Monthly Billing"/>
    <d v="2026-02-03T00:00:00"/>
    <d v="2026-02-07T00:00:00"/>
    <s v="Overdue"/>
    <s v="SG-eburymass-01/2026"/>
    <s v="Yes"/>
    <s v="No"/>
    <x v="6"/>
  </r>
  <r>
    <x v="1"/>
    <x v="23"/>
    <x v="0"/>
    <x v="0"/>
    <x v="10"/>
    <x v="0"/>
    <x v="2"/>
    <x v="0"/>
    <s v="USD"/>
    <n v="5000"/>
    <n v="5000"/>
    <d v="2026-01-01T00:00:00"/>
    <x v="1"/>
    <n v="14"/>
    <s v="0-30 days"/>
    <s v="Monthly Billing"/>
    <d v="2026-02-02T00:00:00"/>
    <d v="2026-02-09T00:00:00"/>
    <s v="Overdue"/>
    <s v="HK-Everpro-01/2026"/>
    <s v="Yes"/>
    <s v="No"/>
    <x v="6"/>
  </r>
  <r>
    <x v="1"/>
    <x v="24"/>
    <x v="1"/>
    <x v="1"/>
    <x v="2"/>
    <x v="0"/>
    <x v="2"/>
    <x v="0"/>
    <s v="USD"/>
    <n v="1371.03"/>
    <n v="1371.03"/>
    <d v="2026-01-01T00:00:00"/>
    <x v="1"/>
    <n v="6"/>
    <s v="0-30 days"/>
    <s v="Monthly Billing"/>
    <d v="2026-02-02T00:00:00"/>
    <d v="2026-02-17T00:00:00"/>
    <s v="Overdue"/>
    <s v="US-GLOBAL ROOTS INC-01/2026"/>
    <s v="Yes"/>
    <s v="No"/>
    <x v="6"/>
  </r>
  <r>
    <x v="1"/>
    <x v="48"/>
    <x v="2"/>
    <x v="0"/>
    <x v="2"/>
    <x v="0"/>
    <x v="2"/>
    <x v="0"/>
    <s v="USD"/>
    <n v="2500"/>
    <n v="2500"/>
    <d v="2026-01-01T00:00:00"/>
    <x v="1"/>
    <n v="16"/>
    <s v="0-30 days"/>
    <s v="Monthly Billing"/>
    <d v="2026-02-02T00:00:00"/>
    <d v="2026-02-07T00:00:00"/>
    <s v="Overdue"/>
    <s v="SG-Isxfin-01/2026"/>
    <s v="Yes"/>
    <s v="No"/>
    <x v="6"/>
  </r>
  <r>
    <x v="1"/>
    <x v="49"/>
    <x v="2"/>
    <x v="12"/>
    <x v="2"/>
    <x v="0"/>
    <x v="2"/>
    <x v="0"/>
    <s v="EUR"/>
    <n v="1325.4861581426064"/>
    <n v="1144.33"/>
    <d v="2026-01-01T00:00:00"/>
    <x v="1"/>
    <n v="16"/>
    <s v="0-30 days"/>
    <s v="Monthly Billing"/>
    <d v="2026-02-03T00:00:00"/>
    <d v="2026-02-07T00:00:00"/>
    <s v="Overdue"/>
    <s v="SG-Lemonway-01/2026"/>
    <s v="Yes"/>
    <s v="No"/>
    <x v="6"/>
  </r>
  <r>
    <x v="1"/>
    <x v="50"/>
    <x v="0"/>
    <x v="3"/>
    <x v="14"/>
    <x v="0"/>
    <x v="2"/>
    <x v="0"/>
    <s v="USD"/>
    <n v="23919.5"/>
    <n v="23919.5"/>
    <d v="2026-01-01T00:00:00"/>
    <x v="1"/>
    <n v="13"/>
    <s v="0-30 days"/>
    <s v="Monthly Billing"/>
    <d v="2026-02-03T00:00:00"/>
    <d v="2026-02-10T00:00:00"/>
    <s v="Overdue"/>
    <s v="SG-Nuvei-01/2026"/>
    <s v="Yes"/>
    <s v="No"/>
    <x v="6"/>
  </r>
  <r>
    <x v="1"/>
    <x v="51"/>
    <x v="2"/>
    <x v="11"/>
    <x v="2"/>
    <x v="0"/>
    <x v="2"/>
    <x v="0"/>
    <s v="EUR"/>
    <n v="131.35208404338923"/>
    <n v="113.4"/>
    <d v="2026-01-01T00:00:00"/>
    <x v="1"/>
    <n v="-10"/>
    <s v="0-30 days"/>
    <s v="Monthly Billing"/>
    <d v="2026-02-03T00:00:00"/>
    <d v="2026-03-05T00:00:00"/>
    <s v="Invoice Sent"/>
    <s v="HK-Ppsl Paysafe-01/2026"/>
    <s v="No"/>
    <s v="No"/>
    <x v="6"/>
  </r>
  <r>
    <x v="1"/>
    <x v="52"/>
    <x v="2"/>
    <x v="11"/>
    <x v="2"/>
    <x v="0"/>
    <x v="2"/>
    <x v="0"/>
    <s v="EUR"/>
    <n v="1876.9795819057324"/>
    <n v="1620.45"/>
    <d v="2026-01-01T00:00:00"/>
    <x v="1"/>
    <n v="-10"/>
    <s v="0-30 days"/>
    <s v="Monthly Billing"/>
    <d v="2026-02-03T00:00:00"/>
    <d v="2026-03-05T00:00:00"/>
    <s v="Invoice Sent"/>
    <s v="HK-Ppsl Skrill-01/2026"/>
    <s v="No"/>
    <s v="No"/>
    <x v="6"/>
  </r>
  <r>
    <x v="1"/>
    <x v="25"/>
    <x v="0"/>
    <x v="2"/>
    <x v="2"/>
    <x v="0"/>
    <x v="2"/>
    <x v="0"/>
    <s v="USD"/>
    <n v="4723.7700000000004"/>
    <n v="4723.7700000000004"/>
    <d v="2026-01-01T00:00:00"/>
    <x v="1"/>
    <n v="6"/>
    <s v="0-30 days"/>
    <s v="Monthly Billing"/>
    <d v="2026-02-02T00:00:00"/>
    <d v="2026-02-17T00:00:00"/>
    <s v="Overdue"/>
    <s v="ID-PT FLIPTECH-01/2026"/>
    <s v="Yes"/>
    <s v="No"/>
    <x v="6"/>
  </r>
  <r>
    <x v="1"/>
    <x v="53"/>
    <x v="0"/>
    <x v="0"/>
    <x v="15"/>
    <x v="0"/>
    <x v="2"/>
    <x v="0"/>
    <s v="USD"/>
    <n v="3492.62"/>
    <n v="3492.62"/>
    <d v="2026-01-01T00:00:00"/>
    <x v="1"/>
    <n v="6"/>
    <s v="0-30 days"/>
    <s v="Monthly Billing"/>
    <d v="2026-02-02T00:00:00"/>
    <d v="2026-02-17T00:00:00"/>
    <s v="Overdue"/>
    <s v="ID-Harsya Remitindo-01/2026"/>
    <s v="Yes"/>
    <s v="No"/>
    <x v="6"/>
  </r>
  <r>
    <x v="1"/>
    <x v="54"/>
    <x v="0"/>
    <x v="2"/>
    <x v="15"/>
    <x v="0"/>
    <x v="2"/>
    <x v="0"/>
    <s v="IDR"/>
    <n v="356.96162892151295"/>
    <n v="6029149"/>
    <d v="2026-01-01T00:00:00"/>
    <x v="1"/>
    <n v="-9"/>
    <s v="0-30 days"/>
    <s v="Monthly Billing"/>
    <d v="2026-02-02T00:00:00"/>
    <d v="2026-03-04T00:00:00"/>
    <s v="Invoice Sent"/>
    <s v="ID-PT Midtrans-01/2026"/>
    <s v="No"/>
    <s v="No"/>
    <x v="6"/>
  </r>
  <r>
    <x v="1"/>
    <x v="55"/>
    <x v="2"/>
    <x v="11"/>
    <x v="16"/>
    <x v="0"/>
    <x v="2"/>
    <x v="0"/>
    <s v="USD"/>
    <n v="7580"/>
    <n v="7580"/>
    <d v="2026-01-01T00:00:00"/>
    <x v="1"/>
    <n v="16"/>
    <s v="0-30 days"/>
    <s v="Monthly Billing"/>
    <d v="2026-02-02T00:00:00"/>
    <d v="2026-02-07T00:00:00"/>
    <s v="Overdue"/>
    <s v="US-Remofirst, Inc.-01/2026"/>
    <s v="Yes"/>
    <s v="No"/>
    <x v="6"/>
  </r>
  <r>
    <x v="1"/>
    <x v="27"/>
    <x v="1"/>
    <x v="8"/>
    <x v="2"/>
    <x v="0"/>
    <x v="2"/>
    <x v="0"/>
    <s v="USD"/>
    <n v="5.5"/>
    <n v="5.5"/>
    <d v="2026-01-01T00:00:00"/>
    <x v="1"/>
    <n v="16"/>
    <s v="0-30 days"/>
    <s v="Monthly Billing"/>
    <d v="2026-02-02T00:00:00"/>
    <d v="2026-02-07T00:00:00"/>
    <s v="Overdue"/>
    <s v="US-TClub Inc.-01/2026"/>
    <s v="Yes"/>
    <s v="No"/>
    <x v="6"/>
  </r>
  <r>
    <x v="1"/>
    <x v="56"/>
    <x v="0"/>
    <x v="3"/>
    <x v="2"/>
    <x v="0"/>
    <x v="2"/>
    <x v="0"/>
    <s v="USD"/>
    <n v="55959.5"/>
    <n v="55959.5"/>
    <d v="2026-01-01T00:00:00"/>
    <x v="1"/>
    <n v="7"/>
    <s v="0-30 days"/>
    <s v="Monthly Billing"/>
    <d v="2026-02-03T00:00:00"/>
    <d v="2026-02-16T00:00:00"/>
    <s v="Overdue"/>
    <s v="SG-Currency Cloud-01/2026"/>
    <s v="Yes"/>
    <s v="No"/>
    <x v="6"/>
  </r>
  <r>
    <x v="1"/>
    <x v="28"/>
    <x v="3"/>
    <x v="7"/>
    <x v="9"/>
    <x v="0"/>
    <x v="2"/>
    <x v="0"/>
    <s v="USD"/>
    <n v="3025"/>
    <n v="3025"/>
    <d v="2026-01-01T00:00:00"/>
    <x v="1"/>
    <n v="13"/>
    <s v="0-30 days"/>
    <s v="Monthly Billing"/>
    <d v="2026-02-03T00:00:00"/>
    <d v="2026-02-10T00:00:00"/>
    <s v="Overdue"/>
    <s v="CA-Yala-01/2026"/>
    <s v="Yes"/>
    <s v="No"/>
    <x v="6"/>
  </r>
  <r>
    <x v="1"/>
    <x v="57"/>
    <x v="0"/>
    <x v="3"/>
    <x v="2"/>
    <x v="0"/>
    <x v="2"/>
    <x v="0"/>
    <s v="USD"/>
    <n v="52905.5"/>
    <n v="52905.5"/>
    <d v="2026-01-01T00:00:00"/>
    <x v="1"/>
    <n v="9"/>
    <s v="0-30 days"/>
    <s v="Monthly Billing"/>
    <d v="2026-02-03T00:00:00"/>
    <d v="2026-02-14T00:00:00"/>
    <s v="Overdue"/>
    <s v="SG-youtech-01/2026"/>
    <s v="Yes"/>
    <s v="No"/>
    <x v="6"/>
  </r>
  <r>
    <x v="1"/>
    <x v="14"/>
    <x v="0"/>
    <x v="3"/>
    <x v="2"/>
    <x v="0"/>
    <x v="2"/>
    <x v="0"/>
    <s v="USD"/>
    <n v="3635.8"/>
    <n v="3635.8"/>
    <d v="2026-01-01T00:00:00"/>
    <x v="1"/>
    <n v="9"/>
    <s v="0-30 days"/>
    <s v="Monthly Billing"/>
    <d v="2026-02-03T00:00:00"/>
    <d v="2026-02-14T00:00:00"/>
    <s v="Overdue"/>
    <s v="US-youtech-Verify-01/2026"/>
    <s v="Yes"/>
    <s v="No"/>
    <x v="6"/>
  </r>
  <r>
    <x v="1"/>
    <x v="29"/>
    <x v="1"/>
    <x v="1"/>
    <x v="4"/>
    <x v="0"/>
    <x v="2"/>
    <x v="0"/>
    <s v="USD"/>
    <n v="2500"/>
    <n v="2500"/>
    <d v="2026-01-01T00:00:00"/>
    <x v="1"/>
    <n v="16"/>
    <s v="0-30 days"/>
    <s v="Monthly Billing"/>
    <d v="2026-02-02T00:00:00"/>
    <d v="2026-02-07T00:00:00"/>
    <s v="Overdue"/>
    <s v="SG-Zenusbank-01/2026"/>
    <s v="Yes"/>
    <s v="No"/>
    <x v="6"/>
  </r>
  <r>
    <x v="0"/>
    <x v="58"/>
    <x v="0"/>
    <x v="9"/>
    <x v="2"/>
    <x v="0"/>
    <x v="2"/>
    <x v="0"/>
    <s v="USD"/>
    <n v="15659.05"/>
    <n v="15659.05"/>
    <d v="2026-01-01T00:00:00"/>
    <x v="1"/>
    <n v="9"/>
    <s v="0-30 days"/>
    <s v="Monthly Billing"/>
    <d v="2026-02-07T00:00:00"/>
    <d v="2026-02-14T00:00:00"/>
    <s v="Outstanding"/>
    <s v="INV-070226152241"/>
    <s v="Yes"/>
    <s v="No"/>
    <x v="6"/>
  </r>
  <r>
    <x v="0"/>
    <x v="30"/>
    <x v="3"/>
    <x v="7"/>
    <x v="6"/>
    <x v="0"/>
    <x v="2"/>
    <x v="0"/>
    <s v="USD"/>
    <n v="10"/>
    <n v="10"/>
    <d v="2026-01-01T00:00:00"/>
    <x v="1"/>
    <n v="11"/>
    <s v="0-30 days"/>
    <s v="Monthly Billing"/>
    <d v="2026-02-05T00:00:00"/>
    <d v="2026-02-12T00:00:00"/>
    <s v="Outstanding"/>
    <s v="INV-050226011321"/>
    <s v="Yes"/>
    <s v="No"/>
    <x v="6"/>
  </r>
  <r>
    <x v="0"/>
    <x v="31"/>
    <x v="0"/>
    <x v="0"/>
    <x v="8"/>
    <x v="0"/>
    <x v="2"/>
    <x v="0"/>
    <s v="USD"/>
    <n v="16.399999999999999"/>
    <n v="16.399999999999999"/>
    <d v="2026-01-01T00:00:00"/>
    <x v="1"/>
    <n v="12"/>
    <s v="0-30 days"/>
    <s v="Monthly Billing"/>
    <d v="2026-02-04T00:00:00"/>
    <d v="2026-02-11T00:00:00"/>
    <s v="Outstanding"/>
    <s v="INV-040226164114"/>
    <s v="Yes"/>
    <s v="No"/>
    <x v="6"/>
  </r>
  <r>
    <x v="0"/>
    <x v="42"/>
    <x v="0"/>
    <x v="6"/>
    <x v="3"/>
    <x v="0"/>
    <x v="2"/>
    <x v="0"/>
    <s v="SGD"/>
    <n v="-85143.008119189122"/>
    <n v="-109615.32439999992"/>
    <d v="2026-01-01T00:00:00"/>
    <x v="1"/>
    <n v="9"/>
    <s v="0-30 days"/>
    <s v="Monthly Billing"/>
    <d v="2026-02-07T00:00:00"/>
    <d v="2026-02-14T00:00:00"/>
    <s v="Outstanding"/>
    <s v="INV-070226172013"/>
    <s v="Yes"/>
    <s v="No"/>
    <x v="6"/>
  </r>
  <r>
    <x v="0"/>
    <x v="59"/>
    <x v="1"/>
    <x v="0"/>
    <x v="1"/>
    <x v="0"/>
    <x v="2"/>
    <x v="0"/>
    <s v="USD"/>
    <n v="1000"/>
    <n v="1000"/>
    <d v="2026-01-01T00:00:00"/>
    <x v="1"/>
    <n v="13"/>
    <s v="0-30 days"/>
    <s v="Monthly Billing"/>
    <d v="2026-02-03T00:00:00"/>
    <d v="2026-02-10T00:00:00"/>
    <s v="Outstanding"/>
    <s v="INV-030226122636"/>
    <s v="Yes"/>
    <s v="No"/>
    <x v="6"/>
  </r>
  <r>
    <x v="0"/>
    <x v="8"/>
    <x v="2"/>
    <x v="5"/>
    <x v="3"/>
    <x v="0"/>
    <x v="2"/>
    <x v="0"/>
    <s v="GBP"/>
    <n v="117.30727742302251"/>
    <n v="87.74"/>
    <d v="2026-01-01T00:00:00"/>
    <x v="1"/>
    <n v="-7"/>
    <s v="0-30 days"/>
    <s v="Monthly Billing"/>
    <d v="2026-02-02T00:00:00"/>
    <d v="2026-03-02T00:00:00"/>
    <s v="Invoice Sent"/>
    <s v="INV-020226153711"/>
    <s v="No"/>
    <s v="No"/>
    <x v="6"/>
  </r>
  <r>
    <x v="0"/>
    <x v="15"/>
    <x v="1"/>
    <x v="1"/>
    <x v="5"/>
    <x v="0"/>
    <x v="2"/>
    <x v="0"/>
    <s v="USD"/>
    <n v="1891.94"/>
    <n v="1891.94"/>
    <d v="2026-01-01T00:00:00"/>
    <x v="1"/>
    <n v="12"/>
    <s v="0-30 days"/>
    <s v="Monthly Billing"/>
    <d v="2026-02-04T00:00:00"/>
    <d v="2026-02-11T00:00:00"/>
    <s v="Outstanding"/>
    <s v="INV-040226201806"/>
    <s v="Yes"/>
    <s v="No"/>
    <x v="6"/>
  </r>
  <r>
    <x v="0"/>
    <x v="6"/>
    <x v="1"/>
    <x v="0"/>
    <x v="4"/>
    <x v="0"/>
    <x v="2"/>
    <x v="0"/>
    <s v="USD"/>
    <n v="0"/>
    <n v="0"/>
    <d v="2026-01-01T00:00:00"/>
    <x v="1"/>
    <n v="14"/>
    <s v="0-30 days"/>
    <s v="Monthly Billing"/>
    <d v="2026-02-02T00:00:00"/>
    <d v="2026-02-09T00:00:00"/>
    <s v="Force Settlement"/>
    <s v="INV-020226220215"/>
    <s v="Yes"/>
    <s v="No"/>
    <x v="6"/>
  </r>
  <r>
    <x v="0"/>
    <x v="9"/>
    <x v="0"/>
    <x v="2"/>
    <x v="0"/>
    <x v="0"/>
    <x v="2"/>
    <x v="0"/>
    <s v="AUD"/>
    <n v="3566.4962748389489"/>
    <n v="5327.359000000004"/>
    <d v="2026-01-01T00:00:00"/>
    <x v="1"/>
    <n v="9"/>
    <s v="0-30 days"/>
    <s v="Monthly Billing"/>
    <d v="2026-02-07T00:00:00"/>
    <d v="2026-02-14T00:00:00"/>
    <s v="Outstanding"/>
    <s v="INV-070226133026"/>
    <s v="Yes"/>
    <s v="No"/>
    <x v="7"/>
  </r>
  <r>
    <x v="0"/>
    <x v="60"/>
    <x v="0"/>
    <x v="0"/>
    <x v="0"/>
    <x v="0"/>
    <x v="2"/>
    <x v="0"/>
    <s v="AUD"/>
    <n v="2105.476800862958"/>
    <n v="3145"/>
    <d v="2026-01-01T00:00:00"/>
    <x v="1"/>
    <n v="12"/>
    <s v="0-30 days"/>
    <s v="Monthly Billing"/>
    <d v="2026-02-04T00:00:00"/>
    <d v="2026-02-11T00:00:00"/>
    <s v="Outstanding"/>
    <s v="INV-040226191953"/>
    <s v="Yes"/>
    <s v="No"/>
    <x v="6"/>
  </r>
  <r>
    <x v="0"/>
    <x v="61"/>
    <x v="0"/>
    <x v="0"/>
    <x v="8"/>
    <x v="0"/>
    <x v="2"/>
    <x v="0"/>
    <s v="USD"/>
    <n v="65.2"/>
    <n v="65.2"/>
    <d v="2026-01-01T00:00:00"/>
    <x v="1"/>
    <n v="3"/>
    <s v="0-30 days"/>
    <s v="Monthly Billing"/>
    <d v="2026-02-07T00:00:00"/>
    <d v="2026-02-20T00:00:00"/>
    <s v="Invoice Sent"/>
    <s v="INV-090226192522"/>
    <s v="Yes"/>
    <s v="No"/>
    <x v="6"/>
  </r>
  <r>
    <x v="0"/>
    <x v="32"/>
    <x v="0"/>
    <x v="0"/>
    <x v="3"/>
    <x v="0"/>
    <x v="2"/>
    <x v="0"/>
    <s v="USD"/>
    <n v="2953.3"/>
    <n v="2953.3"/>
    <d v="2026-01-01T00:00:00"/>
    <x v="1"/>
    <n v="12"/>
    <s v="0-30 days"/>
    <s v="Monthly Billing"/>
    <d v="2026-02-04T00:00:00"/>
    <d v="2026-02-11T00:00:00"/>
    <s v="Outstanding"/>
    <s v="INV-040226200358"/>
    <s v="Yes"/>
    <s v="No"/>
    <x v="6"/>
  </r>
  <r>
    <x v="0"/>
    <x v="62"/>
    <x v="3"/>
    <x v="7"/>
    <x v="14"/>
    <x v="0"/>
    <x v="2"/>
    <x v="0"/>
    <s v="USD"/>
    <n v="2976.5"/>
    <n v="2976.5"/>
    <d v="2026-01-01T00:00:00"/>
    <x v="1"/>
    <n v="12"/>
    <s v="0-30 days"/>
    <s v="Monthly Billing"/>
    <d v="2026-02-04T00:00:00"/>
    <d v="2026-02-11T00:00:00"/>
    <s v="Outstanding"/>
    <s v="INV-040226171625"/>
    <s v="Yes"/>
    <s v="No"/>
    <x v="6"/>
  </r>
  <r>
    <x v="0"/>
    <x v="63"/>
    <x v="3"/>
    <x v="7"/>
    <x v="14"/>
    <x v="0"/>
    <x v="2"/>
    <x v="0"/>
    <s v="USD"/>
    <n v="36316.5"/>
    <n v="36316.5"/>
    <d v="2026-01-01T00:00:00"/>
    <x v="1"/>
    <n v="12"/>
    <s v="0-30 days"/>
    <s v="Monthly Billing"/>
    <d v="2026-02-04T00:00:00"/>
    <d v="2026-02-11T00:00:00"/>
    <s v="Outstanding"/>
    <s v="INV-040226181813"/>
    <s v="Yes"/>
    <s v="No"/>
    <x v="6"/>
  </r>
  <r>
    <x v="0"/>
    <x v="64"/>
    <x v="0"/>
    <x v="0"/>
    <x v="17"/>
    <x v="0"/>
    <x v="2"/>
    <x v="0"/>
    <s v="AUD"/>
    <n v="6666.8031652278687"/>
    <n v="9958.36"/>
    <d v="2026-01-01T00:00:00"/>
    <x v="1"/>
    <n v="10"/>
    <s v="0-30 days"/>
    <s v="Monthly Billing"/>
    <d v="2026-02-06T00:00:00"/>
    <d v="2026-02-13T00:00:00"/>
    <s v="Outstanding"/>
    <s v="INV-060226135736"/>
    <s v="Yes"/>
    <s v="No"/>
    <x v="6"/>
  </r>
  <r>
    <x v="0"/>
    <x v="33"/>
    <x v="0"/>
    <x v="0"/>
    <x v="11"/>
    <x v="0"/>
    <x v="2"/>
    <x v="0"/>
    <s v="USD"/>
    <n v="14.19"/>
    <n v="14.19"/>
    <d v="2026-01-01T00:00:00"/>
    <x v="1"/>
    <n v="10"/>
    <s v="0-30 days"/>
    <s v="Monthly Billing"/>
    <d v="2026-02-06T00:00:00"/>
    <d v="2026-02-13T00:00:00"/>
    <s v="Outstanding"/>
    <s v="INV-060226120820"/>
    <s v="Yes"/>
    <s v="No"/>
    <x v="6"/>
  </r>
  <r>
    <x v="0"/>
    <x v="34"/>
    <x v="0"/>
    <x v="0"/>
    <x v="12"/>
    <x v="0"/>
    <x v="2"/>
    <x v="0"/>
    <s v="USD"/>
    <n v="1141.6099999999999"/>
    <n v="1141.6099999999999"/>
    <d v="2026-01-01T00:00:00"/>
    <x v="1"/>
    <n v="12"/>
    <s v="0-30 days"/>
    <s v="Monthly Billing"/>
    <d v="2026-02-04T00:00:00"/>
    <d v="2026-02-11T00:00:00"/>
    <s v="Outstanding"/>
    <s v="INV-040226203353"/>
    <s v="Yes"/>
    <s v="No"/>
    <x v="6"/>
  </r>
  <r>
    <x v="0"/>
    <x v="65"/>
    <x v="0"/>
    <x v="0"/>
    <x v="0"/>
    <x v="0"/>
    <x v="2"/>
    <x v="0"/>
    <s v="AUD"/>
    <n v="1925.7782053501962"/>
    <n v="2876.58"/>
    <d v="2026-01-01T00:00:00"/>
    <x v="1"/>
    <n v="11"/>
    <s v="0-30 days"/>
    <s v="Monthly Billing"/>
    <d v="2026-02-05T00:00:00"/>
    <d v="2026-02-12T00:00:00"/>
    <s v="Outstanding"/>
    <s v="INV-050226031828"/>
    <s v="Yes"/>
    <s v="No"/>
    <x v="6"/>
  </r>
  <r>
    <x v="0"/>
    <x v="35"/>
    <x v="0"/>
    <x v="9"/>
    <x v="3"/>
    <x v="0"/>
    <x v="2"/>
    <x v="0"/>
    <s v="USD"/>
    <n v="32268.400000000001"/>
    <n v="32268.400000000001"/>
    <d v="2026-01-01T00:00:00"/>
    <x v="1"/>
    <n v="9"/>
    <s v="0-30 days"/>
    <s v="Monthly Billing"/>
    <d v="2026-02-07T00:00:00"/>
    <d v="2026-02-14T00:00:00"/>
    <s v="Outstanding"/>
    <s v="INV-070226150656"/>
    <s v="Yes"/>
    <s v="No"/>
    <x v="6"/>
  </r>
  <r>
    <x v="0"/>
    <x v="66"/>
    <x v="0"/>
    <x v="9"/>
    <x v="2"/>
    <x v="0"/>
    <x v="2"/>
    <x v="0"/>
    <s v="USD"/>
    <n v="10010"/>
    <n v="10010"/>
    <d v="2026-01-01T00:00:00"/>
    <x v="1"/>
    <n v="10"/>
    <s v="0-30 days"/>
    <s v="Monthly Billing"/>
    <d v="2026-02-06T00:00:00"/>
    <d v="2026-02-13T00:00:00"/>
    <s v="Outstanding"/>
    <s v="INV-060226113511"/>
    <s v="Yes"/>
    <s v="No"/>
    <x v="6"/>
  </r>
  <r>
    <x v="0"/>
    <x v="17"/>
    <x v="1"/>
    <x v="1"/>
    <x v="7"/>
    <x v="0"/>
    <x v="2"/>
    <x v="0"/>
    <s v="USD"/>
    <n v="130"/>
    <n v="130"/>
    <d v="2026-01-01T00:00:00"/>
    <x v="1"/>
    <n v="14"/>
    <s v="0-30 days"/>
    <s v="Monthly Billing"/>
    <d v="2026-02-02T00:00:00"/>
    <d v="2026-02-09T00:00:00"/>
    <s v="Outstanding"/>
    <s v="INV-020226191052"/>
    <s v="Yes"/>
    <s v="No"/>
    <x v="6"/>
  </r>
  <r>
    <x v="0"/>
    <x v="36"/>
    <x v="1"/>
    <x v="8"/>
    <x v="2"/>
    <x v="0"/>
    <x v="2"/>
    <x v="0"/>
    <s v="USD"/>
    <n v="38576.5"/>
    <n v="38576.5"/>
    <d v="2026-01-01T00:00:00"/>
    <x v="1"/>
    <n v="14"/>
    <s v="0-30 days"/>
    <s v="Monthly Billing"/>
    <d v="2026-02-02T00:00:00"/>
    <d v="2026-02-09T00:00:00"/>
    <s v="Outstanding"/>
    <s v="INV-020226175351"/>
    <s v="Yes"/>
    <s v="No"/>
    <x v="6"/>
  </r>
  <r>
    <x v="0"/>
    <x v="67"/>
    <x v="0"/>
    <x v="0"/>
    <x v="12"/>
    <x v="0"/>
    <x v="2"/>
    <x v="0"/>
    <s v="USD"/>
    <n v="15000"/>
    <n v="15000"/>
    <d v="2026-02-01T00:00:00"/>
    <x v="2"/>
    <n v="3"/>
    <s v="0-30 days"/>
    <s v="Integration Fee"/>
    <d v="2026-02-13T00:00:00"/>
    <d v="2026-02-20T00:00:00"/>
    <s v="Invoice Sent"/>
    <s v="INV-130226161341"/>
    <s v="Yes"/>
    <s v="No"/>
    <x v="6"/>
  </r>
  <r>
    <x v="0"/>
    <x v="68"/>
    <x v="0"/>
    <x v="9"/>
    <x v="3"/>
    <x v="0"/>
    <x v="2"/>
    <x v="0"/>
    <s v="SGD"/>
    <n v="1922.3749824732338"/>
    <n v="2474.9155800000003"/>
    <d v="2026-01-01T00:00:00"/>
    <x v="1"/>
    <n v="7"/>
    <s v="0-30 days"/>
    <s v="Monthly Billing"/>
    <d v="2026-01-07T00:00:00"/>
    <d v="2026-02-16T00:00:00"/>
    <s v="Partially Paid"/>
    <s v="INV-090226113449"/>
    <s v="Yes"/>
    <s v="No"/>
    <x v="6"/>
  </r>
  <r>
    <x v="0"/>
    <x v="18"/>
    <x v="0"/>
    <x v="0"/>
    <x v="8"/>
    <x v="0"/>
    <x v="2"/>
    <x v="0"/>
    <s v="USD"/>
    <n v="249.2"/>
    <n v="249.2"/>
    <d v="2026-01-01T00:00:00"/>
    <x v="1"/>
    <n v="12"/>
    <s v="0-30 days"/>
    <s v="Monthly Billing"/>
    <d v="2026-02-04T00:00:00"/>
    <d v="2026-02-11T00:00:00"/>
    <s v="Outstanding"/>
    <s v="INV-040226210124"/>
    <s v="Yes"/>
    <s v="No"/>
    <x v="6"/>
  </r>
  <r>
    <x v="0"/>
    <x v="37"/>
    <x v="0"/>
    <x v="0"/>
    <x v="8"/>
    <x v="0"/>
    <x v="2"/>
    <x v="0"/>
    <s v="USD"/>
    <n v="2970"/>
    <n v="2970"/>
    <d v="2026-01-01T00:00:00"/>
    <x v="1"/>
    <n v="12"/>
    <s v="0-30 days"/>
    <s v="Monthly Billing"/>
    <d v="2026-02-04T00:00:00"/>
    <d v="2026-02-11T00:00:00"/>
    <s v="Outstanding"/>
    <s v="INV-040226161408"/>
    <s v="Yes"/>
    <s v="No"/>
    <x v="6"/>
  </r>
  <r>
    <x v="0"/>
    <x v="19"/>
    <x v="3"/>
    <x v="7"/>
    <x v="6"/>
    <x v="0"/>
    <x v="2"/>
    <x v="0"/>
    <s v="USD"/>
    <n v="2500"/>
    <n v="2500"/>
    <d v="2026-01-01T00:00:00"/>
    <x v="1"/>
    <n v="14"/>
    <s v="0-30 days"/>
    <s v="Monthly Billing"/>
    <d v="2026-02-02T00:00:00"/>
    <d v="2026-02-09T00:00:00"/>
    <s v="Force Settlement"/>
    <s v="INV-020226182425"/>
    <s v="Yes"/>
    <s v="No"/>
    <x v="6"/>
  </r>
  <r>
    <x v="0"/>
    <x v="10"/>
    <x v="2"/>
    <x v="5"/>
    <x v="2"/>
    <x v="0"/>
    <x v="2"/>
    <x v="0"/>
    <s v="USD"/>
    <n v="0.60000000000000142"/>
    <n v="0.60000000000000142"/>
    <d v="2026-01-01T00:00:00"/>
    <x v="1"/>
    <n v="12"/>
    <s v="0-30 days"/>
    <s v="Monthly Billing"/>
    <d v="2026-02-04T00:00:00"/>
    <d v="2026-02-11T00:00:00"/>
    <s v="Partially Paid"/>
    <s v="INV-040226140355"/>
    <s v="Yes"/>
    <s v="No"/>
    <x v="6"/>
  </r>
  <r>
    <x v="0"/>
    <x v="69"/>
    <x v="1"/>
    <x v="1"/>
    <x v="0"/>
    <x v="0"/>
    <x v="2"/>
    <x v="0"/>
    <s v="USD"/>
    <n v="142.80000000000001"/>
    <n v="142.80000000000001"/>
    <d v="2026-01-01T00:00:00"/>
    <x v="1"/>
    <n v="11"/>
    <s v="0-30 days"/>
    <s v="Monthly Billing"/>
    <d v="2026-02-05T00:00:00"/>
    <d v="2026-02-12T00:00:00"/>
    <s v="Outstanding"/>
    <s v="INV-050226013546"/>
    <s v="Yes"/>
    <s v="No"/>
    <x v="6"/>
  </r>
  <r>
    <x v="0"/>
    <x v="1"/>
    <x v="1"/>
    <x v="1"/>
    <x v="1"/>
    <x v="0"/>
    <x v="2"/>
    <x v="0"/>
    <s v="USD"/>
    <n v="-152.90999999999985"/>
    <n v="-152.90999999999985"/>
    <d v="2026-01-01T00:00:00"/>
    <x v="1"/>
    <n v="13"/>
    <s v="0-30 days"/>
    <s v="Monthly Billing"/>
    <d v="2026-02-03T00:00:00"/>
    <d v="2026-02-10T00:00:00"/>
    <s v="Outstanding"/>
    <s v="INV-030226233006"/>
    <s v="Yes"/>
    <s v="No"/>
    <x v="6"/>
  </r>
  <r>
    <x v="0"/>
    <x v="70"/>
    <x v="1"/>
    <x v="1"/>
    <x v="4"/>
    <x v="0"/>
    <x v="2"/>
    <x v="0"/>
    <s v="USD"/>
    <n v="-11242.11"/>
    <n v="-11242.11"/>
    <d v="2026-01-01T00:00:00"/>
    <x v="1"/>
    <n v="13"/>
    <s v="0-30 days"/>
    <s v="Monthly Billing"/>
    <d v="2026-02-03T00:00:00"/>
    <d v="2026-02-10T00:00:00"/>
    <s v="Outstanding"/>
    <s v="INV-030226091512"/>
    <s v="Yes"/>
    <s v="No"/>
    <x v="6"/>
  </r>
  <r>
    <x v="0"/>
    <x v="71"/>
    <x v="2"/>
    <x v="5"/>
    <x v="3"/>
    <x v="0"/>
    <x v="2"/>
    <x v="0"/>
    <s v="AUD"/>
    <n v="12.963577987888815"/>
    <n v="19.364000000000004"/>
    <d v="2026-01-01T00:00:00"/>
    <x v="1"/>
    <n v="7"/>
    <s v="0-30 days"/>
    <s v="Monthly Billing"/>
    <d v="2026-02-07T00:00:00"/>
    <d v="2026-02-16T00:00:00"/>
    <s v="Outstanding"/>
    <s v="INV-090226194222"/>
    <s v="Yes"/>
    <s v="No"/>
    <x v="6"/>
  </r>
  <r>
    <x v="0"/>
    <x v="72"/>
    <x v="2"/>
    <x v="5"/>
    <x v="3"/>
    <x v="0"/>
    <x v="2"/>
    <x v="0"/>
    <s v="USD"/>
    <n v="7036.4853167000001"/>
    <n v="7036.4853167000001"/>
    <d v="2026-01-01T00:00:00"/>
    <x v="1"/>
    <n v="7"/>
    <s v="0-30 days"/>
    <s v="Monthly Billing"/>
    <d v="2026-02-07T00:00:00"/>
    <d v="2026-02-16T00:00:00"/>
    <s v="Outstanding"/>
    <s v="INV-090226165028"/>
    <s v="Yes"/>
    <s v="No"/>
    <x v="6"/>
  </r>
  <r>
    <x v="0"/>
    <x v="11"/>
    <x v="0"/>
    <x v="6"/>
    <x v="0"/>
    <x v="0"/>
    <x v="2"/>
    <x v="0"/>
    <s v="USD"/>
    <n v="2965"/>
    <n v="2965"/>
    <d v="2026-01-01T00:00:00"/>
    <x v="1"/>
    <n v="11"/>
    <s v="0-30 days"/>
    <s v="Monthly Billing"/>
    <d v="2026-02-05T00:00:00"/>
    <d v="2026-02-12T00:00:00"/>
    <s v="Outstanding"/>
    <s v="INV-050226133127"/>
    <s v="Yes"/>
    <s v="No"/>
    <x v="6"/>
  </r>
  <r>
    <x v="0"/>
    <x v="73"/>
    <x v="1"/>
    <x v="0"/>
    <x v="4"/>
    <x v="0"/>
    <x v="2"/>
    <x v="0"/>
    <s v="CAD"/>
    <n v="260.47031625256835"/>
    <n v="362.5"/>
    <d v="2026-01-01T00:00:00"/>
    <x v="1"/>
    <n v="12"/>
    <s v="0-30 days"/>
    <s v="Monthly Billing"/>
    <d v="2026-02-04T00:00:00"/>
    <d v="2026-02-11T00:00:00"/>
    <s v="Outstanding"/>
    <s v="INV-030226181855"/>
    <s v="Yes"/>
    <s v="No"/>
    <x v="6"/>
  </r>
  <r>
    <x v="0"/>
    <x v="74"/>
    <x v="1"/>
    <x v="0"/>
    <x v="4"/>
    <x v="0"/>
    <x v="2"/>
    <x v="0"/>
    <s v="USD"/>
    <n v="36.32"/>
    <n v="36.32"/>
    <d v="2026-01-01T00:00:00"/>
    <x v="1"/>
    <n v="12"/>
    <s v="0-30 days"/>
    <s v="Monthly Billing"/>
    <d v="2026-02-04T00:00:00"/>
    <d v="2026-02-11T00:00:00"/>
    <s v="Outstanding"/>
    <s v="INV-040226185603"/>
    <s v="Yes"/>
    <s v="No"/>
    <x v="6"/>
  </r>
  <r>
    <x v="0"/>
    <x v="75"/>
    <x v="1"/>
    <x v="8"/>
    <x v="14"/>
    <x v="0"/>
    <x v="2"/>
    <x v="0"/>
    <s v="USD"/>
    <n v="60"/>
    <n v="60"/>
    <d v="2026-01-01T00:00:00"/>
    <x v="1"/>
    <n v="11"/>
    <s v="0-30 days"/>
    <s v="Monthly Billing"/>
    <d v="2026-02-05T00:00:00"/>
    <d v="2026-02-12T00:00:00"/>
    <s v="Outstanding"/>
    <s v="INV-050226183011"/>
    <s v="Yes"/>
    <s v="No"/>
    <x v="6"/>
  </r>
  <r>
    <x v="0"/>
    <x v="76"/>
    <x v="1"/>
    <x v="8"/>
    <x v="4"/>
    <x v="0"/>
    <x v="2"/>
    <x v="0"/>
    <s v="USD"/>
    <n v="1000"/>
    <n v="1000"/>
    <d v="2026-01-01T00:00:00"/>
    <x v="1"/>
    <n v="11"/>
    <s v="0-30 days"/>
    <s v="Monthly Billing"/>
    <d v="2026-02-05T00:00:00"/>
    <d v="2026-02-12T00:00:00"/>
    <s v="Outstanding"/>
    <s v="INV-050226185948"/>
    <s v="Yes"/>
    <s v="No"/>
    <x v="6"/>
  </r>
  <r>
    <x v="0"/>
    <x v="21"/>
    <x v="3"/>
    <x v="7"/>
    <x v="9"/>
    <x v="0"/>
    <x v="2"/>
    <x v="0"/>
    <s v="USD"/>
    <n v="3000"/>
    <n v="3000"/>
    <d v="2026-01-01T00:00:00"/>
    <x v="1"/>
    <n v="11"/>
    <s v="0-30 days"/>
    <s v="Monthly Billing"/>
    <d v="2026-02-05T00:00:00"/>
    <d v="2026-02-12T00:00:00"/>
    <s v="Outstanding"/>
    <s v="INV-050226141818"/>
    <s v="Yes"/>
    <s v="No"/>
    <x v="6"/>
  </r>
  <r>
    <x v="0"/>
    <x v="77"/>
    <x v="0"/>
    <x v="2"/>
    <x v="3"/>
    <x v="0"/>
    <x v="2"/>
    <x v="0"/>
    <s v="USD"/>
    <n v="2970"/>
    <n v="2970"/>
    <d v="2026-01-01T00:00:00"/>
    <x v="1"/>
    <n v="12"/>
    <s v="0-30 days"/>
    <s v="Monthly Billing"/>
    <d v="2026-02-04T00:00:00"/>
    <d v="2026-02-11T00:00:00"/>
    <s v="Outstanding"/>
    <s v="INV-040226130240"/>
    <s v="Yes"/>
    <s v="No"/>
    <x v="6"/>
  </r>
  <r>
    <x v="0"/>
    <x v="78"/>
    <x v="2"/>
    <x v="11"/>
    <x v="18"/>
    <x v="0"/>
    <x v="2"/>
    <x v="0"/>
    <s v="GBP"/>
    <n v="19207.281799796099"/>
    <n v="14366.09"/>
    <d v="2026-01-01T00:00:00"/>
    <x v="1"/>
    <n v="8"/>
    <s v="0-30 days"/>
    <s v="Monthly Billing"/>
    <d v="2026-02-07T00:00:00"/>
    <d v="2026-02-15T00:00:00"/>
    <s v="Outstanding"/>
    <s v="INV-080226174049"/>
    <s v="Yes"/>
    <s v="No"/>
    <x v="6"/>
  </r>
  <r>
    <x v="0"/>
    <x v="43"/>
    <x v="0"/>
    <x v="2"/>
    <x v="0"/>
    <x v="0"/>
    <x v="2"/>
    <x v="0"/>
    <s v="AUD"/>
    <n v="3439.8135182251167"/>
    <n v="5138.130000000001"/>
    <d v="2026-01-01T00:00:00"/>
    <x v="1"/>
    <n v="10"/>
    <s v="0-30 days"/>
    <s v="Monthly Billing"/>
    <d v="2026-02-06T00:00:00"/>
    <d v="2026-02-13T00:00:00"/>
    <s v="Outstanding"/>
    <s v="INV-060226194701"/>
    <s v="Yes"/>
    <s v="No"/>
    <x v="6"/>
  </r>
  <r>
    <x v="0"/>
    <x v="45"/>
    <x v="1"/>
    <x v="0"/>
    <x v="4"/>
    <x v="0"/>
    <x v="2"/>
    <x v="0"/>
    <s v="USD"/>
    <n v="4099.8899999999994"/>
    <n v="4099.8899999999994"/>
    <d v="2026-01-01T00:00:00"/>
    <x v="1"/>
    <n v="12"/>
    <s v="0-30 days"/>
    <s v="Monthly Billing"/>
    <d v="2026-02-04T00:00:00"/>
    <d v="2026-02-11T00:00:00"/>
    <s v="Outstanding"/>
    <s v="INV-040226161341"/>
    <s v="Yes"/>
    <s v="No"/>
    <x v="6"/>
  </r>
  <r>
    <x v="0"/>
    <x v="46"/>
    <x v="3"/>
    <x v="7"/>
    <x v="14"/>
    <x v="0"/>
    <x v="2"/>
    <x v="0"/>
    <s v="USD"/>
    <n v="-52"/>
    <n v="-52"/>
    <d v="2026-01-01T00:00:00"/>
    <x v="1"/>
    <n v="10"/>
    <s v="0-30 days"/>
    <s v="Credit Note-Rebate"/>
    <d v="2026-02-06T00:00:00"/>
    <d v="2026-02-13T00:00:00"/>
    <s v="Outstanding"/>
    <s v="INV-060226200521"/>
    <s v="Yes"/>
    <s v="No"/>
    <x v="6"/>
  </r>
  <r>
    <x v="0"/>
    <x v="38"/>
    <x v="0"/>
    <x v="6"/>
    <x v="3"/>
    <x v="0"/>
    <x v="2"/>
    <x v="0"/>
    <s v="SGD"/>
    <n v="66082.648583379123"/>
    <n v="85076.521510000006"/>
    <d v="2026-01-01T00:00:00"/>
    <x v="1"/>
    <n v="7"/>
    <s v="0-30 days"/>
    <s v="Monthly Billing"/>
    <d v="2026-02-07T00:00:00"/>
    <d v="2026-02-16T00:00:00"/>
    <s v="Outstanding"/>
    <s v="INV-090226133228"/>
    <s v="Yes"/>
    <s v="No"/>
    <x v="6"/>
  </r>
  <r>
    <x v="0"/>
    <x v="79"/>
    <x v="0"/>
    <x v="6"/>
    <x v="3"/>
    <x v="0"/>
    <x v="2"/>
    <x v="0"/>
    <s v="SGD"/>
    <n v="31932.514365080478"/>
    <n v="41110.75"/>
    <d v="2026-01-01T00:00:00"/>
    <x v="1"/>
    <n v="6"/>
    <s v="0-30 days"/>
    <s v="Monthly Billing"/>
    <d v="2026-02-07T00:00:00"/>
    <d v="2026-02-17T00:00:00"/>
    <s v="Outstanding"/>
    <s v="INV-100226170854"/>
    <s v="Yes"/>
    <s v="No"/>
    <x v="6"/>
  </r>
  <r>
    <x v="0"/>
    <x v="80"/>
    <x v="2"/>
    <x v="11"/>
    <x v="19"/>
    <x v="0"/>
    <x v="2"/>
    <x v="0"/>
    <s v="GBP"/>
    <n v="4012.9677819147723"/>
    <n v="3001.5"/>
    <d v="2026-01-01T00:00:00"/>
    <x v="1"/>
    <n v="7"/>
    <s v="0-30 days"/>
    <s v="Monthly Billing"/>
    <d v="2026-02-07T00:00:00"/>
    <d v="2026-02-16T00:00:00"/>
    <s v="Outstanding"/>
    <s v="INV-090226161845"/>
    <s v="Yes"/>
    <s v="No"/>
    <x v="6"/>
  </r>
  <r>
    <x v="0"/>
    <x v="81"/>
    <x v="1"/>
    <x v="0"/>
    <x v="4"/>
    <x v="0"/>
    <x v="2"/>
    <x v="0"/>
    <s v="USD"/>
    <n v="598.4"/>
    <n v="598.4"/>
    <d v="2026-01-01T00:00:00"/>
    <x v="1"/>
    <n v="11"/>
    <s v="0-30 days"/>
    <s v="Monthly Billing"/>
    <d v="2026-02-05T00:00:00"/>
    <d v="2026-02-12T00:00:00"/>
    <s v="Outstanding"/>
    <s v="INV-050226030836"/>
    <s v="Yes"/>
    <s v="No"/>
    <x v="6"/>
  </r>
  <r>
    <x v="0"/>
    <x v="39"/>
    <x v="0"/>
    <x v="2"/>
    <x v="2"/>
    <x v="0"/>
    <x v="2"/>
    <x v="0"/>
    <s v="AUD"/>
    <n v="19087.871079874294"/>
    <n v="28512"/>
    <d v="2026-02-01T00:00:00"/>
    <x v="2"/>
    <n v="14"/>
    <s v="0-30 days"/>
    <s v="APIv2 Integration Fee Invoice"/>
    <d v="2026-02-02T00:00:00"/>
    <d v="2026-02-09T00:00:00"/>
    <s v="Outstanding"/>
    <s v="INV-020226191330"/>
    <s v="Yes"/>
    <s v="No"/>
    <x v="6"/>
  </r>
  <r>
    <x v="0"/>
    <x v="39"/>
    <x v="0"/>
    <x v="2"/>
    <x v="2"/>
    <x v="0"/>
    <x v="2"/>
    <x v="0"/>
    <s v="AUD"/>
    <n v="7527.1498572230994"/>
    <n v="11243.48"/>
    <d v="2026-01-01T00:00:00"/>
    <x v="1"/>
    <n v="10"/>
    <s v="0-30 days"/>
    <s v="Monthly Billing"/>
    <d v="2026-02-06T00:00:00"/>
    <d v="2026-02-13T00:00:00"/>
    <s v="Outstanding"/>
    <s v="INV-060226140346"/>
    <s v="Yes"/>
    <s v="No"/>
    <x v="6"/>
  </r>
  <r>
    <x v="0"/>
    <x v="82"/>
    <x v="0"/>
    <x v="3"/>
    <x v="3"/>
    <x v="0"/>
    <x v="2"/>
    <x v="0"/>
    <s v="USD"/>
    <n v="-1754.3781999999992"/>
    <n v="-1754.3781999999992"/>
    <d v="2026-01-01T00:00:00"/>
    <x v="1"/>
    <n v="9"/>
    <s v="0-30 days"/>
    <s v="Monthly Billing"/>
    <d v="2026-02-07T00:00:00"/>
    <d v="2026-02-14T00:00:00"/>
    <s v="Outstanding"/>
    <s v="INV-070226184910"/>
    <s v="Yes"/>
    <s v="No"/>
    <x v="11"/>
  </r>
  <r>
    <x v="0"/>
    <x v="40"/>
    <x v="0"/>
    <x v="0"/>
    <x v="10"/>
    <x v="0"/>
    <x v="2"/>
    <x v="0"/>
    <s v="USD"/>
    <n v="15090"/>
    <n v="15090"/>
    <d v="2026-01-01T00:00:00"/>
    <x v="1"/>
    <n v="10"/>
    <s v="0-30 days"/>
    <s v="Monthly Billing"/>
    <d v="2026-02-06T00:00:00"/>
    <d v="2026-02-13T00:00:00"/>
    <s v="Outstanding"/>
    <s v="INV-060226162531"/>
    <s v="Yes"/>
    <s v="No"/>
    <x v="6"/>
  </r>
  <r>
    <x v="0"/>
    <x v="83"/>
    <x v="0"/>
    <x v="0"/>
    <x v="10"/>
    <x v="0"/>
    <x v="2"/>
    <x v="0"/>
    <s v="USD"/>
    <n v="25050"/>
    <n v="25050"/>
    <d v="2026-01-01T00:00:00"/>
    <x v="1"/>
    <n v="10"/>
    <s v="0-30 days"/>
    <s v="Monthly Billing"/>
    <d v="2026-02-06T00:00:00"/>
    <d v="2026-02-13T00:00:00"/>
    <s v="Outstanding"/>
    <s v="INV-060226124635"/>
    <s v="Yes"/>
    <s v="No"/>
    <x v="6"/>
  </r>
  <r>
    <x v="0"/>
    <x v="2"/>
    <x v="0"/>
    <x v="2"/>
    <x v="2"/>
    <x v="0"/>
    <x v="2"/>
    <x v="0"/>
    <s v="AUD"/>
    <n v="4749.1389118097732"/>
    <n v="7093.9"/>
    <d v="2026-01-01T00:00:00"/>
    <x v="1"/>
    <n v="10"/>
    <s v="0-30 days"/>
    <s v="Monthly Billing"/>
    <d v="2026-02-06T00:00:00"/>
    <d v="2026-02-13T00:00:00"/>
    <s v="Outstanding"/>
    <s v="INV-060226143545"/>
    <s v="Yes"/>
    <s v="Yes"/>
    <x v="6"/>
  </r>
  <r>
    <x v="0"/>
    <x v="13"/>
    <x v="1"/>
    <x v="0"/>
    <x v="5"/>
    <x v="0"/>
    <x v="2"/>
    <x v="0"/>
    <s v="USD"/>
    <n v="500"/>
    <n v="500"/>
    <d v="2026-01-01T00:00:00"/>
    <x v="1"/>
    <n v="11"/>
    <s v="0-30 days"/>
    <s v="Monthly Billing"/>
    <d v="2026-02-05T00:00:00"/>
    <d v="2026-02-12T00:00:00"/>
    <s v="Outstanding"/>
    <s v="INV-050226121256"/>
    <s v="Yes"/>
    <s v="No"/>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N1"/>
    <x v="0"/>
    <s v="ME"/>
    <x v="0"/>
    <x v="0"/>
    <s v="Active"/>
    <n v="2025"/>
    <s v="Bank Transfer"/>
    <s v="USD"/>
    <n v="-68"/>
    <n v="-68"/>
    <d v="2025-08-01T00:00:00"/>
    <s v="Aug"/>
    <n v="170"/>
    <s v="Over 90+ days"/>
    <s v="Credit Note-Waive off"/>
    <d v="2025-09-03T00:00:00"/>
    <d v="2025-09-10T00:00:00"/>
    <s v="Outstanding"/>
    <s v="CN-INV-030925182457"/>
    <s v="No"/>
    <s v="No"/>
    <s v="credit note will be settled against future invoices"/>
    <m/>
  </r>
  <r>
    <s v="N1"/>
    <x v="1"/>
    <s v="ME"/>
    <x v="0"/>
    <x v="1"/>
    <s v="Active"/>
    <n v="2025"/>
    <s v="Bank Transfer"/>
    <s v="USD"/>
    <n v="-10"/>
    <n v="-10"/>
    <d v="2025-09-01T00:00:00"/>
    <s v="Sep"/>
    <n v="137"/>
    <s v="Over 90+ days"/>
    <s v="Credit Note-Rebate"/>
    <d v="2025-10-06T00:00:00"/>
    <d v="2025-10-13T00:00:00"/>
    <s v="Outstanding"/>
    <s v="CN-INV-061025093259"/>
    <s v="No"/>
    <s v="No"/>
    <s v="credit note will be settled against future invoices"/>
    <m/>
  </r>
  <r>
    <s v="N1"/>
    <x v="1"/>
    <s v="ME"/>
    <x v="0"/>
    <x v="1"/>
    <s v="Active"/>
    <n v="2025"/>
    <s v="Bank Transfer"/>
    <s v="USD"/>
    <n v="-25"/>
    <n v="-25"/>
    <d v="2025-10-01T00:00:00"/>
    <s v="Oct"/>
    <n v="107"/>
    <s v="Over 90+ days"/>
    <s v="Credit Note-Rebate"/>
    <d v="2025-11-05T00:00:00"/>
    <d v="2025-11-12T00:00:00"/>
    <s v="Outstanding"/>
    <s v="CN-INV-051125105233"/>
    <s v="No"/>
    <s v="No"/>
    <s v="credit note will be settled against future invoices"/>
    <m/>
  </r>
  <r>
    <s v="N1"/>
    <x v="1"/>
    <s v="ME"/>
    <x v="0"/>
    <x v="1"/>
    <s v="Active"/>
    <n v="2025"/>
    <s v="Bank Transfer"/>
    <s v="USD"/>
    <n v="-115"/>
    <n v="-115"/>
    <d v="2025-11-01T00:00:00"/>
    <s v="Nov"/>
    <n v="79"/>
    <s v="61-90 days"/>
    <s v="Credit Note-Rebate"/>
    <d v="2025-12-03T00:00:00"/>
    <d v="2025-12-10T00:00:00"/>
    <s v="Outstanding"/>
    <s v="CN-INV-031225192101"/>
    <s v="No"/>
    <s v="No"/>
    <s v="credit note will be settled against future invoices"/>
    <m/>
  </r>
  <r>
    <s v="N1"/>
    <x v="1"/>
    <s v="ME"/>
    <x v="0"/>
    <x v="1"/>
    <s v="Active"/>
    <n v="2025"/>
    <s v="Bank Transfer"/>
    <s v="USD"/>
    <n v="-96"/>
    <n v="-96"/>
    <d v="2025-12-01T00:00:00"/>
    <s v="Dec"/>
    <n v="46"/>
    <s v="31-60 days"/>
    <s v="Credit Note-Rebate"/>
    <d v="2026-01-05T00:00:00"/>
    <d v="2026-01-12T00:00:00"/>
    <s v="Outstanding"/>
    <s v="CN-INV-050126163126"/>
    <s v="Yes"/>
    <s v="No"/>
    <s v="credit note will be settled against future invoices"/>
    <m/>
  </r>
  <r>
    <s v="N1"/>
    <x v="2"/>
    <s v="APAC"/>
    <x v="1"/>
    <x v="2"/>
    <s v="Active"/>
    <n v="2025"/>
    <s v="Bank Transfer"/>
    <s v="USD"/>
    <n v="-527.48510000000533"/>
    <n v="-527.48510000000533"/>
    <d v="2025-10-01T00:00:00"/>
    <s v="Oct"/>
    <n v="106"/>
    <s v="Over 90+ days"/>
    <s v="Monthly Billing"/>
    <d v="2025-11-06T00:00:00"/>
    <d v="2025-11-13T00:00:00"/>
    <s v="Outstanding"/>
    <s v="INV-061125120844"/>
    <s v="Yes"/>
    <s v="No"/>
    <s v="credit will be settled against future invoices"/>
    <m/>
  </r>
  <r>
    <s v="N1"/>
    <x v="2"/>
    <s v="APAC"/>
    <x v="1"/>
    <x v="2"/>
    <s v="Active"/>
    <n v="2025"/>
    <s v="Bank Transfer"/>
    <s v="USD"/>
    <n v="-3888.0024000000049"/>
    <n v="-3888.0024000000049"/>
    <d v="2025-11-01T00:00:00"/>
    <s v="Nov"/>
    <n v="78"/>
    <s v="61-90 days"/>
    <s v="Monthly Billing"/>
    <d v="2025-12-04T00:00:00"/>
    <d v="2025-12-11T00:00:00"/>
    <s v="Outstanding"/>
    <s v="INV-041225180916"/>
    <s v="Yes"/>
    <s v="No"/>
    <s v="credit will be settled against future invoices"/>
    <m/>
  </r>
  <r>
    <s v="N1"/>
    <x v="2"/>
    <s v="APAC"/>
    <x v="1"/>
    <x v="2"/>
    <s v="Active"/>
    <n v="2025"/>
    <s v="Bank Transfer"/>
    <s v="USD"/>
    <n v="-1738.4406000000017"/>
    <n v="-1738.4406000000017"/>
    <d v="2025-12-01T00:00:00"/>
    <s v="Dec"/>
    <n v="45"/>
    <s v="31-60 days"/>
    <s v="Monthly Billing"/>
    <d v="2026-01-06T00:00:00"/>
    <d v="2026-01-13T00:00:00"/>
    <s v="Outstanding"/>
    <s v="INV-060126133501"/>
    <s v="Yes"/>
    <s v="No"/>
    <s v="credit will be settled against future invoices"/>
    <m/>
  </r>
  <r>
    <s v="N1"/>
    <x v="3"/>
    <s v="APAC"/>
    <x v="2"/>
    <x v="2"/>
    <s v="Active"/>
    <n v="2026"/>
    <s v="Bank Transfer"/>
    <s v="SGD"/>
    <n v="-85143.008119189122"/>
    <n v="-109615.32439999992"/>
    <d v="2026-01-01T00:00:00"/>
    <s v="Jan"/>
    <n v="13"/>
    <s v="0-30 days"/>
    <s v="Monthly Billing"/>
    <d v="2026-02-07T00:00:00"/>
    <d v="2026-02-14T00:00:00"/>
    <s v="Outstanding"/>
    <s v="INV-070226172013"/>
    <s v="Yes"/>
    <s v="No"/>
    <s v="No response from the client post reminder sent"/>
    <m/>
  </r>
  <r>
    <s v="N1"/>
    <x v="4"/>
    <s v="USA"/>
    <x v="3"/>
    <x v="3"/>
    <s v="Active"/>
    <n v="2026"/>
    <s v="Bank Transfer"/>
    <s v="USD"/>
    <n v="-152.90999999999985"/>
    <n v="-152.90999999999985"/>
    <d v="2026-01-01T00:00:00"/>
    <s v="Jan"/>
    <n v="17"/>
    <s v="0-30 days"/>
    <s v="Monthly Billing"/>
    <d v="2026-02-03T00:00:00"/>
    <d v="2026-02-10T00:00:00"/>
    <s v="Outstanding"/>
    <s v="INV-030226233006"/>
    <s v="Yes"/>
    <s v="No"/>
    <s v="No response from the client post reminder sent"/>
    <m/>
  </r>
  <r>
    <s v="N1"/>
    <x v="1"/>
    <s v="ME"/>
    <x v="0"/>
    <x v="1"/>
    <s v="Active"/>
    <n v="2026"/>
    <s v="Bank Transfer"/>
    <s v="USD"/>
    <n v="-52"/>
    <n v="-52"/>
    <d v="2026-01-01T00:00:00"/>
    <s v="Jan"/>
    <n v="14"/>
    <s v="0-30 days"/>
    <s v="Credit Note-Rebate"/>
    <d v="2026-02-06T00:00:00"/>
    <d v="2026-02-13T00:00:00"/>
    <s v="Outstanding"/>
    <s v="INV-060226200521"/>
    <s v="Yes"/>
    <s v="No"/>
    <s v="No response from the client post reminder sent"/>
    <m/>
  </r>
  <r>
    <s v="N1"/>
    <x v="2"/>
    <s v="APAC"/>
    <x v="1"/>
    <x v="2"/>
    <s v="Active"/>
    <n v="2026"/>
    <s v="Bank Transfer"/>
    <s v="USD"/>
    <n v="-1754.3781999999992"/>
    <n v="-1754.3781999999992"/>
    <d v="2026-01-01T00:00:00"/>
    <s v="Jan"/>
    <n v="13"/>
    <s v="0-30 days"/>
    <s v="Monthly Billing"/>
    <d v="2026-02-07T00:00:00"/>
    <d v="2026-02-14T00:00:00"/>
    <s v="Outstanding"/>
    <s v="INV-070226184910"/>
    <s v="Yes"/>
    <s v="No"/>
    <s v="credit will be settled against future invoices"/>
    <m/>
  </r>
  <r>
    <s v="Masspay"/>
    <x v="5"/>
    <s v="USA"/>
    <x v="4"/>
    <x v="4"/>
    <s v="Active"/>
    <n v="2026"/>
    <s v="Wallet Debit"/>
    <s v="USD"/>
    <n v="-105.02"/>
    <n v="-105.02"/>
    <d v="2026-01-01T00:00:00"/>
    <s v="Jan"/>
    <n v="-27"/>
    <s v="0-30 days"/>
    <s v="Credit Note-Rebate"/>
    <d v="2026-02-26T00:00:00"/>
    <d v="2026-03-26T00:00:00"/>
    <s v="Invoice Sent"/>
    <s v="US-CN-Borderless-01-2026"/>
    <s v="No"/>
    <s v="No"/>
    <s v="credit note will be settled against future invoice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s v="N1"/>
    <s v="SWiM Pay Pty Ltd"/>
    <x v="0"/>
    <s v="NA"/>
    <s v="Vinoth M"/>
    <s v="Active"/>
    <n v="2024"/>
    <s v="Bank Transfer"/>
    <s v="USD"/>
    <n v="5500"/>
    <n v="5500"/>
    <d v="2024-11-01T00:00:00"/>
    <s v="Nov"/>
    <n v="443"/>
    <x v="0"/>
    <s v="Monthly Billing"/>
    <d v="2024-11-01T00:00:00"/>
    <d v="2024-12-11T00:00:00"/>
    <s v="Outstanding"/>
    <s v="INV-041224105640"/>
    <s v="Yes"/>
    <s v="Yes"/>
    <s v="client has made progress with their capital raise however not provided exact settlement date to clear all o/s "/>
    <m/>
  </r>
  <r>
    <s v="N1"/>
    <s v="SWiM Pay Pty Ltd"/>
    <x v="0"/>
    <s v="NA"/>
    <s v="Vinoth M"/>
    <s v="Active"/>
    <n v="2025"/>
    <s v="Bank Transfer"/>
    <s v="USD"/>
    <n v="9930"/>
    <n v="9930"/>
    <d v="2025-01-01T00:00:00"/>
    <s v="Jan"/>
    <n v="380"/>
    <x v="0"/>
    <s v="Monthly Billing"/>
    <d v="2025-02-05T00:00:00"/>
    <d v="2025-02-12T00:00:00"/>
    <s v="Outstanding"/>
    <s v="INV-050225183406"/>
    <s v="Yes"/>
    <s v="Yes"/>
    <s v="client has made progress with their capital raise however not provided exact settlement date to clear all o/s "/>
    <m/>
  </r>
  <r>
    <s v="N1"/>
    <s v="SWiM Pay Pty Ltd"/>
    <x v="0"/>
    <s v="NA"/>
    <s v="Vinoth M"/>
    <s v="Active"/>
    <n v="2025"/>
    <s v="Bank Transfer"/>
    <s v="USD"/>
    <n v="10000"/>
    <n v="10000"/>
    <d v="2025-02-01T00:00:00"/>
    <s v="Feb"/>
    <n v="352"/>
    <x v="0"/>
    <s v="Monthly Billing"/>
    <d v="2025-03-05T00:00:00"/>
    <d v="2025-03-12T00:00:00"/>
    <s v="Outstanding"/>
    <s v="INV-050325103203"/>
    <s v="Yes"/>
    <s v="Yes"/>
    <s v="client has made progress with their capital raise however not provided exact settlement date to clear all o/s "/>
    <m/>
  </r>
  <r>
    <s v="N1"/>
    <s v="SWiM Pay Pty Ltd"/>
    <x v="0"/>
    <s v="NA"/>
    <s v="Vinoth M"/>
    <s v="Active"/>
    <n v="2025"/>
    <s v="Bank Transfer"/>
    <s v="USD"/>
    <n v="10000"/>
    <n v="10000"/>
    <d v="2025-03-01T00:00:00"/>
    <s v="Mar"/>
    <n v="324"/>
    <x v="0"/>
    <s v="Monthly Billing"/>
    <d v="2025-04-02T00:00:00"/>
    <d v="2025-04-09T00:00:00"/>
    <s v="Outstanding"/>
    <s v="INV-020425174717"/>
    <s v="Yes"/>
    <s v="Yes"/>
    <s v="client has made progress with their capital raise however not provided exact settlement date to clear all o/s "/>
    <m/>
  </r>
  <r>
    <s v="N1"/>
    <s v="SWiM Pay Pty Ltd"/>
    <x v="0"/>
    <s v="NA"/>
    <s v="Vinoth M"/>
    <s v="Active"/>
    <n v="2025"/>
    <s v="Bank Transfer"/>
    <s v="USD"/>
    <n v="10000"/>
    <n v="10000"/>
    <d v="2025-04-01T00:00:00"/>
    <s v="Apr"/>
    <n v="291"/>
    <x v="0"/>
    <s v="Monthly Billing"/>
    <d v="2025-05-05T00:00:00"/>
    <d v="2025-05-12T00:00:00"/>
    <s v="Outstanding"/>
    <s v="INV-050525114818"/>
    <s v="Yes"/>
    <s v="Yes"/>
    <s v="client has made progress with their capital raise however not provided exact settlement date to clear all o/s "/>
    <m/>
  </r>
  <r>
    <s v="N1"/>
    <s v="SWiM Pay Pty Ltd"/>
    <x v="0"/>
    <s v="NA"/>
    <s v="Vinoth M"/>
    <s v="Active"/>
    <n v="2025"/>
    <s v="Bank Transfer"/>
    <s v="USD"/>
    <n v="10000"/>
    <n v="10000"/>
    <d v="2025-05-01T00:00:00"/>
    <s v="May"/>
    <n v="261"/>
    <x v="0"/>
    <s v="Monthly Billing"/>
    <d v="2025-06-04T00:00:00"/>
    <d v="2025-06-11T00:00:00"/>
    <s v="Outstanding"/>
    <s v="INV-040625165635"/>
    <s v="Yes"/>
    <s v="Yes"/>
    <s v="client has made progress with their capital raise however not provided exact settlement date to clear all o/s "/>
    <m/>
  </r>
  <r>
    <s v="N1"/>
    <s v="Loadpass LTDA"/>
    <x v="1"/>
    <s v="Eduardo Avallone"/>
    <s v="Christina Hutchinson"/>
    <s v="Active"/>
    <n v="2025"/>
    <s v="Bank Transfer"/>
    <s v="USD"/>
    <n v="3495.5"/>
    <n v="3495.5"/>
    <d v="2025-07-01T00:00:00"/>
    <s v="Jul"/>
    <n v="199"/>
    <x v="0"/>
    <s v="Monthly Billing"/>
    <d v="2025-08-05T00:00:00"/>
    <d v="2025-08-12T00:00:00"/>
    <s v="Outstanding"/>
    <s v="INV-050825115818"/>
    <s v="Yes"/>
    <s v="No"/>
    <s v="AM is chasing the client to clear all o/s invoices"/>
    <m/>
  </r>
  <r>
    <s v="N1"/>
    <s v="Yondr Money Pty Ltd"/>
    <x v="0"/>
    <s v="Hao Nguyen"/>
    <s v="NA"/>
    <s v="Active"/>
    <n v="2025"/>
    <s v="Bank Transfer"/>
    <s v="AUD"/>
    <n v="1319.9063350274675"/>
    <n v="1971.5749999999998"/>
    <d v="2025-07-01T00:00:00"/>
    <s v="Jul"/>
    <n v="199"/>
    <x v="0"/>
    <s v="Monthly Billing"/>
    <d v="2025-08-05T00:00:00"/>
    <d v="2025-08-12T00:00:00"/>
    <s v="Partially Paid"/>
    <s v="INV-050825195438"/>
    <s v="Yes"/>
    <s v="Yes"/>
    <s v="LOD sent, client will be suspended if payment not received by 3rd feb"/>
    <m/>
  </r>
  <r>
    <s v="N1"/>
    <s v="Loadpass LTDA"/>
    <x v="1"/>
    <s v="Eduardo Avallone"/>
    <s v="Christina Hutchinson"/>
    <s v="Active"/>
    <n v="2025"/>
    <s v="Bank Transfer"/>
    <s v="USD"/>
    <n v="3485"/>
    <n v="3485"/>
    <d v="2025-08-01T00:00:00"/>
    <s v="Aug"/>
    <n v="171"/>
    <x v="0"/>
    <s v="Monthly Billing"/>
    <d v="2025-09-02T00:00:00"/>
    <d v="2025-09-09T00:00:00"/>
    <s v="Outstanding"/>
    <s v="INV-020925171323"/>
    <s v="Yes"/>
    <s v="No"/>
    <s v="AM is chasing the client to clear all o/s invoices"/>
    <m/>
  </r>
  <r>
    <s v="N1"/>
    <s v="VOLOPAY.CO PTE. LTD."/>
    <x v="0"/>
    <s v="XiaoXiao"/>
    <s v="Gitesh Athavale"/>
    <s v="Active"/>
    <n v="2025"/>
    <s v="Bank Transfer"/>
    <s v="USD"/>
    <n v="25680.39"/>
    <n v="25680.39"/>
    <d v="2025-08-01T00:00:00"/>
    <s v="Aug"/>
    <n v="169"/>
    <x v="0"/>
    <s v="Monthly Billing"/>
    <d v="2025-09-04T00:00:00"/>
    <d v="2025-09-11T00:00:00"/>
    <s v="Partially Paid"/>
    <s v="INV-040925095830"/>
    <s v="Yes"/>
    <s v="No"/>
    <s v="Client is disputing on decline charges on blocked cards,awaiting further update from AM."/>
    <m/>
  </r>
  <r>
    <s v="N1"/>
    <s v="Yondr Money Pty Ltd"/>
    <x v="0"/>
    <s v="Hao Nguyen"/>
    <s v="NA"/>
    <s v="Active"/>
    <n v="2025"/>
    <s v="Bank Transfer"/>
    <s v="AUD"/>
    <n v="4600.2592748113921"/>
    <n v="6871.5150000000003"/>
    <d v="2025-08-01T00:00:00"/>
    <s v="Aug"/>
    <n v="170"/>
    <x v="0"/>
    <s v="Monthly Billing"/>
    <d v="2025-09-03T00:00:00"/>
    <d v="2025-09-10T00:00:00"/>
    <s v="Outstanding"/>
    <s v="INV-030925145658"/>
    <s v="Yes"/>
    <s v="Yes"/>
    <s v="LOD sent, client will be suspended if payment not received by 3rd feb"/>
    <m/>
  </r>
  <r>
    <s v="N1"/>
    <s v="Red Owl Pty Ltd"/>
    <x v="0"/>
    <s v="NA"/>
    <s v="Vinoth M"/>
    <s v="Setup Fee billed"/>
    <n v="2025"/>
    <s v="Bank Transfer"/>
    <s v="AUD"/>
    <n v="21590.342393586769"/>
    <n v="32250"/>
    <d v="2025-09-01T00:00:00"/>
    <s v="Sep"/>
    <n v="128"/>
    <x v="0"/>
    <s v="Setup Fee"/>
    <d v="2025-09-22T00:00:00"/>
    <d v="2025-10-22T00:00:00"/>
    <s v="Outstanding"/>
    <s v="INV-220925103638"/>
    <s v="Yes"/>
    <s v="No"/>
    <s v="Setup fee billed"/>
    <m/>
  </r>
  <r>
    <s v="Masspay"/>
    <s v="FTB HUB S.A.C "/>
    <x v="1"/>
    <s v="Eduardo Avallone"/>
    <s v="NA"/>
    <s v="Active"/>
    <n v="2025"/>
    <s v="Wallet Debit"/>
    <s v="USD"/>
    <n v="1020"/>
    <n v="1020"/>
    <d v="2025-09-01T00:00:00"/>
    <s v="Sep"/>
    <n v="143"/>
    <x v="0"/>
    <s v="Monthly Billing"/>
    <d v="2025-10-01T00:00:00"/>
    <d v="2025-10-07T00:00:00"/>
    <s v="Force Settlement"/>
    <s v="SG-FTBHUB-09/2025"/>
    <s v="Yes"/>
    <s v="No"/>
    <s v="wallet debited, insufficient funds"/>
    <m/>
  </r>
  <r>
    <s v="N1"/>
    <s v="Bud Infrastructure Limited"/>
    <x v="1"/>
    <s v="NA"/>
    <s v="Michael Bermingham"/>
    <s v="Active"/>
    <n v="2025"/>
    <s v="Bank Transfer"/>
    <s v="USD"/>
    <n v="2000"/>
    <n v="2000"/>
    <d v="2025-09-01T00:00:00"/>
    <s v="Sep"/>
    <n v="141"/>
    <x v="0"/>
    <s v="Monthly Billing"/>
    <d v="2025-10-02T00:00:00"/>
    <d v="2025-10-09T00:00:00"/>
    <s v="Force Settlement"/>
    <s v="INV-021025161120"/>
    <s v="Yes"/>
    <s v="No"/>
    <s v="No response from the client post reminder sent"/>
    <m/>
  </r>
  <r>
    <s v="N1"/>
    <s v="Loadpass LTDA"/>
    <x v="1"/>
    <s v="Eduardo Avallone"/>
    <s v="Christina Hutchinson"/>
    <s v="Active"/>
    <n v="2025"/>
    <s v="Bank Transfer"/>
    <s v="USD"/>
    <n v="3487.5"/>
    <n v="3487.5"/>
    <d v="2025-09-01T00:00:00"/>
    <s v="Sep"/>
    <n v="141"/>
    <x v="0"/>
    <s v="Monthly Billing"/>
    <d v="2025-10-02T00:00:00"/>
    <d v="2025-10-09T00:00:00"/>
    <s v="Outstanding"/>
    <s v="INV-021025184847"/>
    <s v="Yes"/>
    <s v="No"/>
    <s v="AM is chasing the client to clear all o/s invoices"/>
    <m/>
  </r>
  <r>
    <s v="N1"/>
    <s v="VOLOPAY.CO PTE. LTD."/>
    <x v="0"/>
    <s v="XiaoXiao"/>
    <s v="Gitesh Athavale"/>
    <s v="Active"/>
    <n v="2025"/>
    <s v="Bank Transfer"/>
    <s v="USD"/>
    <n v="1430.625"/>
    <n v="1430.625"/>
    <d v="2025-09-01T00:00:00"/>
    <s v="Sep"/>
    <n v="137"/>
    <x v="0"/>
    <s v="Monthly Billing"/>
    <d v="2025-10-06T00:00:00"/>
    <d v="2025-10-13T00:00:00"/>
    <s v="Outstanding"/>
    <s v="INV-061025143320"/>
    <s v="Yes"/>
    <s v="No"/>
    <s v="Client is disputing on decline charges on blocked cards,awaiting further update from AM."/>
    <m/>
  </r>
  <r>
    <s v="N1"/>
    <s v="Yondr Money Pty Ltd"/>
    <x v="0"/>
    <s v="Hao Nguyen"/>
    <s v="NA"/>
    <s v="Active"/>
    <n v="2025"/>
    <s v="Bank Transfer"/>
    <s v="AUD"/>
    <n v="4495.6247766902861"/>
    <n v="6715.2199999999993"/>
    <d v="2025-09-01T00:00:00"/>
    <s v="Sep"/>
    <n v="137"/>
    <x v="0"/>
    <s v="Monthly Billing"/>
    <d v="2025-10-06T00:00:00"/>
    <d v="2025-10-13T00:00:00"/>
    <s v="Outstanding"/>
    <s v="INV-061025125629"/>
    <s v="Yes"/>
    <s v="Yes"/>
    <s v="LOD sent, client will be suspended if payment not received by 3rd feb"/>
    <m/>
  </r>
  <r>
    <s v="Masspay"/>
    <s v="FTB HUB S.A.C "/>
    <x v="1"/>
    <s v="Eduardo Avallone"/>
    <s v="NA"/>
    <s v="Active"/>
    <n v="2025"/>
    <s v="Wallet Debit"/>
    <s v="USD"/>
    <n v="1000"/>
    <n v="1000"/>
    <d v="2025-10-01T00:00:00"/>
    <s v="Oct"/>
    <n v="112"/>
    <x v="0"/>
    <s v="Monthly Billing"/>
    <d v="2025-11-01T00:00:00"/>
    <d v="2025-11-07T00:00:00"/>
    <s v="Force Settlement"/>
    <s v="SG-FTBHUB-10/2025"/>
    <s v="Yes"/>
    <s v="No"/>
    <s v="wallet debited, insufficient funds"/>
    <m/>
  </r>
  <r>
    <s v="Masspay"/>
    <s v="PT PELITA TRANSFER NUSANTARA"/>
    <x v="0"/>
    <s v="Luciana"/>
    <s v="NA"/>
    <s v="Active"/>
    <n v="2025"/>
    <s v="Bank Transfer"/>
    <s v="IDR"/>
    <n v="5.6508548239204046"/>
    <n v="95444"/>
    <d v="2025-10-01T00:00:00"/>
    <s v="Oct"/>
    <n v="101"/>
    <x v="0"/>
    <s v="Monthly Billing"/>
    <d v="2025-11-03T00:00:00"/>
    <d v="2025-11-18T00:00:00"/>
    <s v="Overdue"/>
    <s v="ID-ptpelita-10/2025"/>
    <s v="Yes"/>
    <s v="No"/>
    <s v="No response from the client post reminder sent"/>
    <m/>
  </r>
  <r>
    <s v="N1"/>
    <s v="Azimo Limited."/>
    <x v="2"/>
    <s v="Sachli Zare"/>
    <s v="Gitesh Athavale"/>
    <s v="Active"/>
    <n v="2025"/>
    <s v="Bank Transfer"/>
    <s v="GBP"/>
    <n v="186.0952808811318"/>
    <n v="139.19"/>
    <d v="2025-10-01T00:00:00"/>
    <s v="Oct"/>
    <n v="109"/>
    <x v="0"/>
    <s v="Monthly Billing"/>
    <d v="2025-11-03T00:00:00"/>
    <d v="2025-11-10T00:00:00"/>
    <s v="Outstanding"/>
    <s v="INV-031125184753"/>
    <s v="Yes"/>
    <s v="No"/>
    <s v="No response from the client post reminder sent"/>
    <m/>
  </r>
  <r>
    <s v="N1"/>
    <s v="Bud Infrastructure Limited"/>
    <x v="1"/>
    <s v="NA"/>
    <s v="Michael Bermingham"/>
    <s v="Active"/>
    <n v="2025"/>
    <s v="Bank Transfer"/>
    <s v="USD"/>
    <n v="2000"/>
    <n v="2000"/>
    <d v="2025-10-01T00:00:00"/>
    <s v="Oct"/>
    <n v="107"/>
    <x v="0"/>
    <s v="Monthly Billing"/>
    <d v="2025-11-05T00:00:00"/>
    <d v="2025-11-12T00:00:00"/>
    <s v="Force Settlement"/>
    <s v="INV-051125092759"/>
    <s v="Yes"/>
    <s v="No"/>
    <s v="No response from the client post reminder sent"/>
    <m/>
  </r>
  <r>
    <s v="N1"/>
    <s v="Budgetly Pty Ltd"/>
    <x v="0"/>
    <s v="Hao Nguyen"/>
    <s v="Vinoth M"/>
    <s v="Active"/>
    <n v="2025"/>
    <s v="Bank Transfer"/>
    <s v="AUD"/>
    <n v="919.11259138465959"/>
    <n v="1372.8999999999999"/>
    <d v="2025-09-01T00:00:00"/>
    <s v="Sep"/>
    <n v="91"/>
    <x v="0"/>
    <s v="Card Printing and Delivery"/>
    <d v="2025-10-28T00:00:00"/>
    <d v="2025-11-28T00:00:00"/>
    <s v="Outstanding"/>
    <s v="INV-281025170000"/>
    <s v="Yes"/>
    <s v="No"/>
    <s v="Card printing invoice pending"/>
    <m/>
  </r>
  <r>
    <s v="N1"/>
    <s v="JPMORGAN CHASE BANK"/>
    <x v="2"/>
    <s v="Sachli Zare"/>
    <s v="NA"/>
    <s v="Active"/>
    <n v="2025"/>
    <s v="Bank Transfer"/>
    <s v="USD"/>
    <n v="143.5"/>
    <n v="143.5"/>
    <d v="2025-10-01T00:00:00"/>
    <s v="Oct"/>
    <n v="107"/>
    <x v="0"/>
    <s v="Monthly Billing"/>
    <d v="2025-11-05T00:00:00"/>
    <d v="2025-11-12T00:00:00"/>
    <s v="Partially Paid"/>
    <s v="INV-051125174218"/>
    <s v="Yes"/>
    <s v="No"/>
    <s v="Partially settled by the client"/>
    <m/>
  </r>
  <r>
    <s v="N1"/>
    <s v="Loadpass LTDA"/>
    <x v="1"/>
    <s v="Eduardo Avallone"/>
    <s v="Christina Hutchinson"/>
    <s v="Active"/>
    <n v="2025"/>
    <s v="Bank Transfer"/>
    <s v="USD"/>
    <n v="2602.25"/>
    <n v="2602.25"/>
    <d v="2025-10-01T00:00:00"/>
    <s v="Oct"/>
    <n v="107"/>
    <x v="0"/>
    <s v="Monthly Billing"/>
    <d v="2025-11-05T00:00:00"/>
    <d v="2025-11-12T00:00:00"/>
    <s v="Outstanding"/>
    <s v="INV-051125173213"/>
    <s v="Yes"/>
    <s v="No"/>
    <s v="AM is chasing the client to clear all o/s invoices"/>
    <m/>
  </r>
  <r>
    <s v="N1"/>
    <s v="MULTIPLIER TECHNOLOGIES PTE. LTD"/>
    <x v="0"/>
    <s v="Shi Yin"/>
    <s v="Vinoth M"/>
    <s v="Active"/>
    <n v="2025"/>
    <s v="Bank Transfer"/>
    <s v="USD"/>
    <n v="2756.75"/>
    <n v="2756.75"/>
    <s v="Sep &amp; oct-2025"/>
    <s v="Oct"/>
    <n v="100"/>
    <x v="0"/>
    <s v="Monthly Billing"/>
    <d v="2025-11-05T00:00:00"/>
    <d v="2025-11-19T00:00:00"/>
    <s v="Partially Paid"/>
    <s v="INV-051125161416"/>
    <s v="Yes"/>
    <s v="No"/>
    <s v="No response from the client post reminder sent"/>
    <m/>
  </r>
  <r>
    <s v="N1"/>
    <s v="Yondr Money Pty Ltd"/>
    <x v="0"/>
    <s v="Hao Nguyen"/>
    <s v="NA"/>
    <s v="Active"/>
    <n v="2025"/>
    <s v="Bank Transfer"/>
    <s v="AUD"/>
    <n v="4473.4151764140934"/>
    <n v="6682.0450000000001"/>
    <d v="2025-10-01T00:00:00"/>
    <s v="Oct"/>
    <n v="106"/>
    <x v="0"/>
    <s v="Monthly Billing"/>
    <d v="2025-11-06T00:00:00"/>
    <d v="2025-11-13T00:00:00"/>
    <s v="Outstanding"/>
    <s v="INV-061125104927"/>
    <s v="Yes"/>
    <s v="Yes"/>
    <s v="LOD sent, client will be suspended if payment not received by 3rd feb"/>
    <m/>
  </r>
  <r>
    <s v="N1"/>
    <s v="Zeni, Inc."/>
    <x v="1"/>
    <s v="NA"/>
    <s v="Tyler Reed"/>
    <s v="Active"/>
    <n v="2025"/>
    <s v="Bank Transfer"/>
    <s v="USD"/>
    <n v="0.5"/>
    <n v="0.5"/>
    <d v="2025-10-01T00:00:00"/>
    <s v="Oct"/>
    <n v="107"/>
    <x v="0"/>
    <s v="Monthly Billing"/>
    <d v="2025-11-05T00:00:00"/>
    <d v="2025-11-12T00:00:00"/>
    <s v="Outstanding"/>
    <s v="INV-041125182344"/>
    <s v="Yes"/>
    <s v="No"/>
    <s v="No response from the client post reminder sent"/>
    <m/>
  </r>
  <r>
    <s v="N1"/>
    <s v="Budgetly Pty Ltd"/>
    <x v="0"/>
    <s v="Hao Nguyen"/>
    <s v="Vinoth M"/>
    <s v="Active"/>
    <n v="2025"/>
    <s v="Bank Transfer"/>
    <s v="AUD"/>
    <n v="1730.6282888314197"/>
    <n v="2585.08"/>
    <d v="2025-10-01T00:00:00"/>
    <s v="Oct"/>
    <n v="72"/>
    <x v="1"/>
    <s v="Card Printing and Delivery"/>
    <d v="2025-11-17T00:00:00"/>
    <d v="2025-12-17T00:00:00"/>
    <s v="Outstanding"/>
    <s v="INV-171125170000"/>
    <s v="No"/>
    <s v="No"/>
    <s v="Card printing invoice pending"/>
    <m/>
  </r>
  <r>
    <s v="Masspay"/>
    <s v="FTB HUB S.A.C "/>
    <x v="1"/>
    <s v="Eduardo Avallone"/>
    <s v="NA"/>
    <s v="Active"/>
    <n v="2025"/>
    <s v="Wallet Debit"/>
    <s v="USD"/>
    <n v="1000"/>
    <n v="1000"/>
    <d v="2025-11-01T00:00:00"/>
    <s v="Nov"/>
    <n v="81"/>
    <x v="1"/>
    <s v="Monthly Billing"/>
    <d v="2025-12-01T00:00:00"/>
    <d v="2025-12-08T00:00:00"/>
    <s v="Force Settlement"/>
    <s v="SG-FTBHUB-11/2025"/>
    <s v="Yes"/>
    <s v="No"/>
    <s v="wallet debited, insufficient funds"/>
    <m/>
  </r>
  <r>
    <s v="Masspay"/>
    <s v="you technologies group (singapore) pte. Ltd - Verify"/>
    <x v="0"/>
    <s v="XiaoXiao"/>
    <s v="NA"/>
    <s v="Active"/>
    <n v="2025"/>
    <s v="Bank Transfer"/>
    <s v="USD"/>
    <n v="3064"/>
    <n v="3064"/>
    <d v="2025-11-01T00:00:00"/>
    <s v="Nov"/>
    <n v="74"/>
    <x v="1"/>
    <s v="Monthly Billing"/>
    <d v="2025-12-02T00:00:00"/>
    <d v="2025-12-15T00:00:00"/>
    <s v="Overdue"/>
    <s v="US-youtech-Verify-11/2025"/>
    <s v="Yes"/>
    <s v="No"/>
    <s v="No response from the client post reminder sent"/>
    <m/>
  </r>
  <r>
    <s v="N1"/>
    <s v="Azimo Limited."/>
    <x v="2"/>
    <s v="Sachli Zare"/>
    <s v="Gitesh Athavale"/>
    <s v="Active"/>
    <n v="2025"/>
    <s v="Bank Transfer"/>
    <s v="GBP"/>
    <n v="127.08065556255175"/>
    <n v="95.05"/>
    <d v="2025-11-01T00:00:00"/>
    <s v="Nov"/>
    <n v="57"/>
    <x v="2"/>
    <s v="Monthly Billing"/>
    <d v="2025-12-02T00:00:00"/>
    <d v="2026-01-01T00:00:00"/>
    <s v="Invoice Sent"/>
    <s v="INV-021225130146"/>
    <s v="Yes"/>
    <s v="No"/>
    <s v="No response from the client post reminder sent"/>
    <m/>
  </r>
  <r>
    <s v="N1"/>
    <s v="Bendix Foreign Exchange Corporation"/>
    <x v="1"/>
    <s v="Eduardo Avallone"/>
    <s v="Tyler Reed"/>
    <s v="Active"/>
    <n v="2025"/>
    <s v="Bank Transfer"/>
    <s v="USD"/>
    <n v="1902.73"/>
    <n v="1902.73"/>
    <d v="2025-11-01T00:00:00"/>
    <s v="Nov"/>
    <n v="79"/>
    <x v="1"/>
    <s v="Monthly Billing"/>
    <d v="2025-12-03T00:00:00"/>
    <d v="2025-12-10T00:00:00"/>
    <s v="Outstanding"/>
    <s v="INV-031225114343"/>
    <s v="Yes"/>
    <s v="No"/>
    <s v="No response from the client post reminder sent"/>
    <m/>
  </r>
  <r>
    <s v="N1"/>
    <s v="Bud Infrastructure Limited"/>
    <x v="1"/>
    <s v="NA"/>
    <s v="Michael Bermingham"/>
    <s v="Active"/>
    <n v="2025"/>
    <s v="Bank Transfer"/>
    <s v="USD"/>
    <n v="2000"/>
    <n v="2000"/>
    <d v="2025-11-01T00:00:00"/>
    <s v="Nov"/>
    <n v="80"/>
    <x v="1"/>
    <s v="Monthly Billing"/>
    <d v="2025-12-02T00:00:00"/>
    <d v="2025-12-09T00:00:00"/>
    <s v="Force Settlement"/>
    <s v="INV-021225163914"/>
    <s v="Yes"/>
    <s v="No"/>
    <s v="No response from the client post reminder sent"/>
    <m/>
  </r>
  <r>
    <s v="N1"/>
    <s v="Budgetly Pty Ltd"/>
    <x v="0"/>
    <s v="Hao Nguyen"/>
    <s v="Vinoth M"/>
    <s v="Active"/>
    <n v="2025"/>
    <s v="Bank Transfer"/>
    <s v="AUD"/>
    <n v="1729.4968879431976"/>
    <n v="2583.39"/>
    <d v="2025-11-01T00:00:00"/>
    <s v="Nov"/>
    <n v="43"/>
    <x v="2"/>
    <s v="Card Printing and Delivery"/>
    <d v="2025-12-15T00:00:00"/>
    <d v="2026-01-15T00:00:00"/>
    <s v="Invoice Sent"/>
    <s v="INV-151225170000"/>
    <s v="No"/>
    <s v="No"/>
    <s v="Card printing invoice pending"/>
    <m/>
  </r>
  <r>
    <s v="N1"/>
    <s v="goLance, Inc."/>
    <x v="1"/>
    <s v="Eduardo Avallone"/>
    <s v="Greg McAllister"/>
    <s v="Active"/>
    <n v="2025"/>
    <s v="Bank Transfer"/>
    <s v="USD"/>
    <n v="130"/>
    <n v="130"/>
    <d v="2025-11-01T00:00:00"/>
    <s v="Nov"/>
    <n v="80"/>
    <x v="1"/>
    <s v="Monthly Billing"/>
    <d v="2025-12-02T00:00:00"/>
    <d v="2025-12-09T00:00:00"/>
    <s v="Outstanding"/>
    <s v="INV-021225154117"/>
    <s v="Yes"/>
    <s v="No"/>
    <s v="No response from the client post reminder sent"/>
    <m/>
  </r>
  <r>
    <s v="N1"/>
    <s v="International Payments Identity Pte. Ltd."/>
    <x v="0"/>
    <s v="NA"/>
    <s v="Febriali Tan"/>
    <s v="Active"/>
    <n v="2025"/>
    <s v="Bank Transfer"/>
    <s v="USD"/>
    <n v="302.05"/>
    <n v="302.05"/>
    <d v="2025-11-01T00:00:00"/>
    <s v="Nov"/>
    <n v="80"/>
    <x v="1"/>
    <s v="Monthly Billing"/>
    <d v="2025-12-02T00:00:00"/>
    <d v="2025-12-09T00:00:00"/>
    <s v="Outstanding"/>
    <s v="INV-021225190800"/>
    <s v="Yes"/>
    <s v="No"/>
    <s v="No response from the client post reminder sent"/>
    <m/>
  </r>
  <r>
    <s v="N1"/>
    <s v="Istanbul Ödeme ve Elektronik Para A.S"/>
    <x v="3"/>
    <s v="Jerome Coelho"/>
    <s v="Ashraf Omran"/>
    <s v="Active"/>
    <n v="2025"/>
    <s v="Bank Transfer"/>
    <s v="USD"/>
    <n v="57.489999999999782"/>
    <n v="57.489999999999782"/>
    <d v="2025-11-01T00:00:00"/>
    <s v="Nov"/>
    <n v="80"/>
    <x v="1"/>
    <s v="Monthly Billing"/>
    <d v="2025-12-02T00:00:00"/>
    <d v="2025-12-09T00:00:00"/>
    <s v="Partially Paid"/>
    <s v="INV-021225185612"/>
    <s v="Yes"/>
    <s v="No"/>
    <s v="No response from the client post reminder sent"/>
    <m/>
  </r>
  <r>
    <s v="N1"/>
    <s v="Loadpass LTDA"/>
    <x v="1"/>
    <s v="Eduardo Avallone"/>
    <s v="Christina Hutchinson"/>
    <s v="Active"/>
    <n v="2025"/>
    <s v="Bank Transfer"/>
    <s v="USD"/>
    <n v="1786.14"/>
    <n v="1786.14"/>
    <d v="2025-11-01T00:00:00"/>
    <s v="Nov"/>
    <n v="80"/>
    <x v="1"/>
    <s v="Monthly Billing"/>
    <d v="2025-12-02T00:00:00"/>
    <d v="2025-12-09T00:00:00"/>
    <s v="Outstanding"/>
    <s v="INV-021225201549"/>
    <s v="Yes"/>
    <s v="No"/>
    <s v="AM is chasing the client to clear all o/s invoices"/>
    <m/>
  </r>
  <r>
    <s v="N1"/>
    <s v="MeshPay EU Ltd"/>
    <x v="2"/>
    <s v="Sachli Zare"/>
    <s v="NA"/>
    <s v="Active"/>
    <n v="2025"/>
    <s v="Bank Transfer"/>
    <s v="USD"/>
    <n v="66.3"/>
    <n v="66.3"/>
    <d v="2025-11-01T00:00:00"/>
    <s v="Nov"/>
    <n v="43"/>
    <x v="2"/>
    <s v="Card Printing and Delivery"/>
    <d v="2025-12-15T00:00:00"/>
    <d v="2026-01-15T00:00:00"/>
    <s v="Invoice Sent"/>
    <s v="INV2025-MSH-011"/>
    <s v="No"/>
    <s v="No"/>
    <s v="No response from the client post reminder sent"/>
    <m/>
  </r>
  <r>
    <s v="N1"/>
    <s v="MULTIPLIER TECHNOLOGIES PTE. LTD"/>
    <x v="0"/>
    <s v="Shi Yin"/>
    <s v="Vinoth M"/>
    <s v="Active"/>
    <n v="2025"/>
    <s v="Bank Transfer"/>
    <s v="USD"/>
    <n v="2743"/>
    <n v="2743"/>
    <d v="2025-11-01T00:00:00"/>
    <s v="Nov"/>
    <n v="71"/>
    <x v="1"/>
    <s v="Monthly Billing"/>
    <d v="2025-12-03T00:00:00"/>
    <d v="2025-12-18T00:00:00"/>
    <s v="Invoice Sent"/>
    <s v="INV-031225170417"/>
    <s v="Yes"/>
    <s v="No"/>
    <s v="No response from the client post reminder sent"/>
    <m/>
  </r>
  <r>
    <s v="N1"/>
    <s v="Nomba Financial Services Ltd"/>
    <x v="3"/>
    <s v="Jerome Coelho"/>
    <s v="Winfred"/>
    <s v="Active"/>
    <n v="2025"/>
    <s v="Bank Transfer"/>
    <s v="USD"/>
    <n v="50"/>
    <n v="50"/>
    <d v="2025-11-01T00:00:00"/>
    <s v="Nov"/>
    <n v="79"/>
    <x v="1"/>
    <s v="Monthly Billing"/>
    <d v="2025-12-03T00:00:00"/>
    <d v="2025-12-10T00:00:00"/>
    <s v="Outstanding"/>
    <s v="INV-031225181126"/>
    <s v="Yes"/>
    <s v="No"/>
    <s v="No response from the client post reminder sent"/>
    <m/>
  </r>
  <r>
    <s v="N1"/>
    <s v="Yondr Money Pty Ltd"/>
    <x v="0"/>
    <s v="Hao Nguyen"/>
    <s v="NA"/>
    <s v="Active"/>
    <n v="2025"/>
    <s v="Bank Transfer"/>
    <s v="AUD"/>
    <n v="4586.6382792659679"/>
    <n v="6851.1689999999999"/>
    <d v="2025-11-01T00:00:00"/>
    <s v="Nov"/>
    <n v="78"/>
    <x v="1"/>
    <s v="Monthly Billing"/>
    <d v="2025-12-04T00:00:00"/>
    <d v="2025-12-11T00:00:00"/>
    <s v="Outstanding"/>
    <s v="INV-041225150054"/>
    <s v="Yes"/>
    <s v="Yes"/>
    <s v="LOD sent, client will be suspended if payment not received by 3rd feb"/>
    <m/>
  </r>
  <r>
    <s v="N1"/>
    <s v="Zeni, Inc."/>
    <x v="1"/>
    <s v="NA"/>
    <s v="Tyler Reed"/>
    <s v="Active"/>
    <n v="2025"/>
    <s v="Bank Transfer"/>
    <s v="USD"/>
    <n v="500"/>
    <n v="500"/>
    <d v="2025-11-01T00:00:00"/>
    <s v="Nov"/>
    <n v="79"/>
    <x v="1"/>
    <s v="Monthly Billing"/>
    <d v="2025-12-03T00:00:00"/>
    <d v="2025-12-10T00:00:00"/>
    <s v="Outstanding"/>
    <s v="INV-031225091936"/>
    <s v="Yes"/>
    <s v="No"/>
    <s v="No response from the client post reminder sent"/>
    <m/>
  </r>
  <r>
    <s v="N1"/>
    <s v="Every, Inc."/>
    <x v="1"/>
    <s v="NA"/>
    <s v="Michael Bermingham"/>
    <s v="Active"/>
    <n v="2025"/>
    <s v="Bank Transfer"/>
    <s v="USD"/>
    <n v="2500"/>
    <n v="2500"/>
    <d v="2025-12-01T00:00:00"/>
    <s v="Dec"/>
    <n v="64"/>
    <x v="1"/>
    <s v="Setup Fee"/>
    <d v="2025-12-18T00:00:00"/>
    <d v="2025-12-25T00:00:00"/>
    <s v="Invoice Sent"/>
    <s v="INV-181225104616"/>
    <s v="Yes"/>
    <s v="No"/>
    <s v="No response from the client post reminder sent"/>
    <m/>
  </r>
  <r>
    <s v="Masspay"/>
    <s v="GLOBAL ROOTS INC"/>
    <x v="1"/>
    <s v="Eduardo Avallone"/>
    <s v="NA"/>
    <s v="Active"/>
    <n v="2025"/>
    <s v="Bank Transfer"/>
    <s v="USD"/>
    <n v="2217.6"/>
    <n v="2217.6"/>
    <d v="2025-12-01T00:00:00"/>
    <s v="Dec"/>
    <n v="41"/>
    <x v="2"/>
    <s v="Monthly Billing"/>
    <d v="2026-01-02T00:00:00"/>
    <d v="2026-01-17T00:00:00"/>
    <s v="Invoice Sent"/>
    <s v="US-GLOBAL ROOTS INC-12/2025"/>
    <s v="Yes"/>
    <s v="No"/>
    <s v="No response from the client post reminder sent"/>
    <m/>
  </r>
  <r>
    <s v="Masspay"/>
    <s v="PT FLIPTECH LENTERA INSPIRASI PERTIWI"/>
    <x v="0"/>
    <s v="Hao Nguyen"/>
    <s v="NA"/>
    <s v="Active"/>
    <n v="2025"/>
    <s v="Bank Transfer"/>
    <s v="USD"/>
    <n v="6022.36"/>
    <n v="6022.36"/>
    <d v="2025-12-01T00:00:00"/>
    <s v="Dec"/>
    <n v="41"/>
    <x v="2"/>
    <s v="Monthly Billing"/>
    <d v="2026-01-02T00:00:00"/>
    <d v="2026-01-17T00:00:00"/>
    <s v="Invoice Sent"/>
    <s v="ID-PT FLIPTECH-12/2025"/>
    <s v="Yes"/>
    <s v="No"/>
    <s v="No response from the client post reminder sent"/>
    <m/>
  </r>
  <r>
    <s v="Masspay"/>
    <s v="PT PELITA TRANSFER NUSANTARA"/>
    <x v="0"/>
    <s v="Luciana"/>
    <s v="NA"/>
    <s v="Active"/>
    <n v="2025"/>
    <s v="Bank Transfer"/>
    <s v="IDR"/>
    <n v="5.6508548239204046"/>
    <n v="95444"/>
    <d v="2025-12-01T00:00:00"/>
    <s v="Dec"/>
    <n v="41"/>
    <x v="2"/>
    <s v="Monthly Billing"/>
    <d v="2026-01-02T00:00:00"/>
    <d v="2026-01-17T00:00:00"/>
    <s v="Invoice Sent"/>
    <s v="ID-ptpelita-12/2025"/>
    <s v="Yes"/>
    <s v="No"/>
    <s v="No response from the client post reminder sent"/>
    <m/>
  </r>
  <r>
    <s v="Masspay"/>
    <s v="REMIT5"/>
    <x v="1"/>
    <s v="Tanu Arora"/>
    <s v="Michael Bermingham"/>
    <s v="Active"/>
    <n v="2025"/>
    <s v="Bank Transfer"/>
    <s v="USD"/>
    <n v="2500"/>
    <n v="2500"/>
    <d v="2025-12-01T00:00:00"/>
    <s v="Dec"/>
    <n v="48"/>
    <x v="2"/>
    <s v="Monthly Billing"/>
    <d v="2026-01-03T00:00:00"/>
    <d v="2026-01-10T00:00:00"/>
    <s v="Overdue"/>
    <s v="CA-REMIT5-12/2025"/>
    <s v="Yes"/>
    <s v="No"/>
    <s v="No response from the client post reminder sent"/>
    <m/>
  </r>
  <r>
    <s v="Masspay"/>
    <s v="TClub Inc."/>
    <x v="1"/>
    <s v="Tanu Arora"/>
    <s v="NA"/>
    <s v="Active"/>
    <n v="2025"/>
    <s v="Bank Transfer"/>
    <s v="USD"/>
    <n v="1.5"/>
    <n v="1.5"/>
    <d v="2025-12-01T00:00:00"/>
    <s v="Dec"/>
    <n v="48"/>
    <x v="2"/>
    <s v="Monthly Billing"/>
    <d v="2026-01-03T00:00:00"/>
    <d v="2026-01-10T00:00:00"/>
    <s v="Overdue"/>
    <s v="US-TClub Inc.-12/2025"/>
    <s v="Yes"/>
    <s v="No"/>
    <s v="No response from the client post reminder sent"/>
    <m/>
  </r>
  <r>
    <s v="Masspay"/>
    <s v="Yala Global Technologies Inc."/>
    <x v="3"/>
    <s v="Jerome Coelho"/>
    <s v="Winfred"/>
    <s v="Active"/>
    <n v="2025"/>
    <s v="Bank Transfer"/>
    <s v="USD"/>
    <n v="3323"/>
    <n v="3323"/>
    <d v="2025-12-01T00:00:00"/>
    <s v="Dec"/>
    <n v="48"/>
    <x v="2"/>
    <s v="Monthly Billing"/>
    <d v="2026-01-03T00:00:00"/>
    <d v="2026-01-10T00:00:00"/>
    <s v="Overdue"/>
    <s v="CA-Yala-12/2025"/>
    <s v="Yes"/>
    <s v="No"/>
    <s v="No response from the client post reminder sent"/>
    <m/>
  </r>
  <r>
    <s v="Masspay"/>
    <s v="zenus bank international, inc"/>
    <x v="1"/>
    <s v="Eduardo Avallone"/>
    <s v="Michael Bermingham"/>
    <s v="Active"/>
    <n v="2025"/>
    <s v="Bank Transfer"/>
    <s v="USD"/>
    <n v="2500"/>
    <n v="2500"/>
    <d v="2025-12-01T00:00:00"/>
    <s v="Dec"/>
    <n v="48"/>
    <x v="2"/>
    <s v="Monthly Billing"/>
    <d v="2026-01-03T00:00:00"/>
    <d v="2026-01-10T00:00:00"/>
    <s v="Overdue"/>
    <s v="SG-Zenusbank-12/2025"/>
    <s v="Yes"/>
    <s v="No"/>
    <s v="No response from the client post reminder sent"/>
    <m/>
  </r>
  <r>
    <s v="N1"/>
    <s v="Al Muzaini Exchange"/>
    <x v="3"/>
    <s v="Jerome Coelho"/>
    <s v="Ashraf Omran"/>
    <s v="Active"/>
    <n v="2025"/>
    <s v="Bank Transfer"/>
    <s v="USD"/>
    <n v="10"/>
    <n v="10"/>
    <d v="2025-11-01T00:00:00"/>
    <s v="Nov"/>
    <n v="45"/>
    <x v="2"/>
    <s v="Monthly Billing"/>
    <d v="2026-01-06T00:00:00"/>
    <d v="2026-01-13T00:00:00"/>
    <s v="Outstanding"/>
    <s v="INV-060126150040"/>
    <s v="Yes"/>
    <s v="No"/>
    <s v="credit note will be settled against future invoices"/>
    <m/>
  </r>
  <r>
    <s v="N1"/>
    <s v="Azimo Limited."/>
    <x v="2"/>
    <s v="Sachli Zare"/>
    <s v="Gitesh Athavale"/>
    <s v="Active"/>
    <n v="2025"/>
    <s v="Bank Transfer"/>
    <s v="GBP"/>
    <n v="29.961888386709994"/>
    <n v="22.41"/>
    <d v="2025-12-01T00:00:00"/>
    <s v="Dec"/>
    <n v="26"/>
    <x v="3"/>
    <s v="Monthly Billing"/>
    <d v="2026-01-02T00:00:00"/>
    <d v="2026-02-01T00:00:00"/>
    <s v="Invoice Sent"/>
    <s v="INV-020126135021"/>
    <s v="Yes"/>
    <s v="No"/>
    <s v="No response from the client post reminder sent"/>
    <m/>
  </r>
  <r>
    <s v="N1"/>
    <s v="Bud Infrastructure Limited"/>
    <x v="1"/>
    <s v="NA"/>
    <s v="Michael Bermingham"/>
    <s v="Active"/>
    <n v="2025"/>
    <s v="Bank Transfer"/>
    <s v="USD"/>
    <n v="2000"/>
    <n v="2000"/>
    <d v="2025-12-01T00:00:00"/>
    <s v="Dec"/>
    <n v="49"/>
    <x v="2"/>
    <s v="Monthly Billing"/>
    <d v="2026-01-02T00:00:00"/>
    <d v="2026-01-09T00:00:00"/>
    <s v="Outstanding"/>
    <s v="INV-020126141332"/>
    <s v="Yes"/>
    <s v="No"/>
    <s v="No response from the client post reminder sent"/>
    <m/>
  </r>
  <r>
    <s v="N1"/>
    <s v="Budgetly Pty Ltd"/>
    <x v="0"/>
    <s v="Hao Nguyen"/>
    <s v="Vinoth M"/>
    <s v="Active"/>
    <n v="2025"/>
    <s v="Bank Transfer"/>
    <s v="AUD"/>
    <n v="795.00527809449466"/>
    <n v="1187.5180000000037"/>
    <d v="2025-12-01T00:00:00"/>
    <s v="Dec"/>
    <n v="22"/>
    <x v="3"/>
    <s v="Monthly Billing"/>
    <d v="2026-01-06T00:00:00"/>
    <d v="2026-02-05T00:00:00"/>
    <s v="Invoice Sent"/>
    <s v="INV-060126122618"/>
    <s v="Yes"/>
    <s v="No"/>
    <s v="Card printing invoice pending"/>
    <m/>
  </r>
  <r>
    <s v="N1"/>
    <s v="DK Limited"/>
    <x v="0"/>
    <s v="NA"/>
    <s v="Gitesh Athavale"/>
    <s v="Active"/>
    <n v="2025"/>
    <s v="Bank Transfer"/>
    <s v="USD"/>
    <n v="2897.79"/>
    <n v="2897.79"/>
    <d v="2025-12-01T00:00:00"/>
    <s v="Dec"/>
    <n v="46"/>
    <x v="2"/>
    <s v="Monthly Billing"/>
    <d v="2026-01-05T00:00:00"/>
    <d v="2026-01-12T00:00:00"/>
    <s v="Outstanding"/>
    <s v="INV-050126162303"/>
    <s v="Yes"/>
    <s v="No"/>
    <s v="No response from the client post reminder sent"/>
    <m/>
  </r>
  <r>
    <s v="N1"/>
    <s v="FIRSTKYC PTE. LTD."/>
    <x v="0"/>
    <s v="NA"/>
    <s v="Denis Tan"/>
    <s v="Active"/>
    <n v="2025"/>
    <s v="Bank Transfer"/>
    <s v="USD"/>
    <n v="1.72"/>
    <n v="1.72"/>
    <d v="2025-12-01T00:00:00"/>
    <s v="Dec"/>
    <n v="46"/>
    <x v="2"/>
    <s v="Monthly Billing"/>
    <d v="2026-01-05T00:00:00"/>
    <d v="2026-01-12T00:00:00"/>
    <s v="Outstanding"/>
    <s v="INV-050126095427"/>
    <s v="Yes"/>
    <s v="No"/>
    <s v="No response from the client post reminder sent"/>
    <m/>
  </r>
  <r>
    <s v="N1"/>
    <s v="Futurepay Global Limited"/>
    <x v="0"/>
    <s v="NA"/>
    <s v="Edward Li"/>
    <s v="Active"/>
    <n v="2025"/>
    <s v="Bank Transfer"/>
    <s v="USD"/>
    <n v="1184.1099999999999"/>
    <n v="1184.1099999999999"/>
    <d v="2025-12-01T00:00:00"/>
    <s v="Dec"/>
    <n v="49"/>
    <x v="2"/>
    <s v="Monthly Billing"/>
    <d v="2026-01-02T00:00:00"/>
    <d v="2026-01-09T00:00:00"/>
    <s v="Outstanding"/>
    <s v="INV-020126193151"/>
    <s v="Yes"/>
    <s v="No"/>
    <s v="No response from the client post reminder sent"/>
    <m/>
  </r>
  <r>
    <s v="N1"/>
    <s v="Global E-Payment Limited"/>
    <x v="0"/>
    <s v="Pat Sarisa"/>
    <s v="Gitesh Athavale"/>
    <s v="Active"/>
    <n v="2025"/>
    <s v="Bank Transfer"/>
    <s v="USD"/>
    <n v="44332.25"/>
    <n v="44332.25"/>
    <d v="2025-12-01T00:00:00"/>
    <s v="Dec"/>
    <n v="45"/>
    <x v="2"/>
    <s v="Monthly Billing"/>
    <d v="2026-01-06T00:00:00"/>
    <d v="2026-01-13T00:00:00"/>
    <s v="Outstanding"/>
    <s v="INV-060126162316"/>
    <s v="Yes"/>
    <s v="No"/>
    <s v="No response from the client post reminder sent"/>
    <m/>
  </r>
  <r>
    <s v="N1"/>
    <s v="goLance, Inc."/>
    <x v="1"/>
    <s v="Eduardo Avallone"/>
    <s v="Greg McAllister"/>
    <s v="Active"/>
    <n v="2025"/>
    <s v="Bank Transfer"/>
    <s v="USD"/>
    <n v="100"/>
    <n v="100"/>
    <d v="2025-12-01T00:00:00"/>
    <s v="Dec"/>
    <n v="49"/>
    <x v="2"/>
    <s v="Monthly Billing"/>
    <d v="2026-01-02T00:00:00"/>
    <d v="2026-01-09T00:00:00"/>
    <s v="Outstanding"/>
    <s v="INV-020126171358"/>
    <s v="Yes"/>
    <s v="No"/>
    <s v="No response from the client post reminder sent"/>
    <m/>
  </r>
  <r>
    <s v="N1"/>
    <s v="International Payments Identity Pte. Ltd."/>
    <x v="0"/>
    <s v="NA"/>
    <s v="Febriali Tan"/>
    <s v="Active"/>
    <n v="2025"/>
    <s v="Bank Transfer"/>
    <s v="USD"/>
    <n v="7"/>
    <n v="7"/>
    <d v="2025-12-01T00:00:00"/>
    <s v="Dec"/>
    <n v="46"/>
    <x v="2"/>
    <s v="Monthly Billing"/>
    <d v="2026-01-05T00:00:00"/>
    <d v="2026-01-12T00:00:00"/>
    <s v="Outstanding"/>
    <s v="INV-050126182028"/>
    <s v="Yes"/>
    <s v="No"/>
    <s v="No response from the client post reminder sent"/>
    <m/>
  </r>
  <r>
    <s v="N1"/>
    <s v="iPiD Europe B.V."/>
    <x v="0"/>
    <s v="NA"/>
    <s v="Febriali Tan"/>
    <s v="Active"/>
    <n v="2025"/>
    <s v="Bank Transfer"/>
    <s v="USD"/>
    <n v="2000"/>
    <n v="2000"/>
    <d v="2025-12-01T00:00:00"/>
    <s v="Dec"/>
    <n v="45"/>
    <x v="2"/>
    <s v="Monthly Billing"/>
    <d v="2026-01-06T00:00:00"/>
    <d v="2026-01-13T00:00:00"/>
    <s v="Outstanding"/>
    <s v="INV-060126114015"/>
    <s v="Yes"/>
    <s v="No"/>
    <s v="No response from the client post reminder sent"/>
    <m/>
  </r>
  <r>
    <s v="N1"/>
    <s v="Istanbul Ödeme ve Elektronik Para A.S"/>
    <x v="3"/>
    <s v="Jerome Coelho"/>
    <s v="Ashraf Omran"/>
    <s v="Active"/>
    <n v="2025"/>
    <s v="Bank Transfer"/>
    <s v="USD"/>
    <n v="2500"/>
    <n v="2500"/>
    <d v="2025-12-01T00:00:00"/>
    <s v="Dec"/>
    <n v="46"/>
    <x v="2"/>
    <s v="Monthly Billing"/>
    <d v="2026-01-05T00:00:00"/>
    <d v="2026-01-12T00:00:00"/>
    <s v="Force Settlement"/>
    <s v="INV-050126150313"/>
    <s v="Yes"/>
    <s v="No"/>
    <s v="No response from the client post reminder sent"/>
    <m/>
  </r>
  <r>
    <s v="N1"/>
    <s v="JPMORGAN CHASE BANK"/>
    <x v="2"/>
    <s v="Sachli Zare"/>
    <s v="NA"/>
    <s v="Active"/>
    <n v="2025"/>
    <s v="Bank Transfer"/>
    <s v="USD"/>
    <n v="2.5"/>
    <n v="2.5"/>
    <d v="2025-12-01T00:00:00"/>
    <s v="Dec"/>
    <n v="46"/>
    <x v="2"/>
    <s v="Monthly Billing"/>
    <d v="2026-01-05T00:00:00"/>
    <d v="2026-01-12T00:00:00"/>
    <s v="Outstanding"/>
    <s v="INV-050126184308"/>
    <s v="Yes"/>
    <s v="No"/>
    <s v="Partially settled by the client"/>
    <m/>
  </r>
  <r>
    <s v="N1"/>
    <s v="Loadpass LTDA"/>
    <x v="1"/>
    <s v="Eduardo Avallone"/>
    <s v="Christina Hutchinson"/>
    <s v="Active"/>
    <n v="2025"/>
    <s v="Bank Transfer"/>
    <s v="USD"/>
    <n v="1659.6200000000001"/>
    <n v="1659.6200000000001"/>
    <d v="2025-12-01T00:00:00"/>
    <s v="Dec"/>
    <n v="46"/>
    <x v="2"/>
    <s v="Monthly Billing"/>
    <d v="2026-01-05T00:00:00"/>
    <d v="2026-01-12T00:00:00"/>
    <s v="Outstanding"/>
    <s v="INV-050126153219"/>
    <s v="Yes"/>
    <s v="No"/>
    <s v="AM is chasing the client to clear all o/s invoices"/>
    <m/>
  </r>
  <r>
    <s v="N1"/>
    <s v="MULTIPLIER TECHNOLOGIES PTE. LTD"/>
    <x v="0"/>
    <s v="Shi Yin"/>
    <s v="Vinoth M"/>
    <s v="Active"/>
    <n v="2025"/>
    <s v="Bank Transfer"/>
    <s v="USD"/>
    <n v="2034"/>
    <n v="2034"/>
    <d v="2025-12-01T00:00:00"/>
    <s v="Dec"/>
    <n v="46"/>
    <x v="2"/>
    <s v="Monthly Billing"/>
    <d v="2026-01-05T00:00:00"/>
    <d v="2026-01-12T00:00:00"/>
    <s v="Outstanding"/>
    <s v="INV-050126154823"/>
    <s v="Yes"/>
    <s v="No"/>
    <s v="No response from the client post reminder sent"/>
    <m/>
  </r>
  <r>
    <s v="N1"/>
    <s v="Nomba Financial Services Ltd"/>
    <x v="3"/>
    <s v="Jerome Coelho"/>
    <s v="Winfred"/>
    <s v="Active"/>
    <n v="2025"/>
    <s v="Bank Transfer"/>
    <s v="USD"/>
    <n v="3025"/>
    <n v="3025"/>
    <d v="2025-12-01T00:00:00"/>
    <s v="Dec"/>
    <n v="46"/>
    <x v="2"/>
    <s v="Monthly Billing"/>
    <d v="2026-01-05T00:00:00"/>
    <d v="2026-01-12T00:00:00"/>
    <s v="Outstanding"/>
    <s v="INV-050126125120"/>
    <s v="Yes"/>
    <s v="No"/>
    <s v="No response from the client post reminder sent"/>
    <m/>
  </r>
  <r>
    <s v="N1"/>
    <s v="SingCash Pte Ltd"/>
    <x v="0"/>
    <s v="Shi Yin"/>
    <s v="Gitesh Athavale"/>
    <s v="Active"/>
    <n v="2025"/>
    <s v="Bank Transfer"/>
    <s v="SGD"/>
    <n v="55032.238341047159"/>
    <n v="70849.935790000003"/>
    <d v="2025-12-01T00:00:00"/>
    <s v="Dec"/>
    <n v="21"/>
    <x v="3"/>
    <s v="Monthly Billing"/>
    <d v="2026-01-07T00:00:00"/>
    <d v="2026-02-06T00:00:00"/>
    <s v="Invoice Sent"/>
    <s v="INV-070126100548"/>
    <s v="Yes"/>
    <s v="No"/>
    <s v="Client settles the invoice basis due date"/>
    <m/>
  </r>
  <r>
    <s v="N1"/>
    <s v="VECTOR HOLDINGS PTY LTD"/>
    <x v="0"/>
    <s v="Hao Nguyen"/>
    <s v="NA"/>
    <s v="Active"/>
    <n v="2025"/>
    <s v="Bank Transfer"/>
    <s v="AUD"/>
    <n v="7513.7564807912822"/>
    <n v="11223.473999999998"/>
    <d v="2025-12-01T00:00:00"/>
    <s v="Dec"/>
    <n v="45"/>
    <x v="2"/>
    <s v="Monthly Billing"/>
    <d v="2026-01-06T00:00:00"/>
    <d v="2026-01-13T00:00:00"/>
    <s v="Outstanding"/>
    <s v="INV-060126174349"/>
    <s v="Yes"/>
    <s v="No"/>
    <s v="No response from the client post reminder sent"/>
    <m/>
  </r>
  <r>
    <s v="N1"/>
    <s v="Yondr Money Pty Ltd"/>
    <x v="0"/>
    <s v="Hao Nguyen"/>
    <s v="NA"/>
    <s v="Active"/>
    <n v="2025"/>
    <s v="Bank Transfer"/>
    <s v="AUD"/>
    <n v="4550.0558709014676"/>
    <n v="6796.5250000000005"/>
    <d v="2025-12-01T00:00:00"/>
    <s v="Dec"/>
    <n v="45"/>
    <x v="2"/>
    <s v="Monthly Billing"/>
    <d v="2026-01-06T00:00:00"/>
    <d v="2026-01-13T00:00:00"/>
    <s v="Outstanding"/>
    <s v="INV-060126181825"/>
    <s v="Yes"/>
    <s v="Yes"/>
    <s v="LOD sent, client will be suspended if payment not received by 3rd feb"/>
    <m/>
  </r>
  <r>
    <s v="N1"/>
    <s v="Yorbis Inc."/>
    <x v="1"/>
    <s v="Lia Susin"/>
    <s v="Andrew Gyenis"/>
    <s v="Active"/>
    <n v="2025"/>
    <s v="Bank Transfer"/>
    <s v="USD"/>
    <n v="2529.59"/>
    <n v="2529.59"/>
    <d v="2025-12-01T00:00:00"/>
    <s v="Dec"/>
    <n v="26"/>
    <x v="3"/>
    <s v="Monthly Billing"/>
    <d v="2026-01-02T00:00:00"/>
    <d v="2026-02-01T00:00:00"/>
    <s v="Invoice Sent"/>
    <s v="INV-020126172929"/>
    <s v="Yes"/>
    <s v="No"/>
    <s v="No response from the client post reminder sent"/>
    <m/>
  </r>
  <r>
    <s v="N1"/>
    <s v="Zeni, Inc."/>
    <x v="1"/>
    <s v="NA"/>
    <s v="Tyler Reed"/>
    <s v="Active"/>
    <n v="2025"/>
    <s v="Bank Transfer"/>
    <s v="USD"/>
    <n v="550"/>
    <n v="550"/>
    <d v="2025-12-01T00:00:00"/>
    <s v="Dec"/>
    <n v="48"/>
    <x v="2"/>
    <s v="Monthly Billing"/>
    <d v="2026-01-03T00:00:00"/>
    <d v="2026-01-10T00:00:00"/>
    <s v="Outstanding"/>
    <s v="INV-030126111809"/>
    <s v="Yes"/>
    <s v="No"/>
    <s v="No response from the client post reminder sent"/>
    <m/>
  </r>
  <r>
    <s v="N1"/>
    <s v="Aspire FT Pte Ltd"/>
    <x v="0"/>
    <s v="Shi Yin"/>
    <s v="Gitesh Athavale"/>
    <s v="Active"/>
    <n v="2025"/>
    <s v="Bank Transfer"/>
    <s v="SGD"/>
    <n v="1226.4160975246832"/>
    <n v="1578.92"/>
    <d v="2025-12-01T00:00:00"/>
    <s v="Dec"/>
    <n v="4"/>
    <x v="3"/>
    <s v="Card Printing and Delivery"/>
    <d v="2026-01-23T00:00:00"/>
    <d v="2026-02-23T00:00:00"/>
    <s v="Invoice Sent"/>
    <s v="INV-230126220000"/>
    <s v="Yes"/>
    <s v="No"/>
    <s v="No response from the client post reminder sent"/>
    <m/>
  </r>
  <r>
    <s v="N1"/>
    <s v="Budgetly Pty Ltd"/>
    <x v="0"/>
    <s v="Hao Nguyen"/>
    <s v="Vinoth M"/>
    <s v="Active"/>
    <n v="2025"/>
    <s v="Bank Transfer"/>
    <s v="AUD"/>
    <n v="1489.0775465359145"/>
    <n v="2224.27"/>
    <d v="2025-12-01T00:00:00"/>
    <s v="Dec"/>
    <n v="4"/>
    <x v="3"/>
    <s v="Card Printing and Delivery"/>
    <d v="2026-01-23T00:00:00"/>
    <d v="2026-02-23T00:00:00"/>
    <s v="Invoice Sent"/>
    <s v="INV-230126170000"/>
    <s v="No"/>
    <s v="No"/>
    <s v="Card printing invoice pending"/>
    <m/>
  </r>
  <r>
    <s v="N1"/>
    <s v="Pelikin Ventures Pty Ltd"/>
    <x v="0"/>
    <s v="Hao Nguyen"/>
    <s v="Vinoth M"/>
    <s v="Active"/>
    <n v="2025"/>
    <s v="Bank Transfer"/>
    <s v="AUD"/>
    <n v="137.8233732889212"/>
    <n v="205.87"/>
    <d v="2025-12-01T00:00:00"/>
    <s v="Dec"/>
    <n v="4"/>
    <x v="3"/>
    <s v="Card Printing and Delivery"/>
    <d v="2026-01-23T00:00:00"/>
    <d v="2026-02-23T00:00:00"/>
    <s v="Invoice Sent"/>
    <s v="INV-230126143000"/>
    <s v="No"/>
    <s v="No"/>
    <s v="No response from the client post reminder sent"/>
    <m/>
  </r>
  <r>
    <s v="Masspay"/>
    <s v="Everpro Holdings Limited"/>
    <x v="0"/>
    <s v="NA"/>
    <s v="Lisa Sung"/>
    <s v="Active"/>
    <n v="2026"/>
    <s v="Bank Transfer"/>
    <s v="USD"/>
    <n v="5000"/>
    <n v="5000"/>
    <d v="2026-01-01T00:00:00"/>
    <s v="Jan"/>
    <n v="18"/>
    <x v="3"/>
    <s v="Monthly Billing"/>
    <d v="2026-02-02T00:00:00"/>
    <d v="2026-02-09T00:00:00"/>
    <s v="Overdue"/>
    <s v="HK-Everpro-01/2026"/>
    <s v="Yes"/>
    <s v="No"/>
    <s v="No response from the client post reminder sent"/>
    <m/>
  </r>
  <r>
    <s v="Masspay"/>
    <s v="GLOBAL ROOTS INC"/>
    <x v="1"/>
    <s v="Eduardo Avallone"/>
    <s v="NA"/>
    <s v="Active"/>
    <n v="2026"/>
    <s v="Bank Transfer"/>
    <s v="USD"/>
    <n v="1371.03"/>
    <n v="1371.03"/>
    <d v="2026-01-01T00:00:00"/>
    <s v="Jan"/>
    <n v="10"/>
    <x v="3"/>
    <s v="Monthly Billing"/>
    <d v="2026-02-02T00:00:00"/>
    <d v="2026-02-17T00:00:00"/>
    <s v="Overdue"/>
    <s v="US-GLOBAL ROOTS INC-01/2026"/>
    <s v="Yes"/>
    <s v="No"/>
    <s v="No response from the client post reminder sent"/>
    <m/>
  </r>
  <r>
    <s v="Masspay"/>
    <s v="isx financial eu ltd"/>
    <x v="2"/>
    <s v="NA"/>
    <s v="NA"/>
    <s v="Active"/>
    <n v="2026"/>
    <s v="Bank Transfer"/>
    <s v="USD"/>
    <n v="2500"/>
    <n v="2500"/>
    <d v="2026-01-01T00:00:00"/>
    <s v="Jan"/>
    <n v="20"/>
    <x v="3"/>
    <s v="Monthly Billing"/>
    <d v="2026-02-02T00:00:00"/>
    <d v="2026-02-07T00:00:00"/>
    <s v="Overdue"/>
    <s v="SG-Isxfin-01/2026"/>
    <s v="Yes"/>
    <s v="No"/>
    <s v="No response from the client post reminder sent"/>
    <m/>
  </r>
  <r>
    <s v="Masspay"/>
    <s v="lemonway"/>
    <x v="2"/>
    <s v="Unmanaged - Harshita or saloni"/>
    <s v="NA"/>
    <s v="Active"/>
    <n v="2026"/>
    <s v="Bank Transfer"/>
    <s v="EUR"/>
    <n v="1325.4861581426064"/>
    <n v="1144.33"/>
    <d v="2026-01-01T00:00:00"/>
    <s v="Jan"/>
    <n v="20"/>
    <x v="3"/>
    <s v="Monthly Billing"/>
    <d v="2026-02-03T00:00:00"/>
    <d v="2026-02-07T00:00:00"/>
    <s v="Overdue"/>
    <s v="SG-Lemonway-01/2026"/>
    <s v="Yes"/>
    <s v="No"/>
    <s v="No response from the client post reminder sent"/>
    <m/>
  </r>
  <r>
    <s v="Masspay"/>
    <s v="Nuvei Limited"/>
    <x v="0"/>
    <s v="XiaoXiao"/>
    <s v="Rohit Bammi"/>
    <s v="Active"/>
    <n v="2026"/>
    <s v="Bank Transfer"/>
    <s v="USD"/>
    <n v="23919.5"/>
    <n v="23919.5"/>
    <d v="2026-01-01T00:00:00"/>
    <s v="Jan"/>
    <n v="17"/>
    <x v="3"/>
    <s v="Monthly Billing"/>
    <d v="2026-02-03T00:00:00"/>
    <d v="2026-02-10T00:00:00"/>
    <s v="Overdue"/>
    <s v="SG-Nuvei-01/2026"/>
    <s v="Yes"/>
    <s v="No"/>
    <s v="No response from the client post reminder sent"/>
    <m/>
  </r>
  <r>
    <s v="Masspay"/>
    <s v="PT FLIPTECH LENTERA INSPIRASI PERTIWI"/>
    <x v="0"/>
    <s v="Hao Nguyen"/>
    <s v="NA"/>
    <s v="Active"/>
    <n v="2026"/>
    <s v="Bank Transfer"/>
    <s v="USD"/>
    <n v="4723.7700000000004"/>
    <n v="4723.7700000000004"/>
    <d v="2026-01-01T00:00:00"/>
    <s v="Jan"/>
    <n v="10"/>
    <x v="3"/>
    <s v="Monthly Billing"/>
    <d v="2026-02-02T00:00:00"/>
    <d v="2026-02-17T00:00:00"/>
    <s v="Overdue"/>
    <s v="ID-PT FLIPTECH-01/2026"/>
    <s v="Yes"/>
    <s v="No"/>
    <s v="No response from the client post reminder sent"/>
    <m/>
  </r>
  <r>
    <s v="Masspay"/>
    <s v="PT Harsya Remitindo"/>
    <x v="0"/>
    <s v="NA"/>
    <s v="Hari Budiman"/>
    <s v="Active"/>
    <n v="2026"/>
    <s v="Bank Transfer"/>
    <s v="USD"/>
    <n v="3492.62"/>
    <n v="3492.62"/>
    <d v="2026-01-01T00:00:00"/>
    <s v="Jan"/>
    <n v="10"/>
    <x v="3"/>
    <s v="Monthly Billing"/>
    <d v="2026-02-02T00:00:00"/>
    <d v="2026-02-17T00:00:00"/>
    <s v="Overdue"/>
    <s v="ID-Harsya Remitindo-01/2026"/>
    <s v="Yes"/>
    <s v="No"/>
    <s v="No response from the client post reminder sent"/>
    <m/>
  </r>
  <r>
    <s v="Masspay"/>
    <s v="PT Midtrans"/>
    <x v="0"/>
    <s v="Hao Nguyen"/>
    <s v="Hari Budiman"/>
    <s v="Active"/>
    <n v="2026"/>
    <s v="Bank Transfer"/>
    <s v="IDR"/>
    <n v="356.96162892151295"/>
    <n v="6029149"/>
    <d v="2026-01-01T00:00:00"/>
    <s v="Jan"/>
    <n v="-5"/>
    <x v="3"/>
    <s v="Monthly Billing"/>
    <d v="2026-02-02T00:00:00"/>
    <d v="2026-03-04T00:00:00"/>
    <s v="Invoice Sent"/>
    <s v="ID-PT Midtrans-01/2026"/>
    <s v="No"/>
    <s v="No"/>
    <s v="No response from the client post reminder sent"/>
    <m/>
  </r>
  <r>
    <s v="Masspay"/>
    <s v="Remofirst, Inc."/>
    <x v="2"/>
    <s v="Margarita"/>
    <s v="Kyle Reny"/>
    <s v="Active"/>
    <n v="2026"/>
    <s v="Bank Transfer"/>
    <s v="USD"/>
    <n v="7580"/>
    <n v="7580"/>
    <d v="2026-01-01T00:00:00"/>
    <s v="Jan"/>
    <n v="20"/>
    <x v="3"/>
    <s v="Monthly Billing"/>
    <d v="2026-02-02T00:00:00"/>
    <d v="2026-02-07T00:00:00"/>
    <s v="Overdue"/>
    <s v="US-Remofirst, Inc.-01/2026"/>
    <s v="Yes"/>
    <s v="No"/>
    <s v="No response from the client post reminder sent"/>
    <m/>
  </r>
  <r>
    <s v="Masspay"/>
    <s v="TClub Inc."/>
    <x v="1"/>
    <s v="Tanu Arora"/>
    <s v="NA"/>
    <s v="Active"/>
    <n v="2026"/>
    <s v="Bank Transfer"/>
    <s v="USD"/>
    <n v="5.5"/>
    <n v="5.5"/>
    <d v="2026-01-01T00:00:00"/>
    <s v="Jan"/>
    <n v="20"/>
    <x v="3"/>
    <s v="Monthly Billing"/>
    <d v="2026-02-02T00:00:00"/>
    <d v="2026-02-07T00:00:00"/>
    <s v="Overdue"/>
    <s v="US-TClub Inc.-01/2026"/>
    <s v="Yes"/>
    <s v="No"/>
    <s v="No response from the client post reminder sent"/>
    <m/>
  </r>
  <r>
    <s v="Masspay"/>
    <s v="Yala Global Technologies Inc."/>
    <x v="3"/>
    <s v="Jerome Coelho"/>
    <s v="Winfred"/>
    <s v="Active"/>
    <n v="2026"/>
    <s v="Bank Transfer"/>
    <s v="USD"/>
    <n v="3025"/>
    <n v="3025"/>
    <d v="2026-01-01T00:00:00"/>
    <s v="Jan"/>
    <n v="17"/>
    <x v="3"/>
    <s v="Monthly Billing"/>
    <d v="2026-02-03T00:00:00"/>
    <d v="2026-02-10T00:00:00"/>
    <s v="Overdue"/>
    <s v="CA-Yala-01/2026"/>
    <s v="Yes"/>
    <s v="No"/>
    <s v="No response from the client post reminder sent"/>
    <m/>
  </r>
  <r>
    <s v="Masspay"/>
    <s v="you technologies group (singapore) pte. ltd"/>
    <x v="0"/>
    <s v="XiaoXiao"/>
    <s v="NA"/>
    <s v="Active"/>
    <n v="2026"/>
    <s v="Bank Transfer"/>
    <s v="USD"/>
    <n v="793.5"/>
    <n v="793.5"/>
    <d v="2026-01-01T00:00:00"/>
    <s v="Jan"/>
    <n v="13"/>
    <x v="3"/>
    <s v="Monthly Billing"/>
    <d v="2026-02-03T00:00:00"/>
    <d v="2026-02-14T00:00:00"/>
    <s v="Overdue"/>
    <s v="SG-youtech-01/2026"/>
    <s v="Yes"/>
    <s v="No"/>
    <s v="No response from the client post reminder sent"/>
    <m/>
  </r>
  <r>
    <s v="Masspay"/>
    <s v="you technologies group (singapore) pte. Ltd - Verify"/>
    <x v="0"/>
    <s v="XiaoXiao"/>
    <s v="NA"/>
    <s v="Active"/>
    <n v="2026"/>
    <s v="Bank Transfer"/>
    <s v="USD"/>
    <n v="3635.8"/>
    <n v="3635.8"/>
    <d v="2026-01-01T00:00:00"/>
    <s v="Jan"/>
    <n v="13"/>
    <x v="3"/>
    <s v="Monthly Billing"/>
    <d v="2026-02-03T00:00:00"/>
    <d v="2026-02-14T00:00:00"/>
    <s v="Overdue"/>
    <s v="US-youtech-Verify-01/2026"/>
    <s v="Yes"/>
    <s v="No"/>
    <s v="No response from the client post reminder sent"/>
    <m/>
  </r>
  <r>
    <s v="Masspay"/>
    <s v="zenus bank international, inc"/>
    <x v="1"/>
    <s v="Eduardo Avallone"/>
    <s v="Michael Bermingham"/>
    <s v="Active"/>
    <n v="2026"/>
    <s v="Bank Transfer"/>
    <s v="USD"/>
    <n v="2500"/>
    <n v="2500"/>
    <d v="2026-01-01T00:00:00"/>
    <s v="Jan"/>
    <n v="20"/>
    <x v="3"/>
    <s v="Monthly Billing"/>
    <d v="2026-02-02T00:00:00"/>
    <d v="2026-02-07T00:00:00"/>
    <s v="Overdue"/>
    <s v="SG-Zenusbank-01/2026"/>
    <s v="Yes"/>
    <s v="No"/>
    <s v="No response from the client post reminder sent"/>
    <m/>
  </r>
  <r>
    <s v="N1"/>
    <s v="Al Muzaini Exchange"/>
    <x v="3"/>
    <s v="Jerome Coelho"/>
    <s v="Ashraf Omran"/>
    <s v="Active"/>
    <n v="2026"/>
    <s v="Bank Transfer"/>
    <s v="USD"/>
    <n v="10"/>
    <n v="10"/>
    <d v="2026-01-01T00:00:00"/>
    <s v="Jan"/>
    <n v="15"/>
    <x v="3"/>
    <s v="Monthly Billing"/>
    <d v="2026-02-05T00:00:00"/>
    <d v="2026-02-12T00:00:00"/>
    <s v="Outstanding"/>
    <s v="INV-050226011321"/>
    <s v="Yes"/>
    <s v="No"/>
    <s v="No response from the client post reminder sent"/>
    <m/>
  </r>
  <r>
    <s v="N1"/>
    <s v="AVENIDA VESSEL"/>
    <x v="1"/>
    <s v="NA"/>
    <s v="Christina Hutchinson"/>
    <s v="Active"/>
    <n v="2026"/>
    <s v="Bank Transfer"/>
    <s v="USD"/>
    <n v="1000"/>
    <n v="1000"/>
    <d v="2026-01-01T00:00:00"/>
    <s v="Jan"/>
    <n v="17"/>
    <x v="3"/>
    <s v="Monthly Billing"/>
    <d v="2026-02-03T00:00:00"/>
    <d v="2026-02-10T00:00:00"/>
    <s v="Outstanding"/>
    <s v="INV-030226122636"/>
    <s v="Yes"/>
    <s v="No"/>
    <s v="No response from the client post reminder sent"/>
    <m/>
  </r>
  <r>
    <s v="N1"/>
    <s v="Azimo Limited."/>
    <x v="2"/>
    <s v="Sachli Zare"/>
    <s v="Gitesh Athavale"/>
    <s v="Active"/>
    <n v="2026"/>
    <s v="Bank Transfer"/>
    <s v="GBP"/>
    <n v="117.30727742302251"/>
    <n v="87.74"/>
    <d v="2026-01-01T00:00:00"/>
    <s v="Jan"/>
    <n v="-3"/>
    <x v="3"/>
    <s v="Monthly Billing"/>
    <d v="2026-02-02T00:00:00"/>
    <d v="2026-03-02T00:00:00"/>
    <s v="Invoice Sent"/>
    <s v="INV-020226153711"/>
    <s v="No"/>
    <s v="No"/>
    <s v="No response from the client post reminder sent"/>
    <m/>
  </r>
  <r>
    <s v="N1"/>
    <s v="Bud Infrastructure Limited"/>
    <x v="1"/>
    <s v="NA"/>
    <s v="Michael Bermingham"/>
    <s v="Active"/>
    <n v="2026"/>
    <s v="Bank Transfer"/>
    <s v="USD"/>
    <n v="2000"/>
    <n v="2000"/>
    <d v="2026-01-01T00:00:00"/>
    <s v="Jan"/>
    <n v="18"/>
    <x v="3"/>
    <s v="Monthly Billing"/>
    <d v="2026-02-02T00:00:00"/>
    <d v="2026-02-09T00:00:00"/>
    <s v="Force Settlement"/>
    <s v="INV-020226220215"/>
    <s v="Yes"/>
    <s v="No"/>
    <s v="No response from the client post reminder sent"/>
    <m/>
  </r>
  <r>
    <s v="N1"/>
    <s v="Budgetly Pty Ltd"/>
    <x v="0"/>
    <s v="Hao Nguyen"/>
    <s v="Vinoth M"/>
    <s v="Active"/>
    <n v="2026"/>
    <s v="Bank Transfer"/>
    <s v="AUD"/>
    <n v="3566.4962748389489"/>
    <n v="5327.359000000004"/>
    <d v="2026-01-01T00:00:00"/>
    <s v="Jan"/>
    <n v="13"/>
    <x v="3"/>
    <s v="Monthly Billing"/>
    <d v="2026-02-07T00:00:00"/>
    <d v="2026-02-14T00:00:00"/>
    <s v="Outstanding"/>
    <s v="INV-070226133026"/>
    <s v="Yes"/>
    <s v="No"/>
    <s v="Card printing invoice pending"/>
    <m/>
  </r>
  <r>
    <s v="N1"/>
    <s v="CashD Pty Ltd"/>
    <x v="0"/>
    <s v="NA"/>
    <s v="Vinoth M"/>
    <s v="Active"/>
    <n v="2026"/>
    <s v="Bank Transfer"/>
    <s v="AUD"/>
    <n v="2105.476800862958"/>
    <n v="3145"/>
    <d v="2026-01-01T00:00:00"/>
    <s v="Jan"/>
    <n v="16"/>
    <x v="3"/>
    <s v="Monthly Billing"/>
    <d v="2026-02-04T00:00:00"/>
    <d v="2026-02-11T00:00:00"/>
    <s v="Outstanding"/>
    <s v="INV-040226191953"/>
    <s v="Yes"/>
    <s v="No"/>
    <s v="No response from the client post reminder sent"/>
    <m/>
  </r>
  <r>
    <s v="N1"/>
    <s v="CODA PAYMENTS PTE. LTD."/>
    <x v="0"/>
    <s v="NA"/>
    <s v="Febriali Tan"/>
    <s v="Active"/>
    <n v="2026"/>
    <s v="Bank Transfer"/>
    <s v="USD"/>
    <n v="65.2"/>
    <n v="65.2"/>
    <d v="2026-01-01T00:00:00"/>
    <s v="Jan"/>
    <n v="7"/>
    <x v="3"/>
    <s v="Monthly Billing"/>
    <d v="2026-02-07T00:00:00"/>
    <d v="2026-02-20T00:00:00"/>
    <s v="Invoice Sent"/>
    <s v="INV-090226192522"/>
    <s v="Yes"/>
    <s v="No"/>
    <s v="No response from the client post reminder sent"/>
    <m/>
  </r>
  <r>
    <s v="N1"/>
    <s v="DK Limited"/>
    <x v="0"/>
    <s v="NA"/>
    <s v="Gitesh Athavale"/>
    <s v="Active"/>
    <n v="2026"/>
    <s v="Bank Transfer"/>
    <s v="USD"/>
    <n v="2953.3"/>
    <n v="2953.3"/>
    <d v="2026-01-01T00:00:00"/>
    <s v="Jan"/>
    <n v="16"/>
    <x v="3"/>
    <s v="Monthly Billing"/>
    <d v="2026-02-04T00:00:00"/>
    <d v="2026-02-11T00:00:00"/>
    <s v="Outstanding"/>
    <s v="INV-040226200358"/>
    <s v="Yes"/>
    <s v="No"/>
    <s v="No response from the client post reminder sent"/>
    <m/>
  </r>
  <r>
    <s v="N1"/>
    <s v="Emirates Islamic Bank PJSC"/>
    <x v="3"/>
    <s v="Jerome Coelho"/>
    <s v="Rohit Bammi"/>
    <s v="Active"/>
    <n v="2026"/>
    <s v="Bank Transfer"/>
    <s v="USD"/>
    <n v="2976.5"/>
    <n v="2976.5"/>
    <d v="2026-01-01T00:00:00"/>
    <s v="Jan"/>
    <n v="16"/>
    <x v="3"/>
    <s v="Monthly Billing"/>
    <d v="2026-02-04T00:00:00"/>
    <d v="2026-02-11T00:00:00"/>
    <s v="Outstanding"/>
    <s v="INV-040226171625"/>
    <s v="Yes"/>
    <s v="No"/>
    <s v="No response from the client post reminder sent"/>
    <m/>
  </r>
  <r>
    <s v="N1"/>
    <s v="Express Hub Services Pty Ltd"/>
    <x v="0"/>
    <s v="NA"/>
    <s v="Wendy zhai"/>
    <s v="Active"/>
    <n v="2026"/>
    <s v="Bank Transfer"/>
    <s v="AUD"/>
    <n v="6666.8031652278687"/>
    <n v="9958.36"/>
    <d v="2026-01-01T00:00:00"/>
    <s v="Jan"/>
    <n v="14"/>
    <x v="3"/>
    <s v="Monthly Billing"/>
    <d v="2026-02-06T00:00:00"/>
    <d v="2026-02-13T00:00:00"/>
    <s v="Outstanding"/>
    <s v="INV-060226135736"/>
    <s v="Yes"/>
    <s v="No"/>
    <s v="No response from the client post reminder sent"/>
    <m/>
  </r>
  <r>
    <s v="N1"/>
    <s v="FIRSTKYC PTE. LTD."/>
    <x v="0"/>
    <s v="NA"/>
    <s v="Denis Tan"/>
    <s v="Active"/>
    <n v="2026"/>
    <s v="Bank Transfer"/>
    <s v="USD"/>
    <n v="14.19"/>
    <n v="14.19"/>
    <d v="2026-01-01T00:00:00"/>
    <s v="Jan"/>
    <n v="14"/>
    <x v="3"/>
    <s v="Monthly Billing"/>
    <d v="2026-02-06T00:00:00"/>
    <d v="2026-02-13T00:00:00"/>
    <s v="Outstanding"/>
    <s v="INV-060226120820"/>
    <s v="Yes"/>
    <s v="No"/>
    <s v="No response from the client post reminder sent"/>
    <m/>
  </r>
  <r>
    <s v="N1"/>
    <s v="Futurepay Global Limited"/>
    <x v="0"/>
    <s v="NA"/>
    <s v="Edward Li"/>
    <s v="Active"/>
    <n v="2026"/>
    <s v="Bank Transfer"/>
    <s v="USD"/>
    <n v="1141.6099999999999"/>
    <n v="1141.6099999999999"/>
    <d v="2026-01-01T00:00:00"/>
    <s v="Jan"/>
    <n v="16"/>
    <x v="3"/>
    <s v="Monthly Billing"/>
    <d v="2026-02-04T00:00:00"/>
    <d v="2026-02-11T00:00:00"/>
    <s v="Outstanding"/>
    <s v="INV-040226203353"/>
    <s v="Yes"/>
    <s v="No"/>
    <s v="No response from the client post reminder sent"/>
    <m/>
  </r>
  <r>
    <s v="N1"/>
    <s v="Genieum Services Pty Ltd"/>
    <x v="0"/>
    <s v="NA"/>
    <s v="Vinoth M"/>
    <s v="Active"/>
    <n v="2026"/>
    <s v="Bank Transfer"/>
    <s v="AUD"/>
    <n v="1925.7782053501962"/>
    <n v="2876.58"/>
    <d v="2026-01-01T00:00:00"/>
    <s v="Jan"/>
    <n v="15"/>
    <x v="3"/>
    <s v="Monthly Billing"/>
    <d v="2026-02-05T00:00:00"/>
    <d v="2026-02-12T00:00:00"/>
    <s v="Outstanding"/>
    <s v="INV-050226031828"/>
    <s v="Yes"/>
    <s v="No"/>
    <s v="No response from the client post reminder sent"/>
    <m/>
  </r>
  <r>
    <s v="N1"/>
    <s v="Global E-Payment Limited"/>
    <x v="0"/>
    <s v="Pat Sarisa"/>
    <s v="Gitesh Athavale"/>
    <s v="Active"/>
    <n v="2026"/>
    <s v="Bank Transfer"/>
    <s v="USD"/>
    <n v="32268.400000000001"/>
    <n v="32268.400000000001"/>
    <d v="2026-01-01T00:00:00"/>
    <s v="Jan"/>
    <n v="13"/>
    <x v="3"/>
    <s v="Monthly Billing"/>
    <d v="2026-02-07T00:00:00"/>
    <d v="2026-02-14T00:00:00"/>
    <s v="Outstanding"/>
    <s v="INV-070226150656"/>
    <s v="Yes"/>
    <s v="No"/>
    <s v="No response from the client post reminder sent"/>
    <m/>
  </r>
  <r>
    <s v="N1"/>
    <s v="Global E-Payment Limited-SG"/>
    <x v="0"/>
    <s v="Pat Sarisa"/>
    <s v="NA"/>
    <s v="Active"/>
    <n v="2026"/>
    <s v="Bank Transfer"/>
    <s v="USD"/>
    <n v="10010"/>
    <n v="10010"/>
    <d v="2026-01-01T00:00:00"/>
    <s v="Jan"/>
    <n v="14"/>
    <x v="3"/>
    <s v="Monthly Billing"/>
    <d v="2026-02-06T00:00:00"/>
    <d v="2026-02-13T00:00:00"/>
    <s v="Outstanding"/>
    <s v="INV-060226113511"/>
    <s v="Yes"/>
    <s v="No"/>
    <s v="No response from the client post reminder sent"/>
    <m/>
  </r>
  <r>
    <s v="N1"/>
    <s v="goLance, Inc."/>
    <x v="1"/>
    <s v="Eduardo Avallone"/>
    <s v="Greg McAllister"/>
    <s v="Active"/>
    <n v="2026"/>
    <s v="Bank Transfer"/>
    <s v="USD"/>
    <n v="130"/>
    <n v="130"/>
    <d v="2026-01-01T00:00:00"/>
    <s v="Jan"/>
    <n v="18"/>
    <x v="3"/>
    <s v="Monthly Billing"/>
    <d v="2026-02-02T00:00:00"/>
    <d v="2026-02-09T00:00:00"/>
    <s v="Outstanding"/>
    <s v="INV-020226191052"/>
    <s v="Yes"/>
    <s v="No"/>
    <s v="No response from the client post reminder sent"/>
    <m/>
  </r>
  <r>
    <s v="N1"/>
    <s v="HONGKONG FORTUNETECH LIMITED"/>
    <x v="0"/>
    <s v="NA"/>
    <s v="Edward Li"/>
    <s v="Active"/>
    <n v="2026"/>
    <s v="Bank Transfer"/>
    <s v="USD"/>
    <n v="15000"/>
    <n v="15000"/>
    <d v="2026-02-01T00:00:00"/>
    <s v="Feb"/>
    <n v="7"/>
    <x v="3"/>
    <s v="Integration Fee"/>
    <d v="2026-02-13T00:00:00"/>
    <d v="2026-02-20T00:00:00"/>
    <s v="Invoice Sent"/>
    <s v="INV-130226161341"/>
    <s v="Yes"/>
    <s v="No"/>
    <s v="No response from the client post reminder sent"/>
    <m/>
  </r>
  <r>
    <s v="N1"/>
    <s v="International Payments Identity Pte. Ltd."/>
    <x v="0"/>
    <s v="NA"/>
    <s v="Febriali Tan"/>
    <s v="Active"/>
    <n v="2026"/>
    <s v="Bank Transfer"/>
    <s v="USD"/>
    <n v="249.2"/>
    <n v="249.2"/>
    <d v="2026-01-01T00:00:00"/>
    <s v="Jan"/>
    <n v="16"/>
    <x v="3"/>
    <s v="Monthly Billing"/>
    <d v="2026-02-04T00:00:00"/>
    <d v="2026-02-11T00:00:00"/>
    <s v="Outstanding"/>
    <s v="INV-040226210124"/>
    <s v="Yes"/>
    <s v="No"/>
    <s v="No response from the client post reminder sent"/>
    <m/>
  </r>
  <r>
    <s v="N1"/>
    <s v="iPiD Europe B.V."/>
    <x v="0"/>
    <s v="NA"/>
    <s v="Febriali Tan"/>
    <s v="Active"/>
    <n v="2026"/>
    <s v="Bank Transfer"/>
    <s v="USD"/>
    <n v="2970"/>
    <n v="2970"/>
    <d v="2026-01-01T00:00:00"/>
    <s v="Jan"/>
    <n v="16"/>
    <x v="3"/>
    <s v="Monthly Billing"/>
    <d v="2026-02-04T00:00:00"/>
    <d v="2026-02-11T00:00:00"/>
    <s v="Outstanding"/>
    <s v="INV-040226161408"/>
    <s v="Yes"/>
    <s v="No"/>
    <s v="No response from the client post reminder sent"/>
    <m/>
  </r>
  <r>
    <s v="N1"/>
    <s v="Istanbul Ödeme ve Elektronik Para A.S"/>
    <x v="3"/>
    <s v="Jerome Coelho"/>
    <s v="Ashraf Omran"/>
    <s v="Active"/>
    <n v="2026"/>
    <s v="Bank Transfer"/>
    <s v="USD"/>
    <n v="2500"/>
    <n v="2500"/>
    <d v="2026-01-01T00:00:00"/>
    <s v="Jan"/>
    <n v="18"/>
    <x v="3"/>
    <s v="Monthly Billing"/>
    <d v="2026-02-02T00:00:00"/>
    <d v="2026-02-09T00:00:00"/>
    <s v="Force Settlement"/>
    <s v="INV-020226182425"/>
    <s v="Yes"/>
    <s v="No"/>
    <s v="No response from the client post reminder sent"/>
    <m/>
  </r>
  <r>
    <s v="N1"/>
    <s v="JPMORGAN CHASE BANK"/>
    <x v="2"/>
    <s v="Sachli Zare"/>
    <s v="NA"/>
    <s v="Active"/>
    <n v="2026"/>
    <s v="Bank Transfer"/>
    <s v="USD"/>
    <n v="0.60000000000000142"/>
    <n v="0.60000000000000142"/>
    <d v="2026-01-01T00:00:00"/>
    <s v="Jan"/>
    <n v="16"/>
    <x v="3"/>
    <s v="Monthly Billing"/>
    <d v="2026-02-04T00:00:00"/>
    <d v="2026-02-11T00:00:00"/>
    <s v="Partially Paid"/>
    <s v="INV-040226140355"/>
    <s v="Yes"/>
    <s v="No"/>
    <s v="No response from the client post reminder sent"/>
    <m/>
  </r>
  <r>
    <s v="N1"/>
    <s v="KOHO Financial Inc.-Verify"/>
    <x v="1"/>
    <s v="Eduardo Avallone"/>
    <s v="Vinoth M"/>
    <s v="Active"/>
    <n v="2026"/>
    <s v="Bank Transfer"/>
    <s v="USD"/>
    <n v="142.80000000000001"/>
    <n v="142.80000000000001"/>
    <d v="2026-01-01T00:00:00"/>
    <s v="Jan"/>
    <n v="15"/>
    <x v="3"/>
    <s v="Monthly Billing"/>
    <d v="2026-02-05T00:00:00"/>
    <d v="2026-02-12T00:00:00"/>
    <s v="Outstanding"/>
    <s v="INV-050226013546"/>
    <s v="Yes"/>
    <s v="No"/>
    <s v="No response from the client post reminder sent"/>
    <m/>
  </r>
  <r>
    <s v="N1"/>
    <s v="MULTIPLIER TECHNOLOGIES PTE. LTD"/>
    <x v="0"/>
    <s v="Shi Yin"/>
    <s v="Vinoth M"/>
    <s v="Active"/>
    <n v="2026"/>
    <s v="Bank Transfer"/>
    <s v="USD"/>
    <n v="2965"/>
    <n v="2965"/>
    <d v="2026-01-01T00:00:00"/>
    <s v="Jan"/>
    <n v="15"/>
    <x v="3"/>
    <s v="Monthly Billing"/>
    <d v="2026-02-05T00:00:00"/>
    <d v="2026-02-12T00:00:00"/>
    <s v="Outstanding"/>
    <s v="INV-050226133127"/>
    <s v="Yes"/>
    <s v="No"/>
    <s v="No response from the client post reminder sent"/>
    <m/>
  </r>
  <r>
    <s v="N1"/>
    <s v="MyBeacon Services Inc."/>
    <x v="1"/>
    <s v="NA"/>
    <s v="Michael Bermingham"/>
    <s v="Active"/>
    <n v="2026"/>
    <s v="Bank Transfer"/>
    <s v="CAD"/>
    <n v="260.47031625256835"/>
    <n v="362.5"/>
    <d v="2026-01-01T00:00:00"/>
    <s v="Jan"/>
    <n v="16"/>
    <x v="3"/>
    <s v="Monthly Billing"/>
    <d v="2026-02-04T00:00:00"/>
    <d v="2026-02-11T00:00:00"/>
    <s v="Outstanding"/>
    <s v="INV-030226181855"/>
    <s v="Yes"/>
    <s v="No"/>
    <s v="No response from the client post reminder sent"/>
    <m/>
  </r>
  <r>
    <s v="N1"/>
    <s v="MyBeacon Services Inc.-Verify"/>
    <x v="1"/>
    <s v="NA"/>
    <s v="Michael Bermingham"/>
    <s v="Active"/>
    <n v="2026"/>
    <s v="Bank Transfer"/>
    <s v="USD"/>
    <n v="36.32"/>
    <n v="36.32"/>
    <d v="2026-01-01T00:00:00"/>
    <s v="Jan"/>
    <n v="16"/>
    <x v="3"/>
    <s v="Monthly Billing"/>
    <d v="2026-02-04T00:00:00"/>
    <d v="2026-02-11T00:00:00"/>
    <s v="Outstanding"/>
    <s v="INV-040226185603"/>
    <s v="Yes"/>
    <s v="No"/>
    <s v="No response from the client post reminder sent"/>
    <m/>
  </r>
  <r>
    <s v="N1"/>
    <s v="Niural, Inc."/>
    <x v="1"/>
    <s v="Tanu Arora"/>
    <s v="Rohit Bammi"/>
    <s v="Active"/>
    <n v="2026"/>
    <s v="Bank Transfer"/>
    <s v="USD"/>
    <n v="60"/>
    <n v="60"/>
    <d v="2026-01-01T00:00:00"/>
    <s v="Jan"/>
    <n v="15"/>
    <x v="3"/>
    <s v="Monthly Billing"/>
    <d v="2026-02-05T00:00:00"/>
    <d v="2026-02-12T00:00:00"/>
    <s v="Outstanding"/>
    <s v="INV-050226183011"/>
    <s v="Yes"/>
    <s v="No"/>
    <s v="No response from the client post reminder sent"/>
    <m/>
  </r>
  <r>
    <s v="N1"/>
    <s v="Niural, Inc. (Platform)"/>
    <x v="1"/>
    <s v="Tanu Arora"/>
    <s v="Michael Bermingham"/>
    <s v="Active"/>
    <n v="2026"/>
    <s v="Bank Transfer"/>
    <s v="USD"/>
    <n v="1000"/>
    <n v="1000"/>
    <d v="2026-01-01T00:00:00"/>
    <s v="Jan"/>
    <n v="15"/>
    <x v="3"/>
    <s v="Monthly Billing"/>
    <d v="2026-02-05T00:00:00"/>
    <d v="2026-02-12T00:00:00"/>
    <s v="Outstanding"/>
    <s v="INV-050226185948"/>
    <s v="Yes"/>
    <s v="No"/>
    <s v="No response from the client post reminder sent"/>
    <m/>
  </r>
  <r>
    <s v="N1"/>
    <s v="Nomba Financial Services Ltd"/>
    <x v="3"/>
    <s v="Jerome Coelho"/>
    <s v="Winfred"/>
    <s v="Active"/>
    <n v="2026"/>
    <s v="Bank Transfer"/>
    <s v="USD"/>
    <n v="3000"/>
    <n v="3000"/>
    <d v="2026-01-01T00:00:00"/>
    <s v="Jan"/>
    <n v="15"/>
    <x v="3"/>
    <s v="Monthly Billing"/>
    <d v="2026-02-05T00:00:00"/>
    <d v="2026-02-12T00:00:00"/>
    <s v="Outstanding"/>
    <s v="INV-050226141818"/>
    <s v="Yes"/>
    <s v="No"/>
    <s v="No response from the client post reminder sent"/>
    <m/>
  </r>
  <r>
    <s v="N1"/>
    <s v="Pelikin Ventures Pty Ltd"/>
    <x v="0"/>
    <s v="Hao Nguyen"/>
    <s v="Vinoth M"/>
    <s v="Active"/>
    <n v="2026"/>
    <s v="Bank Transfer"/>
    <s v="AUD"/>
    <n v="3439.8135182251167"/>
    <n v="5138.130000000001"/>
    <d v="2026-01-01T00:00:00"/>
    <s v="Jan"/>
    <n v="14"/>
    <x v="3"/>
    <s v="Monthly Billing"/>
    <d v="2026-02-06T00:00:00"/>
    <d v="2026-02-13T00:00:00"/>
    <s v="Outstanding"/>
    <s v="INV-060226194701"/>
    <s v="Yes"/>
    <s v="No"/>
    <s v="No response from the client post reminder sent"/>
    <m/>
  </r>
  <r>
    <s v="N1"/>
    <s v="SingCash Pte Ltd"/>
    <x v="0"/>
    <s v="Shi Yin"/>
    <s v="Gitesh Athavale"/>
    <s v="Active"/>
    <n v="2026"/>
    <s v="Bank Transfer"/>
    <s v="SGD"/>
    <n v="66082.648583379123"/>
    <n v="85076.521510000006"/>
    <d v="2026-01-01T00:00:00"/>
    <s v="Jan"/>
    <n v="11"/>
    <x v="3"/>
    <s v="Monthly Billing"/>
    <d v="2026-02-07T00:00:00"/>
    <d v="2026-02-16T00:00:00"/>
    <s v="Outstanding"/>
    <s v="INV-090226133228"/>
    <s v="Yes"/>
    <s v="No"/>
    <s v="No response from the client post reminder sent"/>
    <m/>
  </r>
  <r>
    <s v="N1"/>
    <s v="SlideSG Pte. Ltd."/>
    <x v="0"/>
    <s v="Shi Yin"/>
    <s v="Gitesh Athavale"/>
    <s v="Active"/>
    <n v="2026"/>
    <s v="Bank Transfer"/>
    <s v="SGD"/>
    <n v="30312.630999827154"/>
    <n v="39025.269999999997"/>
    <d v="2026-01-01T00:00:00"/>
    <s v="Jan"/>
    <n v="10"/>
    <x v="3"/>
    <s v="Monthly Billing"/>
    <d v="2026-02-07T00:00:00"/>
    <d v="2026-02-17T00:00:00"/>
    <s v="Outstanding"/>
    <s v="INV-100226170854"/>
    <s v="Yes"/>
    <s v="No"/>
    <s v="No response from the client post reminder sent"/>
    <m/>
  </r>
  <r>
    <s v="N1"/>
    <s v="Travel Ledger UK"/>
    <x v="2"/>
    <s v="Margarita"/>
    <s v="Danny May"/>
    <s v="Active"/>
    <n v="2026"/>
    <s v="Bank Transfer"/>
    <s v="GBP"/>
    <n v="4012.9677819147723"/>
    <n v="3001.5"/>
    <d v="2026-01-01T00:00:00"/>
    <s v="Jan"/>
    <n v="11"/>
    <x v="3"/>
    <s v="Monthly Billing"/>
    <d v="2026-02-07T00:00:00"/>
    <d v="2026-02-16T00:00:00"/>
    <s v="Outstanding"/>
    <s v="INV-090226161845"/>
    <s v="Yes"/>
    <s v="No"/>
    <s v="No response from the client post reminder sent"/>
    <m/>
  </r>
  <r>
    <s v="N1"/>
    <s v="VECTOR HOLDINGS PTY LTD"/>
    <x v="0"/>
    <s v="Hao Nguyen"/>
    <s v="NA"/>
    <s v="Active"/>
    <n v="2026"/>
    <s v="Bank Transfer"/>
    <s v="AUD"/>
    <n v="19087.871079874294"/>
    <n v="28512"/>
    <d v="2026-02-01T00:00:00"/>
    <s v="Feb"/>
    <n v="18"/>
    <x v="3"/>
    <s v="APIv2 Integration Fee Invoice"/>
    <d v="2026-02-02T00:00:00"/>
    <d v="2026-02-09T00:00:00"/>
    <s v="Outstanding"/>
    <s v="INV-020226191330"/>
    <s v="Yes"/>
    <s v="No"/>
    <s v="No response from the client post reminder sent"/>
    <m/>
  </r>
  <r>
    <s v="N1"/>
    <s v="VECTOR HOLDINGS PTY LTD"/>
    <x v="0"/>
    <s v="Hao Nguyen"/>
    <s v="NA"/>
    <s v="Active"/>
    <n v="2026"/>
    <s v="Bank Transfer"/>
    <s v="AUD"/>
    <n v="7527.1498572230994"/>
    <n v="11243.48"/>
    <d v="2026-01-01T00:00:00"/>
    <s v="Jan"/>
    <n v="14"/>
    <x v="3"/>
    <s v="Monthly Billing"/>
    <d v="2026-02-06T00:00:00"/>
    <d v="2026-02-13T00:00:00"/>
    <s v="Outstanding"/>
    <s v="INV-060226140346"/>
    <s v="Yes"/>
    <s v="No"/>
    <s v="No response from the client post reminder sent"/>
    <m/>
  </r>
  <r>
    <s v="N1"/>
    <s v="WORLDFIRST (SINGAPORE) MERCHANT SERVICESPTE. LTD."/>
    <x v="0"/>
    <s v="NA"/>
    <s v="Lisa Sung"/>
    <s v="Active"/>
    <n v="2026"/>
    <s v="Bank Transfer"/>
    <s v="USD"/>
    <n v="25050"/>
    <n v="25050"/>
    <d v="2026-01-01T00:00:00"/>
    <s v="Jan"/>
    <n v="14"/>
    <x v="3"/>
    <s v="Monthly Billing"/>
    <d v="2026-02-06T00:00:00"/>
    <d v="2026-02-13T00:00:00"/>
    <s v="Outstanding"/>
    <s v="INV-060226124635"/>
    <s v="Yes"/>
    <s v="No"/>
    <s v="No response from the client post reminder sent"/>
    <m/>
  </r>
  <r>
    <s v="N1"/>
    <s v="Yondr Money Pty Ltd"/>
    <x v="0"/>
    <s v="Hao Nguyen"/>
    <s v="NA"/>
    <s v="Active"/>
    <n v="2026"/>
    <s v="Bank Transfer"/>
    <s v="AUD"/>
    <n v="4749.1389118097732"/>
    <n v="7093.9"/>
    <d v="2026-01-01T00:00:00"/>
    <s v="Jan"/>
    <n v="14"/>
    <x v="3"/>
    <s v="Monthly Billing"/>
    <d v="2026-02-06T00:00:00"/>
    <d v="2026-02-13T00:00:00"/>
    <s v="Outstanding"/>
    <s v="INV-060226143545"/>
    <s v="Yes"/>
    <s v="Yes"/>
    <s v="No response from the client post reminder sent"/>
    <m/>
  </r>
  <r>
    <s v="N1"/>
    <s v="Zeni, Inc."/>
    <x v="1"/>
    <s v="NA"/>
    <s v="Tyler Reed"/>
    <s v="Active"/>
    <n v="2026"/>
    <s v="Bank Transfer"/>
    <s v="USD"/>
    <n v="500"/>
    <n v="500"/>
    <d v="2026-01-01T00:00:00"/>
    <s v="Jan"/>
    <n v="15"/>
    <x v="3"/>
    <s v="Monthly Billing"/>
    <d v="2026-02-05T00:00:00"/>
    <d v="2026-02-12T00:00:00"/>
    <s v="Outstanding"/>
    <s v="INV-050226121256"/>
    <s v="Yes"/>
    <s v="No"/>
    <s v="No response from the client post reminder sent"/>
    <m/>
  </r>
  <r>
    <s v="N1"/>
    <s v="Aspire FT Pte Ltd"/>
    <x v="0"/>
    <s v="Shi Yin"/>
    <s v="Gitesh Athavale"/>
    <s v="Active"/>
    <n v="2026"/>
    <s v="Bank Transfer"/>
    <s v="SGD"/>
    <n v="1474.9740682945123"/>
    <n v="1898.92"/>
    <d v="2026-01-01T00:00:00"/>
    <s v="Jan"/>
    <n v="-21"/>
    <x v="3"/>
    <s v="Card Printing and Delivery"/>
    <d v="2026-02-20T00:00:00"/>
    <d v="2026-03-20T00:00:00"/>
    <s v="Invoice Sent"/>
    <s v="INV-200226220000"/>
    <s v="No"/>
    <s v="No"/>
    <s v="Card printing invoice pending"/>
    <m/>
  </r>
  <r>
    <s v="N1"/>
    <s v="Budgetly Pty Ltd"/>
    <x v="0"/>
    <s v="Hao Nguyen"/>
    <s v="Vinoth M"/>
    <s v="Active"/>
    <n v="2026"/>
    <s v="Bank Transfer"/>
    <s v="AUD"/>
    <n v="37.16886231602907"/>
    <n v="55.52"/>
    <d v="2026-01-01T00:00:00"/>
    <s v="Jan"/>
    <n v="-21"/>
    <x v="3"/>
    <s v="Card Printing and Delivery"/>
    <d v="2026-02-20T00:00:00"/>
    <d v="2026-03-20T00:00:00"/>
    <s v="Invoice Sent"/>
    <s v="INV-200226170000"/>
    <s v="No"/>
    <s v="No"/>
    <s v="Card printing invoice pending"/>
    <m/>
  </r>
  <r>
    <s v="N1"/>
    <s v="Trustpilot A/S"/>
    <x v="1"/>
    <s v="NA"/>
    <s v="Michael Bermingham"/>
    <s v="Active"/>
    <n v="2026"/>
    <s v="Bank Transfer"/>
    <s v="USD"/>
    <n v="4000"/>
    <n v="4000"/>
    <d v="2026-02-01T00:00:00"/>
    <s v="Feb"/>
    <n v="0"/>
    <x v="3"/>
    <s v="Integration Fee"/>
    <d v="2026-02-20T00:00:00"/>
    <d v="2026-02-27T00:00:00"/>
    <s v="Outstanding"/>
    <s v="INV-200226114219"/>
    <s v="Yes"/>
    <s v="No"/>
    <s v="No response from the client post reminder sent"/>
    <m/>
  </r>
  <r>
    <s v="N1"/>
    <s v="WEEL HOLDINGS PTY LTD"/>
    <x v="0"/>
    <s v="Hao Nguyen"/>
    <s v="Vinoth M"/>
    <s v="Active"/>
    <n v="2026"/>
    <s v="Bank Transfer"/>
    <s v="AUD"/>
    <n v="1088.0327524001577"/>
    <n v="1625.22"/>
    <d v="2026-01-01T00:00:00"/>
    <s v="Jan"/>
    <n v="-21"/>
    <x v="3"/>
    <s v="Card Printing and Delivery"/>
    <d v="2026-02-20T00:00:00"/>
    <d v="2026-03-20T00:00:00"/>
    <s v="Invoice Sent"/>
    <s v="INV-200226132000"/>
    <s v="No"/>
    <s v="No"/>
    <s v="Card printing invoice pending"/>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352966-DE4A-4FE3-8EBC-68A2447D0914}"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9" firstHeaderRow="1" firstDataRow="2" firstDataCol="1"/>
  <pivotFields count="24">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14"/>
  </colFields>
  <colItems count="5">
    <i>
      <x/>
    </i>
    <i>
      <x v="1"/>
    </i>
    <i>
      <x v="2"/>
    </i>
    <i>
      <x v="3"/>
    </i>
    <i t="grand">
      <x/>
    </i>
  </colItems>
  <dataFields count="1">
    <dataField name="Sum of USD AMOUNT" fld="9" baseField="0" baseItem="0" numFmtId="165"/>
  </dataFields>
  <formats count="24">
    <format dxfId="56">
      <pivotArea outline="0" collapsedLevelsAreSubtotals="1" fieldPosition="0"/>
    </format>
    <format dxfId="55">
      <pivotArea dataOnly="0" labelOnly="1" fieldPosition="0">
        <references count="1">
          <reference field="14" count="0"/>
        </references>
      </pivotArea>
    </format>
    <format dxfId="54">
      <pivotArea dataOnly="0" labelOnly="1" grandCol="1" outline="0" fieldPosition="0"/>
    </format>
    <format dxfId="53">
      <pivotArea collapsedLevelsAreSubtotals="1" fieldPosition="0">
        <references count="1">
          <reference field="2" count="0"/>
        </references>
      </pivotArea>
    </format>
    <format dxfId="52">
      <pivotArea dataOnly="0" labelOnly="1" fieldPosition="0">
        <references count="1">
          <reference field="2" count="0"/>
        </references>
      </pivotArea>
    </format>
    <format dxfId="51">
      <pivotArea outline="0" collapsedLevelsAreSubtotals="1" fieldPosition="0"/>
    </format>
    <format dxfId="50">
      <pivotArea dataOnly="0" labelOnly="1" fieldPosition="0">
        <references count="1">
          <reference field="2" count="0"/>
        </references>
      </pivotArea>
    </format>
    <format dxfId="49">
      <pivotArea dataOnly="0" labelOnly="1" grandRow="1"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dataOnly="0" labelOnly="1" fieldPosition="0">
        <references count="1">
          <reference field="14" count="0"/>
        </references>
      </pivotArea>
    </format>
    <format dxfId="43">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4" type="button" dataOnly="0" labelOnly="1" outline="0" axis="axisCol" fieldPosition="0"/>
    </format>
    <format dxfId="38">
      <pivotArea type="topRight" dataOnly="0" labelOnly="1" outline="0"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fieldPosition="0">
        <references count="1">
          <reference field="14" count="0"/>
        </references>
      </pivotArea>
    </format>
    <format dxfId="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4CD08-D80C-4C8E-B9CF-A6612D1D19C5}"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0:E27" firstHeaderRow="1" firstDataRow="1" firstDataCol="3"/>
  <pivotFields count="24">
    <pivotField compact="0" outline="0" showAll="0" defaultSubtotal="0"/>
    <pivotField axis="axisRow" compact="0" outline="0" showAll="0" defaultSubtotal="0">
      <items count="7">
        <item x="0"/>
        <item x="1"/>
        <item x="2"/>
        <item x="3"/>
        <item x="4"/>
        <item m="1" x="6"/>
        <item x="5"/>
      </items>
    </pivotField>
    <pivotField compact="0" outline="0" showAll="0" defaultSubtotal="0"/>
    <pivotField axis="axisRow" compact="0" outline="0" subtotalTop="0" showAll="0" defaultSubtotal="0">
      <items count="5">
        <item x="1"/>
        <item x="0"/>
        <item x="2"/>
        <item x="3"/>
        <item x="4"/>
      </items>
    </pivotField>
    <pivotField axis="axisRow" compact="0" outline="0" showAll="0" defaultSubtotal="0">
      <items count="5">
        <item x="0"/>
        <item x="1"/>
        <item x="2"/>
        <item x="3"/>
        <item x="4"/>
      </items>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7">
    <i>
      <x/>
      <x v="1"/>
      <x/>
    </i>
    <i>
      <x v="1"/>
      <x v="1"/>
      <x v="1"/>
    </i>
    <i>
      <x v="2"/>
      <x/>
      <x v="2"/>
    </i>
    <i>
      <x v="3"/>
      <x v="2"/>
      <x v="2"/>
    </i>
    <i>
      <x v="4"/>
      <x v="3"/>
      <x v="3"/>
    </i>
    <i>
      <x v="6"/>
      <x v="4"/>
      <x v="4"/>
    </i>
    <i t="grand">
      <x/>
    </i>
  </rowItems>
  <colItems count="1">
    <i/>
  </colItems>
  <dataFields count="1">
    <dataField name="Amount($)" fld="9" baseField="0" baseItem="0" numFmtId="166"/>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AF26E-C25E-4D04-BE6C-2FD3AF41877A}"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U66" firstHeaderRow="1" firstDataRow="2" firstDataCol="9"/>
  <pivotFields count="23">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04">
        <item x="42"/>
        <item x="35"/>
        <item x="68"/>
        <item x="49"/>
        <item x="54"/>
        <item x="38"/>
        <item x="12"/>
        <item x="0"/>
        <item x="27"/>
        <item x="44"/>
        <item x="2"/>
        <item x="41"/>
        <item x="60"/>
        <item x="43"/>
        <item x="13"/>
        <item x="62"/>
        <item x="46"/>
        <item x="8"/>
        <item x="19"/>
        <item x="25"/>
        <item x="18"/>
        <item x="1"/>
        <item x="30"/>
        <item x="66"/>
        <item x="17"/>
        <item x="9"/>
        <item x="20"/>
        <item x="4"/>
        <item x="5"/>
        <item x="7"/>
        <item x="6"/>
        <item x="10"/>
        <item x="69"/>
        <item m="1" x="86"/>
        <item x="14"/>
        <item x="15"/>
        <item x="11"/>
        <item x="3"/>
        <item m="1" x="85"/>
        <item x="50"/>
        <item x="31"/>
        <item x="16"/>
        <item x="21"/>
        <item m="1" x="84"/>
        <item x="22"/>
        <item x="23"/>
        <item x="24"/>
        <item x="26"/>
        <item x="28"/>
        <item x="29"/>
        <item x="32"/>
        <item x="33"/>
        <item x="34"/>
        <item x="36"/>
        <item x="37"/>
        <item x="45"/>
        <item x="39"/>
        <item x="40"/>
        <item m="1" x="87"/>
        <item x="47"/>
        <item m="1" x="88"/>
        <item x="48"/>
        <item m="1" x="89"/>
        <item x="51"/>
        <item x="52"/>
        <item x="53"/>
        <item m="1" x="90"/>
        <item m="1" x="91"/>
        <item x="55"/>
        <item m="1" x="92"/>
        <item m="1" x="93"/>
        <item m="1" x="94"/>
        <item m="1" x="95"/>
        <item x="56"/>
        <item x="57"/>
        <item x="58"/>
        <item x="59"/>
        <item x="61"/>
        <item m="1" x="96"/>
        <item x="63"/>
        <item x="64"/>
        <item m="1" x="97"/>
        <item x="65"/>
        <item m="1" x="98"/>
        <item x="67"/>
        <item x="70"/>
        <item x="71"/>
        <item m="1" x="99"/>
        <item x="72"/>
        <item m="1" x="100"/>
        <item x="73"/>
        <item x="74"/>
        <item x="75"/>
        <item x="76"/>
        <item x="77"/>
        <item x="78"/>
        <item m="1" x="101"/>
        <item m="1" x="102"/>
        <item x="79"/>
        <item x="80"/>
        <item x="81"/>
        <item x="82"/>
        <item x="83"/>
        <item m="1" x="103"/>
      </items>
      <extLst>
        <ext xmlns:x14="http://schemas.microsoft.com/office/spreadsheetml/2009/9/main" uri="{2946ED86-A175-432a-8AC1-64E0C546D7DE}">
          <x14:pivotField fillDownLabels="1"/>
        </ext>
      </extLst>
    </pivotField>
    <pivotField axis="axisRow" compact="0" outline="0" showAll="0" defaultSubtotal="0">
      <items count="4">
        <item x="0"/>
        <item h="1" x="2"/>
        <item h="1" x="3"/>
        <item h="1" x="1"/>
      </items>
      <extLst>
        <ext xmlns:x14="http://schemas.microsoft.com/office/spreadsheetml/2009/9/main" uri="{2946ED86-A175-432a-8AC1-64E0C546D7DE}">
          <x14:pivotField fillDownLabels="1"/>
        </ext>
      </extLst>
    </pivotField>
    <pivotField axis="axisRow" compact="0" outline="0" showAll="0" defaultSubtotal="0">
      <items count="14">
        <item x="2"/>
        <item x="7"/>
        <item x="0"/>
        <item x="8"/>
        <item x="1"/>
        <item x="10"/>
        <item x="9"/>
        <item x="3"/>
        <item x="6"/>
        <item x="4"/>
        <item x="12"/>
        <item x="11"/>
        <item m="1" x="13"/>
        <item x="5"/>
      </items>
      <extLst>
        <ext xmlns:x14="http://schemas.microsoft.com/office/spreadsheetml/2009/9/main" uri="{2946ED86-A175-432a-8AC1-64E0C546D7DE}">
          <x14:pivotField fillDownLabels="1"/>
        </ext>
      </extLst>
    </pivotField>
    <pivotField axis="axisRow" compact="0" outline="0" showAll="0" defaultSubtotal="0">
      <items count="22">
        <item x="1"/>
        <item x="3"/>
        <item x="7"/>
        <item x="10"/>
        <item x="4"/>
        <item x="2"/>
        <item x="14"/>
        <item x="0"/>
        <item x="5"/>
        <item x="13"/>
        <item x="6"/>
        <item m="1" x="20"/>
        <item x="8"/>
        <item x="15"/>
        <item x="9"/>
        <item x="12"/>
        <item x="16"/>
        <item m="1" x="21"/>
        <item x="17"/>
        <item x="18"/>
        <item x="19"/>
        <item x="1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6"/>
        <item x="3"/>
        <item x="5"/>
        <item x="4"/>
        <item x="0"/>
        <item x="1"/>
        <item x="10"/>
        <item x="8"/>
        <item x="7"/>
        <item x="2"/>
        <item x="9"/>
        <item x="11"/>
      </items>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62">
    <i>
      <x/>
      <x/>
      <x v="1"/>
      <x/>
      <x/>
      <x/>
      <x v="8"/>
      <x v="1"/>
      <x v="1"/>
    </i>
    <i r="8">
      <x v="2"/>
    </i>
    <i>
      <x v="1"/>
      <x/>
      <x v="1"/>
      <x/>
      <x/>
      <x/>
      <x v="6"/>
      <x v="1"/>
      <x v="1"/>
    </i>
    <i r="8">
      <x v="2"/>
    </i>
    <i>
      <x v="2"/>
      <x/>
      <x v="1"/>
      <x/>
      <x/>
      <x/>
      <x v="6"/>
      <x v="1"/>
      <x v="2"/>
    </i>
    <i>
      <x v="4"/>
      <x/>
      <x/>
      <x/>
      <x/>
      <x/>
      <x/>
      <x v="13"/>
      <x v="2"/>
    </i>
    <i>
      <x v="5"/>
      <x/>
      <x v="1"/>
      <x/>
      <x/>
      <x/>
      <x v="8"/>
      <x v="1"/>
      <x v="2"/>
    </i>
    <i r="5">
      <x v="6"/>
      <x v="8"/>
      <x v="1"/>
      <x v="1"/>
    </i>
    <i>
      <x v="6"/>
      <x/>
      <x v="1"/>
      <x/>
      <x/>
      <x/>
      <x v="8"/>
      <x v="1"/>
      <x v="1"/>
    </i>
    <i>
      <x v="7"/>
      <x/>
      <x v="1"/>
      <x/>
      <x/>
      <x v="4"/>
      <x v="2"/>
      <x v="7"/>
      <x/>
    </i>
    <i r="8">
      <x v="1"/>
    </i>
    <i>
      <x v="9"/>
      <x/>
      <x v="1"/>
      <x/>
      <x/>
      <x/>
      <x/>
      <x v="7"/>
      <x v="1"/>
    </i>
    <i>
      <x v="10"/>
      <x/>
      <x v="1"/>
      <x/>
      <x/>
      <x/>
      <x/>
      <x v="5"/>
      <x v="2"/>
    </i>
    <i r="5">
      <x v="9"/>
      <x/>
      <x v="5"/>
      <x v="1"/>
    </i>
    <i>
      <x v="12"/>
      <x/>
      <x v="1"/>
      <x/>
      <x/>
      <x/>
      <x v="2"/>
      <x v="7"/>
      <x v="2"/>
    </i>
    <i>
      <x v="13"/>
      <x/>
      <x v="1"/>
      <x/>
      <x/>
      <x/>
      <x/>
      <x v="7"/>
      <x v="1"/>
    </i>
    <i r="8">
      <x v="2"/>
    </i>
    <i>
      <x v="19"/>
      <x/>
      <x/>
      <x/>
      <x/>
      <x/>
      <x/>
      <x v="5"/>
      <x v="1"/>
    </i>
    <i r="8">
      <x v="2"/>
    </i>
    <i>
      <x v="20"/>
      <x/>
      <x v="1"/>
      <x/>
      <x/>
      <x/>
      <x v="2"/>
      <x v="12"/>
      <x v="1"/>
    </i>
    <i r="8">
      <x v="2"/>
    </i>
    <i>
      <x v="23"/>
      <x/>
      <x v="1"/>
      <x/>
      <x/>
      <x/>
      <x v="6"/>
      <x v="5"/>
      <x v="2"/>
    </i>
    <i>
      <x v="25"/>
      <x/>
      <x v="1"/>
      <x/>
      <x/>
      <x v="8"/>
      <x/>
      <x v="7"/>
      <x v="1"/>
    </i>
    <i r="8">
      <x v="2"/>
    </i>
    <i>
      <x v="27"/>
      <x/>
      <x v="1"/>
      <x/>
      <x v="1"/>
      <x v="3"/>
      <x v="2"/>
      <x v="7"/>
      <x v="1"/>
    </i>
    <i>
      <x v="29"/>
      <x/>
      <x/>
      <x/>
      <x/>
      <x/>
      <x v="9"/>
      <x v="5"/>
      <x v="1"/>
    </i>
    <i>
      <x v="34"/>
      <x/>
      <x/>
      <x/>
      <x/>
      <x/>
      <x v="7"/>
      <x v="5"/>
      <x v="1"/>
    </i>
    <i r="8">
      <x v="2"/>
    </i>
    <i>
      <x v="36"/>
      <x/>
      <x v="1"/>
      <x/>
      <x/>
      <x/>
      <x v="8"/>
      <x v="7"/>
      <x v="1"/>
    </i>
    <i r="8">
      <x v="2"/>
    </i>
    <i>
      <x v="37"/>
      <x/>
      <x v="1"/>
      <x/>
      <x/>
      <x v="1"/>
      <x v="7"/>
      <x v="1"/>
      <x v="1"/>
    </i>
    <i r="5">
      <x v="11"/>
      <x v="7"/>
      <x v="1"/>
      <x v="1"/>
    </i>
    <i>
      <x v="39"/>
      <x/>
      <x/>
      <x/>
      <x/>
      <x/>
      <x v="7"/>
      <x v="6"/>
      <x v="2"/>
    </i>
    <i>
      <x v="40"/>
      <x/>
      <x v="1"/>
      <x/>
      <x/>
      <x/>
      <x v="2"/>
      <x v="12"/>
      <x v="1"/>
    </i>
    <i r="8">
      <x v="2"/>
    </i>
    <i>
      <x v="45"/>
      <x/>
      <x/>
      <x/>
      <x/>
      <x/>
      <x v="2"/>
      <x v="3"/>
      <x v="1"/>
    </i>
    <i r="8">
      <x v="2"/>
    </i>
    <i>
      <x v="50"/>
      <x/>
      <x v="1"/>
      <x/>
      <x/>
      <x/>
      <x v="2"/>
      <x v="1"/>
      <x v="1"/>
    </i>
    <i r="8">
      <x v="2"/>
    </i>
    <i>
      <x v="51"/>
      <x/>
      <x v="1"/>
      <x/>
      <x/>
      <x/>
      <x v="2"/>
      <x v="21"/>
      <x v="1"/>
    </i>
    <i r="8">
      <x v="2"/>
    </i>
    <i>
      <x v="52"/>
      <x/>
      <x v="1"/>
      <x/>
      <x/>
      <x/>
      <x v="2"/>
      <x v="15"/>
      <x v="1"/>
    </i>
    <i r="8">
      <x v="2"/>
    </i>
    <i>
      <x v="54"/>
      <x/>
      <x v="1"/>
      <x/>
      <x/>
      <x/>
      <x v="2"/>
      <x v="12"/>
      <x v="1"/>
    </i>
    <i r="8">
      <x v="2"/>
    </i>
    <i>
      <x v="56"/>
      <x/>
      <x v="1"/>
      <x/>
      <x/>
      <x/>
      <x/>
      <x v="5"/>
      <x v="1"/>
    </i>
    <i r="8">
      <x v="2"/>
    </i>
    <i>
      <x v="57"/>
      <x/>
      <x v="1"/>
      <x/>
      <x/>
      <x/>
      <x v="2"/>
      <x v="3"/>
      <x v="1"/>
    </i>
    <i r="8">
      <x v="2"/>
    </i>
    <i>
      <x v="65"/>
      <x/>
      <x/>
      <x/>
      <x/>
      <x/>
      <x v="2"/>
      <x v="13"/>
      <x v="2"/>
    </i>
    <i>
      <x v="73"/>
      <x/>
      <x/>
      <x/>
      <x/>
      <x/>
      <x v="7"/>
      <x v="5"/>
      <x v="2"/>
    </i>
    <i>
      <x v="74"/>
      <x/>
      <x/>
      <x/>
      <x/>
      <x/>
      <x v="7"/>
      <x v="5"/>
      <x v="2"/>
    </i>
    <i>
      <x v="75"/>
      <x/>
      <x v="1"/>
      <x/>
      <x/>
      <x/>
      <x v="6"/>
      <x v="5"/>
      <x v="2"/>
    </i>
    <i>
      <x v="77"/>
      <x/>
      <x v="1"/>
      <x/>
      <x/>
      <x/>
      <x v="2"/>
      <x v="12"/>
      <x v="2"/>
    </i>
    <i>
      <x v="80"/>
      <x/>
      <x v="1"/>
      <x/>
      <x/>
      <x/>
      <x v="2"/>
      <x v="18"/>
      <x v="2"/>
    </i>
    <i>
      <x v="82"/>
      <x/>
      <x v="1"/>
      <x/>
      <x/>
      <x/>
      <x v="2"/>
      <x v="7"/>
      <x v="2"/>
    </i>
    <i>
      <x v="84"/>
      <x/>
      <x v="1"/>
      <x/>
      <x/>
      <x/>
      <x v="2"/>
      <x v="15"/>
      <x v="2"/>
    </i>
    <i>
      <x v="94"/>
      <x/>
      <x v="1"/>
      <x/>
      <x/>
      <x/>
      <x/>
      <x v="1"/>
      <x v="2"/>
    </i>
    <i>
      <x v="98"/>
      <x/>
      <x v="1"/>
      <x/>
      <x/>
      <x/>
      <x v="8"/>
      <x v="1"/>
      <x v="2"/>
    </i>
    <i>
      <x v="101"/>
      <x/>
      <x v="1"/>
      <x/>
      <x/>
      <x v="11"/>
      <x v="7"/>
      <x v="1"/>
      <x v="2"/>
    </i>
    <i>
      <x v="102"/>
      <x/>
      <x v="1"/>
      <x/>
      <x/>
      <x/>
      <x v="2"/>
      <x v="3"/>
      <x v="2"/>
    </i>
    <i t="grand">
      <x/>
    </i>
  </rowItems>
  <colFields count="1">
    <field x="12"/>
  </colFields>
  <colItems count="12">
    <i>
      <x/>
    </i>
    <i>
      <x v="1"/>
    </i>
    <i>
      <x v="2"/>
    </i>
    <i>
      <x v="3"/>
    </i>
    <i>
      <x v="4"/>
    </i>
    <i>
      <x v="5"/>
    </i>
    <i>
      <x v="6"/>
    </i>
    <i>
      <x v="7"/>
    </i>
    <i>
      <x v="8"/>
    </i>
    <i>
      <x v="9"/>
    </i>
    <i>
      <x v="10"/>
    </i>
    <i t="grand">
      <x/>
    </i>
  </colItems>
  <dataFields count="1">
    <dataField name="Sum of USD AMOUNT" fld="9" baseField="0" baseItem="0" numFmtId="1"/>
  </dataFields>
  <formats count="30">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1" type="button" dataOnly="0" labelOnly="1" outline="0" axis="axisRow" fieldPosition="0"/>
    </format>
    <format dxfId="26">
      <pivotArea field="0" type="button" dataOnly="0" labelOnly="1" outline="0" axis="axisRow" fieldPosition="2"/>
    </format>
    <format dxfId="25">
      <pivotArea field="7" type="button" dataOnly="0" labelOnly="1" outline="0" axis="axisRow" fieldPosition="3"/>
    </format>
    <format dxfId="24">
      <pivotArea field="5" type="button" dataOnly="0" labelOnly="1" outline="0" axis="axisRow" fieldPosition="4"/>
    </format>
    <format dxfId="23">
      <pivotArea field="22" type="button" dataOnly="0" labelOnly="1" outline="0" axis="axisRow" fieldPosition="5"/>
    </format>
    <format dxfId="22">
      <pivotArea field="3" type="button" dataOnly="0" labelOnly="1" outline="0" axis="axisRow" fieldPosition="6"/>
    </format>
    <format dxfId="21">
      <pivotArea field="4" type="button" dataOnly="0" labelOnly="1" outline="0" axis="axisRow" fieldPosition="7"/>
    </format>
    <format dxfId="20">
      <pivotArea field="6" type="button" dataOnly="0" labelOnly="1" outline="0" axis="axisRow" fieldPosition="8"/>
    </format>
    <format dxfId="19">
      <pivotArea dataOnly="0" labelOnly="1" outline="0" fieldPosition="0">
        <references count="1">
          <reference field="1" count="19">
            <x v="0"/>
            <x v="1"/>
            <x v="2"/>
            <x v="3"/>
            <x v="4"/>
            <x v="5"/>
            <x v="6"/>
            <x v="7"/>
            <x v="8"/>
            <x v="9"/>
            <x v="10"/>
            <x v="11"/>
            <x v="12"/>
            <x v="13"/>
            <x v="14"/>
            <x v="15"/>
            <x v="16"/>
            <x v="17"/>
            <x v="18"/>
          </reference>
        </references>
      </pivotArea>
    </format>
    <format dxfId="18">
      <pivotArea dataOnly="0" labelOnly="1" outline="0" fieldPosition="0">
        <references count="1">
          <reference field="1" count="6">
            <x v="19"/>
            <x v="20"/>
            <x v="21"/>
            <x v="22"/>
            <x v="23"/>
            <x v="24"/>
          </reference>
        </references>
      </pivotArea>
    </format>
    <format dxfId="17">
      <pivotArea dataOnly="0" labelOnly="1" grandRow="1" outline="0" fieldPosition="0"/>
    </format>
    <format dxfId="16">
      <pivotArea dataOnly="0" labelOnly="1" outline="0" fieldPosition="0">
        <references count="2">
          <reference field="0" count="1">
            <x v="1"/>
          </reference>
          <reference field="1" count="1" selected="0">
            <x v="0"/>
          </reference>
        </references>
      </pivotArea>
    </format>
    <format dxfId="15">
      <pivotArea dataOnly="0" labelOnly="1" outline="0" fieldPosition="0">
        <references count="2">
          <reference field="0" count="1">
            <x v="0"/>
          </reference>
          <reference field="1" count="1" selected="0">
            <x v="3"/>
          </reference>
        </references>
      </pivotArea>
    </format>
    <format dxfId="14">
      <pivotArea dataOnly="0" labelOnly="1" outline="0" fieldPosition="0">
        <references count="2">
          <reference field="0" count="1">
            <x v="1"/>
          </reference>
          <reference field="1" count="1" selected="0">
            <x v="5"/>
          </reference>
        </references>
      </pivotArea>
    </format>
    <format dxfId="13">
      <pivotArea dataOnly="0" labelOnly="1" outline="0" fieldPosition="0">
        <references count="2">
          <reference field="0" count="1">
            <x v="0"/>
          </reference>
          <reference field="1" count="1" selected="0">
            <x v="8"/>
          </reference>
        </references>
      </pivotArea>
    </format>
    <format dxfId="12">
      <pivotArea dataOnly="0" labelOnly="1" outline="0" fieldPosition="0">
        <references count="2">
          <reference field="0" count="1">
            <x v="1"/>
          </reference>
          <reference field="1" count="1" selected="0">
            <x v="12"/>
          </reference>
        </references>
      </pivotArea>
    </format>
    <format dxfId="11">
      <pivotArea dataOnly="0" labelOnly="1" outline="0" fieldPosition="0">
        <references count="2">
          <reference field="0" count="1">
            <x v="1"/>
          </reference>
          <reference field="1" count="1" selected="0">
            <x v="22"/>
          </reference>
        </references>
      </pivotArea>
    </format>
    <format dxfId="10">
      <pivotArea dataOnly="0" labelOnly="1" outline="0" fieldPosition="0">
        <references count="3">
          <reference field="0" count="1" selected="0">
            <x v="1"/>
          </reference>
          <reference field="1" count="1" selected="0">
            <x v="0"/>
          </reference>
          <reference field="7" count="1">
            <x v="0"/>
          </reference>
        </references>
      </pivotArea>
    </format>
    <format dxfId="9">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8">
      <pivotArea dataOnly="0" labelOnly="1" outline="0" fieldPosition="0">
        <references count="5">
          <reference field="0" count="1" selected="0">
            <x v="0"/>
          </reference>
          <reference field="1" count="1" selected="0">
            <x v="8"/>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9"/>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5"/>
          </reference>
          <reference field="5" count="0" selected="0"/>
          <reference field="7" count="1" selected="0">
            <x v="0"/>
          </reference>
          <reference field="22" count="1">
            <x v="0"/>
          </reference>
        </references>
      </pivotArea>
    </format>
    <format dxfId="5">
      <pivotArea dataOnly="0" labelOnly="1" outline="0" fieldPosition="0">
        <references count="5">
          <reference field="0" count="1" selected="0">
            <x v="1"/>
          </reference>
          <reference field="1" count="1" selected="0">
            <x v="18"/>
          </reference>
          <reference field="5" count="0" selected="0"/>
          <reference field="7" count="1" selected="0">
            <x v="0"/>
          </reference>
          <reference field="22" count="1">
            <x v="0"/>
          </reference>
        </references>
      </pivotArea>
    </format>
    <format dxfId="4">
      <pivotArea dataOnly="0" labelOnly="1" outline="0" fieldPosition="0">
        <references count="1">
          <reference field="12"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6"/>
  <sheetViews>
    <sheetView showGridLines="0" workbookViewId="0">
      <selection activeCell="B30" sqref="B30:D35"/>
    </sheetView>
  </sheetViews>
  <sheetFormatPr defaultRowHeight="14.5"/>
  <cols>
    <col min="2" max="2" width="18.453125" bestFit="1" customWidth="1"/>
    <col min="3" max="3" width="17.90625" bestFit="1" customWidth="1"/>
    <col min="4" max="5" width="10.453125" bestFit="1" customWidth="1"/>
    <col min="6" max="6" width="13.08984375" bestFit="1" customWidth="1"/>
    <col min="7" max="7" width="11.08984375" bestFit="1" customWidth="1"/>
    <col min="8" max="8" width="14.1796875" customWidth="1"/>
  </cols>
  <sheetData>
    <row r="2" spans="2:8" ht="21">
      <c r="B2" s="74" t="s">
        <v>0</v>
      </c>
      <c r="C2" s="74"/>
      <c r="D2" s="74"/>
      <c r="E2" s="74"/>
      <c r="F2" s="74"/>
      <c r="G2" s="74"/>
    </row>
    <row r="3" spans="2:8">
      <c r="B3" s="54" t="s">
        <v>1</v>
      </c>
      <c r="C3" s="54" t="s">
        <v>2</v>
      </c>
      <c r="D3" s="8"/>
      <c r="E3" s="8"/>
      <c r="F3" s="8"/>
      <c r="G3" s="8"/>
    </row>
    <row r="4" spans="2:8">
      <c r="B4" s="55" t="s">
        <v>3</v>
      </c>
      <c r="C4" s="56" t="s">
        <v>4</v>
      </c>
      <c r="D4" s="56" t="s">
        <v>5</v>
      </c>
      <c r="E4" s="56" t="s">
        <v>6</v>
      </c>
      <c r="F4" s="56" t="s">
        <v>7</v>
      </c>
      <c r="G4" s="56" t="s">
        <v>8</v>
      </c>
    </row>
    <row r="5" spans="2:8">
      <c r="B5" s="2" t="s">
        <v>9</v>
      </c>
      <c r="C5" s="51">
        <v>15566.323105867112</v>
      </c>
      <c r="D5" s="51">
        <v>195.88065556255174</v>
      </c>
      <c r="E5" s="51"/>
      <c r="F5" s="51">
        <v>329.59528088113177</v>
      </c>
      <c r="G5" s="51">
        <v>16091.799042310797</v>
      </c>
    </row>
    <row r="6" spans="2:8">
      <c r="B6" s="2" t="s">
        <v>10</v>
      </c>
      <c r="C6" s="51">
        <v>15535.710316252565</v>
      </c>
      <c r="D6" s="51">
        <v>11528.720000000001</v>
      </c>
      <c r="E6" s="51">
        <v>9818.869999999999</v>
      </c>
      <c r="F6" s="51">
        <v>19090.75</v>
      </c>
      <c r="G6" s="51">
        <v>55974.050316252571</v>
      </c>
    </row>
    <row r="7" spans="2:8">
      <c r="B7" s="2" t="s">
        <v>653</v>
      </c>
      <c r="C7" s="51">
        <v>11511.5</v>
      </c>
      <c r="D7" s="51">
        <v>8858</v>
      </c>
      <c r="E7" s="51">
        <v>107.48999999999978</v>
      </c>
      <c r="F7" s="51"/>
      <c r="G7" s="51">
        <v>20476.989999999998</v>
      </c>
    </row>
    <row r="8" spans="2:8">
      <c r="B8" s="2" t="s">
        <v>37</v>
      </c>
      <c r="C8" s="51">
        <v>341353.59534504195</v>
      </c>
      <c r="D8" s="51">
        <v>72278.190094459875</v>
      </c>
      <c r="E8" s="51">
        <v>12426.316568097387</v>
      </c>
      <c r="F8" s="51">
        <v>122702.07640273859</v>
      </c>
      <c r="G8" s="51">
        <v>548760.17841033777</v>
      </c>
    </row>
    <row r="9" spans="2:8">
      <c r="B9" s="2" t="s">
        <v>8</v>
      </c>
      <c r="C9" s="51">
        <v>383967.12876716163</v>
      </c>
      <c r="D9" s="51">
        <v>92860.790750022425</v>
      </c>
      <c r="E9" s="51">
        <v>22352.676568097384</v>
      </c>
      <c r="F9" s="51">
        <v>142122.42168361973</v>
      </c>
      <c r="G9" s="51">
        <v>641303.01776890107</v>
      </c>
    </row>
    <row r="11" spans="2:8" ht="21">
      <c r="B11" s="73" t="s">
        <v>654</v>
      </c>
      <c r="C11" s="73"/>
      <c r="D11" s="73"/>
      <c r="E11" s="73"/>
      <c r="F11" s="73"/>
      <c r="G11" s="73"/>
      <c r="H11" s="73"/>
    </row>
    <row r="12" spans="2:8" ht="29">
      <c r="B12" s="40" t="s">
        <v>12</v>
      </c>
      <c r="C12" s="41" t="s">
        <v>4</v>
      </c>
      <c r="D12" s="41" t="s">
        <v>5</v>
      </c>
      <c r="E12" s="41" t="s">
        <v>6</v>
      </c>
      <c r="F12" s="41" t="s">
        <v>7</v>
      </c>
      <c r="G12" s="41" t="s">
        <v>8</v>
      </c>
      <c r="H12" s="42" t="s">
        <v>13</v>
      </c>
    </row>
    <row r="13" spans="2:8">
      <c r="B13" s="43" t="s">
        <v>9</v>
      </c>
      <c r="C13" s="47">
        <f>GETPIVOTDATA("USD AMOUNT",$B$3,"Region","EU/UK","Ageing Tier","0-30 days")</f>
        <v>15566.323105867112</v>
      </c>
      <c r="D13" s="47">
        <f>GETPIVOTDATA("USD AMOUNT",$B$3,"Region","EU/UK","Ageing Tier","31-60 days")</f>
        <v>195.88065556255174</v>
      </c>
      <c r="E13" s="47">
        <f>GETPIVOTDATA("USD AMOUNT",$B$3,"Region","EU/UK","Ageing Tier","61-90 days")</f>
        <v>0</v>
      </c>
      <c r="F13" s="47">
        <f>GETPIVOTDATA("USD AMOUNT",$B$3,"Region","EU/UK","Ageing Tier","Over 90+ days")</f>
        <v>329.59528088113177</v>
      </c>
      <c r="G13" s="47">
        <f>SUM(C13:F13)</f>
        <v>16091.799042310797</v>
      </c>
      <c r="H13" s="13">
        <f>G13/G17</f>
        <v>2.509234885295614E-2</v>
      </c>
    </row>
    <row r="14" spans="2:8">
      <c r="B14" s="43" t="s">
        <v>10</v>
      </c>
      <c r="C14" s="47">
        <f>GETPIVOTDATA("USD AMOUNT",$B$3,"Region","USA","Ageing Tier","0-30 days")</f>
        <v>15535.710316252565</v>
      </c>
      <c r="D14" s="47">
        <f>GETPIVOTDATA("USD AMOUNT",$B$3,"Region","USA","Ageing Tier","31-60 days")</f>
        <v>11528.720000000001</v>
      </c>
      <c r="E14" s="47">
        <f>GETPIVOTDATA("USD AMOUNT",$B$3,"Region","USA","Ageing Tier","61-90 days")</f>
        <v>9818.869999999999</v>
      </c>
      <c r="F14" s="47">
        <f>GETPIVOTDATA("USD AMOUNT",$B$3,"Region","USA","Ageing Tier","Over 90+ days")</f>
        <v>19090.75</v>
      </c>
      <c r="G14" s="47">
        <f t="shared" ref="G14:G15" si="0">SUM(C14:F14)</f>
        <v>55974.050316252571</v>
      </c>
      <c r="H14" s="13">
        <f>G14/G17</f>
        <v>8.7281751005923516E-2</v>
      </c>
    </row>
    <row r="15" spans="2:8">
      <c r="B15" s="43" t="s">
        <v>653</v>
      </c>
      <c r="C15" s="47">
        <f>GETPIVOTDATA("USD AMOUNT",$B$3,"Region","ME","Ageing Tier","0-30 days")</f>
        <v>11511.5</v>
      </c>
      <c r="D15" s="47">
        <f>GETPIVOTDATA("USD AMOUNT",$B$3,"Region","ME","Ageing Tier","31-60 days")</f>
        <v>8858</v>
      </c>
      <c r="E15" s="47">
        <f>GETPIVOTDATA("USD AMOUNT",$B$3,"Region","ME","Ageing Tier","61-90 days")</f>
        <v>107.48999999999978</v>
      </c>
      <c r="F15" s="47">
        <f>GETPIVOTDATA("USD AMOUNT",$B$3,"Region","ME","Ageing Tier","Over 90+ days")</f>
        <v>0</v>
      </c>
      <c r="G15" s="47">
        <f t="shared" si="0"/>
        <v>20476.989999999998</v>
      </c>
      <c r="H15" s="13">
        <f>G15/G17</f>
        <v>3.1930287917932509E-2</v>
      </c>
    </row>
    <row r="16" spans="2:8">
      <c r="B16" s="43" t="s">
        <v>37</v>
      </c>
      <c r="C16" s="47">
        <f>GETPIVOTDATA("USD AMOUNT",$B$3,"Region","APAC","Ageing Tier","0-30 days")</f>
        <v>341353.59534504195</v>
      </c>
      <c r="D16" s="47">
        <f>GETPIVOTDATA("USD AMOUNT",$B$3,"Region","APAC","Ageing Tier","31-60 days")</f>
        <v>72278.190094459875</v>
      </c>
      <c r="E16" s="47">
        <f>GETPIVOTDATA("USD AMOUNT",$B$3,"Region","APAC","Ageing Tier","61-90 days")</f>
        <v>12426.316568097387</v>
      </c>
      <c r="F16" s="47">
        <f>GETPIVOTDATA("USD AMOUNT",$B$3,"Region","APAC","Ageing Tier","Over 90+ days")</f>
        <v>122702.07640273859</v>
      </c>
      <c r="G16" s="47">
        <f>GETPIVOTDATA("USD AMOUNT",$B$3,"Region","APAC")</f>
        <v>548760.17841033777</v>
      </c>
      <c r="H16" s="13">
        <f>G16/G17</f>
        <v>0.85569561222318791</v>
      </c>
    </row>
    <row r="17" spans="2:8">
      <c r="B17" s="43" t="s">
        <v>8</v>
      </c>
      <c r="C17" s="48">
        <f>SUM(C13:C16)</f>
        <v>383967.12876716163</v>
      </c>
      <c r="D17" s="48">
        <f t="shared" ref="D17:G17" si="1">SUM(D13:D16)</f>
        <v>92860.790750022425</v>
      </c>
      <c r="E17" s="48">
        <f t="shared" si="1"/>
        <v>22352.676568097384</v>
      </c>
      <c r="F17" s="48">
        <f t="shared" si="1"/>
        <v>142122.42168361973</v>
      </c>
      <c r="G17" s="48">
        <f t="shared" si="1"/>
        <v>641303.01776890107</v>
      </c>
      <c r="H17" s="13">
        <v>1</v>
      </c>
    </row>
    <row r="18" spans="2:8" ht="29">
      <c r="B18" s="44" t="s">
        <v>14</v>
      </c>
      <c r="C18" s="16">
        <f>C17/G17</f>
        <v>0.59872964593709022</v>
      </c>
      <c r="D18" s="16">
        <f>D17/G17</f>
        <v>0.1448001774154844</v>
      </c>
      <c r="E18" s="16">
        <f>E17/G17</f>
        <v>3.485509337826375E-2</v>
      </c>
      <c r="F18" s="16">
        <f>F17/G17</f>
        <v>0.22161508326916174</v>
      </c>
      <c r="G18" s="16">
        <v>1</v>
      </c>
      <c r="H18" s="45"/>
    </row>
    <row r="20" spans="2:8">
      <c r="B20" s="3" t="s">
        <v>16</v>
      </c>
      <c r="C20" s="3" t="s">
        <v>23</v>
      </c>
      <c r="D20" s="3" t="s">
        <v>24</v>
      </c>
      <c r="E20" t="s">
        <v>740</v>
      </c>
    </row>
    <row r="21" spans="2:8">
      <c r="B21" t="s">
        <v>705</v>
      </c>
      <c r="C21" t="s">
        <v>50</v>
      </c>
      <c r="D21" t="s">
        <v>554</v>
      </c>
      <c r="E21" s="53">
        <v>-68</v>
      </c>
      <c r="F21" s="46"/>
    </row>
    <row r="22" spans="2:8">
      <c r="B22" t="s">
        <v>675</v>
      </c>
      <c r="C22" t="s">
        <v>50</v>
      </c>
      <c r="D22" t="s">
        <v>48</v>
      </c>
      <c r="E22" s="53">
        <v>-298</v>
      </c>
      <c r="F22" s="46"/>
    </row>
    <row r="23" spans="2:8">
      <c r="B23" t="s">
        <v>765</v>
      </c>
      <c r="C23" t="s">
        <v>662</v>
      </c>
      <c r="D23" t="s">
        <v>41</v>
      </c>
      <c r="E23" s="53">
        <v>-7908.3063000000111</v>
      </c>
      <c r="F23" s="46"/>
    </row>
    <row r="24" spans="2:8">
      <c r="B24" t="s">
        <v>55</v>
      </c>
      <c r="C24" t="s">
        <v>702</v>
      </c>
      <c r="D24" t="s">
        <v>41</v>
      </c>
      <c r="E24" s="53">
        <v>-85143.008119189122</v>
      </c>
    </row>
    <row r="25" spans="2:8">
      <c r="B25" t="s">
        <v>619</v>
      </c>
      <c r="C25" t="s">
        <v>600</v>
      </c>
      <c r="D25" t="s">
        <v>52</v>
      </c>
      <c r="E25" s="53">
        <v>-152.90999999999985</v>
      </c>
    </row>
    <row r="26" spans="2:8">
      <c r="B26" t="s">
        <v>584</v>
      </c>
      <c r="C26" t="s">
        <v>65</v>
      </c>
      <c r="D26" t="s">
        <v>31</v>
      </c>
      <c r="E26" s="53">
        <v>-105.02</v>
      </c>
    </row>
    <row r="27" spans="2:8">
      <c r="B27" t="s">
        <v>8</v>
      </c>
      <c r="E27" s="53">
        <v>-93675.244419189141</v>
      </c>
    </row>
    <row r="29" spans="2:8">
      <c r="E29" s="53"/>
    </row>
    <row r="30" spans="2:8">
      <c r="B30" s="57" t="s">
        <v>678</v>
      </c>
      <c r="C30" s="57" t="s">
        <v>815</v>
      </c>
      <c r="D30" s="57" t="s">
        <v>816</v>
      </c>
    </row>
    <row r="31" spans="2:8">
      <c r="B31" s="58" t="s">
        <v>705</v>
      </c>
      <c r="C31" s="58" t="s">
        <v>554</v>
      </c>
      <c r="D31" s="72">
        <v>-68</v>
      </c>
    </row>
    <row r="32" spans="2:8">
      <c r="B32" s="58" t="s">
        <v>675</v>
      </c>
      <c r="C32" s="58" t="s">
        <v>48</v>
      </c>
      <c r="D32" s="72">
        <v>-298</v>
      </c>
    </row>
    <row r="33" spans="2:4">
      <c r="B33" s="58" t="s">
        <v>765</v>
      </c>
      <c r="C33" s="58" t="s">
        <v>41</v>
      </c>
      <c r="D33" s="72">
        <v>-7908.3063000000111</v>
      </c>
    </row>
    <row r="34" spans="2:4">
      <c r="B34" s="58" t="s">
        <v>55</v>
      </c>
      <c r="C34" s="58" t="s">
        <v>702</v>
      </c>
      <c r="D34" s="72">
        <v>-85143.008119189122</v>
      </c>
    </row>
    <row r="35" spans="2:4" ht="15" thickBot="1">
      <c r="C35" s="59" t="s">
        <v>786</v>
      </c>
      <c r="D35" s="60">
        <f>SUM(D31:D34)</f>
        <v>-93417.314419189133</v>
      </c>
    </row>
    <row r="36" spans="2:4" ht="15" thickTop="1"/>
  </sheetData>
  <mergeCells count="2">
    <mergeCell ref="B11:H11"/>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U66"/>
  <sheetViews>
    <sheetView topLeftCell="A16" zoomScale="80" zoomScaleNormal="80" workbookViewId="0">
      <selection activeCell="C11" sqref="C11"/>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 bestFit="1" customWidth="1"/>
    <col min="10" max="20" width="8.36328125" bestFit="1" customWidth="1"/>
    <col min="21" max="21" width="9.90625" bestFit="1" customWidth="1"/>
    <col min="22" max="24" width="10.81640625" bestFit="1" customWidth="1"/>
    <col min="25" max="25" width="11.26953125" bestFit="1" customWidth="1"/>
  </cols>
  <sheetData>
    <row r="3" spans="1:21">
      <c r="A3" t="s">
        <v>1</v>
      </c>
      <c r="J3" t="s">
        <v>15</v>
      </c>
    </row>
    <row r="4" spans="1:21">
      <c r="A4" t="s">
        <v>678</v>
      </c>
      <c r="B4" t="s">
        <v>12</v>
      </c>
      <c r="C4" t="s">
        <v>17</v>
      </c>
      <c r="D4" t="s">
        <v>18</v>
      </c>
      <c r="E4" t="s">
        <v>19</v>
      </c>
      <c r="F4" t="s">
        <v>21</v>
      </c>
      <c r="G4" t="s">
        <v>23</v>
      </c>
      <c r="H4" t="s">
        <v>24</v>
      </c>
      <c r="I4" t="s">
        <v>25</v>
      </c>
      <c r="J4" t="s">
        <v>814</v>
      </c>
      <c r="K4" t="s">
        <v>928</v>
      </c>
      <c r="L4" t="s">
        <v>929</v>
      </c>
      <c r="M4" t="s">
        <v>930</v>
      </c>
      <c r="N4" t="s">
        <v>719</v>
      </c>
      <c r="O4" t="s">
        <v>738</v>
      </c>
      <c r="P4" t="s">
        <v>810</v>
      </c>
      <c r="Q4" t="s">
        <v>811</v>
      </c>
      <c r="R4" t="s">
        <v>931</v>
      </c>
      <c r="S4" t="s">
        <v>701</v>
      </c>
      <c r="T4" t="s">
        <v>718</v>
      </c>
      <c r="U4" t="s">
        <v>8</v>
      </c>
    </row>
    <row r="5" spans="1:21">
      <c r="A5" t="s">
        <v>55</v>
      </c>
      <c r="B5" t="s">
        <v>37</v>
      </c>
      <c r="C5" t="s">
        <v>27</v>
      </c>
      <c r="D5" t="s">
        <v>28</v>
      </c>
      <c r="E5" t="s">
        <v>29</v>
      </c>
      <c r="F5" t="s">
        <v>684</v>
      </c>
      <c r="G5" t="s">
        <v>702</v>
      </c>
      <c r="H5" t="s">
        <v>41</v>
      </c>
      <c r="I5">
        <v>2025</v>
      </c>
      <c r="J5" s="4"/>
      <c r="K5" s="4"/>
      <c r="L5" s="4"/>
      <c r="M5" s="4"/>
      <c r="N5" s="4"/>
      <c r="O5" s="4"/>
      <c r="P5" s="4"/>
      <c r="Q5" s="4">
        <v>1226.4160975246832</v>
      </c>
      <c r="R5" s="4"/>
      <c r="S5" s="4"/>
      <c r="T5" s="4"/>
      <c r="U5" s="4">
        <v>1226.4160975246832</v>
      </c>
    </row>
    <row r="6" spans="1:21">
      <c r="A6" t="s">
        <v>55</v>
      </c>
      <c r="B6" t="s">
        <v>37</v>
      </c>
      <c r="C6" t="s">
        <v>27</v>
      </c>
      <c r="D6" t="s">
        <v>28</v>
      </c>
      <c r="E6" t="s">
        <v>29</v>
      </c>
      <c r="F6" t="s">
        <v>684</v>
      </c>
      <c r="G6" t="s">
        <v>702</v>
      </c>
      <c r="H6" t="s">
        <v>41</v>
      </c>
      <c r="I6">
        <v>2026</v>
      </c>
      <c r="J6" s="4">
        <v>-85143.008119189122</v>
      </c>
      <c r="K6" s="4"/>
      <c r="L6" s="4"/>
      <c r="M6" s="4"/>
      <c r="N6" s="4"/>
      <c r="O6" s="4"/>
      <c r="P6" s="4"/>
      <c r="Q6" s="4"/>
      <c r="R6" s="4"/>
      <c r="S6" s="4"/>
      <c r="T6" s="4"/>
      <c r="U6" s="4">
        <v>-85143.008119189122</v>
      </c>
    </row>
    <row r="7" spans="1:21">
      <c r="A7" t="s">
        <v>76</v>
      </c>
      <c r="B7" t="s">
        <v>37</v>
      </c>
      <c r="C7" t="s">
        <v>27</v>
      </c>
      <c r="D7" t="s">
        <v>28</v>
      </c>
      <c r="E7" t="s">
        <v>29</v>
      </c>
      <c r="F7" t="s">
        <v>684</v>
      </c>
      <c r="G7" t="s">
        <v>663</v>
      </c>
      <c r="H7" t="s">
        <v>41</v>
      </c>
      <c r="I7">
        <v>2025</v>
      </c>
      <c r="J7" s="4"/>
      <c r="K7" s="4"/>
      <c r="L7" s="4"/>
      <c r="M7" s="4"/>
      <c r="N7" s="4"/>
      <c r="O7" s="4"/>
      <c r="P7" s="4"/>
      <c r="Q7" s="4">
        <v>44332.25</v>
      </c>
      <c r="R7" s="4"/>
      <c r="S7" s="4"/>
      <c r="T7" s="4"/>
      <c r="U7" s="4">
        <v>44332.25</v>
      </c>
    </row>
    <row r="8" spans="1:21">
      <c r="A8" t="s">
        <v>76</v>
      </c>
      <c r="B8" t="s">
        <v>37</v>
      </c>
      <c r="C8" t="s">
        <v>27</v>
      </c>
      <c r="D8" t="s">
        <v>28</v>
      </c>
      <c r="E8" t="s">
        <v>29</v>
      </c>
      <c r="F8" t="s">
        <v>684</v>
      </c>
      <c r="G8" t="s">
        <v>663</v>
      </c>
      <c r="H8" t="s">
        <v>41</v>
      </c>
      <c r="I8">
        <v>2026</v>
      </c>
      <c r="J8" s="4">
        <v>32268.400000000001</v>
      </c>
      <c r="K8" s="4"/>
      <c r="L8" s="4"/>
      <c r="M8" s="4"/>
      <c r="N8" s="4"/>
      <c r="O8" s="4"/>
      <c r="P8" s="4"/>
      <c r="Q8" s="4"/>
      <c r="R8" s="4"/>
      <c r="S8" s="4"/>
      <c r="T8" s="4"/>
      <c r="U8" s="4">
        <v>32268.400000000001</v>
      </c>
    </row>
    <row r="9" spans="1:21">
      <c r="A9" t="s">
        <v>80</v>
      </c>
      <c r="B9" t="s">
        <v>37</v>
      </c>
      <c r="C9" t="s">
        <v>27</v>
      </c>
      <c r="D9" t="s">
        <v>28</v>
      </c>
      <c r="E9" t="s">
        <v>29</v>
      </c>
      <c r="F9" t="s">
        <v>684</v>
      </c>
      <c r="G9" t="s">
        <v>663</v>
      </c>
      <c r="H9" t="s">
        <v>41</v>
      </c>
      <c r="I9">
        <v>2026</v>
      </c>
      <c r="J9" s="4">
        <v>1922.3749824732338</v>
      </c>
      <c r="K9" s="4"/>
      <c r="L9" s="4"/>
      <c r="M9" s="4"/>
      <c r="N9" s="4"/>
      <c r="O9" s="4"/>
      <c r="P9" s="4"/>
      <c r="Q9" s="4"/>
      <c r="R9" s="4"/>
      <c r="S9" s="4"/>
      <c r="T9" s="4"/>
      <c r="U9" s="4">
        <v>1922.3749824732338</v>
      </c>
    </row>
    <row r="10" spans="1:21">
      <c r="A10" t="s">
        <v>116</v>
      </c>
      <c r="B10" t="s">
        <v>37</v>
      </c>
      <c r="C10" t="s">
        <v>33</v>
      </c>
      <c r="D10" t="s">
        <v>28</v>
      </c>
      <c r="E10" t="s">
        <v>29</v>
      </c>
      <c r="F10" t="s">
        <v>684</v>
      </c>
      <c r="G10" t="s">
        <v>38</v>
      </c>
      <c r="H10" t="s">
        <v>112</v>
      </c>
      <c r="I10">
        <v>2026</v>
      </c>
      <c r="J10" s="4">
        <v>356.96162892151295</v>
      </c>
      <c r="K10" s="4"/>
      <c r="L10" s="4"/>
      <c r="M10" s="4"/>
      <c r="N10" s="4"/>
      <c r="O10" s="4"/>
      <c r="P10" s="4"/>
      <c r="Q10" s="4"/>
      <c r="R10" s="4"/>
      <c r="S10" s="4"/>
      <c r="T10" s="4"/>
      <c r="U10" s="4">
        <v>356.96162892151295</v>
      </c>
    </row>
    <row r="11" spans="1:21">
      <c r="A11" t="s">
        <v>130</v>
      </c>
      <c r="B11" t="s">
        <v>37</v>
      </c>
      <c r="C11" t="s">
        <v>27</v>
      </c>
      <c r="D11" t="s">
        <v>28</v>
      </c>
      <c r="E11" t="s">
        <v>29</v>
      </c>
      <c r="F11" t="s">
        <v>684</v>
      </c>
      <c r="G11" t="s">
        <v>702</v>
      </c>
      <c r="H11" t="s">
        <v>41</v>
      </c>
      <c r="I11">
        <v>2026</v>
      </c>
      <c r="J11" s="4">
        <v>66082.648583379123</v>
      </c>
      <c r="K11" s="4"/>
      <c r="L11" s="4"/>
      <c r="M11" s="4"/>
      <c r="N11" s="4"/>
      <c r="O11" s="4"/>
      <c r="P11" s="4"/>
      <c r="Q11" s="4"/>
      <c r="R11" s="4"/>
      <c r="S11" s="4"/>
      <c r="T11" s="4"/>
      <c r="U11" s="4">
        <v>66082.648583379123</v>
      </c>
    </row>
    <row r="12" spans="1:21">
      <c r="A12" t="s">
        <v>130</v>
      </c>
      <c r="B12" t="s">
        <v>37</v>
      </c>
      <c r="C12" t="s">
        <v>27</v>
      </c>
      <c r="D12" t="s">
        <v>28</v>
      </c>
      <c r="E12" t="s">
        <v>29</v>
      </c>
      <c r="F12" t="s">
        <v>783</v>
      </c>
      <c r="G12" t="s">
        <v>702</v>
      </c>
      <c r="H12" t="s">
        <v>41</v>
      </c>
      <c r="I12">
        <v>2025</v>
      </c>
      <c r="J12" s="4"/>
      <c r="K12" s="4"/>
      <c r="L12" s="4"/>
      <c r="M12" s="4"/>
      <c r="N12" s="4"/>
      <c r="O12" s="4"/>
      <c r="P12" s="4"/>
      <c r="Q12" s="4">
        <v>55032.238341047159</v>
      </c>
      <c r="R12" s="4"/>
      <c r="S12" s="4"/>
      <c r="T12" s="4"/>
      <c r="U12" s="4">
        <v>55032.238341047159</v>
      </c>
    </row>
    <row r="13" spans="1:21">
      <c r="A13" t="s">
        <v>133</v>
      </c>
      <c r="B13" t="s">
        <v>37</v>
      </c>
      <c r="C13" t="s">
        <v>27</v>
      </c>
      <c r="D13" t="s">
        <v>28</v>
      </c>
      <c r="E13" t="s">
        <v>29</v>
      </c>
      <c r="F13" t="s">
        <v>684</v>
      </c>
      <c r="G13" t="s">
        <v>702</v>
      </c>
      <c r="H13" t="s">
        <v>41</v>
      </c>
      <c r="I13">
        <v>2025</v>
      </c>
      <c r="J13" s="4"/>
      <c r="K13" s="4"/>
      <c r="L13" s="4"/>
      <c r="M13" s="4"/>
      <c r="N13" s="4"/>
      <c r="O13" s="4">
        <v>814.99673035719275</v>
      </c>
      <c r="P13" s="4">
        <v>857.18829631475637</v>
      </c>
      <c r="Q13" s="4">
        <v>854.36124455983986</v>
      </c>
      <c r="R13" s="4"/>
      <c r="S13" s="4"/>
      <c r="T13" s="4"/>
      <c r="U13" s="4">
        <v>2526.546271231789</v>
      </c>
    </row>
    <row r="14" spans="1:21">
      <c r="A14" t="s">
        <v>134</v>
      </c>
      <c r="B14" t="s">
        <v>37</v>
      </c>
      <c r="C14" t="s">
        <v>27</v>
      </c>
      <c r="D14" t="s">
        <v>28</v>
      </c>
      <c r="E14" t="s">
        <v>29</v>
      </c>
      <c r="F14" t="s">
        <v>782</v>
      </c>
      <c r="G14" t="s">
        <v>31</v>
      </c>
      <c r="H14" t="s">
        <v>39</v>
      </c>
      <c r="I14">
        <v>2024</v>
      </c>
      <c r="J14" s="4"/>
      <c r="K14" s="4"/>
      <c r="L14" s="4"/>
      <c r="M14" s="4"/>
      <c r="N14" s="4"/>
      <c r="O14" s="4"/>
      <c r="P14" s="4">
        <v>5500</v>
      </c>
      <c r="Q14" s="4"/>
      <c r="R14" s="4"/>
      <c r="S14" s="4"/>
      <c r="T14" s="4"/>
      <c r="U14" s="4">
        <v>5500</v>
      </c>
    </row>
    <row r="15" spans="1:21">
      <c r="A15" t="s">
        <v>134</v>
      </c>
      <c r="B15" t="s">
        <v>37</v>
      </c>
      <c r="C15" t="s">
        <v>27</v>
      </c>
      <c r="D15" t="s">
        <v>28</v>
      </c>
      <c r="E15" t="s">
        <v>29</v>
      </c>
      <c r="F15" t="s">
        <v>782</v>
      </c>
      <c r="G15" t="s">
        <v>31</v>
      </c>
      <c r="H15" t="s">
        <v>39</v>
      </c>
      <c r="I15">
        <v>2025</v>
      </c>
      <c r="J15" s="4">
        <v>9930</v>
      </c>
      <c r="K15" s="4">
        <v>10000</v>
      </c>
      <c r="L15" s="4">
        <v>10000</v>
      </c>
      <c r="M15" s="4">
        <v>10000</v>
      </c>
      <c r="N15" s="4"/>
      <c r="O15" s="4"/>
      <c r="P15" s="4"/>
      <c r="Q15" s="4"/>
      <c r="R15" s="4">
        <v>10000</v>
      </c>
      <c r="S15" s="4"/>
      <c r="T15" s="4"/>
      <c r="U15" s="4">
        <v>49930</v>
      </c>
    </row>
    <row r="16" spans="1:21">
      <c r="A16" t="s">
        <v>148</v>
      </c>
      <c r="B16" t="s">
        <v>37</v>
      </c>
      <c r="C16" t="s">
        <v>27</v>
      </c>
      <c r="D16" t="s">
        <v>28</v>
      </c>
      <c r="E16" t="s">
        <v>29</v>
      </c>
      <c r="F16" t="s">
        <v>684</v>
      </c>
      <c r="G16" t="s">
        <v>38</v>
      </c>
      <c r="H16" t="s">
        <v>39</v>
      </c>
      <c r="I16">
        <v>2025</v>
      </c>
      <c r="J16" s="4"/>
      <c r="K16" s="4"/>
      <c r="L16" s="4"/>
      <c r="M16" s="4"/>
      <c r="N16" s="4"/>
      <c r="O16" s="4"/>
      <c r="P16" s="4"/>
      <c r="Q16" s="4">
        <v>1021.6148339856542</v>
      </c>
      <c r="R16" s="4"/>
      <c r="S16" s="4"/>
      <c r="T16" s="4"/>
      <c r="U16" s="4">
        <v>1021.6148339856542</v>
      </c>
    </row>
    <row r="17" spans="1:21">
      <c r="A17" t="s">
        <v>151</v>
      </c>
      <c r="B17" t="s">
        <v>37</v>
      </c>
      <c r="C17" t="s">
        <v>27</v>
      </c>
      <c r="D17" t="s">
        <v>28</v>
      </c>
      <c r="E17" t="s">
        <v>29</v>
      </c>
      <c r="F17" t="s">
        <v>684</v>
      </c>
      <c r="G17" t="s">
        <v>38</v>
      </c>
      <c r="H17" t="s">
        <v>31</v>
      </c>
      <c r="I17">
        <v>2026</v>
      </c>
      <c r="J17" s="4">
        <v>4749.1389118097732</v>
      </c>
      <c r="K17" s="4"/>
      <c r="L17" s="4"/>
      <c r="M17" s="4"/>
      <c r="N17" s="4"/>
      <c r="O17" s="4"/>
      <c r="P17" s="4"/>
      <c r="Q17" s="4"/>
      <c r="R17" s="4"/>
      <c r="S17" s="4"/>
      <c r="T17" s="4"/>
      <c r="U17" s="4">
        <v>4749.1389118097732</v>
      </c>
    </row>
    <row r="18" spans="1:21">
      <c r="A18" t="s">
        <v>151</v>
      </c>
      <c r="B18" t="s">
        <v>37</v>
      </c>
      <c r="C18" t="s">
        <v>27</v>
      </c>
      <c r="D18" t="s">
        <v>28</v>
      </c>
      <c r="E18" t="s">
        <v>29</v>
      </c>
      <c r="F18" t="s">
        <v>857</v>
      </c>
      <c r="G18" t="s">
        <v>38</v>
      </c>
      <c r="H18" t="s">
        <v>31</v>
      </c>
      <c r="I18">
        <v>2025</v>
      </c>
      <c r="J18" s="4"/>
      <c r="K18" s="4"/>
      <c r="L18" s="4"/>
      <c r="M18" s="4"/>
      <c r="N18" s="4">
        <v>4495.6247766902861</v>
      </c>
      <c r="O18" s="4">
        <v>4473.4151764140934</v>
      </c>
      <c r="P18" s="4">
        <v>4586.6382792659679</v>
      </c>
      <c r="Q18" s="4">
        <v>4550.0558709014676</v>
      </c>
      <c r="R18" s="4"/>
      <c r="S18" s="4">
        <v>1319.9063350274675</v>
      </c>
      <c r="T18" s="4">
        <v>4600.2592748113921</v>
      </c>
      <c r="U18" s="4">
        <v>24025.899713110677</v>
      </c>
    </row>
    <row r="19" spans="1:21">
      <c r="A19" t="s">
        <v>639</v>
      </c>
      <c r="B19" t="s">
        <v>37</v>
      </c>
      <c r="C19" t="s">
        <v>27</v>
      </c>
      <c r="D19" t="s">
        <v>28</v>
      </c>
      <c r="E19" t="s">
        <v>29</v>
      </c>
      <c r="F19" t="s">
        <v>684</v>
      </c>
      <c r="G19" t="s">
        <v>31</v>
      </c>
      <c r="H19" t="s">
        <v>39</v>
      </c>
      <c r="I19">
        <v>2026</v>
      </c>
      <c r="J19" s="4">
        <v>2105.476800862958</v>
      </c>
      <c r="K19" s="4"/>
      <c r="L19" s="4"/>
      <c r="M19" s="4"/>
      <c r="N19" s="4"/>
      <c r="O19" s="4"/>
      <c r="P19" s="4"/>
      <c r="Q19" s="4"/>
      <c r="R19" s="4"/>
      <c r="S19" s="4"/>
      <c r="T19" s="4"/>
      <c r="U19" s="4">
        <v>2105.476800862958</v>
      </c>
    </row>
    <row r="20" spans="1:21">
      <c r="A20" t="s">
        <v>650</v>
      </c>
      <c r="B20" t="s">
        <v>37</v>
      </c>
      <c r="C20" t="s">
        <v>27</v>
      </c>
      <c r="D20" t="s">
        <v>28</v>
      </c>
      <c r="E20" t="s">
        <v>29</v>
      </c>
      <c r="F20" t="s">
        <v>684</v>
      </c>
      <c r="G20" t="s">
        <v>38</v>
      </c>
      <c r="H20" t="s">
        <v>39</v>
      </c>
      <c r="I20">
        <v>2025</v>
      </c>
      <c r="J20" s="4"/>
      <c r="K20" s="4"/>
      <c r="L20" s="4"/>
      <c r="M20" s="4"/>
      <c r="N20" s="4"/>
      <c r="O20" s="4"/>
      <c r="P20" s="4"/>
      <c r="Q20" s="4">
        <v>137.8233732889212</v>
      </c>
      <c r="R20" s="4"/>
      <c r="S20" s="4"/>
      <c r="T20" s="4"/>
      <c r="U20" s="4">
        <v>137.8233732889212</v>
      </c>
    </row>
    <row r="21" spans="1:21">
      <c r="A21" t="s">
        <v>650</v>
      </c>
      <c r="B21" t="s">
        <v>37</v>
      </c>
      <c r="C21" t="s">
        <v>27</v>
      </c>
      <c r="D21" t="s">
        <v>28</v>
      </c>
      <c r="E21" t="s">
        <v>29</v>
      </c>
      <c r="F21" t="s">
        <v>684</v>
      </c>
      <c r="G21" t="s">
        <v>38</v>
      </c>
      <c r="H21" t="s">
        <v>39</v>
      </c>
      <c r="I21">
        <v>2026</v>
      </c>
      <c r="J21" s="4">
        <v>3439.8135182251167</v>
      </c>
      <c r="K21" s="4"/>
      <c r="L21" s="4"/>
      <c r="M21" s="4"/>
      <c r="N21" s="4"/>
      <c r="O21" s="4"/>
      <c r="P21" s="4"/>
      <c r="Q21" s="4"/>
      <c r="R21" s="4"/>
      <c r="S21" s="4"/>
      <c r="T21" s="4"/>
      <c r="U21" s="4">
        <v>3439.8135182251167</v>
      </c>
    </row>
    <row r="22" spans="1:21">
      <c r="A22" t="s">
        <v>113</v>
      </c>
      <c r="B22" t="s">
        <v>37</v>
      </c>
      <c r="C22" t="s">
        <v>33</v>
      </c>
      <c r="D22" t="s">
        <v>28</v>
      </c>
      <c r="E22" t="s">
        <v>29</v>
      </c>
      <c r="F22" t="s">
        <v>684</v>
      </c>
      <c r="G22" t="s">
        <v>38</v>
      </c>
      <c r="H22" t="s">
        <v>31</v>
      </c>
      <c r="I22">
        <v>2025</v>
      </c>
      <c r="J22" s="4"/>
      <c r="K22" s="4"/>
      <c r="L22" s="4"/>
      <c r="M22" s="4"/>
      <c r="N22" s="4"/>
      <c r="O22" s="4"/>
      <c r="P22" s="4"/>
      <c r="Q22" s="4">
        <v>6022.36</v>
      </c>
      <c r="R22" s="4"/>
      <c r="S22" s="4"/>
      <c r="T22" s="4"/>
      <c r="U22" s="4">
        <v>6022.36</v>
      </c>
    </row>
    <row r="23" spans="1:21">
      <c r="A23" t="s">
        <v>113</v>
      </c>
      <c r="B23" t="s">
        <v>37</v>
      </c>
      <c r="C23" t="s">
        <v>33</v>
      </c>
      <c r="D23" t="s">
        <v>28</v>
      </c>
      <c r="E23" t="s">
        <v>29</v>
      </c>
      <c r="F23" t="s">
        <v>684</v>
      </c>
      <c r="G23" t="s">
        <v>38</v>
      </c>
      <c r="H23" t="s">
        <v>31</v>
      </c>
      <c r="I23">
        <v>2026</v>
      </c>
      <c r="J23" s="4">
        <v>4723.7700000000004</v>
      </c>
      <c r="K23" s="4"/>
      <c r="L23" s="4"/>
      <c r="M23" s="4"/>
      <c r="N23" s="4"/>
      <c r="O23" s="4"/>
      <c r="P23" s="4"/>
      <c r="Q23" s="4"/>
      <c r="R23" s="4"/>
      <c r="S23" s="4"/>
      <c r="T23" s="4"/>
      <c r="U23" s="4">
        <v>4723.7700000000004</v>
      </c>
    </row>
    <row r="24" spans="1:21">
      <c r="A24" t="s">
        <v>697</v>
      </c>
      <c r="B24" t="s">
        <v>37</v>
      </c>
      <c r="C24" t="s">
        <v>27</v>
      </c>
      <c r="D24" t="s">
        <v>28</v>
      </c>
      <c r="E24" t="s">
        <v>29</v>
      </c>
      <c r="F24" t="s">
        <v>684</v>
      </c>
      <c r="G24" t="s">
        <v>31</v>
      </c>
      <c r="H24" t="s">
        <v>137</v>
      </c>
      <c r="I24">
        <v>2025</v>
      </c>
      <c r="J24" s="4"/>
      <c r="K24" s="4"/>
      <c r="L24" s="4"/>
      <c r="M24" s="4"/>
      <c r="N24" s="4"/>
      <c r="O24" s="4"/>
      <c r="P24" s="4">
        <v>302.05</v>
      </c>
      <c r="Q24" s="4">
        <v>7</v>
      </c>
      <c r="R24" s="4"/>
      <c r="S24" s="4"/>
      <c r="T24" s="4"/>
      <c r="U24" s="4">
        <v>309.05</v>
      </c>
    </row>
    <row r="25" spans="1:21">
      <c r="A25" t="s">
        <v>697</v>
      </c>
      <c r="B25" t="s">
        <v>37</v>
      </c>
      <c r="C25" t="s">
        <v>27</v>
      </c>
      <c r="D25" t="s">
        <v>28</v>
      </c>
      <c r="E25" t="s">
        <v>29</v>
      </c>
      <c r="F25" t="s">
        <v>684</v>
      </c>
      <c r="G25" t="s">
        <v>31</v>
      </c>
      <c r="H25" t="s">
        <v>137</v>
      </c>
      <c r="I25">
        <v>2026</v>
      </c>
      <c r="J25" s="4">
        <v>249.2</v>
      </c>
      <c r="K25" s="4"/>
      <c r="L25" s="4"/>
      <c r="M25" s="4"/>
      <c r="N25" s="4"/>
      <c r="O25" s="4"/>
      <c r="P25" s="4"/>
      <c r="Q25" s="4"/>
      <c r="R25" s="4"/>
      <c r="S25" s="4"/>
      <c r="T25" s="4"/>
      <c r="U25" s="4">
        <v>249.2</v>
      </c>
    </row>
    <row r="26" spans="1:21">
      <c r="A26" t="s">
        <v>709</v>
      </c>
      <c r="B26" t="s">
        <v>37</v>
      </c>
      <c r="C26" t="s">
        <v>27</v>
      </c>
      <c r="D26" t="s">
        <v>28</v>
      </c>
      <c r="E26" t="s">
        <v>29</v>
      </c>
      <c r="F26" t="s">
        <v>684</v>
      </c>
      <c r="G26" t="s">
        <v>663</v>
      </c>
      <c r="H26" t="s">
        <v>31</v>
      </c>
      <c r="I26">
        <v>2026</v>
      </c>
      <c r="J26" s="4">
        <v>10010</v>
      </c>
      <c r="K26" s="4"/>
      <c r="L26" s="4"/>
      <c r="M26" s="4"/>
      <c r="N26" s="4"/>
      <c r="O26" s="4"/>
      <c r="P26" s="4"/>
      <c r="Q26" s="4"/>
      <c r="R26" s="4"/>
      <c r="S26" s="4"/>
      <c r="T26" s="4"/>
      <c r="U26" s="4">
        <v>10010</v>
      </c>
    </row>
    <row r="27" spans="1:21">
      <c r="A27" t="s">
        <v>61</v>
      </c>
      <c r="B27" t="s">
        <v>37</v>
      </c>
      <c r="C27" t="s">
        <v>27</v>
      </c>
      <c r="D27" t="s">
        <v>28</v>
      </c>
      <c r="E27" t="s">
        <v>29</v>
      </c>
      <c r="F27" t="s">
        <v>856</v>
      </c>
      <c r="G27" t="s">
        <v>38</v>
      </c>
      <c r="H27" t="s">
        <v>39</v>
      </c>
      <c r="I27">
        <v>2025</v>
      </c>
      <c r="J27" s="4"/>
      <c r="K27" s="4"/>
      <c r="L27" s="4"/>
      <c r="M27" s="4"/>
      <c r="N27" s="4">
        <v>919.11259138465959</v>
      </c>
      <c r="O27" s="4">
        <v>1730.6282888314197</v>
      </c>
      <c r="P27" s="4">
        <v>1729.4968879431976</v>
      </c>
      <c r="Q27" s="4">
        <v>2284.082824630409</v>
      </c>
      <c r="R27" s="4"/>
      <c r="S27" s="4"/>
      <c r="T27" s="4"/>
      <c r="U27" s="4">
        <v>6663.3205927896861</v>
      </c>
    </row>
    <row r="28" spans="1:21">
      <c r="A28" t="s">
        <v>61</v>
      </c>
      <c r="B28" t="s">
        <v>37</v>
      </c>
      <c r="C28" t="s">
        <v>27</v>
      </c>
      <c r="D28" t="s">
        <v>28</v>
      </c>
      <c r="E28" t="s">
        <v>29</v>
      </c>
      <c r="F28" t="s">
        <v>856</v>
      </c>
      <c r="G28" t="s">
        <v>38</v>
      </c>
      <c r="H28" t="s">
        <v>39</v>
      </c>
      <c r="I28">
        <v>2026</v>
      </c>
      <c r="J28" s="4">
        <v>3566.4962748389489</v>
      </c>
      <c r="K28" s="4"/>
      <c r="L28" s="4"/>
      <c r="M28" s="4"/>
      <c r="N28" s="4"/>
      <c r="O28" s="4"/>
      <c r="P28" s="4"/>
      <c r="Q28" s="4"/>
      <c r="R28" s="4"/>
      <c r="S28" s="4"/>
      <c r="T28" s="4"/>
      <c r="U28" s="4">
        <v>3566.4962748389489</v>
      </c>
    </row>
    <row r="29" spans="1:21">
      <c r="A29" t="s">
        <v>123</v>
      </c>
      <c r="B29" t="s">
        <v>37</v>
      </c>
      <c r="C29" t="s">
        <v>27</v>
      </c>
      <c r="D29" t="s">
        <v>28</v>
      </c>
      <c r="E29" t="s">
        <v>721</v>
      </c>
      <c r="F29" t="s">
        <v>723</v>
      </c>
      <c r="G29" t="s">
        <v>31</v>
      </c>
      <c r="H29" t="s">
        <v>39</v>
      </c>
      <c r="I29">
        <v>2025</v>
      </c>
      <c r="J29" s="4"/>
      <c r="K29" s="4"/>
      <c r="L29" s="4"/>
      <c r="M29" s="4"/>
      <c r="N29" s="4">
        <v>21590.342393586769</v>
      </c>
      <c r="O29" s="4"/>
      <c r="P29" s="4"/>
      <c r="Q29" s="4"/>
      <c r="R29" s="4"/>
      <c r="S29" s="4"/>
      <c r="T29" s="4"/>
      <c r="U29" s="4">
        <v>21590.342393586769</v>
      </c>
    </row>
    <row r="30" spans="1:21">
      <c r="A30" t="s">
        <v>117</v>
      </c>
      <c r="B30" t="s">
        <v>37</v>
      </c>
      <c r="C30" t="s">
        <v>33</v>
      </c>
      <c r="D30" t="s">
        <v>28</v>
      </c>
      <c r="E30" t="s">
        <v>29</v>
      </c>
      <c r="F30" t="s">
        <v>684</v>
      </c>
      <c r="G30" t="s">
        <v>118</v>
      </c>
      <c r="H30" t="s">
        <v>31</v>
      </c>
      <c r="I30">
        <v>2025</v>
      </c>
      <c r="J30" s="4"/>
      <c r="K30" s="4"/>
      <c r="L30" s="4"/>
      <c r="M30" s="4"/>
      <c r="N30" s="4"/>
      <c r="O30" s="4">
        <v>5.6508548239204046</v>
      </c>
      <c r="P30" s="4"/>
      <c r="Q30" s="4">
        <v>5.6508548239204046</v>
      </c>
      <c r="R30" s="4"/>
      <c r="S30" s="4"/>
      <c r="T30" s="4"/>
      <c r="U30" s="4">
        <v>11.301709647840809</v>
      </c>
    </row>
    <row r="31" spans="1:21">
      <c r="A31" t="s">
        <v>631</v>
      </c>
      <c r="B31" t="s">
        <v>37</v>
      </c>
      <c r="C31" t="s">
        <v>33</v>
      </c>
      <c r="D31" t="s">
        <v>28</v>
      </c>
      <c r="E31" t="s">
        <v>29</v>
      </c>
      <c r="F31" t="s">
        <v>684</v>
      </c>
      <c r="G31" t="s">
        <v>662</v>
      </c>
      <c r="H31" t="s">
        <v>31</v>
      </c>
      <c r="I31">
        <v>2025</v>
      </c>
      <c r="J31" s="4"/>
      <c r="K31" s="4"/>
      <c r="L31" s="4"/>
      <c r="M31" s="4"/>
      <c r="N31" s="4"/>
      <c r="O31" s="4"/>
      <c r="P31" s="4">
        <v>3064</v>
      </c>
      <c r="Q31" s="4"/>
      <c r="R31" s="4"/>
      <c r="S31" s="4"/>
      <c r="T31" s="4"/>
      <c r="U31" s="4">
        <v>3064</v>
      </c>
    </row>
    <row r="32" spans="1:21">
      <c r="A32" t="s">
        <v>631</v>
      </c>
      <c r="B32" t="s">
        <v>37</v>
      </c>
      <c r="C32" t="s">
        <v>33</v>
      </c>
      <c r="D32" t="s">
        <v>28</v>
      </c>
      <c r="E32" t="s">
        <v>29</v>
      </c>
      <c r="F32" t="s">
        <v>684</v>
      </c>
      <c r="G32" t="s">
        <v>662</v>
      </c>
      <c r="H32" t="s">
        <v>31</v>
      </c>
      <c r="I32">
        <v>2026</v>
      </c>
      <c r="J32" s="4">
        <v>3635.8</v>
      </c>
      <c r="K32" s="4"/>
      <c r="L32" s="4"/>
      <c r="M32" s="4"/>
      <c r="N32" s="4"/>
      <c r="O32" s="4"/>
      <c r="P32" s="4"/>
      <c r="Q32" s="4"/>
      <c r="R32" s="4"/>
      <c r="S32" s="4"/>
      <c r="T32" s="4"/>
      <c r="U32" s="4">
        <v>3635.8</v>
      </c>
    </row>
    <row r="33" spans="1:21">
      <c r="A33" t="s">
        <v>763</v>
      </c>
      <c r="B33" t="s">
        <v>37</v>
      </c>
      <c r="C33" t="s">
        <v>27</v>
      </c>
      <c r="D33" t="s">
        <v>28</v>
      </c>
      <c r="E33" t="s">
        <v>29</v>
      </c>
      <c r="F33" t="s">
        <v>684</v>
      </c>
      <c r="G33" t="s">
        <v>702</v>
      </c>
      <c r="H33" t="s">
        <v>39</v>
      </c>
      <c r="I33">
        <v>2025</v>
      </c>
      <c r="J33" s="4"/>
      <c r="K33" s="4"/>
      <c r="L33" s="4"/>
      <c r="M33" s="4"/>
      <c r="N33" s="4"/>
      <c r="O33" s="4">
        <v>2756.75</v>
      </c>
      <c r="P33" s="4">
        <v>2743</v>
      </c>
      <c r="Q33" s="4">
        <v>2034</v>
      </c>
      <c r="R33" s="4"/>
      <c r="S33" s="4"/>
      <c r="T33" s="4"/>
      <c r="U33" s="4">
        <v>7533.75</v>
      </c>
    </row>
    <row r="34" spans="1:21">
      <c r="A34" t="s">
        <v>763</v>
      </c>
      <c r="B34" t="s">
        <v>37</v>
      </c>
      <c r="C34" t="s">
        <v>27</v>
      </c>
      <c r="D34" t="s">
        <v>28</v>
      </c>
      <c r="E34" t="s">
        <v>29</v>
      </c>
      <c r="F34" t="s">
        <v>684</v>
      </c>
      <c r="G34" t="s">
        <v>702</v>
      </c>
      <c r="H34" t="s">
        <v>39</v>
      </c>
      <c r="I34">
        <v>2026</v>
      </c>
      <c r="J34" s="4">
        <v>2965</v>
      </c>
      <c r="K34" s="4"/>
      <c r="L34" s="4"/>
      <c r="M34" s="4"/>
      <c r="N34" s="4"/>
      <c r="O34" s="4"/>
      <c r="P34" s="4"/>
      <c r="Q34" s="4"/>
      <c r="R34" s="4"/>
      <c r="S34" s="4"/>
      <c r="T34" s="4"/>
      <c r="U34" s="4">
        <v>2965</v>
      </c>
    </row>
    <row r="35" spans="1:21">
      <c r="A35" t="s">
        <v>765</v>
      </c>
      <c r="B35" t="s">
        <v>37</v>
      </c>
      <c r="C35" t="s">
        <v>27</v>
      </c>
      <c r="D35" t="s">
        <v>28</v>
      </c>
      <c r="E35" t="s">
        <v>29</v>
      </c>
      <c r="F35" t="s">
        <v>724</v>
      </c>
      <c r="G35" t="s">
        <v>662</v>
      </c>
      <c r="H35" t="s">
        <v>41</v>
      </c>
      <c r="I35">
        <v>2025</v>
      </c>
      <c r="J35" s="4"/>
      <c r="K35" s="4"/>
      <c r="L35" s="4"/>
      <c r="M35" s="4"/>
      <c r="N35" s="4">
        <v>1430.625</v>
      </c>
      <c r="O35" s="4"/>
      <c r="P35" s="4"/>
      <c r="Q35" s="4"/>
      <c r="R35" s="4"/>
      <c r="S35" s="4"/>
      <c r="T35" s="4">
        <v>25680.39</v>
      </c>
      <c r="U35" s="4">
        <v>27111.014999999999</v>
      </c>
    </row>
    <row r="36" spans="1:21">
      <c r="A36" t="s">
        <v>765</v>
      </c>
      <c r="B36" t="s">
        <v>37</v>
      </c>
      <c r="C36" t="s">
        <v>27</v>
      </c>
      <c r="D36" t="s">
        <v>28</v>
      </c>
      <c r="E36" t="s">
        <v>29</v>
      </c>
      <c r="F36" t="s">
        <v>862</v>
      </c>
      <c r="G36" t="s">
        <v>662</v>
      </c>
      <c r="H36" t="s">
        <v>41</v>
      </c>
      <c r="I36">
        <v>2025</v>
      </c>
      <c r="J36" s="4"/>
      <c r="K36" s="4"/>
      <c r="L36" s="4"/>
      <c r="M36" s="4"/>
      <c r="N36" s="4"/>
      <c r="O36" s="4">
        <v>-527.48510000000533</v>
      </c>
      <c r="P36" s="4">
        <v>-3888.0024000000049</v>
      </c>
      <c r="Q36" s="4">
        <v>-1738.4406000000017</v>
      </c>
      <c r="R36" s="4"/>
      <c r="S36" s="4"/>
      <c r="T36" s="4"/>
      <c r="U36" s="4">
        <v>-6153.9281000000119</v>
      </c>
    </row>
    <row r="37" spans="1:21">
      <c r="A37" t="s">
        <v>98</v>
      </c>
      <c r="B37" t="s">
        <v>37</v>
      </c>
      <c r="C37" t="s">
        <v>33</v>
      </c>
      <c r="D37" t="s">
        <v>28</v>
      </c>
      <c r="E37" t="s">
        <v>29</v>
      </c>
      <c r="F37" t="s">
        <v>684</v>
      </c>
      <c r="G37" t="s">
        <v>662</v>
      </c>
      <c r="H37" t="s">
        <v>48</v>
      </c>
      <c r="I37">
        <v>2026</v>
      </c>
      <c r="J37" s="4">
        <v>23919.5</v>
      </c>
      <c r="K37" s="4"/>
      <c r="L37" s="4"/>
      <c r="M37" s="4"/>
      <c r="N37" s="4"/>
      <c r="O37" s="4"/>
      <c r="P37" s="4"/>
      <c r="Q37" s="4"/>
      <c r="R37" s="4"/>
      <c r="S37" s="4"/>
      <c r="T37" s="4"/>
      <c r="U37" s="4">
        <v>23919.5</v>
      </c>
    </row>
    <row r="38" spans="1:21">
      <c r="A38" t="s">
        <v>787</v>
      </c>
      <c r="B38" t="s">
        <v>37</v>
      </c>
      <c r="C38" t="s">
        <v>27</v>
      </c>
      <c r="D38" t="s">
        <v>28</v>
      </c>
      <c r="E38" t="s">
        <v>29</v>
      </c>
      <c r="F38" t="s">
        <v>684</v>
      </c>
      <c r="G38" t="s">
        <v>31</v>
      </c>
      <c r="H38" t="s">
        <v>137</v>
      </c>
      <c r="I38">
        <v>2025</v>
      </c>
      <c r="J38" s="4"/>
      <c r="K38" s="4"/>
      <c r="L38" s="4"/>
      <c r="M38" s="4"/>
      <c r="N38" s="4"/>
      <c r="O38" s="4"/>
      <c r="P38" s="4"/>
      <c r="Q38" s="4">
        <v>14.33</v>
      </c>
      <c r="R38" s="4"/>
      <c r="S38" s="4"/>
      <c r="T38" s="4"/>
      <c r="U38" s="4">
        <v>14.33</v>
      </c>
    </row>
    <row r="39" spans="1:21">
      <c r="A39" t="s">
        <v>787</v>
      </c>
      <c r="B39" t="s">
        <v>37</v>
      </c>
      <c r="C39" t="s">
        <v>27</v>
      </c>
      <c r="D39" t="s">
        <v>28</v>
      </c>
      <c r="E39" t="s">
        <v>29</v>
      </c>
      <c r="F39" t="s">
        <v>684</v>
      </c>
      <c r="G39" t="s">
        <v>31</v>
      </c>
      <c r="H39" t="s">
        <v>137</v>
      </c>
      <c r="I39">
        <v>2026</v>
      </c>
      <c r="J39" s="4">
        <v>16.399999999999999</v>
      </c>
      <c r="K39" s="4"/>
      <c r="L39" s="4"/>
      <c r="M39" s="4"/>
      <c r="N39" s="4"/>
      <c r="O39" s="4"/>
      <c r="P39" s="4"/>
      <c r="Q39" s="4"/>
      <c r="R39" s="4"/>
      <c r="S39" s="4"/>
      <c r="T39" s="4"/>
      <c r="U39" s="4">
        <v>16.399999999999999</v>
      </c>
    </row>
    <row r="40" spans="1:21">
      <c r="A40" t="s">
        <v>611</v>
      </c>
      <c r="B40" t="s">
        <v>37</v>
      </c>
      <c r="C40" t="s">
        <v>33</v>
      </c>
      <c r="D40" t="s">
        <v>28</v>
      </c>
      <c r="E40" t="s">
        <v>29</v>
      </c>
      <c r="F40" t="s">
        <v>684</v>
      </c>
      <c r="G40" t="s">
        <v>31</v>
      </c>
      <c r="H40" t="s">
        <v>105</v>
      </c>
      <c r="I40">
        <v>2025</v>
      </c>
      <c r="J40" s="4"/>
      <c r="K40" s="4"/>
      <c r="L40" s="4"/>
      <c r="M40" s="4"/>
      <c r="N40" s="4"/>
      <c r="O40" s="4"/>
      <c r="P40" s="4"/>
      <c r="Q40" s="4">
        <v>5000</v>
      </c>
      <c r="R40" s="4"/>
      <c r="S40" s="4"/>
      <c r="T40" s="4"/>
      <c r="U40" s="4">
        <v>5000</v>
      </c>
    </row>
    <row r="41" spans="1:21">
      <c r="A41" t="s">
        <v>611</v>
      </c>
      <c r="B41" t="s">
        <v>37</v>
      </c>
      <c r="C41" t="s">
        <v>33</v>
      </c>
      <c r="D41" t="s">
        <v>28</v>
      </c>
      <c r="E41" t="s">
        <v>29</v>
      </c>
      <c r="F41" t="s">
        <v>684</v>
      </c>
      <c r="G41" t="s">
        <v>31</v>
      </c>
      <c r="H41" t="s">
        <v>105</v>
      </c>
      <c r="I41">
        <v>2026</v>
      </c>
      <c r="J41" s="4">
        <v>5000</v>
      </c>
      <c r="K41" s="4"/>
      <c r="L41" s="4"/>
      <c r="M41" s="4"/>
      <c r="N41" s="4"/>
      <c r="O41" s="4"/>
      <c r="P41" s="4"/>
      <c r="Q41" s="4"/>
      <c r="R41" s="4"/>
      <c r="S41" s="4"/>
      <c r="T41" s="4"/>
      <c r="U41" s="4">
        <v>5000</v>
      </c>
    </row>
    <row r="42" spans="1:21">
      <c r="A42" t="s">
        <v>68</v>
      </c>
      <c r="B42" t="s">
        <v>37</v>
      </c>
      <c r="C42" t="s">
        <v>27</v>
      </c>
      <c r="D42" t="s">
        <v>28</v>
      </c>
      <c r="E42" t="s">
        <v>29</v>
      </c>
      <c r="F42" t="s">
        <v>684</v>
      </c>
      <c r="G42" t="s">
        <v>31</v>
      </c>
      <c r="H42" t="s">
        <v>41</v>
      </c>
      <c r="I42">
        <v>2025</v>
      </c>
      <c r="J42" s="4"/>
      <c r="K42" s="4"/>
      <c r="L42" s="4"/>
      <c r="M42" s="4"/>
      <c r="N42" s="4"/>
      <c r="O42" s="4"/>
      <c r="P42" s="4"/>
      <c r="Q42" s="4">
        <v>2897.79</v>
      </c>
      <c r="R42" s="4"/>
      <c r="S42" s="4"/>
      <c r="T42" s="4"/>
      <c r="U42" s="4">
        <v>2897.79</v>
      </c>
    </row>
    <row r="43" spans="1:21">
      <c r="A43" t="s">
        <v>68</v>
      </c>
      <c r="B43" t="s">
        <v>37</v>
      </c>
      <c r="C43" t="s">
        <v>27</v>
      </c>
      <c r="D43" t="s">
        <v>28</v>
      </c>
      <c r="E43" t="s">
        <v>29</v>
      </c>
      <c r="F43" t="s">
        <v>684</v>
      </c>
      <c r="G43" t="s">
        <v>31</v>
      </c>
      <c r="H43" t="s">
        <v>41</v>
      </c>
      <c r="I43">
        <v>2026</v>
      </c>
      <c r="J43" s="4">
        <v>2953.3</v>
      </c>
      <c r="K43" s="4"/>
      <c r="L43" s="4"/>
      <c r="M43" s="4"/>
      <c r="N43" s="4"/>
      <c r="O43" s="4"/>
      <c r="P43" s="4"/>
      <c r="Q43" s="4"/>
      <c r="R43" s="4"/>
      <c r="S43" s="4"/>
      <c r="T43" s="4"/>
      <c r="U43" s="4">
        <v>2953.3</v>
      </c>
    </row>
    <row r="44" spans="1:21">
      <c r="A44" t="s">
        <v>708</v>
      </c>
      <c r="B44" t="s">
        <v>37</v>
      </c>
      <c r="C44" t="s">
        <v>27</v>
      </c>
      <c r="D44" t="s">
        <v>28</v>
      </c>
      <c r="E44" t="s">
        <v>29</v>
      </c>
      <c r="F44" t="s">
        <v>684</v>
      </c>
      <c r="G44" t="s">
        <v>31</v>
      </c>
      <c r="H44" t="s">
        <v>927</v>
      </c>
      <c r="I44">
        <v>2025</v>
      </c>
      <c r="J44" s="4"/>
      <c r="K44" s="4"/>
      <c r="L44" s="4"/>
      <c r="M44" s="4"/>
      <c r="N44" s="4"/>
      <c r="O44" s="4"/>
      <c r="P44" s="4"/>
      <c r="Q44" s="4">
        <v>1.72</v>
      </c>
      <c r="R44" s="4"/>
      <c r="S44" s="4"/>
      <c r="T44" s="4"/>
      <c r="U44" s="4">
        <v>1.72</v>
      </c>
    </row>
    <row r="45" spans="1:21">
      <c r="A45" t="s">
        <v>708</v>
      </c>
      <c r="B45" t="s">
        <v>37</v>
      </c>
      <c r="C45" t="s">
        <v>27</v>
      </c>
      <c r="D45" t="s">
        <v>28</v>
      </c>
      <c r="E45" t="s">
        <v>29</v>
      </c>
      <c r="F45" t="s">
        <v>684</v>
      </c>
      <c r="G45" t="s">
        <v>31</v>
      </c>
      <c r="H45" t="s">
        <v>927</v>
      </c>
      <c r="I45">
        <v>2026</v>
      </c>
      <c r="J45" s="4">
        <v>14.19</v>
      </c>
      <c r="K45" s="4"/>
      <c r="L45" s="4"/>
      <c r="M45" s="4"/>
      <c r="N45" s="4"/>
      <c r="O45" s="4"/>
      <c r="P45" s="4"/>
      <c r="Q45" s="4"/>
      <c r="R45" s="4"/>
      <c r="S45" s="4"/>
      <c r="T45" s="4"/>
      <c r="U45" s="4">
        <v>14.19</v>
      </c>
    </row>
    <row r="46" spans="1:21">
      <c r="A46" t="s">
        <v>615</v>
      </c>
      <c r="B46" t="s">
        <v>37</v>
      </c>
      <c r="C46" t="s">
        <v>27</v>
      </c>
      <c r="D46" t="s">
        <v>28</v>
      </c>
      <c r="E46" t="s">
        <v>29</v>
      </c>
      <c r="F46" t="s">
        <v>684</v>
      </c>
      <c r="G46" t="s">
        <v>31</v>
      </c>
      <c r="H46" t="s">
        <v>54</v>
      </c>
      <c r="I46">
        <v>2025</v>
      </c>
      <c r="J46" s="4"/>
      <c r="K46" s="4"/>
      <c r="L46" s="4"/>
      <c r="M46" s="4"/>
      <c r="N46" s="4"/>
      <c r="O46" s="4"/>
      <c r="P46" s="4"/>
      <c r="Q46" s="4">
        <v>1184.1099999999999</v>
      </c>
      <c r="R46" s="4"/>
      <c r="S46" s="4"/>
      <c r="T46" s="4"/>
      <c r="U46" s="4">
        <v>1184.1099999999999</v>
      </c>
    </row>
    <row r="47" spans="1:21">
      <c r="A47" t="s">
        <v>615</v>
      </c>
      <c r="B47" t="s">
        <v>37</v>
      </c>
      <c r="C47" t="s">
        <v>27</v>
      </c>
      <c r="D47" t="s">
        <v>28</v>
      </c>
      <c r="E47" t="s">
        <v>29</v>
      </c>
      <c r="F47" t="s">
        <v>684</v>
      </c>
      <c r="G47" t="s">
        <v>31</v>
      </c>
      <c r="H47" t="s">
        <v>54</v>
      </c>
      <c r="I47">
        <v>2026</v>
      </c>
      <c r="J47" s="4">
        <v>1141.6099999999999</v>
      </c>
      <c r="K47" s="4"/>
      <c r="L47" s="4"/>
      <c r="M47" s="4"/>
      <c r="N47" s="4"/>
      <c r="O47" s="4"/>
      <c r="P47" s="4"/>
      <c r="Q47" s="4"/>
      <c r="R47" s="4"/>
      <c r="S47" s="4"/>
      <c r="T47" s="4"/>
      <c r="U47" s="4">
        <v>1141.6099999999999</v>
      </c>
    </row>
    <row r="48" spans="1:21">
      <c r="A48" t="s">
        <v>820</v>
      </c>
      <c r="B48" t="s">
        <v>37</v>
      </c>
      <c r="C48" t="s">
        <v>27</v>
      </c>
      <c r="D48" t="s">
        <v>28</v>
      </c>
      <c r="E48" t="s">
        <v>29</v>
      </c>
      <c r="F48" t="s">
        <v>684</v>
      </c>
      <c r="G48" t="s">
        <v>31</v>
      </c>
      <c r="H48" t="s">
        <v>137</v>
      </c>
      <c r="I48">
        <v>2025</v>
      </c>
      <c r="J48" s="4"/>
      <c r="K48" s="4"/>
      <c r="L48" s="4"/>
      <c r="M48" s="4"/>
      <c r="N48" s="4"/>
      <c r="O48" s="4"/>
      <c r="P48" s="4"/>
      <c r="Q48" s="4">
        <v>2000</v>
      </c>
      <c r="R48" s="4"/>
      <c r="S48" s="4"/>
      <c r="T48" s="4"/>
      <c r="U48" s="4">
        <v>2000</v>
      </c>
    </row>
    <row r="49" spans="1:21">
      <c r="A49" t="s">
        <v>820</v>
      </c>
      <c r="B49" t="s">
        <v>37</v>
      </c>
      <c r="C49" t="s">
        <v>27</v>
      </c>
      <c r="D49" t="s">
        <v>28</v>
      </c>
      <c r="E49" t="s">
        <v>29</v>
      </c>
      <c r="F49" t="s">
        <v>684</v>
      </c>
      <c r="G49" t="s">
        <v>31</v>
      </c>
      <c r="H49" t="s">
        <v>137</v>
      </c>
      <c r="I49">
        <v>2026</v>
      </c>
      <c r="J49" s="4">
        <v>2970</v>
      </c>
      <c r="K49" s="4"/>
      <c r="L49" s="4"/>
      <c r="M49" s="4"/>
      <c r="N49" s="4"/>
      <c r="O49" s="4"/>
      <c r="P49" s="4"/>
      <c r="Q49" s="4"/>
      <c r="R49" s="4"/>
      <c r="S49" s="4"/>
      <c r="T49" s="4"/>
      <c r="U49" s="4">
        <v>2970</v>
      </c>
    </row>
    <row r="50" spans="1:21">
      <c r="A50" t="s">
        <v>682</v>
      </c>
      <c r="B50" t="s">
        <v>37</v>
      </c>
      <c r="C50" t="s">
        <v>27</v>
      </c>
      <c r="D50" t="s">
        <v>28</v>
      </c>
      <c r="E50" t="s">
        <v>29</v>
      </c>
      <c r="F50" t="s">
        <v>684</v>
      </c>
      <c r="G50" t="s">
        <v>38</v>
      </c>
      <c r="H50" t="s">
        <v>31</v>
      </c>
      <c r="I50">
        <v>2025</v>
      </c>
      <c r="J50" s="4"/>
      <c r="K50" s="4"/>
      <c r="L50" s="4"/>
      <c r="M50" s="4"/>
      <c r="N50" s="4"/>
      <c r="O50" s="4"/>
      <c r="P50" s="4"/>
      <c r="Q50" s="4">
        <v>7513.7564807912822</v>
      </c>
      <c r="R50" s="4"/>
      <c r="S50" s="4"/>
      <c r="T50" s="4"/>
      <c r="U50" s="4">
        <v>7513.7564807912822</v>
      </c>
    </row>
    <row r="51" spans="1:21">
      <c r="A51" t="s">
        <v>682</v>
      </c>
      <c r="B51" t="s">
        <v>37</v>
      </c>
      <c r="C51" t="s">
        <v>27</v>
      </c>
      <c r="D51" t="s">
        <v>28</v>
      </c>
      <c r="E51" t="s">
        <v>29</v>
      </c>
      <c r="F51" t="s">
        <v>684</v>
      </c>
      <c r="G51" t="s">
        <v>38</v>
      </c>
      <c r="H51" t="s">
        <v>31</v>
      </c>
      <c r="I51">
        <v>2026</v>
      </c>
      <c r="J51" s="4">
        <v>7527.1498572230994</v>
      </c>
      <c r="K51" s="4">
        <v>19087.871079874294</v>
      </c>
      <c r="L51" s="4"/>
      <c r="M51" s="4"/>
      <c r="N51" s="4"/>
      <c r="O51" s="4"/>
      <c r="P51" s="4"/>
      <c r="Q51" s="4"/>
      <c r="R51" s="4"/>
      <c r="S51" s="4"/>
      <c r="T51" s="4"/>
      <c r="U51" s="4">
        <v>26615.020937097393</v>
      </c>
    </row>
    <row r="52" spans="1:21">
      <c r="A52" t="s">
        <v>790</v>
      </c>
      <c r="B52" t="s">
        <v>37</v>
      </c>
      <c r="C52" t="s">
        <v>27</v>
      </c>
      <c r="D52" t="s">
        <v>28</v>
      </c>
      <c r="E52" t="s">
        <v>29</v>
      </c>
      <c r="F52" t="s">
        <v>684</v>
      </c>
      <c r="G52" t="s">
        <v>31</v>
      </c>
      <c r="H52" t="s">
        <v>105</v>
      </c>
      <c r="I52">
        <v>2025</v>
      </c>
      <c r="J52" s="4"/>
      <c r="K52" s="4"/>
      <c r="L52" s="4"/>
      <c r="M52" s="4"/>
      <c r="N52" s="4"/>
      <c r="O52" s="4"/>
      <c r="P52" s="4"/>
      <c r="Q52" s="4">
        <v>10155</v>
      </c>
      <c r="R52" s="4"/>
      <c r="S52" s="4"/>
      <c r="T52" s="4"/>
      <c r="U52" s="4">
        <v>10155</v>
      </c>
    </row>
    <row r="53" spans="1:21">
      <c r="A53" t="s">
        <v>790</v>
      </c>
      <c r="B53" t="s">
        <v>37</v>
      </c>
      <c r="C53" t="s">
        <v>27</v>
      </c>
      <c r="D53" t="s">
        <v>28</v>
      </c>
      <c r="E53" t="s">
        <v>29</v>
      </c>
      <c r="F53" t="s">
        <v>684</v>
      </c>
      <c r="G53" t="s">
        <v>31</v>
      </c>
      <c r="H53" t="s">
        <v>105</v>
      </c>
      <c r="I53">
        <v>2026</v>
      </c>
      <c r="J53" s="4">
        <v>15090</v>
      </c>
      <c r="K53" s="4"/>
      <c r="L53" s="4"/>
      <c r="M53" s="4"/>
      <c r="N53" s="4"/>
      <c r="O53" s="4"/>
      <c r="P53" s="4"/>
      <c r="Q53" s="4"/>
      <c r="R53" s="4"/>
      <c r="S53" s="4"/>
      <c r="T53" s="4"/>
      <c r="U53" s="4">
        <v>15090</v>
      </c>
    </row>
    <row r="54" spans="1:21">
      <c r="A54" t="s">
        <v>114</v>
      </c>
      <c r="B54" t="s">
        <v>37</v>
      </c>
      <c r="C54" t="s">
        <v>33</v>
      </c>
      <c r="D54" t="s">
        <v>28</v>
      </c>
      <c r="E54" t="s">
        <v>29</v>
      </c>
      <c r="F54" t="s">
        <v>684</v>
      </c>
      <c r="G54" t="s">
        <v>31</v>
      </c>
      <c r="H54" t="s">
        <v>112</v>
      </c>
      <c r="I54">
        <v>2026</v>
      </c>
      <c r="J54" s="4">
        <v>3492.62</v>
      </c>
      <c r="K54" s="4"/>
      <c r="L54" s="4"/>
      <c r="M54" s="4"/>
      <c r="N54" s="4"/>
      <c r="O54" s="4"/>
      <c r="P54" s="4"/>
      <c r="Q54" s="4"/>
      <c r="R54" s="4"/>
      <c r="S54" s="4"/>
      <c r="T54" s="4"/>
      <c r="U54" s="4">
        <v>3492.62</v>
      </c>
    </row>
    <row r="55" spans="1:21">
      <c r="A55" t="s">
        <v>139</v>
      </c>
      <c r="B55" t="s">
        <v>37</v>
      </c>
      <c r="C55" t="s">
        <v>33</v>
      </c>
      <c r="D55" t="s">
        <v>28</v>
      </c>
      <c r="E55" t="s">
        <v>29</v>
      </c>
      <c r="F55" t="s">
        <v>684</v>
      </c>
      <c r="G55" t="s">
        <v>662</v>
      </c>
      <c r="H55" t="s">
        <v>31</v>
      </c>
      <c r="I55">
        <v>2026</v>
      </c>
      <c r="J55" s="4">
        <v>55959.5</v>
      </c>
      <c r="K55" s="4"/>
      <c r="L55" s="4"/>
      <c r="M55" s="4"/>
      <c r="N55" s="4"/>
      <c r="O55" s="4"/>
      <c r="P55" s="4"/>
      <c r="Q55" s="4"/>
      <c r="R55" s="4"/>
      <c r="S55" s="4"/>
      <c r="T55" s="4"/>
      <c r="U55" s="4">
        <v>55959.5</v>
      </c>
    </row>
    <row r="56" spans="1:21">
      <c r="A56" t="s">
        <v>630</v>
      </c>
      <c r="B56" t="s">
        <v>37</v>
      </c>
      <c r="C56" t="s">
        <v>33</v>
      </c>
      <c r="D56" t="s">
        <v>28</v>
      </c>
      <c r="E56" t="s">
        <v>29</v>
      </c>
      <c r="F56" t="s">
        <v>684</v>
      </c>
      <c r="G56" t="s">
        <v>662</v>
      </c>
      <c r="H56" t="s">
        <v>31</v>
      </c>
      <c r="I56">
        <v>2026</v>
      </c>
      <c r="J56" s="4">
        <v>52905.5</v>
      </c>
      <c r="K56" s="4"/>
      <c r="L56" s="4"/>
      <c r="M56" s="4"/>
      <c r="N56" s="4"/>
      <c r="O56" s="4"/>
      <c r="P56" s="4"/>
      <c r="Q56" s="4"/>
      <c r="R56" s="4"/>
      <c r="S56" s="4"/>
      <c r="T56" s="4"/>
      <c r="U56" s="4">
        <v>52905.5</v>
      </c>
    </row>
    <row r="57" spans="1:21">
      <c r="A57" t="s">
        <v>42</v>
      </c>
      <c r="B57" t="s">
        <v>37</v>
      </c>
      <c r="C57" t="s">
        <v>27</v>
      </c>
      <c r="D57" t="s">
        <v>28</v>
      </c>
      <c r="E57" t="s">
        <v>29</v>
      </c>
      <c r="F57" t="s">
        <v>684</v>
      </c>
      <c r="G57" t="s">
        <v>663</v>
      </c>
      <c r="H57" t="s">
        <v>31</v>
      </c>
      <c r="I57">
        <v>2026</v>
      </c>
      <c r="J57" s="4">
        <v>15659.05</v>
      </c>
      <c r="K57" s="4"/>
      <c r="L57" s="4"/>
      <c r="M57" s="4"/>
      <c r="N57" s="4"/>
      <c r="O57" s="4"/>
      <c r="P57" s="4"/>
      <c r="Q57" s="4"/>
      <c r="R57" s="4"/>
      <c r="S57" s="4"/>
      <c r="T57" s="4"/>
      <c r="U57" s="4">
        <v>15659.05</v>
      </c>
    </row>
    <row r="58" spans="1:21">
      <c r="A58" t="s">
        <v>863</v>
      </c>
      <c r="B58" t="s">
        <v>37</v>
      </c>
      <c r="C58" t="s">
        <v>27</v>
      </c>
      <c r="D58" t="s">
        <v>28</v>
      </c>
      <c r="E58" t="s">
        <v>29</v>
      </c>
      <c r="F58" t="s">
        <v>684</v>
      </c>
      <c r="G58" t="s">
        <v>31</v>
      </c>
      <c r="H58" t="s">
        <v>137</v>
      </c>
      <c r="I58">
        <v>2026</v>
      </c>
      <c r="J58" s="4">
        <v>65.2</v>
      </c>
      <c r="K58" s="4"/>
      <c r="L58" s="4"/>
      <c r="M58" s="4"/>
      <c r="N58" s="4"/>
      <c r="O58" s="4"/>
      <c r="P58" s="4"/>
      <c r="Q58" s="4"/>
      <c r="R58" s="4"/>
      <c r="S58" s="4"/>
      <c r="T58" s="4"/>
      <c r="U58" s="4">
        <v>65.2</v>
      </c>
    </row>
    <row r="59" spans="1:21">
      <c r="A59" t="s">
        <v>864</v>
      </c>
      <c r="B59" t="s">
        <v>37</v>
      </c>
      <c r="C59" t="s">
        <v>27</v>
      </c>
      <c r="D59" t="s">
        <v>28</v>
      </c>
      <c r="E59" t="s">
        <v>29</v>
      </c>
      <c r="F59" t="s">
        <v>684</v>
      </c>
      <c r="G59" t="s">
        <v>31</v>
      </c>
      <c r="H59" t="s">
        <v>925</v>
      </c>
      <c r="I59">
        <v>2026</v>
      </c>
      <c r="J59" s="4">
        <v>6666.8031652278687</v>
      </c>
      <c r="K59" s="4"/>
      <c r="L59" s="4"/>
      <c r="M59" s="4"/>
      <c r="N59" s="4"/>
      <c r="O59" s="4"/>
      <c r="P59" s="4"/>
      <c r="Q59" s="4"/>
      <c r="R59" s="4"/>
      <c r="S59" s="4"/>
      <c r="T59" s="4"/>
      <c r="U59" s="4">
        <v>6666.8031652278687</v>
      </c>
    </row>
    <row r="60" spans="1:21">
      <c r="A60" t="s">
        <v>647</v>
      </c>
      <c r="B60" t="s">
        <v>37</v>
      </c>
      <c r="C60" t="s">
        <v>27</v>
      </c>
      <c r="D60" t="s">
        <v>28</v>
      </c>
      <c r="E60" t="s">
        <v>29</v>
      </c>
      <c r="F60" t="s">
        <v>684</v>
      </c>
      <c r="G60" t="s">
        <v>31</v>
      </c>
      <c r="H60" t="s">
        <v>39</v>
      </c>
      <c r="I60">
        <v>2026</v>
      </c>
      <c r="J60" s="4">
        <v>1925.7782053501962</v>
      </c>
      <c r="K60" s="4"/>
      <c r="L60" s="4"/>
      <c r="M60" s="4"/>
      <c r="N60" s="4"/>
      <c r="O60" s="4"/>
      <c r="P60" s="4"/>
      <c r="Q60" s="4"/>
      <c r="R60" s="4"/>
      <c r="S60" s="4"/>
      <c r="T60" s="4"/>
      <c r="U60" s="4">
        <v>1925.7782053501962</v>
      </c>
    </row>
    <row r="61" spans="1:21">
      <c r="A61" t="s">
        <v>865</v>
      </c>
      <c r="B61" t="s">
        <v>37</v>
      </c>
      <c r="C61" t="s">
        <v>27</v>
      </c>
      <c r="D61" t="s">
        <v>28</v>
      </c>
      <c r="E61" t="s">
        <v>29</v>
      </c>
      <c r="F61" t="s">
        <v>684</v>
      </c>
      <c r="G61" t="s">
        <v>31</v>
      </c>
      <c r="H61" t="s">
        <v>54</v>
      </c>
      <c r="I61">
        <v>2026</v>
      </c>
      <c r="J61" s="4"/>
      <c r="K61" s="4">
        <v>15000</v>
      </c>
      <c r="L61" s="4"/>
      <c r="M61" s="4"/>
      <c r="N61" s="4"/>
      <c r="O61" s="4"/>
      <c r="P61" s="4"/>
      <c r="Q61" s="4"/>
      <c r="R61" s="4"/>
      <c r="S61" s="4"/>
      <c r="T61" s="4"/>
      <c r="U61" s="4">
        <v>15000</v>
      </c>
    </row>
    <row r="62" spans="1:21">
      <c r="A62" t="s">
        <v>534</v>
      </c>
      <c r="B62" t="s">
        <v>37</v>
      </c>
      <c r="C62" t="s">
        <v>27</v>
      </c>
      <c r="D62" t="s">
        <v>28</v>
      </c>
      <c r="E62" t="s">
        <v>29</v>
      </c>
      <c r="F62" t="s">
        <v>684</v>
      </c>
      <c r="G62" t="s">
        <v>38</v>
      </c>
      <c r="H62" t="s">
        <v>41</v>
      </c>
      <c r="I62">
        <v>2026</v>
      </c>
      <c r="J62" s="4">
        <v>2970</v>
      </c>
      <c r="K62" s="4"/>
      <c r="L62" s="4"/>
      <c r="M62" s="4"/>
      <c r="N62" s="4"/>
      <c r="O62" s="4"/>
      <c r="P62" s="4"/>
      <c r="Q62" s="4"/>
      <c r="R62" s="4"/>
      <c r="S62" s="4"/>
      <c r="T62" s="4"/>
      <c r="U62" s="4">
        <v>2970</v>
      </c>
    </row>
    <row r="63" spans="1:21">
      <c r="A63" t="s">
        <v>603</v>
      </c>
      <c r="B63" t="s">
        <v>37</v>
      </c>
      <c r="C63" t="s">
        <v>27</v>
      </c>
      <c r="D63" t="s">
        <v>28</v>
      </c>
      <c r="E63" t="s">
        <v>29</v>
      </c>
      <c r="F63" t="s">
        <v>684</v>
      </c>
      <c r="G63" t="s">
        <v>702</v>
      </c>
      <c r="H63" t="s">
        <v>41</v>
      </c>
      <c r="I63">
        <v>2026</v>
      </c>
      <c r="J63" s="4">
        <v>31932.514365080478</v>
      </c>
      <c r="K63" s="4"/>
      <c r="L63" s="4"/>
      <c r="M63" s="4"/>
      <c r="N63" s="4"/>
      <c r="O63" s="4"/>
      <c r="P63" s="4"/>
      <c r="Q63" s="4"/>
      <c r="R63" s="4"/>
      <c r="S63" s="4"/>
      <c r="T63" s="4"/>
      <c r="U63" s="4">
        <v>31932.514365080478</v>
      </c>
    </row>
    <row r="64" spans="1:21">
      <c r="A64" t="s">
        <v>147</v>
      </c>
      <c r="B64" t="s">
        <v>37</v>
      </c>
      <c r="C64" t="s">
        <v>27</v>
      </c>
      <c r="D64" t="s">
        <v>28</v>
      </c>
      <c r="E64" t="s">
        <v>29</v>
      </c>
      <c r="F64" t="s">
        <v>862</v>
      </c>
      <c r="G64" t="s">
        <v>662</v>
      </c>
      <c r="H64" t="s">
        <v>41</v>
      </c>
      <c r="I64">
        <v>2026</v>
      </c>
      <c r="J64" s="4">
        <v>-1754.3781999999992</v>
      </c>
      <c r="K64" s="4"/>
      <c r="L64" s="4"/>
      <c r="M64" s="4"/>
      <c r="N64" s="4"/>
      <c r="O64" s="4"/>
      <c r="P64" s="4"/>
      <c r="Q64" s="4"/>
      <c r="R64" s="4"/>
      <c r="S64" s="4"/>
      <c r="T64" s="4"/>
      <c r="U64" s="4">
        <v>-1754.3781999999992</v>
      </c>
    </row>
    <row r="65" spans="1:21">
      <c r="A65" t="s">
        <v>731</v>
      </c>
      <c r="B65" t="s">
        <v>37</v>
      </c>
      <c r="C65" t="s">
        <v>27</v>
      </c>
      <c r="D65" t="s">
        <v>28</v>
      </c>
      <c r="E65" t="s">
        <v>29</v>
      </c>
      <c r="F65" t="s">
        <v>684</v>
      </c>
      <c r="G65" t="s">
        <v>31</v>
      </c>
      <c r="H65" t="s">
        <v>105</v>
      </c>
      <c r="I65">
        <v>2026</v>
      </c>
      <c r="J65" s="4">
        <v>25050</v>
      </c>
      <c r="K65" s="4"/>
      <c r="L65" s="4"/>
      <c r="M65" s="4"/>
      <c r="N65" s="4"/>
      <c r="O65" s="4"/>
      <c r="P65" s="4"/>
      <c r="Q65" s="4"/>
      <c r="R65" s="4"/>
      <c r="S65" s="4"/>
      <c r="T65" s="4"/>
      <c r="U65" s="4">
        <v>25050</v>
      </c>
    </row>
    <row r="66" spans="1:21">
      <c r="A66" t="s">
        <v>8</v>
      </c>
      <c r="J66" s="4">
        <v>314366.80997420318</v>
      </c>
      <c r="K66" s="4">
        <v>44087.871079874298</v>
      </c>
      <c r="L66" s="4">
        <v>10000</v>
      </c>
      <c r="M66" s="4">
        <v>10000</v>
      </c>
      <c r="N66" s="4">
        <v>28435.704761661713</v>
      </c>
      <c r="O66" s="4">
        <v>9253.9559504266217</v>
      </c>
      <c r="P66" s="4">
        <v>14894.371063523919</v>
      </c>
      <c r="Q66" s="4">
        <v>144536.11932155336</v>
      </c>
      <c r="R66" s="4">
        <v>10000</v>
      </c>
      <c r="S66" s="4">
        <v>1319.9063350274675</v>
      </c>
      <c r="T66" s="4">
        <v>30280.649274811392</v>
      </c>
      <c r="U66" s="4">
        <v>617175.38776108169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3" t="s">
        <v>12</v>
      </c>
      <c r="B1" t="s">
        <v>11</v>
      </c>
    </row>
    <row r="2" spans="1:6">
      <c r="A2" s="3" t="s">
        <v>23</v>
      </c>
      <c r="B2" t="s">
        <v>43</v>
      </c>
    </row>
    <row r="4" spans="1:6">
      <c r="A4" s="3" t="s">
        <v>1</v>
      </c>
      <c r="B4" s="3" t="s">
        <v>2</v>
      </c>
    </row>
    <row r="5" spans="1:6">
      <c r="A5" s="3" t="s">
        <v>3</v>
      </c>
      <c r="B5" t="s">
        <v>4</v>
      </c>
      <c r="C5" t="s">
        <v>5</v>
      </c>
      <c r="D5" t="s">
        <v>6</v>
      </c>
      <c r="E5" t="s">
        <v>7</v>
      </c>
      <c r="F5" t="s">
        <v>8</v>
      </c>
    </row>
    <row r="6" spans="1:6">
      <c r="A6" s="17" t="s">
        <v>78</v>
      </c>
      <c r="B6" s="4">
        <v>8074.9534426516293</v>
      </c>
      <c r="C6" s="4"/>
      <c r="D6" s="4">
        <v>4652.5833449858073</v>
      </c>
      <c r="E6" s="4"/>
      <c r="F6" s="4">
        <v>12727.536787637437</v>
      </c>
    </row>
    <row r="7" spans="1:6">
      <c r="A7" s="17" t="s">
        <v>80</v>
      </c>
      <c r="B7" s="4">
        <v>3452.8544567679137</v>
      </c>
      <c r="C7" s="4"/>
      <c r="D7" s="4"/>
      <c r="E7" s="4"/>
      <c r="F7" s="4">
        <v>3452.8544567679137</v>
      </c>
    </row>
    <row r="8" spans="1:6">
      <c r="A8" s="17" t="s">
        <v>141</v>
      </c>
      <c r="B8" s="4">
        <v>4406.6801878699116</v>
      </c>
      <c r="C8" s="4">
        <v>3236.5106387392057</v>
      </c>
      <c r="D8" s="4">
        <v>3389.1551193971245</v>
      </c>
      <c r="E8" s="4">
        <v>23791.203012478589</v>
      </c>
      <c r="F8" s="4">
        <v>34823.548958484833</v>
      </c>
    </row>
    <row r="9" spans="1:6">
      <c r="A9" s="17"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filterMode="1"/>
  <dimension ref="A1:AA131"/>
  <sheetViews>
    <sheetView tabSelected="1" zoomScale="81" zoomScaleNormal="81" workbookViewId="0">
      <pane xSplit="2" ySplit="1" topLeftCell="C49" activePane="bottomRight" state="frozen"/>
      <selection pane="topRight" activeCell="C1" sqref="C1"/>
      <selection pane="bottomLeft" activeCell="A2" sqref="A2"/>
      <selection pane="bottomRight" activeCell="D68" sqref="D68"/>
    </sheetView>
  </sheetViews>
  <sheetFormatPr defaultRowHeight="14.5"/>
  <cols>
    <col min="1" max="1" width="12.1796875" customWidth="1"/>
    <col min="2" max="2" width="35.81640625" customWidth="1"/>
    <col min="3" max="3" width="14.1796875" customWidth="1"/>
    <col min="4" max="4" width="16.453125" customWidth="1"/>
    <col min="5" max="5" width="17.453125" customWidth="1"/>
    <col min="6" max="6" width="15" customWidth="1"/>
    <col min="7" max="7" width="8.81640625" bestFit="1" customWidth="1"/>
    <col min="8" max="8" width="23" customWidth="1"/>
    <col min="10" max="10" width="11.7265625" style="52" customWidth="1"/>
    <col min="11" max="11" width="15.7265625" style="69" customWidth="1"/>
    <col min="12" max="12" width="13.453125" style="8" customWidth="1"/>
    <col min="13" max="13" width="18.453125" customWidth="1"/>
    <col min="14" max="14" width="8.81640625" bestFit="1" customWidth="1"/>
    <col min="15" max="15" width="15.1796875" customWidth="1"/>
    <col min="16" max="16" width="31.7265625" customWidth="1"/>
    <col min="17" max="17" width="21" style="8" customWidth="1"/>
    <col min="18" max="18" width="27.453125" style="8" customWidth="1"/>
    <col min="19" max="19" width="22.7265625" customWidth="1"/>
    <col min="20" max="20" width="31.1796875" customWidth="1"/>
    <col min="21" max="21" width="13.453125" customWidth="1"/>
    <col min="23" max="23" width="65.26953125" style="5" customWidth="1"/>
    <col min="24" max="24" width="45.453125" customWidth="1"/>
    <col min="25" max="25" width="12.453125" hidden="1" customWidth="1"/>
    <col min="26" max="27" width="0" hidden="1" customWidth="1"/>
  </cols>
  <sheetData>
    <row r="1" spans="1:27">
      <c r="A1" s="36" t="s">
        <v>17</v>
      </c>
      <c r="B1" s="36" t="s">
        <v>16</v>
      </c>
      <c r="C1" s="36" t="s">
        <v>12</v>
      </c>
      <c r="D1" s="36" t="s">
        <v>23</v>
      </c>
      <c r="E1" s="36" t="s">
        <v>24</v>
      </c>
      <c r="F1" s="36" t="s">
        <v>19</v>
      </c>
      <c r="G1" s="36" t="s">
        <v>25</v>
      </c>
      <c r="H1" s="36" t="s">
        <v>18</v>
      </c>
      <c r="I1" s="36" t="s">
        <v>154</v>
      </c>
      <c r="J1" s="50" t="s">
        <v>155</v>
      </c>
      <c r="K1" s="62" t="s">
        <v>156</v>
      </c>
      <c r="L1" s="38" t="s">
        <v>157</v>
      </c>
      <c r="M1" s="37" t="s">
        <v>15</v>
      </c>
      <c r="N1" s="36" t="s">
        <v>158</v>
      </c>
      <c r="O1" s="36" t="s">
        <v>159</v>
      </c>
      <c r="P1" s="36" t="s">
        <v>160</v>
      </c>
      <c r="Q1" s="38" t="s">
        <v>161</v>
      </c>
      <c r="R1" s="38" t="s">
        <v>162</v>
      </c>
      <c r="S1" s="36" t="s">
        <v>163</v>
      </c>
      <c r="T1" s="38" t="s">
        <v>164</v>
      </c>
      <c r="U1" s="38" t="s">
        <v>165</v>
      </c>
      <c r="V1" s="38" t="s">
        <v>166</v>
      </c>
      <c r="W1" s="38" t="s">
        <v>21</v>
      </c>
      <c r="X1" s="38" t="s">
        <v>22</v>
      </c>
      <c r="Y1" s="35">
        <f ca="1">TODAY()</f>
        <v>46091</v>
      </c>
      <c r="Z1" s="2"/>
      <c r="AA1" s="2"/>
    </row>
    <row r="2" spans="1:27" hidden="1">
      <c r="A2" s="32" t="s">
        <v>27</v>
      </c>
      <c r="B2" s="32" t="s">
        <v>134</v>
      </c>
      <c r="C2" s="32" t="str">
        <f>VLOOKUP(B2,Validation!A:B,2,0)</f>
        <v>APAC</v>
      </c>
      <c r="D2" s="32" t="str">
        <f>VLOOKUP(B2,Validation!A:D,4,0)</f>
        <v>NA</v>
      </c>
      <c r="E2" s="32" t="str">
        <f>VLOOKUP(B2,Validation!A:E,5,0)</f>
        <v>Vinoth M</v>
      </c>
      <c r="F2" s="32" t="s">
        <v>29</v>
      </c>
      <c r="G2" s="32">
        <f t="shared" ref="G2:G57" si="0">YEAR(L2)</f>
        <v>2024</v>
      </c>
      <c r="H2" s="32" t="s">
        <v>28</v>
      </c>
      <c r="I2" s="32" t="s">
        <v>167</v>
      </c>
      <c r="J2" s="49">
        <f>VLOOKUP(I2,'XE rates'!A:D,4,0)*K2</f>
        <v>5500</v>
      </c>
      <c r="K2" s="63">
        <v>5500</v>
      </c>
      <c r="L2" s="35">
        <v>45597</v>
      </c>
      <c r="M2" s="33" t="str">
        <f t="shared" ref="M2:M5" si="1">TEXT(L2,"mmm")</f>
        <v>Nov</v>
      </c>
      <c r="N2" s="32">
        <f t="shared" ref="N2:N5" ca="1" si="2">$Y$1-R2</f>
        <v>454</v>
      </c>
      <c r="O2" s="32" t="str">
        <f t="shared" ref="O2:O5" ca="1" si="3">IF(N2&lt;=30, "0-30 days", IF(N2&lt;=60, "31-60 days", IF(N2&lt;=90, "61-90 days", "Over 90+ days")))</f>
        <v>Over 90+ days</v>
      </c>
      <c r="P2" s="32" t="s">
        <v>168</v>
      </c>
      <c r="Q2" s="35">
        <v>45597</v>
      </c>
      <c r="R2" s="35">
        <v>45637</v>
      </c>
      <c r="S2" s="32" t="s">
        <v>169</v>
      </c>
      <c r="T2" s="32" t="s">
        <v>178</v>
      </c>
      <c r="U2" s="32" t="s">
        <v>170</v>
      </c>
      <c r="V2" s="32" t="s">
        <v>170</v>
      </c>
      <c r="W2" s="32" t="s">
        <v>782</v>
      </c>
      <c r="X2" s="32"/>
      <c r="Y2" s="32">
        <f>VLOOKUP(T2,'[1]Query result'!$J:$K,2,0)</f>
        <v>45637</v>
      </c>
      <c r="Z2" s="2">
        <f>VLOOKUP(T2,'[1]Query result'!$J:$W,14,0)</f>
        <v>0</v>
      </c>
      <c r="AA2" s="51">
        <f t="shared" ref="AA2:AA38" si="4">K2-Z2</f>
        <v>5500</v>
      </c>
    </row>
    <row r="3" spans="1:27" hidden="1">
      <c r="A3" s="32" t="s">
        <v>27</v>
      </c>
      <c r="B3" s="32" t="s">
        <v>134</v>
      </c>
      <c r="C3" s="32" t="str">
        <f>VLOOKUP(B3,Validation!A:B,2,0)</f>
        <v>APAC</v>
      </c>
      <c r="D3" s="32" t="str">
        <f>VLOOKUP(B3,Validation!A:D,4,0)</f>
        <v>NA</v>
      </c>
      <c r="E3" s="32" t="str">
        <f>VLOOKUP(B3,Validation!A:E,5,0)</f>
        <v>Vinoth M</v>
      </c>
      <c r="F3" s="32" t="s">
        <v>29</v>
      </c>
      <c r="G3" s="32">
        <f t="shared" si="0"/>
        <v>2025</v>
      </c>
      <c r="H3" s="32" t="s">
        <v>28</v>
      </c>
      <c r="I3" s="32" t="s">
        <v>167</v>
      </c>
      <c r="J3" s="49">
        <f>VLOOKUP(I3,'XE rates'!A:D,4,0)*K3</f>
        <v>9930</v>
      </c>
      <c r="K3" s="63">
        <v>9930</v>
      </c>
      <c r="L3" s="34">
        <v>45658</v>
      </c>
      <c r="M3" s="33" t="str">
        <f t="shared" si="1"/>
        <v>Jan</v>
      </c>
      <c r="N3" s="32">
        <f t="shared" ca="1" si="2"/>
        <v>391</v>
      </c>
      <c r="O3" s="32" t="str">
        <f t="shared" ca="1" si="3"/>
        <v>Over 90+ days</v>
      </c>
      <c r="P3" s="32" t="s">
        <v>168</v>
      </c>
      <c r="Q3" s="35">
        <v>45693</v>
      </c>
      <c r="R3" s="35">
        <v>45700</v>
      </c>
      <c r="S3" s="32" t="s">
        <v>169</v>
      </c>
      <c r="T3" s="32" t="s">
        <v>624</v>
      </c>
      <c r="U3" s="32" t="s">
        <v>170</v>
      </c>
      <c r="V3" s="32" t="s">
        <v>170</v>
      </c>
      <c r="W3" s="32" t="s">
        <v>782</v>
      </c>
      <c r="X3" s="32"/>
      <c r="Y3" s="32">
        <f>VLOOKUP(T3,'[1]Query result'!$J:$K,2,0)</f>
        <v>45700</v>
      </c>
      <c r="Z3" s="2">
        <f>VLOOKUP(T3,'[1]Query result'!$J:$W,14,0)</f>
        <v>0</v>
      </c>
      <c r="AA3" s="51">
        <f t="shared" si="4"/>
        <v>9930</v>
      </c>
    </row>
    <row r="4" spans="1:27" hidden="1">
      <c r="A4" s="32" t="s">
        <v>27</v>
      </c>
      <c r="B4" s="32" t="s">
        <v>134</v>
      </c>
      <c r="C4" s="32" t="str">
        <f>VLOOKUP(B4,Validation!A:B,2,0)</f>
        <v>APAC</v>
      </c>
      <c r="D4" s="32" t="str">
        <f>VLOOKUP(B4,Validation!A:D,4,0)</f>
        <v>NA</v>
      </c>
      <c r="E4" s="32" t="str">
        <f>VLOOKUP(B4,Validation!A:E,5,0)</f>
        <v>Vinoth M</v>
      </c>
      <c r="F4" s="32" t="s">
        <v>29</v>
      </c>
      <c r="G4" s="32">
        <f t="shared" si="0"/>
        <v>2025</v>
      </c>
      <c r="H4" s="32" t="s">
        <v>28</v>
      </c>
      <c r="I4" s="32" t="s">
        <v>167</v>
      </c>
      <c r="J4" s="49">
        <f>VLOOKUP(I4,'XE rates'!A:D,4,0)*K4</f>
        <v>10000</v>
      </c>
      <c r="K4" s="63">
        <v>10000</v>
      </c>
      <c r="L4" s="35">
        <v>45689</v>
      </c>
      <c r="M4" s="33" t="str">
        <f t="shared" si="1"/>
        <v>Feb</v>
      </c>
      <c r="N4" s="32">
        <f t="shared" ca="1" si="2"/>
        <v>363</v>
      </c>
      <c r="O4" s="32" t="str">
        <f t="shared" ca="1" si="3"/>
        <v>Over 90+ days</v>
      </c>
      <c r="P4" s="32" t="s">
        <v>168</v>
      </c>
      <c r="Q4" s="35">
        <v>45721</v>
      </c>
      <c r="R4" s="35">
        <v>45728</v>
      </c>
      <c r="S4" s="32" t="s">
        <v>169</v>
      </c>
      <c r="T4" s="32" t="s">
        <v>633</v>
      </c>
      <c r="U4" s="32" t="s">
        <v>170</v>
      </c>
      <c r="V4" s="32" t="s">
        <v>170</v>
      </c>
      <c r="W4" s="32" t="s">
        <v>782</v>
      </c>
      <c r="X4" s="32"/>
      <c r="Y4" s="32">
        <f>VLOOKUP(T4,'[1]Query result'!$J:$K,2,0)</f>
        <v>45728</v>
      </c>
      <c r="Z4" s="2">
        <f>VLOOKUP(T4,'[1]Query result'!$J:$W,14,0)</f>
        <v>0</v>
      </c>
      <c r="AA4" s="51">
        <f t="shared" si="4"/>
        <v>10000</v>
      </c>
    </row>
    <row r="5" spans="1:27" hidden="1">
      <c r="A5" s="32" t="s">
        <v>27</v>
      </c>
      <c r="B5" s="32" t="s">
        <v>134</v>
      </c>
      <c r="C5" s="32" t="str">
        <f>VLOOKUP(B5,Validation!A:B,2,0)</f>
        <v>APAC</v>
      </c>
      <c r="D5" s="32" t="str">
        <f>VLOOKUP(B5,Validation!A:D,4,0)</f>
        <v>NA</v>
      </c>
      <c r="E5" s="32" t="str">
        <f>VLOOKUP(B5,Validation!A:E,5,0)</f>
        <v>Vinoth M</v>
      </c>
      <c r="F5" s="32" t="s">
        <v>29</v>
      </c>
      <c r="G5" s="32">
        <f t="shared" si="0"/>
        <v>2025</v>
      </c>
      <c r="H5" s="32" t="s">
        <v>28</v>
      </c>
      <c r="I5" s="32" t="s">
        <v>167</v>
      </c>
      <c r="J5" s="49">
        <f>VLOOKUP(I5,'XE rates'!A:D,4,0)*K5</f>
        <v>10000</v>
      </c>
      <c r="K5" s="63">
        <v>10000</v>
      </c>
      <c r="L5" s="35">
        <v>45717</v>
      </c>
      <c r="M5" s="33" t="str">
        <f t="shared" si="1"/>
        <v>Mar</v>
      </c>
      <c r="N5" s="32">
        <f t="shared" ca="1" si="2"/>
        <v>335</v>
      </c>
      <c r="O5" s="32" t="str">
        <f t="shared" ca="1" si="3"/>
        <v>Over 90+ days</v>
      </c>
      <c r="P5" s="32" t="s">
        <v>168</v>
      </c>
      <c r="Q5" s="35">
        <v>45749</v>
      </c>
      <c r="R5" s="35">
        <v>45756</v>
      </c>
      <c r="S5" s="32" t="s">
        <v>169</v>
      </c>
      <c r="T5" s="32" t="s">
        <v>652</v>
      </c>
      <c r="U5" s="32" t="s">
        <v>170</v>
      </c>
      <c r="V5" s="32" t="s">
        <v>170</v>
      </c>
      <c r="W5" s="32" t="s">
        <v>782</v>
      </c>
      <c r="X5" s="32"/>
      <c r="Y5" s="32">
        <f>VLOOKUP(T5,'[1]Query result'!$J:$K,2,0)</f>
        <v>45756</v>
      </c>
      <c r="Z5" s="2">
        <f>VLOOKUP(T5,'[1]Query result'!$J:$W,14,0)</f>
        <v>0</v>
      </c>
      <c r="AA5" s="51">
        <f t="shared" si="4"/>
        <v>10000</v>
      </c>
    </row>
    <row r="6" spans="1:27" hidden="1">
      <c r="A6" s="32" t="s">
        <v>27</v>
      </c>
      <c r="B6" s="32" t="s">
        <v>134</v>
      </c>
      <c r="C6" s="32" t="str">
        <f>VLOOKUP(B6,Validation!A:B,2,0)</f>
        <v>APAC</v>
      </c>
      <c r="D6" s="32" t="str">
        <f>VLOOKUP(B6,Validation!A:D,4,0)</f>
        <v>NA</v>
      </c>
      <c r="E6" s="32" t="str">
        <f>VLOOKUP(B6,Validation!A:E,5,0)</f>
        <v>Vinoth M</v>
      </c>
      <c r="F6" s="32" t="s">
        <v>29</v>
      </c>
      <c r="G6" s="32">
        <f t="shared" si="0"/>
        <v>2025</v>
      </c>
      <c r="H6" s="32" t="s">
        <v>28</v>
      </c>
      <c r="I6" s="32" t="s">
        <v>167</v>
      </c>
      <c r="J6" s="49">
        <f>VLOOKUP(I6,'XE rates'!A:D,4,0)*K6</f>
        <v>10000</v>
      </c>
      <c r="K6" s="63">
        <v>10000</v>
      </c>
      <c r="L6" s="35">
        <v>45748</v>
      </c>
      <c r="M6" s="33" t="str">
        <f t="shared" ref="M6" si="5">TEXT(L6,"mmm")</f>
        <v>Apr</v>
      </c>
      <c r="N6" s="32">
        <f t="shared" ref="N6:N7" ca="1" si="6">$Y$1-R6</f>
        <v>302</v>
      </c>
      <c r="O6" s="32" t="str">
        <f t="shared" ref="O6:O7" ca="1" si="7">IF(N6&lt;=30, "0-30 days", IF(N6&lt;=60, "31-60 days", IF(N6&lt;=90, "61-90 days", "Over 90+ days")))</f>
        <v>Over 90+ days</v>
      </c>
      <c r="P6" s="32" t="s">
        <v>168</v>
      </c>
      <c r="Q6" s="35">
        <v>45782</v>
      </c>
      <c r="R6" s="35">
        <v>45789</v>
      </c>
      <c r="S6" s="32" t="s">
        <v>169</v>
      </c>
      <c r="T6" s="32" t="s">
        <v>660</v>
      </c>
      <c r="U6" s="32" t="s">
        <v>170</v>
      </c>
      <c r="V6" s="32" t="s">
        <v>170</v>
      </c>
      <c r="W6" s="32" t="s">
        <v>782</v>
      </c>
      <c r="X6" s="32"/>
      <c r="Y6" s="32">
        <f>VLOOKUP(T6,'[1]Query result'!$J:$K,2,0)</f>
        <v>45789</v>
      </c>
      <c r="Z6" s="2">
        <f>VLOOKUP(T6,'[1]Query result'!$J:$W,14,0)</f>
        <v>0</v>
      </c>
      <c r="AA6" s="51">
        <f t="shared" si="4"/>
        <v>10000</v>
      </c>
    </row>
    <row r="7" spans="1:27" hidden="1">
      <c r="A7" s="32" t="s">
        <v>27</v>
      </c>
      <c r="B7" s="32" t="s">
        <v>134</v>
      </c>
      <c r="C7" s="32" t="str">
        <f>VLOOKUP(B7,Validation!A:B,2,0)</f>
        <v>APAC</v>
      </c>
      <c r="D7" s="32" t="str">
        <f>VLOOKUP(B7,Validation!A:D,4,0)</f>
        <v>NA</v>
      </c>
      <c r="E7" s="32" t="str">
        <f>VLOOKUP(B7,Validation!A:E,5,0)</f>
        <v>Vinoth M</v>
      </c>
      <c r="F7" s="32" t="s">
        <v>29</v>
      </c>
      <c r="G7" s="32">
        <f t="shared" si="0"/>
        <v>2025</v>
      </c>
      <c r="H7" s="32" t="s">
        <v>28</v>
      </c>
      <c r="I7" s="32" t="s">
        <v>167</v>
      </c>
      <c r="J7" s="49">
        <f>VLOOKUP(I7,'XE rates'!A:D,4,0)*K7</f>
        <v>10000</v>
      </c>
      <c r="K7" s="63">
        <v>10000</v>
      </c>
      <c r="L7" s="35">
        <v>45778</v>
      </c>
      <c r="M7" s="33" t="str">
        <f t="shared" ref="M7" si="8">TEXT(L7,"mmm")</f>
        <v>May</v>
      </c>
      <c r="N7" s="32">
        <f t="shared" ca="1" si="6"/>
        <v>272</v>
      </c>
      <c r="O7" s="32" t="str">
        <f t="shared" ca="1" si="7"/>
        <v>Over 90+ days</v>
      </c>
      <c r="P7" s="32" t="s">
        <v>168</v>
      </c>
      <c r="Q7" s="35">
        <v>45812</v>
      </c>
      <c r="R7" s="35">
        <v>45819</v>
      </c>
      <c r="S7" s="32" t="s">
        <v>169</v>
      </c>
      <c r="T7" s="32" t="s">
        <v>677</v>
      </c>
      <c r="U7" s="32" t="s">
        <v>170</v>
      </c>
      <c r="V7" s="32" t="s">
        <v>170</v>
      </c>
      <c r="W7" s="32" t="s">
        <v>782</v>
      </c>
      <c r="X7" s="32"/>
      <c r="Y7" s="32">
        <f>VLOOKUP(T7,'[1]Query result'!$J:$K,2,0)</f>
        <v>45819</v>
      </c>
      <c r="Z7" s="2">
        <f>VLOOKUP(T7,'[1]Query result'!$J:$W,14,0)</f>
        <v>0</v>
      </c>
      <c r="AA7" s="51">
        <f t="shared" si="4"/>
        <v>10000</v>
      </c>
    </row>
    <row r="8" spans="1:27" hidden="1">
      <c r="A8" s="32" t="s">
        <v>27</v>
      </c>
      <c r="B8" s="32" t="s">
        <v>619</v>
      </c>
      <c r="C8" s="32" t="str">
        <f>VLOOKUP(B8,Validation!A:B,2,0)</f>
        <v>USA</v>
      </c>
      <c r="D8" s="32" t="str">
        <f>VLOOKUP(B8,Validation!A:D,4,0)</f>
        <v>Eduardo Avallone</v>
      </c>
      <c r="E8" s="32" t="str">
        <f>VLOOKUP(B8,Validation!A:E,5,0)</f>
        <v>Christina Hutchinson</v>
      </c>
      <c r="F8" s="32" t="s">
        <v>29</v>
      </c>
      <c r="G8" s="32">
        <f t="shared" si="0"/>
        <v>2025</v>
      </c>
      <c r="H8" s="32" t="s">
        <v>28</v>
      </c>
      <c r="I8" s="32" t="s">
        <v>167</v>
      </c>
      <c r="J8" s="49">
        <f>VLOOKUP(I8,'XE rates'!A:D,4,0)*K8</f>
        <v>3495.5</v>
      </c>
      <c r="K8" s="63">
        <v>3495.5</v>
      </c>
      <c r="L8" s="35">
        <v>45839</v>
      </c>
      <c r="M8" s="33" t="str">
        <f t="shared" ref="M8:M9" si="9">TEXT(L8,"mmm")</f>
        <v>Jul</v>
      </c>
      <c r="N8" s="32">
        <f t="shared" ref="N8:N9" ca="1" si="10">$Y$1-R8</f>
        <v>210</v>
      </c>
      <c r="O8" s="32" t="str">
        <f t="shared" ref="O8:O9" ca="1" si="11">IF(N8&lt;=30, "0-30 days", IF(N8&lt;=60, "31-60 days", IF(N8&lt;=90, "61-90 days", "Over 90+ days")))</f>
        <v>Over 90+ days</v>
      </c>
      <c r="P8" s="32" t="s">
        <v>168</v>
      </c>
      <c r="Q8" s="35">
        <v>45874</v>
      </c>
      <c r="R8" s="35">
        <v>45881</v>
      </c>
      <c r="S8" s="32" t="s">
        <v>169</v>
      </c>
      <c r="T8" s="32" t="s">
        <v>699</v>
      </c>
      <c r="U8" s="32" t="s">
        <v>170</v>
      </c>
      <c r="V8" s="32" t="s">
        <v>171</v>
      </c>
      <c r="W8" s="32" t="s">
        <v>785</v>
      </c>
      <c r="X8" s="32"/>
      <c r="Y8" s="32">
        <f>VLOOKUP(T8,'[1]Query result'!$J:$K,2,0)</f>
        <v>45881</v>
      </c>
      <c r="Z8" s="2">
        <f>VLOOKUP(T8,'[1]Query result'!$J:$W,14,0)</f>
        <v>0</v>
      </c>
      <c r="AA8" s="51">
        <f t="shared" si="4"/>
        <v>3495.5</v>
      </c>
    </row>
    <row r="9" spans="1:27" hidden="1">
      <c r="A9" s="32" t="s">
        <v>27</v>
      </c>
      <c r="B9" s="32" t="s">
        <v>151</v>
      </c>
      <c r="C9" s="32" t="str">
        <f>VLOOKUP(B9,Validation!A:B,2,0)</f>
        <v>APAC</v>
      </c>
      <c r="D9" s="32" t="str">
        <f>VLOOKUP(B9,Validation!A:D,4,0)</f>
        <v>Hao Nguyen</v>
      </c>
      <c r="E9" s="32" t="str">
        <f>VLOOKUP(B9,Validation!A:E,5,0)</f>
        <v>NA</v>
      </c>
      <c r="F9" s="32" t="s">
        <v>29</v>
      </c>
      <c r="G9" s="32">
        <f t="shared" si="0"/>
        <v>2025</v>
      </c>
      <c r="H9" s="32" t="s">
        <v>28</v>
      </c>
      <c r="I9" s="32" t="s">
        <v>173</v>
      </c>
      <c r="J9" s="49">
        <f>VLOOKUP(I9,'XE rates'!A:D,4,0)*K9</f>
        <v>1319.9063350274675</v>
      </c>
      <c r="K9" s="63">
        <f>6943.705-4972.13</f>
        <v>1971.5749999999998</v>
      </c>
      <c r="L9" s="35">
        <v>45839</v>
      </c>
      <c r="M9" s="33" t="str">
        <f t="shared" si="9"/>
        <v>Jul</v>
      </c>
      <c r="N9" s="32">
        <f t="shared" ca="1" si="10"/>
        <v>210</v>
      </c>
      <c r="O9" s="32" t="str">
        <f t="shared" ca="1" si="11"/>
        <v>Over 90+ days</v>
      </c>
      <c r="P9" s="32" t="s">
        <v>168</v>
      </c>
      <c r="Q9" s="35">
        <v>45874</v>
      </c>
      <c r="R9" s="35">
        <v>45881</v>
      </c>
      <c r="S9" s="32" t="s">
        <v>809</v>
      </c>
      <c r="T9" s="32" t="s">
        <v>700</v>
      </c>
      <c r="U9" s="32" t="s">
        <v>170</v>
      </c>
      <c r="V9" s="32" t="s">
        <v>170</v>
      </c>
      <c r="W9" s="2" t="s">
        <v>857</v>
      </c>
      <c r="X9" s="32"/>
      <c r="Y9" s="32">
        <f>VLOOKUP(T9,'[1]Query result'!$J:$K,2,0)</f>
        <v>45881</v>
      </c>
      <c r="Z9" s="2">
        <f>VLOOKUP(T9,'[1]Query result'!$J:$W,14,0)</f>
        <v>0</v>
      </c>
      <c r="AA9" s="51">
        <f t="shared" si="4"/>
        <v>1971.5749999999998</v>
      </c>
    </row>
    <row r="10" spans="1:27" hidden="1">
      <c r="A10" s="32" t="s">
        <v>27</v>
      </c>
      <c r="B10" s="32" t="s">
        <v>619</v>
      </c>
      <c r="C10" s="32" t="str">
        <f>VLOOKUP(B10,Validation!A:B,2,0)</f>
        <v>USA</v>
      </c>
      <c r="D10" s="32" t="str">
        <f>VLOOKUP(B10,Validation!A:D,4,0)</f>
        <v>Eduardo Avallone</v>
      </c>
      <c r="E10" s="32" t="str">
        <f>VLOOKUP(B10,Validation!A:E,5,0)</f>
        <v>Christina Hutchinson</v>
      </c>
      <c r="F10" s="32" t="s">
        <v>29</v>
      </c>
      <c r="G10" s="32">
        <f t="shared" si="0"/>
        <v>2025</v>
      </c>
      <c r="H10" s="32" t="s">
        <v>28</v>
      </c>
      <c r="I10" s="32" t="s">
        <v>167</v>
      </c>
      <c r="J10" s="49">
        <f>VLOOKUP(I10,'XE rates'!A:D,4,0)*K10</f>
        <v>3485</v>
      </c>
      <c r="K10" s="63">
        <v>3485</v>
      </c>
      <c r="L10" s="35">
        <v>45870</v>
      </c>
      <c r="M10" s="33" t="str">
        <f t="shared" ref="M10" si="12">TEXT(L10,"mmm")</f>
        <v>Aug</v>
      </c>
      <c r="N10" s="32">
        <f t="shared" ref="N10" ca="1" si="13">$Y$1-R10</f>
        <v>182</v>
      </c>
      <c r="O10" s="32" t="str">
        <f t="shared" ref="O10" ca="1" si="14">IF(N10&lt;=30, "0-30 days", IF(N10&lt;=60, "31-60 days", IF(N10&lt;=90, "61-90 days", "Over 90+ days")))</f>
        <v>Over 90+ days</v>
      </c>
      <c r="P10" s="32" t="s">
        <v>168</v>
      </c>
      <c r="Q10" s="35">
        <v>45902</v>
      </c>
      <c r="R10" s="35">
        <v>45909</v>
      </c>
      <c r="S10" s="32" t="s">
        <v>169</v>
      </c>
      <c r="T10" s="32" t="s">
        <v>714</v>
      </c>
      <c r="U10" s="32" t="s">
        <v>170</v>
      </c>
      <c r="V10" s="32" t="s">
        <v>171</v>
      </c>
      <c r="W10" s="32" t="s">
        <v>785</v>
      </c>
      <c r="X10" s="32"/>
      <c r="Y10" s="32">
        <f>VLOOKUP(T10,'[1]Query result'!$J:$K,2,0)</f>
        <v>45909</v>
      </c>
      <c r="Z10" s="2">
        <f>VLOOKUP(T10,'[1]Query result'!$J:$W,14,0)</f>
        <v>0</v>
      </c>
      <c r="AA10" s="51">
        <f t="shared" si="4"/>
        <v>3485</v>
      </c>
    </row>
    <row r="11" spans="1:27" hidden="1">
      <c r="A11" s="32" t="s">
        <v>27</v>
      </c>
      <c r="B11" s="2" t="s">
        <v>765</v>
      </c>
      <c r="C11" s="32" t="str">
        <f>VLOOKUP(B11,Validation!A:B,2,0)</f>
        <v>APAC</v>
      </c>
      <c r="D11" s="32" t="str">
        <f>VLOOKUP(B11,Validation!A:D,4,0)</f>
        <v>XiaoXiao</v>
      </c>
      <c r="E11" s="32" t="str">
        <f>VLOOKUP(B11,Validation!A:E,5,0)</f>
        <v>Gitesh Athavale</v>
      </c>
      <c r="F11" s="32" t="s">
        <v>29</v>
      </c>
      <c r="G11" s="32">
        <f t="shared" si="0"/>
        <v>2025</v>
      </c>
      <c r="H11" s="32" t="s">
        <v>28</v>
      </c>
      <c r="I11" s="32" t="s">
        <v>167</v>
      </c>
      <c r="J11" s="49">
        <f>VLOOKUP(I11,'XE rates'!A:D,4,0)*K11</f>
        <v>25680.39</v>
      </c>
      <c r="K11" s="63">
        <f>34635.56-8955.17</f>
        <v>25680.39</v>
      </c>
      <c r="L11" s="35">
        <v>45870</v>
      </c>
      <c r="M11" s="33" t="str">
        <f t="shared" ref="M11:M12" si="15">TEXT(L11,"mmm")</f>
        <v>Aug</v>
      </c>
      <c r="N11" s="32">
        <f t="shared" ref="N11:N12" ca="1" si="16">$Y$1-R11</f>
        <v>180</v>
      </c>
      <c r="O11" s="32" t="str">
        <f t="shared" ref="O11:O12" ca="1" si="17">IF(N11&lt;=30, "0-30 days", IF(N11&lt;=60, "31-60 days", IF(N11&lt;=90, "61-90 days", "Over 90+ days")))</f>
        <v>Over 90+ days</v>
      </c>
      <c r="P11" s="32" t="s">
        <v>168</v>
      </c>
      <c r="Q11" s="35">
        <v>45904</v>
      </c>
      <c r="R11" s="35">
        <v>45911</v>
      </c>
      <c r="S11" s="32" t="s">
        <v>809</v>
      </c>
      <c r="T11" s="32" t="s">
        <v>715</v>
      </c>
      <c r="U11" s="32" t="s">
        <v>170</v>
      </c>
      <c r="V11" s="32" t="s">
        <v>171</v>
      </c>
      <c r="W11" s="32" t="s">
        <v>724</v>
      </c>
      <c r="X11" s="32"/>
      <c r="Y11" s="32">
        <f>VLOOKUP(T11,'[1]Query result'!$J:$K,2,0)</f>
        <v>45911</v>
      </c>
      <c r="Z11" s="2">
        <f>VLOOKUP(T11,'[1]Query result'!$J:$W,14,0)</f>
        <v>0</v>
      </c>
      <c r="AA11" s="51">
        <f t="shared" si="4"/>
        <v>25680.39</v>
      </c>
    </row>
    <row r="12" spans="1:27" hidden="1">
      <c r="A12" s="32" t="s">
        <v>27</v>
      </c>
      <c r="B12" s="32" t="s">
        <v>151</v>
      </c>
      <c r="C12" s="32" t="str">
        <f>VLOOKUP(B12,Validation!A:B,2,0)</f>
        <v>APAC</v>
      </c>
      <c r="D12" s="32" t="str">
        <f>VLOOKUP(B12,Validation!A:D,4,0)</f>
        <v>Hao Nguyen</v>
      </c>
      <c r="E12" s="32" t="str">
        <f>VLOOKUP(B12,Validation!A:E,5,0)</f>
        <v>NA</v>
      </c>
      <c r="F12" s="32" t="s">
        <v>29</v>
      </c>
      <c r="G12" s="32">
        <f t="shared" si="0"/>
        <v>2025</v>
      </c>
      <c r="H12" s="32" t="s">
        <v>28</v>
      </c>
      <c r="I12" s="32" t="s">
        <v>173</v>
      </c>
      <c r="J12" s="49">
        <f>VLOOKUP(I12,'XE rates'!A:D,4,0)*K12</f>
        <v>4600.2592748113921</v>
      </c>
      <c r="K12" s="63">
        <v>6871.5150000000003</v>
      </c>
      <c r="L12" s="35">
        <v>45870</v>
      </c>
      <c r="M12" s="33" t="str">
        <f t="shared" si="15"/>
        <v>Aug</v>
      </c>
      <c r="N12" s="32">
        <f t="shared" ca="1" si="16"/>
        <v>181</v>
      </c>
      <c r="O12" s="32" t="str">
        <f t="shared" ca="1" si="17"/>
        <v>Over 90+ days</v>
      </c>
      <c r="P12" s="32" t="s">
        <v>168</v>
      </c>
      <c r="Q12" s="35">
        <v>45903</v>
      </c>
      <c r="R12" s="35">
        <v>45910</v>
      </c>
      <c r="S12" s="32" t="s">
        <v>169</v>
      </c>
      <c r="T12" s="32" t="s">
        <v>716</v>
      </c>
      <c r="U12" s="32" t="s">
        <v>170</v>
      </c>
      <c r="V12" s="32" t="s">
        <v>170</v>
      </c>
      <c r="W12" s="2" t="s">
        <v>857</v>
      </c>
      <c r="X12" s="32"/>
      <c r="Y12" s="32">
        <f>VLOOKUP(T12,'[1]Query result'!$J:$K,2,0)</f>
        <v>45910</v>
      </c>
      <c r="Z12" s="2">
        <f>VLOOKUP(T12,'[1]Query result'!$J:$W,14,0)</f>
        <v>0</v>
      </c>
      <c r="AA12" s="51">
        <f t="shared" si="4"/>
        <v>6871.5150000000003</v>
      </c>
    </row>
    <row r="13" spans="1:27" hidden="1">
      <c r="A13" s="2" t="s">
        <v>27</v>
      </c>
      <c r="B13" s="2" t="s">
        <v>123</v>
      </c>
      <c r="C13" s="32" t="str">
        <f>VLOOKUP(B13,Validation!A:B,2,0)</f>
        <v>APAC</v>
      </c>
      <c r="D13" s="32" t="str">
        <f>VLOOKUP(B13,Validation!A:D,4,0)</f>
        <v>NA</v>
      </c>
      <c r="E13" s="32" t="str">
        <f>VLOOKUP(B13,Validation!A:E,5,0)</f>
        <v>Vinoth M</v>
      </c>
      <c r="F13" s="32" t="s">
        <v>721</v>
      </c>
      <c r="G13" s="32">
        <f t="shared" si="0"/>
        <v>2025</v>
      </c>
      <c r="H13" s="32" t="s">
        <v>28</v>
      </c>
      <c r="I13" s="2" t="s">
        <v>173</v>
      </c>
      <c r="J13" s="49">
        <f>VLOOKUP(I13,'XE rates'!A:D,4,0)*K13</f>
        <v>21590.342393586769</v>
      </c>
      <c r="K13" s="64">
        <v>32250</v>
      </c>
      <c r="L13" s="35">
        <v>45901</v>
      </c>
      <c r="M13" s="33" t="str">
        <f t="shared" ref="M13:M16" si="18">TEXT(L13,"mmm")</f>
        <v>Sep</v>
      </c>
      <c r="N13" s="32">
        <f t="shared" ref="N13:N16" ca="1" si="19">$Y$1-R13</f>
        <v>139</v>
      </c>
      <c r="O13" s="32" t="str">
        <f t="shared" ref="O13:O16" ca="1" si="20">IF(N13&lt;=30, "0-30 days", IF(N13&lt;=60, "31-60 days", IF(N13&lt;=90, "61-90 days", "Over 90+ days")))</f>
        <v>Over 90+ days</v>
      </c>
      <c r="P13" s="2" t="s">
        <v>175</v>
      </c>
      <c r="Q13" s="1">
        <v>45922</v>
      </c>
      <c r="R13" s="1">
        <v>45952</v>
      </c>
      <c r="S13" s="32" t="s">
        <v>169</v>
      </c>
      <c r="T13" s="2" t="s">
        <v>722</v>
      </c>
      <c r="U13" s="32" t="s">
        <v>170</v>
      </c>
      <c r="V13" s="32" t="s">
        <v>171</v>
      </c>
      <c r="W13" s="39" t="s">
        <v>723</v>
      </c>
      <c r="X13" s="2"/>
      <c r="Y13" s="32">
        <f>VLOOKUP(T13,'[1]Query result'!$J:$K,2,0)</f>
        <v>45952</v>
      </c>
      <c r="Z13" s="2"/>
      <c r="AA13" s="51"/>
    </row>
    <row r="14" spans="1:27" hidden="1">
      <c r="A14" s="2" t="s">
        <v>33</v>
      </c>
      <c r="B14" s="2" t="s">
        <v>725</v>
      </c>
      <c r="C14" s="32" t="str">
        <f>VLOOKUP(B14,Validation!A:B,2,0)</f>
        <v>USA</v>
      </c>
      <c r="D14" s="32" t="str">
        <f>VLOOKUP(B14,Validation!A:D,4,0)</f>
        <v>Eduardo Avallone</v>
      </c>
      <c r="E14" s="32" t="str">
        <f>VLOOKUP(B14,Validation!A:E,5,0)</f>
        <v>NA</v>
      </c>
      <c r="F14" s="32" t="s">
        <v>29</v>
      </c>
      <c r="G14" s="32">
        <f t="shared" si="0"/>
        <v>2025</v>
      </c>
      <c r="H14" s="2" t="s">
        <v>712</v>
      </c>
      <c r="I14" s="2" t="s">
        <v>167</v>
      </c>
      <c r="J14" s="49">
        <f>VLOOKUP(I14,'XE rates'!A:D,4,0)*K14</f>
        <v>1020</v>
      </c>
      <c r="K14" s="64">
        <v>1020</v>
      </c>
      <c r="L14" s="1">
        <v>45901</v>
      </c>
      <c r="M14" s="33" t="str">
        <f t="shared" si="18"/>
        <v>Sep</v>
      </c>
      <c r="N14" s="32">
        <f t="shared" ca="1" si="19"/>
        <v>154</v>
      </c>
      <c r="O14" s="32" t="str">
        <f t="shared" ca="1" si="20"/>
        <v>Over 90+ days</v>
      </c>
      <c r="P14" s="2" t="s">
        <v>168</v>
      </c>
      <c r="Q14" s="1">
        <v>45931</v>
      </c>
      <c r="R14" s="1">
        <v>45937</v>
      </c>
      <c r="S14" s="32" t="s">
        <v>808</v>
      </c>
      <c r="T14" s="2" t="s">
        <v>732</v>
      </c>
      <c r="U14" s="32" t="s">
        <v>170</v>
      </c>
      <c r="V14" s="2" t="s">
        <v>171</v>
      </c>
      <c r="W14" s="39" t="s">
        <v>739</v>
      </c>
      <c r="X14" s="2"/>
      <c r="Y14" s="32">
        <f>VLOOKUP(T14,'[1]Query result'!$J:$K,2,0)</f>
        <v>45937</v>
      </c>
      <c r="Z14" s="2">
        <f>VLOOKUP(T14,'[1]Query result'!$J:$W,14,0)</f>
        <v>0</v>
      </c>
      <c r="AA14" s="51">
        <f t="shared" si="4"/>
        <v>1020</v>
      </c>
    </row>
    <row r="15" spans="1:27" hidden="1">
      <c r="A15" s="2" t="s">
        <v>27</v>
      </c>
      <c r="B15" s="2" t="s">
        <v>60</v>
      </c>
      <c r="C15" s="32" t="str">
        <f>VLOOKUP(B15,Validation!A:B,2,0)</f>
        <v>USA</v>
      </c>
      <c r="D15" s="32" t="str">
        <f>VLOOKUP(B15,Validation!A:D,4,0)</f>
        <v>NA</v>
      </c>
      <c r="E15" s="32" t="str">
        <f>VLOOKUP(B15,Validation!A:E,5,0)</f>
        <v>Michael Bermingham</v>
      </c>
      <c r="F15" s="32" t="s">
        <v>29</v>
      </c>
      <c r="G15" s="32">
        <f t="shared" si="0"/>
        <v>2025</v>
      </c>
      <c r="H15" s="2" t="s">
        <v>28</v>
      </c>
      <c r="I15" s="2" t="s">
        <v>167</v>
      </c>
      <c r="J15" s="49">
        <f>VLOOKUP(I15,'XE rates'!A:D,4,0)*K15</f>
        <v>2000</v>
      </c>
      <c r="K15" s="64">
        <v>2000</v>
      </c>
      <c r="L15" s="1">
        <v>45901</v>
      </c>
      <c r="M15" s="33" t="str">
        <f t="shared" si="18"/>
        <v>Sep</v>
      </c>
      <c r="N15" s="32">
        <f t="shared" ca="1" si="19"/>
        <v>152</v>
      </c>
      <c r="O15" s="32" t="str">
        <f t="shared" ca="1" si="20"/>
        <v>Over 90+ days</v>
      </c>
      <c r="P15" s="2" t="s">
        <v>168</v>
      </c>
      <c r="Q15" s="1">
        <v>45932</v>
      </c>
      <c r="R15" s="1">
        <v>45939</v>
      </c>
      <c r="S15" s="32" t="s">
        <v>808</v>
      </c>
      <c r="T15" s="2" t="s">
        <v>733</v>
      </c>
      <c r="U15" s="32" t="s">
        <v>170</v>
      </c>
      <c r="V15" s="2" t="s">
        <v>171</v>
      </c>
      <c r="W15" s="39" t="s">
        <v>684</v>
      </c>
      <c r="X15" s="2"/>
      <c r="Y15" s="32">
        <f>VLOOKUP(T15,'[1]Query result'!$J:$K,2,0)</f>
        <v>45939</v>
      </c>
      <c r="Z15" s="2">
        <f>VLOOKUP(T15,'[1]Query result'!$J:$W,14,0)</f>
        <v>0</v>
      </c>
      <c r="AA15" s="51">
        <f t="shared" si="4"/>
        <v>2000</v>
      </c>
    </row>
    <row r="16" spans="1:27" hidden="1">
      <c r="A16" s="2" t="s">
        <v>27</v>
      </c>
      <c r="B16" s="2" t="s">
        <v>619</v>
      </c>
      <c r="C16" s="32" t="str">
        <f>VLOOKUP(B16,Validation!A:B,2,0)</f>
        <v>USA</v>
      </c>
      <c r="D16" s="32" t="str">
        <f>VLOOKUP(B16,Validation!A:D,4,0)</f>
        <v>Eduardo Avallone</v>
      </c>
      <c r="E16" s="32" t="str">
        <f>VLOOKUP(B16,Validation!A:E,5,0)</f>
        <v>Christina Hutchinson</v>
      </c>
      <c r="F16" s="32" t="s">
        <v>29</v>
      </c>
      <c r="G16" s="32">
        <f t="shared" si="0"/>
        <v>2025</v>
      </c>
      <c r="H16" s="2" t="s">
        <v>28</v>
      </c>
      <c r="I16" s="2" t="s">
        <v>167</v>
      </c>
      <c r="J16" s="49">
        <f>VLOOKUP(I16,'XE rates'!A:D,4,0)*K16</f>
        <v>3487.5</v>
      </c>
      <c r="K16" s="64">
        <v>3487.5</v>
      </c>
      <c r="L16" s="1">
        <v>45901</v>
      </c>
      <c r="M16" s="33" t="str">
        <f t="shared" si="18"/>
        <v>Sep</v>
      </c>
      <c r="N16" s="32">
        <f t="shared" ca="1" si="19"/>
        <v>152</v>
      </c>
      <c r="O16" s="32" t="str">
        <f t="shared" ca="1" si="20"/>
        <v>Over 90+ days</v>
      </c>
      <c r="P16" s="2" t="s">
        <v>168</v>
      </c>
      <c r="Q16" s="1">
        <v>45932</v>
      </c>
      <c r="R16" s="1">
        <v>45939</v>
      </c>
      <c r="S16" s="32" t="s">
        <v>169</v>
      </c>
      <c r="T16" s="2" t="s">
        <v>734</v>
      </c>
      <c r="U16" s="32" t="s">
        <v>170</v>
      </c>
      <c r="V16" s="32" t="s">
        <v>171</v>
      </c>
      <c r="W16" s="32" t="s">
        <v>785</v>
      </c>
      <c r="X16" s="2"/>
      <c r="Y16" s="32">
        <f>VLOOKUP(T16,'[1]Query result'!$J:$K,2,0)</f>
        <v>45939</v>
      </c>
      <c r="Z16" s="2">
        <f>VLOOKUP(T16,'[1]Query result'!$J:$W,14,0)</f>
        <v>0</v>
      </c>
      <c r="AA16" s="51">
        <f t="shared" si="4"/>
        <v>3487.5</v>
      </c>
    </row>
    <row r="17" spans="1:27" hidden="1">
      <c r="A17" s="2" t="s">
        <v>27</v>
      </c>
      <c r="B17" s="2" t="s">
        <v>765</v>
      </c>
      <c r="C17" s="32" t="str">
        <f>VLOOKUP(B17,Validation!A:B,2,0)</f>
        <v>APAC</v>
      </c>
      <c r="D17" s="32" t="str">
        <f>VLOOKUP(B17,Validation!A:D,4,0)</f>
        <v>XiaoXiao</v>
      </c>
      <c r="E17" s="32" t="str">
        <f>VLOOKUP(B17,Validation!A:E,5,0)</f>
        <v>Gitesh Athavale</v>
      </c>
      <c r="F17" s="32" t="s">
        <v>29</v>
      </c>
      <c r="G17" s="32">
        <f t="shared" si="0"/>
        <v>2025</v>
      </c>
      <c r="H17" s="2" t="s">
        <v>28</v>
      </c>
      <c r="I17" s="2" t="s">
        <v>167</v>
      </c>
      <c r="J17" s="49">
        <f>VLOOKUP(I17,'XE rates'!A:D,4,0)*K17</f>
        <v>1430.625</v>
      </c>
      <c r="K17" s="64">
        <v>1430.625</v>
      </c>
      <c r="L17" s="1">
        <v>45901</v>
      </c>
      <c r="M17" s="33" t="str">
        <f t="shared" ref="M17:M18" si="21">TEXT(L17,"mmm")</f>
        <v>Sep</v>
      </c>
      <c r="N17" s="32">
        <f t="shared" ref="N17:N18" ca="1" si="22">$Y$1-R17</f>
        <v>148</v>
      </c>
      <c r="O17" s="32" t="str">
        <f t="shared" ref="O17:O18" ca="1" si="23">IF(N17&lt;=30, "0-30 days", IF(N17&lt;=60, "31-60 days", IF(N17&lt;=90, "61-90 days", "Over 90+ days")))</f>
        <v>Over 90+ days</v>
      </c>
      <c r="P17" s="2" t="s">
        <v>168</v>
      </c>
      <c r="Q17" s="1">
        <v>45936</v>
      </c>
      <c r="R17" s="1">
        <v>45943</v>
      </c>
      <c r="S17" s="32" t="s">
        <v>169</v>
      </c>
      <c r="T17" s="2" t="s">
        <v>736</v>
      </c>
      <c r="U17" s="32" t="s">
        <v>170</v>
      </c>
      <c r="V17" s="32" t="s">
        <v>171</v>
      </c>
      <c r="W17" s="32" t="s">
        <v>724</v>
      </c>
      <c r="X17" s="2"/>
      <c r="Y17" s="32">
        <f>VLOOKUP(T17,'[1]Query result'!$J:$K,2,0)</f>
        <v>45943</v>
      </c>
      <c r="Z17" s="2">
        <f>VLOOKUP(T17,'[1]Query result'!$J:$W,14,0)</f>
        <v>0</v>
      </c>
      <c r="AA17" s="51">
        <f t="shared" si="4"/>
        <v>1430.625</v>
      </c>
    </row>
    <row r="18" spans="1:27" hidden="1">
      <c r="A18" s="2" t="s">
        <v>27</v>
      </c>
      <c r="B18" s="2" t="s">
        <v>151</v>
      </c>
      <c r="C18" s="32" t="str">
        <f>VLOOKUP(B18,Validation!A:B,2,0)</f>
        <v>APAC</v>
      </c>
      <c r="D18" s="32" t="str">
        <f>VLOOKUP(B18,Validation!A:D,4,0)</f>
        <v>Hao Nguyen</v>
      </c>
      <c r="E18" s="32" t="str">
        <f>VLOOKUP(B18,Validation!A:E,5,0)</f>
        <v>NA</v>
      </c>
      <c r="F18" s="32" t="s">
        <v>29</v>
      </c>
      <c r="G18" s="32">
        <f t="shared" si="0"/>
        <v>2025</v>
      </c>
      <c r="H18" s="2" t="s">
        <v>28</v>
      </c>
      <c r="I18" s="2" t="s">
        <v>173</v>
      </c>
      <c r="J18" s="49">
        <f>VLOOKUP(I18,'XE rates'!A:D,4,0)*K18</f>
        <v>4495.6247766902861</v>
      </c>
      <c r="K18" s="64">
        <v>6715.2199999999993</v>
      </c>
      <c r="L18" s="1">
        <v>45901</v>
      </c>
      <c r="M18" s="33" t="str">
        <f t="shared" si="21"/>
        <v>Sep</v>
      </c>
      <c r="N18" s="32">
        <f t="shared" ca="1" si="22"/>
        <v>148</v>
      </c>
      <c r="O18" s="32" t="str">
        <f t="shared" ca="1" si="23"/>
        <v>Over 90+ days</v>
      </c>
      <c r="P18" s="2" t="s">
        <v>168</v>
      </c>
      <c r="Q18" s="1">
        <v>45936</v>
      </c>
      <c r="R18" s="1">
        <v>45943</v>
      </c>
      <c r="S18" s="32" t="s">
        <v>169</v>
      </c>
      <c r="T18" s="2" t="s">
        <v>737</v>
      </c>
      <c r="U18" s="32" t="s">
        <v>170</v>
      </c>
      <c r="V18" s="32" t="s">
        <v>170</v>
      </c>
      <c r="W18" s="2" t="s">
        <v>857</v>
      </c>
      <c r="X18" s="2"/>
      <c r="Y18" s="32">
        <f>VLOOKUP(T18,'[1]Query result'!$J:$K,2,0)</f>
        <v>45943</v>
      </c>
      <c r="Z18" s="2">
        <f>VLOOKUP(T18,'[1]Query result'!$J:$W,14,0)</f>
        <v>0</v>
      </c>
      <c r="AA18" s="51">
        <f t="shared" si="4"/>
        <v>6715.2199999999993</v>
      </c>
    </row>
    <row r="19" spans="1:27" hidden="1">
      <c r="A19" s="2" t="s">
        <v>33</v>
      </c>
      <c r="B19" s="2" t="s">
        <v>725</v>
      </c>
      <c r="C19" s="32" t="str">
        <f>VLOOKUP(B19,Validation!A:B,2,0)</f>
        <v>USA</v>
      </c>
      <c r="D19" s="32" t="str">
        <f>VLOOKUP(B19,Validation!A:D,4,0)</f>
        <v>Eduardo Avallone</v>
      </c>
      <c r="E19" s="32" t="str">
        <f>VLOOKUP(B19,Validation!A:E,5,0)</f>
        <v>NA</v>
      </c>
      <c r="F19" s="32" t="s">
        <v>29</v>
      </c>
      <c r="G19" s="32">
        <f t="shared" si="0"/>
        <v>2025</v>
      </c>
      <c r="H19" s="2" t="s">
        <v>712</v>
      </c>
      <c r="I19" s="2" t="s">
        <v>167</v>
      </c>
      <c r="J19" s="49">
        <f>VLOOKUP(I19,'XE rates'!A:D,4,0)*K19</f>
        <v>1000</v>
      </c>
      <c r="K19" s="64">
        <v>1000</v>
      </c>
      <c r="L19" s="1">
        <v>45931</v>
      </c>
      <c r="M19" s="33" t="str">
        <f t="shared" ref="M19:M20" si="24">TEXT(L19,"mmm")</f>
        <v>Oct</v>
      </c>
      <c r="N19" s="32">
        <f t="shared" ref="N19:N20" ca="1" si="25">$Y$1-R19</f>
        <v>123</v>
      </c>
      <c r="O19" s="32" t="str">
        <f t="shared" ref="O19:O20" ca="1" si="26">IF(N19&lt;=30, "0-30 days", IF(N19&lt;=60, "31-60 days", IF(N19&lt;=90, "61-90 days", "Over 90+ days")))</f>
        <v>Over 90+ days</v>
      </c>
      <c r="P19" s="2" t="s">
        <v>168</v>
      </c>
      <c r="Q19" s="1">
        <v>45962</v>
      </c>
      <c r="R19" s="1">
        <v>45968</v>
      </c>
      <c r="S19" s="32" t="s">
        <v>808</v>
      </c>
      <c r="T19" s="2" t="s">
        <v>767</v>
      </c>
      <c r="U19" s="32" t="s">
        <v>170</v>
      </c>
      <c r="V19" s="2" t="s">
        <v>171</v>
      </c>
      <c r="W19" s="39" t="s">
        <v>739</v>
      </c>
      <c r="X19" s="2"/>
      <c r="Y19" s="32">
        <f>VLOOKUP(T19,'[1]Query result'!$J:$K,2,0)</f>
        <v>45968</v>
      </c>
      <c r="Z19" s="2">
        <f>VLOOKUP(T19,'[1]Query result'!$J:$W,14,0)</f>
        <v>0</v>
      </c>
      <c r="AA19" s="51">
        <f t="shared" si="4"/>
        <v>1000</v>
      </c>
    </row>
    <row r="20" spans="1:27" hidden="1">
      <c r="A20" s="2" t="s">
        <v>33</v>
      </c>
      <c r="B20" s="2" t="s">
        <v>117</v>
      </c>
      <c r="C20" s="32" t="str">
        <f>VLOOKUP(B20,Validation!A:B,2,0)</f>
        <v>APAC</v>
      </c>
      <c r="D20" s="32" t="str">
        <f>VLOOKUP(B20,Validation!A:D,4,0)</f>
        <v>Luciana</v>
      </c>
      <c r="E20" s="32" t="str">
        <f>VLOOKUP(B20,Validation!A:E,5,0)</f>
        <v>NA</v>
      </c>
      <c r="F20" s="32" t="s">
        <v>29</v>
      </c>
      <c r="G20" s="32">
        <f t="shared" si="0"/>
        <v>2025</v>
      </c>
      <c r="H20" s="2" t="s">
        <v>28</v>
      </c>
      <c r="I20" s="2" t="s">
        <v>176</v>
      </c>
      <c r="J20" s="49">
        <f>VLOOKUP(I20,'XE rates'!A:D,4,0)*K20</f>
        <v>5.6508548239204046</v>
      </c>
      <c r="K20" s="64">
        <v>95444</v>
      </c>
      <c r="L20" s="1">
        <v>45931</v>
      </c>
      <c r="M20" s="33" t="str">
        <f t="shared" si="24"/>
        <v>Oct</v>
      </c>
      <c r="N20" s="32">
        <f t="shared" ca="1" si="25"/>
        <v>112</v>
      </c>
      <c r="O20" s="32" t="str">
        <f t="shared" ca="1" si="26"/>
        <v>Over 90+ days</v>
      </c>
      <c r="P20" s="2" t="s">
        <v>168</v>
      </c>
      <c r="Q20" s="1">
        <v>45964</v>
      </c>
      <c r="R20" s="1">
        <v>45979</v>
      </c>
      <c r="S20" s="32" t="s">
        <v>807</v>
      </c>
      <c r="T20" s="2" t="s">
        <v>768</v>
      </c>
      <c r="U20" s="32" t="s">
        <v>170</v>
      </c>
      <c r="V20" s="2" t="s">
        <v>171</v>
      </c>
      <c r="W20" s="39" t="s">
        <v>684</v>
      </c>
      <c r="X20" s="2"/>
      <c r="Y20" s="32">
        <f>VLOOKUP(T20,'[1]Query result'!$J:$K,2,0)</f>
        <v>45979</v>
      </c>
      <c r="Z20" s="2">
        <f>VLOOKUP(T20,'[1]Query result'!$J:$W,14,0)</f>
        <v>0</v>
      </c>
      <c r="AA20" s="51">
        <f t="shared" si="4"/>
        <v>95444</v>
      </c>
    </row>
    <row r="21" spans="1:27" hidden="1">
      <c r="A21" s="2" t="s">
        <v>27</v>
      </c>
      <c r="B21" s="2" t="s">
        <v>56</v>
      </c>
      <c r="C21" s="32" t="str">
        <f>VLOOKUP(B21,Validation!A:B,2,0)</f>
        <v>EU/UK</v>
      </c>
      <c r="D21" s="32" t="str">
        <f>VLOOKUP(B21,Validation!A:D,4,0)</f>
        <v>Sachli Zare</v>
      </c>
      <c r="E21" s="32" t="str">
        <f>VLOOKUP(B21,Validation!A:E,5,0)</f>
        <v>Gitesh Athavale</v>
      </c>
      <c r="F21" s="32" t="s">
        <v>29</v>
      </c>
      <c r="G21" s="32">
        <f t="shared" si="0"/>
        <v>2025</v>
      </c>
      <c r="H21" s="2" t="s">
        <v>28</v>
      </c>
      <c r="I21" s="2" t="s">
        <v>179</v>
      </c>
      <c r="J21" s="49">
        <f>VLOOKUP(I21,'XE rates'!A:D,4,0)*K21</f>
        <v>186.0952808811318</v>
      </c>
      <c r="K21" s="64">
        <v>139.19</v>
      </c>
      <c r="L21" s="1">
        <v>45931</v>
      </c>
      <c r="M21" s="33" t="str">
        <f t="shared" ref="M21:M25" si="27">TEXT(L21,"mmm")</f>
        <v>Oct</v>
      </c>
      <c r="N21" s="32">
        <f t="shared" ref="N21:N26" ca="1" si="28">$Y$1-R21</f>
        <v>120</v>
      </c>
      <c r="O21" s="32" t="str">
        <f t="shared" ref="O21:O26" ca="1" si="29">IF(N21&lt;=30, "0-30 days", IF(N21&lt;=60, "31-60 days", IF(N21&lt;=90, "61-90 days", "Over 90+ days")))</f>
        <v>Over 90+ days</v>
      </c>
      <c r="P21" s="2" t="s">
        <v>168</v>
      </c>
      <c r="Q21" s="1">
        <v>45964</v>
      </c>
      <c r="R21" s="1">
        <v>45971</v>
      </c>
      <c r="S21" s="32" t="s">
        <v>169</v>
      </c>
      <c r="T21" s="2" t="s">
        <v>769</v>
      </c>
      <c r="U21" s="32" t="s">
        <v>170</v>
      </c>
      <c r="V21" s="2" t="s">
        <v>171</v>
      </c>
      <c r="W21" s="39" t="s">
        <v>684</v>
      </c>
      <c r="X21" s="2"/>
      <c r="Y21" s="32">
        <f>VLOOKUP(T21,'[1]Query result'!$J:$K,2,0)</f>
        <v>45971</v>
      </c>
      <c r="Z21" s="2">
        <f>VLOOKUP(T21,'[1]Query result'!$J:$W,14,0)</f>
        <v>0</v>
      </c>
      <c r="AA21" s="51">
        <f t="shared" si="4"/>
        <v>139.19</v>
      </c>
    </row>
    <row r="22" spans="1:27" hidden="1">
      <c r="A22" s="2" t="s">
        <v>27</v>
      </c>
      <c r="B22" s="2" t="s">
        <v>60</v>
      </c>
      <c r="C22" s="32" t="str">
        <f>VLOOKUP(B22,Validation!A:B,2,0)</f>
        <v>USA</v>
      </c>
      <c r="D22" s="32" t="str">
        <f>VLOOKUP(B22,Validation!A:D,4,0)</f>
        <v>NA</v>
      </c>
      <c r="E22" s="32" t="str">
        <f>VLOOKUP(B22,Validation!A:E,5,0)</f>
        <v>Michael Bermingham</v>
      </c>
      <c r="F22" s="32" t="s">
        <v>29</v>
      </c>
      <c r="G22" s="32">
        <f t="shared" si="0"/>
        <v>2025</v>
      </c>
      <c r="H22" s="2" t="s">
        <v>28</v>
      </c>
      <c r="I22" s="2" t="s">
        <v>167</v>
      </c>
      <c r="J22" s="49">
        <f>VLOOKUP(I22,'XE rates'!A:D,4,0)*K22</f>
        <v>2000</v>
      </c>
      <c r="K22" s="64">
        <v>2000</v>
      </c>
      <c r="L22" s="1">
        <v>45931</v>
      </c>
      <c r="M22" s="33" t="str">
        <f t="shared" si="27"/>
        <v>Oct</v>
      </c>
      <c r="N22" s="32">
        <f t="shared" ca="1" si="28"/>
        <v>118</v>
      </c>
      <c r="O22" s="32" t="str">
        <f t="shared" ca="1" si="29"/>
        <v>Over 90+ days</v>
      </c>
      <c r="P22" s="2" t="s">
        <v>168</v>
      </c>
      <c r="Q22" s="1">
        <v>45966</v>
      </c>
      <c r="R22" s="1">
        <v>45973</v>
      </c>
      <c r="S22" s="32" t="s">
        <v>808</v>
      </c>
      <c r="T22" s="2" t="s">
        <v>770</v>
      </c>
      <c r="U22" s="32" t="s">
        <v>170</v>
      </c>
      <c r="V22" s="2" t="s">
        <v>171</v>
      </c>
      <c r="W22" s="39" t="s">
        <v>684</v>
      </c>
      <c r="X22" s="2"/>
      <c r="Y22" s="32">
        <f>VLOOKUP(T22,'[1]Query result'!$J:$K,2,0)</f>
        <v>45973</v>
      </c>
      <c r="Z22" s="2"/>
      <c r="AA22" s="51"/>
    </row>
    <row r="23" spans="1:27" hidden="1">
      <c r="A23" s="2" t="s">
        <v>27</v>
      </c>
      <c r="B23" s="2" t="s">
        <v>61</v>
      </c>
      <c r="C23" s="32" t="str">
        <f>VLOOKUP(B23,Validation!A:B,2,0)</f>
        <v>APAC</v>
      </c>
      <c r="D23" s="32" t="str">
        <f>VLOOKUP(B23,Validation!A:D,4,0)</f>
        <v>Hao Nguyen</v>
      </c>
      <c r="E23" s="32" t="str">
        <f>VLOOKUP(B23,Validation!A:E,5,0)</f>
        <v>Vinoth M</v>
      </c>
      <c r="F23" s="32" t="s">
        <v>29</v>
      </c>
      <c r="G23" s="32">
        <f t="shared" si="0"/>
        <v>2025</v>
      </c>
      <c r="H23" s="2" t="s">
        <v>28</v>
      </c>
      <c r="I23" s="2" t="s">
        <v>173</v>
      </c>
      <c r="J23" s="49">
        <f>VLOOKUP(I23,'XE rates'!A:D,4,0)*K23</f>
        <v>919.11259138465959</v>
      </c>
      <c r="K23" s="65">
        <v>1372.8999999999999</v>
      </c>
      <c r="L23" s="1">
        <v>45901</v>
      </c>
      <c r="M23" s="33" t="str">
        <f t="shared" si="27"/>
        <v>Sep</v>
      </c>
      <c r="N23" s="32">
        <f t="shared" ca="1" si="28"/>
        <v>102</v>
      </c>
      <c r="O23" s="32" t="str">
        <f t="shared" ca="1" si="29"/>
        <v>Over 90+ days</v>
      </c>
      <c r="P23" s="2" t="s">
        <v>177</v>
      </c>
      <c r="Q23" s="1">
        <v>45958</v>
      </c>
      <c r="R23" s="1">
        <v>45989</v>
      </c>
      <c r="S23" s="32" t="s">
        <v>169</v>
      </c>
      <c r="T23" s="2" t="s">
        <v>771</v>
      </c>
      <c r="U23" s="32" t="s">
        <v>170</v>
      </c>
      <c r="V23" s="2" t="s">
        <v>171</v>
      </c>
      <c r="W23" s="39" t="s">
        <v>856</v>
      </c>
      <c r="X23" s="2"/>
      <c r="Y23" s="32">
        <f>VLOOKUP(T23,'[1]Query result'!$J:$K,2,0)</f>
        <v>45989</v>
      </c>
      <c r="Z23" s="2">
        <f>VLOOKUP(T23,'[1]Query result'!$J:$W,14,0)</f>
        <v>0</v>
      </c>
      <c r="AA23" s="51">
        <f t="shared" si="4"/>
        <v>1372.8999999999999</v>
      </c>
    </row>
    <row r="24" spans="1:27" hidden="1">
      <c r="A24" s="2" t="s">
        <v>27</v>
      </c>
      <c r="B24" s="2" t="s">
        <v>728</v>
      </c>
      <c r="C24" s="32" t="str">
        <f>VLOOKUP(B24,Validation!A:B,2,0)</f>
        <v>EU/UK</v>
      </c>
      <c r="D24" s="32" t="str">
        <f>VLOOKUP(B24,Validation!A:D,4,0)</f>
        <v>Sachli Zare</v>
      </c>
      <c r="E24" s="32" t="str">
        <f>VLOOKUP(B24,Validation!A:E,5,0)</f>
        <v>NA</v>
      </c>
      <c r="F24" s="32" t="s">
        <v>29</v>
      </c>
      <c r="G24" s="32">
        <f t="shared" si="0"/>
        <v>2025</v>
      </c>
      <c r="H24" s="2" t="s">
        <v>28</v>
      </c>
      <c r="I24" s="2" t="s">
        <v>167</v>
      </c>
      <c r="J24" s="49">
        <f>VLOOKUP(I24,'XE rates'!A:D,4,0)*K24</f>
        <v>143.5</v>
      </c>
      <c r="K24" s="64">
        <v>143.5</v>
      </c>
      <c r="L24" s="1">
        <v>45931</v>
      </c>
      <c r="M24" s="33" t="str">
        <f t="shared" si="27"/>
        <v>Oct</v>
      </c>
      <c r="N24" s="32">
        <f t="shared" ca="1" si="28"/>
        <v>118</v>
      </c>
      <c r="O24" s="32" t="str">
        <f t="shared" ca="1" si="29"/>
        <v>Over 90+ days</v>
      </c>
      <c r="P24" s="2" t="s">
        <v>168</v>
      </c>
      <c r="Q24" s="1">
        <v>45966</v>
      </c>
      <c r="R24" s="1">
        <v>45973</v>
      </c>
      <c r="S24" s="32" t="s">
        <v>809</v>
      </c>
      <c r="T24" s="2" t="s">
        <v>772</v>
      </c>
      <c r="U24" s="32" t="s">
        <v>170</v>
      </c>
      <c r="V24" s="2" t="s">
        <v>171</v>
      </c>
      <c r="W24" s="39" t="s">
        <v>784</v>
      </c>
      <c r="X24" s="2"/>
      <c r="Y24" s="32">
        <f>VLOOKUP(T24,'[1]Query result'!$J:$K,2,0)</f>
        <v>45973</v>
      </c>
      <c r="Z24" s="2">
        <f>VLOOKUP(T24,'[1]Query result'!$J:$W,14,0)</f>
        <v>0</v>
      </c>
      <c r="AA24" s="51">
        <f t="shared" si="4"/>
        <v>143.5</v>
      </c>
    </row>
    <row r="25" spans="1:27" hidden="1">
      <c r="A25" s="2" t="s">
        <v>27</v>
      </c>
      <c r="B25" s="2" t="s">
        <v>619</v>
      </c>
      <c r="C25" s="32" t="str">
        <f>VLOOKUP(B25,Validation!A:B,2,0)</f>
        <v>USA</v>
      </c>
      <c r="D25" s="32" t="str">
        <f>VLOOKUP(B25,Validation!A:D,4,0)</f>
        <v>Eduardo Avallone</v>
      </c>
      <c r="E25" s="32" t="str">
        <f>VLOOKUP(B25,Validation!A:E,5,0)</f>
        <v>Christina Hutchinson</v>
      </c>
      <c r="F25" s="32" t="s">
        <v>29</v>
      </c>
      <c r="G25" s="32">
        <f t="shared" si="0"/>
        <v>2025</v>
      </c>
      <c r="H25" s="2" t="s">
        <v>28</v>
      </c>
      <c r="I25" s="2" t="s">
        <v>167</v>
      </c>
      <c r="J25" s="49">
        <f>VLOOKUP(I25,'XE rates'!A:D,4,0)*K25</f>
        <v>2602.25</v>
      </c>
      <c r="K25" s="64">
        <v>2602.25</v>
      </c>
      <c r="L25" s="1">
        <v>45931</v>
      </c>
      <c r="M25" s="33" t="str">
        <f t="shared" si="27"/>
        <v>Oct</v>
      </c>
      <c r="N25" s="32">
        <f t="shared" ca="1" si="28"/>
        <v>118</v>
      </c>
      <c r="O25" s="32" t="str">
        <f t="shared" ca="1" si="29"/>
        <v>Over 90+ days</v>
      </c>
      <c r="P25" s="2" t="s">
        <v>168</v>
      </c>
      <c r="Q25" s="1">
        <v>45966</v>
      </c>
      <c r="R25" s="1">
        <v>45973</v>
      </c>
      <c r="S25" s="32" t="s">
        <v>169</v>
      </c>
      <c r="T25" s="2" t="s">
        <v>773</v>
      </c>
      <c r="U25" s="32" t="s">
        <v>170</v>
      </c>
      <c r="V25" s="2" t="s">
        <v>171</v>
      </c>
      <c r="W25" s="32" t="s">
        <v>785</v>
      </c>
      <c r="X25" s="2"/>
      <c r="Y25" s="32">
        <f>VLOOKUP(T25,'[1]Query result'!$J:$K,2,0)</f>
        <v>45973</v>
      </c>
      <c r="Z25" s="2">
        <f>VLOOKUP(T25,'[1]Query result'!$J:$W,14,0)</f>
        <v>0</v>
      </c>
      <c r="AA25" s="51">
        <f t="shared" si="4"/>
        <v>2602.25</v>
      </c>
    </row>
    <row r="26" spans="1:27" hidden="1">
      <c r="A26" s="2" t="s">
        <v>27</v>
      </c>
      <c r="B26" s="2" t="s">
        <v>763</v>
      </c>
      <c r="C26" s="32" t="str">
        <f>VLOOKUP(B26,Validation!A:B,2,0)</f>
        <v>APAC</v>
      </c>
      <c r="D26" s="32" t="str">
        <f>VLOOKUP(B26,Validation!A:D,4,0)</f>
        <v>Shi Yin</v>
      </c>
      <c r="E26" s="32" t="str">
        <f>VLOOKUP(B26,Validation!A:E,5,0)</f>
        <v>Vinoth M</v>
      </c>
      <c r="F26" s="32" t="s">
        <v>29</v>
      </c>
      <c r="G26" s="32">
        <v>2025</v>
      </c>
      <c r="H26" s="2" t="s">
        <v>28</v>
      </c>
      <c r="I26" s="2" t="s">
        <v>167</v>
      </c>
      <c r="J26" s="49">
        <f>VLOOKUP(I26,'XE rates'!A:D,4,0)*K26</f>
        <v>2756.75</v>
      </c>
      <c r="K26" s="64">
        <v>2756.75</v>
      </c>
      <c r="L26" s="2" t="s">
        <v>779</v>
      </c>
      <c r="M26" s="33" t="s">
        <v>738</v>
      </c>
      <c r="N26" s="32">
        <f t="shared" ca="1" si="28"/>
        <v>111</v>
      </c>
      <c r="O26" s="32" t="str">
        <f t="shared" ca="1" si="29"/>
        <v>Over 90+ days</v>
      </c>
      <c r="P26" s="2" t="s">
        <v>168</v>
      </c>
      <c r="Q26" s="1">
        <v>45966</v>
      </c>
      <c r="R26" s="1">
        <v>45980</v>
      </c>
      <c r="S26" s="32" t="s">
        <v>809</v>
      </c>
      <c r="T26" s="2" t="s">
        <v>774</v>
      </c>
      <c r="U26" s="32" t="s">
        <v>170</v>
      </c>
      <c r="V26" s="2" t="s">
        <v>171</v>
      </c>
      <c r="W26" s="39" t="s">
        <v>684</v>
      </c>
      <c r="X26" s="2"/>
      <c r="Y26" s="32">
        <f>VLOOKUP(T26,'[1]Query result'!$J:$K,2,0)</f>
        <v>45980</v>
      </c>
      <c r="Z26" s="2">
        <f>VLOOKUP(T26,'[1]Query result'!$J:$W,14,0)</f>
        <v>0</v>
      </c>
      <c r="AA26" s="51">
        <f t="shared" si="4"/>
        <v>2756.75</v>
      </c>
    </row>
    <row r="27" spans="1:27" hidden="1">
      <c r="A27" s="2" t="s">
        <v>27</v>
      </c>
      <c r="B27" s="2" t="s">
        <v>151</v>
      </c>
      <c r="C27" s="32" t="str">
        <f>VLOOKUP(B27,Validation!A:B,2,0)</f>
        <v>APAC</v>
      </c>
      <c r="D27" s="32" t="str">
        <f>VLOOKUP(B27,Validation!A:D,4,0)</f>
        <v>Hao Nguyen</v>
      </c>
      <c r="E27" s="32" t="str">
        <f>VLOOKUP(B27,Validation!A:E,5,0)</f>
        <v>NA</v>
      </c>
      <c r="F27" s="32" t="s">
        <v>29</v>
      </c>
      <c r="G27" s="32">
        <f t="shared" si="0"/>
        <v>2025</v>
      </c>
      <c r="H27" s="2" t="s">
        <v>28</v>
      </c>
      <c r="I27" s="2" t="s">
        <v>173</v>
      </c>
      <c r="J27" s="49">
        <f>VLOOKUP(I27,'XE rates'!A:D,4,0)*K27</f>
        <v>4473.4151764140934</v>
      </c>
      <c r="K27" s="64">
        <v>6682.0450000000001</v>
      </c>
      <c r="L27" s="1">
        <v>45931</v>
      </c>
      <c r="M27" s="33" t="str">
        <f t="shared" ref="M27:M28" si="30">TEXT(L27,"mmm")</f>
        <v>Oct</v>
      </c>
      <c r="N27" s="32">
        <f t="shared" ref="N27" ca="1" si="31">$Y$1-R27</f>
        <v>117</v>
      </c>
      <c r="O27" s="32" t="str">
        <f t="shared" ref="O27" ca="1" si="32">IF(N27&lt;=30, "0-30 days", IF(N27&lt;=60, "31-60 days", IF(N27&lt;=90, "61-90 days", "Over 90+ days")))</f>
        <v>Over 90+ days</v>
      </c>
      <c r="P27" s="2" t="s">
        <v>168</v>
      </c>
      <c r="Q27" s="1">
        <v>45967</v>
      </c>
      <c r="R27" s="1">
        <v>45974</v>
      </c>
      <c r="S27" s="32" t="s">
        <v>169</v>
      </c>
      <c r="T27" s="2" t="s">
        <v>777</v>
      </c>
      <c r="U27" s="32" t="s">
        <v>170</v>
      </c>
      <c r="V27" s="32" t="s">
        <v>170</v>
      </c>
      <c r="W27" s="2" t="s">
        <v>857</v>
      </c>
      <c r="X27" s="2"/>
      <c r="Y27" s="32">
        <f>VLOOKUP(T27,'[1]Query result'!$J:$K,2,0)</f>
        <v>45974</v>
      </c>
      <c r="Z27" s="2">
        <f>VLOOKUP(T27,'[1]Query result'!$J:$W,14,0)</f>
        <v>0</v>
      </c>
      <c r="AA27" s="51">
        <f t="shared" si="4"/>
        <v>6682.0450000000001</v>
      </c>
    </row>
    <row r="28" spans="1:27" hidden="1">
      <c r="A28" s="2" t="s">
        <v>27</v>
      </c>
      <c r="B28" s="2" t="s">
        <v>659</v>
      </c>
      <c r="C28" s="32" t="str">
        <f>VLOOKUP(B28,Validation!A:B,2,0)</f>
        <v>USA</v>
      </c>
      <c r="D28" s="32" t="str">
        <f>VLOOKUP(B28,Validation!A:D,4,0)</f>
        <v>NA</v>
      </c>
      <c r="E28" s="32" t="str">
        <f>VLOOKUP(B28,Validation!A:E,5,0)</f>
        <v>Tyler Reed</v>
      </c>
      <c r="F28" s="32" t="s">
        <v>29</v>
      </c>
      <c r="G28" s="32">
        <f t="shared" si="0"/>
        <v>2025</v>
      </c>
      <c r="H28" s="2" t="s">
        <v>28</v>
      </c>
      <c r="I28" s="2" t="s">
        <v>167</v>
      </c>
      <c r="J28" s="49">
        <f>VLOOKUP(I28,'XE rates'!A:D,4,0)*K28</f>
        <v>0.5</v>
      </c>
      <c r="K28" s="64">
        <v>0.5</v>
      </c>
      <c r="L28" s="1">
        <v>45931</v>
      </c>
      <c r="M28" s="33" t="str">
        <f t="shared" si="30"/>
        <v>Oct</v>
      </c>
      <c r="N28" s="32">
        <f t="shared" ref="N28" ca="1" si="33">$Y$1-R28</f>
        <v>118</v>
      </c>
      <c r="O28" s="32" t="str">
        <f t="shared" ref="O28" ca="1" si="34">IF(N28&lt;=30, "0-30 days", IF(N28&lt;=60, "31-60 days", IF(N28&lt;=90, "61-90 days", "Over 90+ days")))</f>
        <v>Over 90+ days</v>
      </c>
      <c r="P28" s="2" t="s">
        <v>168</v>
      </c>
      <c r="Q28" s="1">
        <v>45966</v>
      </c>
      <c r="R28" s="1">
        <v>45973</v>
      </c>
      <c r="S28" s="32" t="s">
        <v>169</v>
      </c>
      <c r="T28" s="2" t="s">
        <v>778</v>
      </c>
      <c r="U28" s="32" t="s">
        <v>170</v>
      </c>
      <c r="V28" s="2" t="s">
        <v>171</v>
      </c>
      <c r="W28" s="39" t="s">
        <v>684</v>
      </c>
      <c r="X28" s="2"/>
      <c r="Y28" s="32">
        <f>VLOOKUP(T28,'[1]Query result'!$J:$K,2,0)</f>
        <v>45973</v>
      </c>
      <c r="Z28" s="2">
        <f>VLOOKUP(T28,'[1]Query result'!$J:$W,14,0)</f>
        <v>0</v>
      </c>
      <c r="AA28" s="51">
        <f t="shared" si="4"/>
        <v>0.5</v>
      </c>
    </row>
    <row r="29" spans="1:27" hidden="1">
      <c r="A29" s="2" t="s">
        <v>27</v>
      </c>
      <c r="B29" s="2" t="s">
        <v>61</v>
      </c>
      <c r="C29" s="32" t="str">
        <f>VLOOKUP(B29,Validation!A:B,2,0)</f>
        <v>APAC</v>
      </c>
      <c r="D29" s="32" t="str">
        <f>VLOOKUP(B29,Validation!A:D,4,0)</f>
        <v>Hao Nguyen</v>
      </c>
      <c r="E29" s="32" t="str">
        <f>VLOOKUP(B29,Validation!A:E,5,0)</f>
        <v>Vinoth M</v>
      </c>
      <c r="F29" s="32" t="s">
        <v>29</v>
      </c>
      <c r="G29" s="32">
        <f t="shared" si="0"/>
        <v>2025</v>
      </c>
      <c r="H29" s="2" t="s">
        <v>28</v>
      </c>
      <c r="I29" s="2" t="s">
        <v>173</v>
      </c>
      <c r="J29" s="49">
        <f>VLOOKUP(I29,'XE rates'!A:D,4,0)*K29</f>
        <v>1730.6282888314197</v>
      </c>
      <c r="K29" s="66">
        <v>2585.08</v>
      </c>
      <c r="L29" s="1">
        <v>45931</v>
      </c>
      <c r="M29" s="33" t="str">
        <f t="shared" ref="M29" si="35">TEXT(L29,"mmm")</f>
        <v>Oct</v>
      </c>
      <c r="N29" s="32">
        <f t="shared" ref="N29" ca="1" si="36">$Y$1-R29</f>
        <v>83</v>
      </c>
      <c r="O29" s="32" t="str">
        <f t="shared" ref="O29" ca="1" si="37">IF(N29&lt;=30, "0-30 days", IF(N29&lt;=60, "31-60 days", IF(N29&lt;=90, "61-90 days", "Over 90+ days")))</f>
        <v>61-90 days</v>
      </c>
      <c r="P29" s="2" t="s">
        <v>177</v>
      </c>
      <c r="Q29" s="1">
        <v>45978</v>
      </c>
      <c r="R29" s="1">
        <v>46008</v>
      </c>
      <c r="S29" s="32" t="s">
        <v>169</v>
      </c>
      <c r="T29" s="2" t="s">
        <v>781</v>
      </c>
      <c r="U29" s="32" t="s">
        <v>171</v>
      </c>
      <c r="V29" s="2" t="s">
        <v>171</v>
      </c>
      <c r="W29" s="39" t="s">
        <v>856</v>
      </c>
      <c r="X29" s="2"/>
      <c r="Y29" s="32">
        <f>VLOOKUP(T29,'[1]Query result'!$J:$K,2,0)</f>
        <v>46008</v>
      </c>
      <c r="Z29" s="2">
        <f>VLOOKUP(T29,'[1]Query result'!$J:$W,14,0)</f>
        <v>0</v>
      </c>
      <c r="AA29" s="51">
        <f t="shared" si="4"/>
        <v>2585.08</v>
      </c>
    </row>
    <row r="30" spans="1:27" hidden="1">
      <c r="A30" s="2" t="s">
        <v>33</v>
      </c>
      <c r="B30" s="2" t="s">
        <v>725</v>
      </c>
      <c r="C30" s="32" t="str">
        <f>VLOOKUP(B30,Validation!A:B,2,0)</f>
        <v>USA</v>
      </c>
      <c r="D30" s="32" t="str">
        <f>VLOOKUP(B30,Validation!A:D,4,0)</f>
        <v>Eduardo Avallone</v>
      </c>
      <c r="E30" s="32" t="str">
        <f>VLOOKUP(B30,Validation!A:E,5,0)</f>
        <v>NA</v>
      </c>
      <c r="F30" s="32" t="s">
        <v>29</v>
      </c>
      <c r="G30" s="32">
        <f t="shared" si="0"/>
        <v>2025</v>
      </c>
      <c r="H30" s="2" t="s">
        <v>712</v>
      </c>
      <c r="I30" s="2" t="s">
        <v>167</v>
      </c>
      <c r="J30" s="49">
        <f>VLOOKUP(I30,'XE rates'!A:D,4,0)*K30</f>
        <v>1000</v>
      </c>
      <c r="K30" s="64">
        <v>1000</v>
      </c>
      <c r="L30" s="1">
        <v>45962</v>
      </c>
      <c r="M30" s="33" t="str">
        <f t="shared" ref="M30:M42" si="38">TEXT(L30,"mmm")</f>
        <v>Nov</v>
      </c>
      <c r="N30" s="32">
        <f t="shared" ref="N30:N42" ca="1" si="39">$Y$1-R30</f>
        <v>92</v>
      </c>
      <c r="O30" s="32" t="str">
        <f t="shared" ref="O30:O42" ca="1" si="40">IF(N30&lt;=30, "0-30 days", IF(N30&lt;=60, "31-60 days", IF(N30&lt;=90, "61-90 days", "Over 90+ days")))</f>
        <v>Over 90+ days</v>
      </c>
      <c r="P30" s="2" t="s">
        <v>168</v>
      </c>
      <c r="Q30" s="1">
        <v>45992</v>
      </c>
      <c r="R30" s="1">
        <v>45999</v>
      </c>
      <c r="S30" s="2" t="s">
        <v>808</v>
      </c>
      <c r="T30" s="2" t="s">
        <v>806</v>
      </c>
      <c r="U30" s="2" t="s">
        <v>170</v>
      </c>
      <c r="V30" s="2" t="s">
        <v>171</v>
      </c>
      <c r="W30" s="39" t="s">
        <v>739</v>
      </c>
      <c r="X30" s="2"/>
      <c r="Y30" s="32">
        <f>VLOOKUP(T30,'[1]Query result'!$J:$K,2,0)</f>
        <v>45999</v>
      </c>
      <c r="Z30" s="2">
        <f>VLOOKUP(T30,'[1]Query result'!$J:$W,14,0)</f>
        <v>0</v>
      </c>
      <c r="AA30" s="51">
        <f t="shared" si="4"/>
        <v>1000</v>
      </c>
    </row>
    <row r="31" spans="1:27" hidden="1">
      <c r="A31" s="2" t="s">
        <v>33</v>
      </c>
      <c r="B31" s="2" t="s">
        <v>631</v>
      </c>
      <c r="C31" s="32" t="str">
        <f>VLOOKUP(B31,Validation!A:B,2,0)</f>
        <v>APAC</v>
      </c>
      <c r="D31" s="32" t="str">
        <f>VLOOKUP(B31,Validation!A:D,4,0)</f>
        <v>XiaoXiao</v>
      </c>
      <c r="E31" s="32" t="str">
        <f>VLOOKUP(B31,Validation!A:E,5,0)</f>
        <v>NA</v>
      </c>
      <c r="F31" s="32" t="s">
        <v>29</v>
      </c>
      <c r="G31" s="32">
        <f t="shared" si="0"/>
        <v>2025</v>
      </c>
      <c r="H31" s="2" t="s">
        <v>28</v>
      </c>
      <c r="I31" s="2" t="s">
        <v>167</v>
      </c>
      <c r="J31" s="49">
        <f>VLOOKUP(I31,'XE rates'!A:D,4,0)*K31</f>
        <v>3064</v>
      </c>
      <c r="K31" s="64">
        <v>3064</v>
      </c>
      <c r="L31" s="1">
        <v>45962</v>
      </c>
      <c r="M31" s="33" t="str">
        <f t="shared" si="38"/>
        <v>Nov</v>
      </c>
      <c r="N31" s="32">
        <f t="shared" ca="1" si="39"/>
        <v>85</v>
      </c>
      <c r="O31" s="32" t="str">
        <f t="shared" ca="1" si="40"/>
        <v>61-90 days</v>
      </c>
      <c r="P31" s="2" t="s">
        <v>168</v>
      </c>
      <c r="Q31" s="1">
        <v>45993</v>
      </c>
      <c r="R31" s="1">
        <v>46006</v>
      </c>
      <c r="S31" s="2" t="s">
        <v>807</v>
      </c>
      <c r="T31" s="2" t="s">
        <v>805</v>
      </c>
      <c r="U31" s="2" t="s">
        <v>170</v>
      </c>
      <c r="V31" s="2" t="s">
        <v>171</v>
      </c>
      <c r="W31" s="39" t="s">
        <v>684</v>
      </c>
      <c r="X31" s="2"/>
      <c r="Y31" s="32">
        <f>VLOOKUP(T31,'[1]Query result'!$J:$K,2,0)</f>
        <v>46006</v>
      </c>
      <c r="Z31" s="2">
        <f>VLOOKUP(T31,'[1]Query result'!$J:$W,14,0)</f>
        <v>0</v>
      </c>
      <c r="AA31" s="51">
        <f t="shared" si="4"/>
        <v>3064</v>
      </c>
    </row>
    <row r="32" spans="1:27" hidden="1">
      <c r="A32" s="2" t="s">
        <v>27</v>
      </c>
      <c r="B32" s="2" t="s">
        <v>56</v>
      </c>
      <c r="C32" s="32" t="str">
        <f>VLOOKUP(B32,Validation!A:B,2,0)</f>
        <v>EU/UK</v>
      </c>
      <c r="D32" s="32" t="str">
        <f>VLOOKUP(B32,Validation!A:D,4,0)</f>
        <v>Sachli Zare</v>
      </c>
      <c r="E32" s="32" t="str">
        <f>VLOOKUP(B32,Validation!A:E,5,0)</f>
        <v>Gitesh Athavale</v>
      </c>
      <c r="F32" s="32" t="s">
        <v>29</v>
      </c>
      <c r="G32" s="32">
        <f t="shared" si="0"/>
        <v>2025</v>
      </c>
      <c r="H32" s="2" t="s">
        <v>28</v>
      </c>
      <c r="I32" s="2" t="s">
        <v>179</v>
      </c>
      <c r="J32" s="49">
        <f>VLOOKUP(I32,'XE rates'!A:D,4,0)*K32</f>
        <v>127.08065556255175</v>
      </c>
      <c r="K32" s="64">
        <v>95.05</v>
      </c>
      <c r="L32" s="1">
        <v>45962</v>
      </c>
      <c r="M32" s="33" t="str">
        <f t="shared" si="38"/>
        <v>Nov</v>
      </c>
      <c r="N32" s="32">
        <f t="shared" ca="1" si="39"/>
        <v>68</v>
      </c>
      <c r="O32" s="32" t="str">
        <f t="shared" ca="1" si="40"/>
        <v>61-90 days</v>
      </c>
      <c r="P32" s="2" t="s">
        <v>168</v>
      </c>
      <c r="Q32" s="1">
        <v>45993</v>
      </c>
      <c r="R32" s="1">
        <v>46023</v>
      </c>
      <c r="S32" s="2" t="s">
        <v>174</v>
      </c>
      <c r="T32" s="2" t="s">
        <v>804</v>
      </c>
      <c r="U32" s="32" t="s">
        <v>170</v>
      </c>
      <c r="V32" s="2" t="s">
        <v>171</v>
      </c>
      <c r="W32" s="39" t="s">
        <v>684</v>
      </c>
      <c r="X32" s="2"/>
      <c r="Y32" s="32">
        <f>VLOOKUP(T32,'[1]Query result'!$J:$K,2,0)</f>
        <v>46023</v>
      </c>
      <c r="Z32" s="2">
        <f>VLOOKUP(T32,'[1]Query result'!$J:$W,14,0)</f>
        <v>0</v>
      </c>
      <c r="AA32" s="51">
        <f t="shared" si="4"/>
        <v>95.05</v>
      </c>
    </row>
    <row r="33" spans="1:27" hidden="1">
      <c r="A33" s="2" t="s">
        <v>27</v>
      </c>
      <c r="B33" s="2" t="s">
        <v>613</v>
      </c>
      <c r="C33" s="32" t="str">
        <f>VLOOKUP(B33,Validation!A:B,2,0)</f>
        <v>USA</v>
      </c>
      <c r="D33" s="32" t="str">
        <f>VLOOKUP(B33,Validation!A:D,4,0)</f>
        <v>Eduardo Avallone</v>
      </c>
      <c r="E33" s="32" t="str">
        <f>VLOOKUP(B33,Validation!A:E,5,0)</f>
        <v>Tyler Reed</v>
      </c>
      <c r="F33" s="32" t="s">
        <v>29</v>
      </c>
      <c r="G33" s="32">
        <f t="shared" si="0"/>
        <v>2025</v>
      </c>
      <c r="H33" s="2" t="s">
        <v>28</v>
      </c>
      <c r="I33" s="2" t="s">
        <v>167</v>
      </c>
      <c r="J33" s="49">
        <f>VLOOKUP(I33,'XE rates'!A:D,4,0)*K33</f>
        <v>1902.73</v>
      </c>
      <c r="K33" s="64">
        <v>1902.73</v>
      </c>
      <c r="L33" s="1">
        <v>45962</v>
      </c>
      <c r="M33" s="33" t="str">
        <f t="shared" si="38"/>
        <v>Nov</v>
      </c>
      <c r="N33" s="32">
        <f t="shared" ca="1" si="39"/>
        <v>90</v>
      </c>
      <c r="O33" s="32" t="str">
        <f t="shared" ca="1" si="40"/>
        <v>61-90 days</v>
      </c>
      <c r="P33" s="2" t="s">
        <v>168</v>
      </c>
      <c r="Q33" s="1">
        <v>45994</v>
      </c>
      <c r="R33" s="1">
        <v>46001</v>
      </c>
      <c r="S33" s="2" t="s">
        <v>169</v>
      </c>
      <c r="T33" s="2" t="s">
        <v>803</v>
      </c>
      <c r="U33" s="2" t="s">
        <v>170</v>
      </c>
      <c r="V33" s="2" t="s">
        <v>171</v>
      </c>
      <c r="W33" s="39" t="s">
        <v>684</v>
      </c>
      <c r="X33" s="2"/>
      <c r="Y33" s="32">
        <f>VLOOKUP(T33,'[1]Query result'!$J:$K,2,0)</f>
        <v>46001</v>
      </c>
      <c r="Z33" s="2">
        <f>VLOOKUP(T33,'[1]Query result'!$J:$W,14,0)</f>
        <v>0</v>
      </c>
      <c r="AA33" s="51">
        <f t="shared" si="4"/>
        <v>1902.73</v>
      </c>
    </row>
    <row r="34" spans="1:27" hidden="1">
      <c r="A34" s="2" t="s">
        <v>27</v>
      </c>
      <c r="B34" s="2" t="s">
        <v>60</v>
      </c>
      <c r="C34" s="32" t="str">
        <f>VLOOKUP(B34,Validation!A:B,2,0)</f>
        <v>USA</v>
      </c>
      <c r="D34" s="32" t="str">
        <f>VLOOKUP(B34,Validation!A:D,4,0)</f>
        <v>NA</v>
      </c>
      <c r="E34" s="32" t="str">
        <f>VLOOKUP(B34,Validation!A:E,5,0)</f>
        <v>Michael Bermingham</v>
      </c>
      <c r="F34" s="32" t="s">
        <v>29</v>
      </c>
      <c r="G34" s="32">
        <f t="shared" si="0"/>
        <v>2025</v>
      </c>
      <c r="H34" s="2" t="s">
        <v>28</v>
      </c>
      <c r="I34" s="2" t="s">
        <v>167</v>
      </c>
      <c r="J34" s="49">
        <f>VLOOKUP(I34,'XE rates'!A:D,4,0)*K34</f>
        <v>2000</v>
      </c>
      <c r="K34" s="64">
        <v>2000</v>
      </c>
      <c r="L34" s="1">
        <v>45962</v>
      </c>
      <c r="M34" s="33" t="str">
        <f t="shared" si="38"/>
        <v>Nov</v>
      </c>
      <c r="N34" s="32">
        <f t="shared" ca="1" si="39"/>
        <v>91</v>
      </c>
      <c r="O34" s="32" t="str">
        <f t="shared" ca="1" si="40"/>
        <v>Over 90+ days</v>
      </c>
      <c r="P34" s="2" t="s">
        <v>168</v>
      </c>
      <c r="Q34" s="1">
        <v>45993</v>
      </c>
      <c r="R34" s="1">
        <v>46000</v>
      </c>
      <c r="S34" s="2" t="s">
        <v>808</v>
      </c>
      <c r="T34" s="2" t="s">
        <v>802</v>
      </c>
      <c r="U34" s="2" t="s">
        <v>170</v>
      </c>
      <c r="V34" s="2" t="s">
        <v>171</v>
      </c>
      <c r="W34" s="39" t="s">
        <v>684</v>
      </c>
      <c r="X34" s="2"/>
      <c r="Y34" s="32">
        <f>VLOOKUP(T34,'[1]Query result'!$J:$K,2,0)</f>
        <v>46000</v>
      </c>
      <c r="Z34" s="2">
        <f>VLOOKUP(T34,'[1]Query result'!$J:$W,14,0)</f>
        <v>0</v>
      </c>
      <c r="AA34" s="51">
        <f t="shared" si="4"/>
        <v>2000</v>
      </c>
    </row>
    <row r="35" spans="1:27" hidden="1">
      <c r="A35" s="2" t="s">
        <v>27</v>
      </c>
      <c r="B35" s="2" t="s">
        <v>61</v>
      </c>
      <c r="C35" s="32" t="str">
        <f>VLOOKUP(B35,Validation!A:B,2,0)</f>
        <v>APAC</v>
      </c>
      <c r="D35" s="32" t="str">
        <f>VLOOKUP(B35,Validation!A:D,4,0)</f>
        <v>Hao Nguyen</v>
      </c>
      <c r="E35" s="32" t="str">
        <f>VLOOKUP(B35,Validation!A:E,5,0)</f>
        <v>Vinoth M</v>
      </c>
      <c r="F35" s="32" t="s">
        <v>29</v>
      </c>
      <c r="G35" s="32">
        <f t="shared" si="0"/>
        <v>2025</v>
      </c>
      <c r="H35" s="2" t="s">
        <v>28</v>
      </c>
      <c r="I35" s="2" t="s">
        <v>173</v>
      </c>
      <c r="J35" s="49">
        <f>VLOOKUP(I35,'XE rates'!A:D,4,0)*K35</f>
        <v>1729.4968879431976</v>
      </c>
      <c r="K35" s="65">
        <v>2583.39</v>
      </c>
      <c r="L35" s="1">
        <v>45962</v>
      </c>
      <c r="M35" s="33" t="str">
        <f t="shared" si="38"/>
        <v>Nov</v>
      </c>
      <c r="N35" s="32">
        <f t="shared" ca="1" si="39"/>
        <v>54</v>
      </c>
      <c r="O35" s="32" t="str">
        <f t="shared" ca="1" si="40"/>
        <v>31-60 days</v>
      </c>
      <c r="P35" s="2" t="s">
        <v>177</v>
      </c>
      <c r="Q35" s="1">
        <v>46006</v>
      </c>
      <c r="R35" s="1">
        <v>46037</v>
      </c>
      <c r="S35" s="2" t="s">
        <v>174</v>
      </c>
      <c r="T35" s="2" t="s">
        <v>801</v>
      </c>
      <c r="U35" s="32" t="s">
        <v>171</v>
      </c>
      <c r="V35" s="2" t="s">
        <v>171</v>
      </c>
      <c r="W35" s="39" t="s">
        <v>856</v>
      </c>
      <c r="X35" s="2"/>
      <c r="Y35" s="32">
        <f>VLOOKUP(T35,'[1]Query result'!$J:$K,2,0)</f>
        <v>46037</v>
      </c>
      <c r="Z35" s="2">
        <f>VLOOKUP(T35,'[1]Query result'!$J:$W,14,0)</f>
        <v>0</v>
      </c>
      <c r="AA35" s="51">
        <f t="shared" si="4"/>
        <v>2583.39</v>
      </c>
    </row>
    <row r="36" spans="1:27" hidden="1">
      <c r="A36" s="2" t="s">
        <v>27</v>
      </c>
      <c r="B36" s="2" t="s">
        <v>594</v>
      </c>
      <c r="C36" s="32" t="str">
        <f>VLOOKUP(B36,Validation!A:B,2,0)</f>
        <v>USA</v>
      </c>
      <c r="D36" s="32" t="str">
        <f>VLOOKUP(B36,Validation!A:D,4,0)</f>
        <v>Eduardo Avallone</v>
      </c>
      <c r="E36" s="32" t="str">
        <f>VLOOKUP(B36,Validation!A:E,5,0)</f>
        <v>Greg McAllister</v>
      </c>
      <c r="F36" s="32" t="s">
        <v>29</v>
      </c>
      <c r="G36" s="32">
        <f t="shared" si="0"/>
        <v>2025</v>
      </c>
      <c r="H36" s="2" t="s">
        <v>28</v>
      </c>
      <c r="I36" s="2" t="s">
        <v>167</v>
      </c>
      <c r="J36" s="49">
        <f>VLOOKUP(I36,'XE rates'!A:D,4,0)*K36</f>
        <v>130</v>
      </c>
      <c r="K36" s="64">
        <v>130</v>
      </c>
      <c r="L36" s="1">
        <v>45962</v>
      </c>
      <c r="M36" s="33" t="str">
        <f t="shared" si="38"/>
        <v>Nov</v>
      </c>
      <c r="N36" s="32">
        <f t="shared" ca="1" si="39"/>
        <v>91</v>
      </c>
      <c r="O36" s="32" t="str">
        <f t="shared" ca="1" si="40"/>
        <v>Over 90+ days</v>
      </c>
      <c r="P36" s="2" t="s">
        <v>168</v>
      </c>
      <c r="Q36" s="1">
        <v>45993</v>
      </c>
      <c r="R36" s="1">
        <v>46000</v>
      </c>
      <c r="S36" s="2" t="s">
        <v>169</v>
      </c>
      <c r="T36" s="2" t="s">
        <v>800</v>
      </c>
      <c r="U36" s="2" t="s">
        <v>170</v>
      </c>
      <c r="V36" s="2" t="s">
        <v>171</v>
      </c>
      <c r="W36" s="39" t="s">
        <v>684</v>
      </c>
      <c r="X36" s="2"/>
      <c r="Y36" s="32">
        <f>VLOOKUP(T36,'[1]Query result'!$J:$K,2,0)</f>
        <v>46000</v>
      </c>
      <c r="Z36" s="2">
        <f>VLOOKUP(T36,'[1]Query result'!$J:$W,14,0)</f>
        <v>0</v>
      </c>
      <c r="AA36" s="51">
        <f t="shared" si="4"/>
        <v>130</v>
      </c>
    </row>
    <row r="37" spans="1:27" hidden="1">
      <c r="A37" s="2" t="s">
        <v>27</v>
      </c>
      <c r="B37" s="2" t="s">
        <v>697</v>
      </c>
      <c r="C37" s="32" t="str">
        <f>VLOOKUP(B37,Validation!A:B,2,0)</f>
        <v>APAC</v>
      </c>
      <c r="D37" s="32" t="str">
        <f>VLOOKUP(B37,Validation!A:D,4,0)</f>
        <v>NA</v>
      </c>
      <c r="E37" s="32" t="str">
        <f>VLOOKUP(B37,Validation!A:E,5,0)</f>
        <v>Febriali Tan</v>
      </c>
      <c r="F37" s="32" t="s">
        <v>29</v>
      </c>
      <c r="G37" s="32">
        <f t="shared" si="0"/>
        <v>2025</v>
      </c>
      <c r="H37" s="2" t="s">
        <v>28</v>
      </c>
      <c r="I37" s="2" t="s">
        <v>167</v>
      </c>
      <c r="J37" s="49">
        <f>VLOOKUP(I37,'XE rates'!A:D,4,0)*K37</f>
        <v>302.05</v>
      </c>
      <c r="K37" s="64">
        <v>302.05</v>
      </c>
      <c r="L37" s="1">
        <v>45962</v>
      </c>
      <c r="M37" s="33" t="str">
        <f t="shared" si="38"/>
        <v>Nov</v>
      </c>
      <c r="N37" s="32">
        <f t="shared" ca="1" si="39"/>
        <v>91</v>
      </c>
      <c r="O37" s="32" t="str">
        <f t="shared" ca="1" si="40"/>
        <v>Over 90+ days</v>
      </c>
      <c r="P37" s="2" t="s">
        <v>168</v>
      </c>
      <c r="Q37" s="1">
        <v>45993</v>
      </c>
      <c r="R37" s="1">
        <v>46000</v>
      </c>
      <c r="S37" s="2" t="s">
        <v>169</v>
      </c>
      <c r="T37" s="2" t="s">
        <v>799</v>
      </c>
      <c r="U37" s="2" t="s">
        <v>170</v>
      </c>
      <c r="V37" s="2" t="s">
        <v>171</v>
      </c>
      <c r="W37" s="39" t="s">
        <v>684</v>
      </c>
      <c r="X37" s="2"/>
      <c r="Y37" s="32">
        <f>VLOOKUP(T37,'[1]Query result'!$J:$K,2,0)</f>
        <v>46000</v>
      </c>
      <c r="Z37" s="2">
        <f>VLOOKUP(T37,'[1]Query result'!$J:$W,14,0)</f>
        <v>0</v>
      </c>
      <c r="AA37" s="51">
        <f t="shared" si="4"/>
        <v>302.05</v>
      </c>
    </row>
    <row r="38" spans="1:27" hidden="1">
      <c r="A38" s="2" t="s">
        <v>27</v>
      </c>
      <c r="B38" s="2" t="s">
        <v>617</v>
      </c>
      <c r="C38" s="32" t="str">
        <f>VLOOKUP(B38,Validation!A:B,2,0)</f>
        <v>ME</v>
      </c>
      <c r="D38" s="32" t="str">
        <f>VLOOKUP(B38,Validation!A:D,4,0)</f>
        <v>Jerome Coelho</v>
      </c>
      <c r="E38" s="32" t="str">
        <f>VLOOKUP(B38,Validation!A:E,5,0)</f>
        <v>Ashraf Omran</v>
      </c>
      <c r="F38" s="32" t="s">
        <v>29</v>
      </c>
      <c r="G38" s="32">
        <f t="shared" si="0"/>
        <v>2025</v>
      </c>
      <c r="H38" s="2" t="s">
        <v>28</v>
      </c>
      <c r="I38" s="2" t="s">
        <v>167</v>
      </c>
      <c r="J38" s="49">
        <f>VLOOKUP(I38,'XE rates'!A:D,4,0)*K38</f>
        <v>57.489999999999782</v>
      </c>
      <c r="K38" s="64">
        <v>57.489999999999782</v>
      </c>
      <c r="L38" s="1">
        <v>45962</v>
      </c>
      <c r="M38" s="33" t="str">
        <f t="shared" si="38"/>
        <v>Nov</v>
      </c>
      <c r="N38" s="32">
        <f t="shared" ca="1" si="39"/>
        <v>91</v>
      </c>
      <c r="O38" s="32" t="str">
        <f t="shared" ca="1" si="40"/>
        <v>Over 90+ days</v>
      </c>
      <c r="P38" s="2" t="s">
        <v>168</v>
      </c>
      <c r="Q38" s="1">
        <v>45993</v>
      </c>
      <c r="R38" s="1">
        <v>46000</v>
      </c>
      <c r="S38" s="2" t="s">
        <v>809</v>
      </c>
      <c r="T38" s="2" t="s">
        <v>798</v>
      </c>
      <c r="U38" s="2" t="s">
        <v>170</v>
      </c>
      <c r="V38" s="2" t="s">
        <v>171</v>
      </c>
      <c r="W38" s="39" t="s">
        <v>684</v>
      </c>
      <c r="X38" s="2"/>
      <c r="Y38" s="32">
        <f>VLOOKUP(T38,'[1]Query result'!$J:$K,2,0)</f>
        <v>46000</v>
      </c>
      <c r="Z38" s="2">
        <f>VLOOKUP(T38,'[1]Query result'!$J:$W,14,0)</f>
        <v>0</v>
      </c>
      <c r="AA38" s="51">
        <f t="shared" si="4"/>
        <v>57.489999999999782</v>
      </c>
    </row>
    <row r="39" spans="1:27" hidden="1">
      <c r="A39" s="2" t="s">
        <v>27</v>
      </c>
      <c r="B39" s="2" t="s">
        <v>619</v>
      </c>
      <c r="C39" s="32" t="str">
        <f>VLOOKUP(B39,Validation!A:B,2,0)</f>
        <v>USA</v>
      </c>
      <c r="D39" s="32" t="str">
        <f>VLOOKUP(B39,Validation!A:D,4,0)</f>
        <v>Eduardo Avallone</v>
      </c>
      <c r="E39" s="32" t="str">
        <f>VLOOKUP(B39,Validation!A:E,5,0)</f>
        <v>Christina Hutchinson</v>
      </c>
      <c r="F39" s="32" t="s">
        <v>29</v>
      </c>
      <c r="G39" s="32">
        <f t="shared" si="0"/>
        <v>2025</v>
      </c>
      <c r="H39" s="2" t="s">
        <v>28</v>
      </c>
      <c r="I39" s="2" t="s">
        <v>167</v>
      </c>
      <c r="J39" s="49">
        <f>VLOOKUP(I39,'XE rates'!A:D,4,0)*K39</f>
        <v>1786.14</v>
      </c>
      <c r="K39" s="64">
        <v>1786.14</v>
      </c>
      <c r="L39" s="1">
        <v>45962</v>
      </c>
      <c r="M39" s="33" t="str">
        <f t="shared" si="38"/>
        <v>Nov</v>
      </c>
      <c r="N39" s="32">
        <f t="shared" ca="1" si="39"/>
        <v>91</v>
      </c>
      <c r="O39" s="32" t="str">
        <f t="shared" ca="1" si="40"/>
        <v>Over 90+ days</v>
      </c>
      <c r="P39" s="2" t="s">
        <v>168</v>
      </c>
      <c r="Q39" s="1">
        <v>45993</v>
      </c>
      <c r="R39" s="1">
        <v>46000</v>
      </c>
      <c r="S39" s="2" t="s">
        <v>169</v>
      </c>
      <c r="T39" s="2" t="s">
        <v>797</v>
      </c>
      <c r="U39" s="2" t="s">
        <v>170</v>
      </c>
      <c r="V39" s="2" t="s">
        <v>171</v>
      </c>
      <c r="W39" s="32" t="s">
        <v>785</v>
      </c>
      <c r="X39" s="2"/>
      <c r="Y39" s="32">
        <f>VLOOKUP(T39,'[1]Query result'!$J:$K,2,0)</f>
        <v>46000</v>
      </c>
      <c r="Z39" s="2">
        <f>VLOOKUP(T39,'[1]Query result'!$J:$W,14,0)</f>
        <v>0</v>
      </c>
      <c r="AA39" s="51">
        <f t="shared" ref="AA39:AA70" si="41">K39-Z39</f>
        <v>1786.14</v>
      </c>
    </row>
    <row r="40" spans="1:27" hidden="1">
      <c r="A40" s="2" t="s">
        <v>27</v>
      </c>
      <c r="B40" s="2" t="s">
        <v>720</v>
      </c>
      <c r="C40" s="32" t="str">
        <f>VLOOKUP(B40,Validation!A:B,2,0)</f>
        <v>EU/UK</v>
      </c>
      <c r="D40" s="32" t="str">
        <f>VLOOKUP(B40,Validation!A:D,4,0)</f>
        <v>Sachli Zare</v>
      </c>
      <c r="E40" s="32" t="str">
        <f>VLOOKUP(B40,Validation!A:E,5,0)</f>
        <v>NA</v>
      </c>
      <c r="F40" s="32" t="s">
        <v>29</v>
      </c>
      <c r="G40" s="32">
        <f t="shared" si="0"/>
        <v>2025</v>
      </c>
      <c r="H40" s="2" t="s">
        <v>28</v>
      </c>
      <c r="I40" s="2" t="s">
        <v>167</v>
      </c>
      <c r="J40" s="49">
        <f>VLOOKUP(I40,'XE rates'!A:D,4,0)*K40</f>
        <v>66.3</v>
      </c>
      <c r="K40" s="64">
        <v>66.3</v>
      </c>
      <c r="L40" s="1">
        <v>45962</v>
      </c>
      <c r="M40" s="33" t="str">
        <f t="shared" si="38"/>
        <v>Nov</v>
      </c>
      <c r="N40" s="32">
        <f t="shared" ca="1" si="39"/>
        <v>54</v>
      </c>
      <c r="O40" s="32" t="str">
        <f t="shared" ca="1" si="40"/>
        <v>31-60 days</v>
      </c>
      <c r="P40" s="2" t="s">
        <v>177</v>
      </c>
      <c r="Q40" s="1">
        <v>46006</v>
      </c>
      <c r="R40" s="1">
        <v>46037</v>
      </c>
      <c r="S40" s="2" t="s">
        <v>174</v>
      </c>
      <c r="T40" s="2" t="s">
        <v>796</v>
      </c>
      <c r="U40" s="32" t="s">
        <v>171</v>
      </c>
      <c r="V40" s="2" t="s">
        <v>171</v>
      </c>
      <c r="W40" s="32" t="s">
        <v>684</v>
      </c>
      <c r="X40" s="2"/>
      <c r="Y40" s="32">
        <f>VLOOKUP(T40,'[1]Query result'!$J:$K,2,0)</f>
        <v>46037</v>
      </c>
      <c r="Z40" s="2">
        <f>VLOOKUP(T40,'[1]Query result'!$J:$W,14,0)</f>
        <v>0</v>
      </c>
      <c r="AA40" s="51">
        <f t="shared" si="41"/>
        <v>66.3</v>
      </c>
    </row>
    <row r="41" spans="1:27" hidden="1">
      <c r="A41" s="2" t="s">
        <v>27</v>
      </c>
      <c r="B41" s="2" t="s">
        <v>763</v>
      </c>
      <c r="C41" s="32" t="str">
        <f>VLOOKUP(B41,Validation!A:B,2,0)</f>
        <v>APAC</v>
      </c>
      <c r="D41" s="32" t="str">
        <f>VLOOKUP(B41,Validation!A:D,4,0)</f>
        <v>Shi Yin</v>
      </c>
      <c r="E41" s="32" t="str">
        <f>VLOOKUP(B41,Validation!A:E,5,0)</f>
        <v>Vinoth M</v>
      </c>
      <c r="F41" s="32" t="s">
        <v>29</v>
      </c>
      <c r="G41" s="32">
        <f t="shared" si="0"/>
        <v>2025</v>
      </c>
      <c r="H41" s="2" t="s">
        <v>28</v>
      </c>
      <c r="I41" s="2" t="s">
        <v>167</v>
      </c>
      <c r="J41" s="49">
        <f>VLOOKUP(I41,'XE rates'!A:D,4,0)*K41</f>
        <v>2743</v>
      </c>
      <c r="K41" s="64">
        <v>2743</v>
      </c>
      <c r="L41" s="1">
        <v>45962</v>
      </c>
      <c r="M41" s="33" t="str">
        <f t="shared" si="38"/>
        <v>Nov</v>
      </c>
      <c r="N41" s="32">
        <f t="shared" ca="1" si="39"/>
        <v>82</v>
      </c>
      <c r="O41" s="32" t="str">
        <f t="shared" ca="1" si="40"/>
        <v>61-90 days</v>
      </c>
      <c r="P41" s="2" t="s">
        <v>168</v>
      </c>
      <c r="Q41" s="1">
        <v>45994</v>
      </c>
      <c r="R41" s="1">
        <v>46009</v>
      </c>
      <c r="S41" s="2" t="s">
        <v>174</v>
      </c>
      <c r="T41" s="2" t="s">
        <v>795</v>
      </c>
      <c r="U41" s="32" t="s">
        <v>170</v>
      </c>
      <c r="V41" s="2" t="s">
        <v>171</v>
      </c>
      <c r="W41" s="39" t="s">
        <v>684</v>
      </c>
      <c r="X41" s="2"/>
      <c r="Y41" s="32">
        <f>VLOOKUP(T41,'[1]Query result'!$J:$K,2,0)</f>
        <v>46009</v>
      </c>
      <c r="Z41" s="2">
        <f>VLOOKUP(T41,'[1]Query result'!$J:$W,14,0)</f>
        <v>0</v>
      </c>
      <c r="AA41" s="51">
        <f t="shared" si="41"/>
        <v>2743</v>
      </c>
    </row>
    <row r="42" spans="1:27" hidden="1">
      <c r="A42" s="2" t="s">
        <v>27</v>
      </c>
      <c r="B42" s="2" t="s">
        <v>685</v>
      </c>
      <c r="C42" s="32" t="str">
        <f>VLOOKUP(B42,Validation!A:B,2,0)</f>
        <v>ME</v>
      </c>
      <c r="D42" s="32" t="str">
        <f>VLOOKUP(B42,Validation!A:D,4,0)</f>
        <v>Jerome Coelho</v>
      </c>
      <c r="E42" s="32" t="str">
        <f>VLOOKUP(B42,Validation!A:E,5,0)</f>
        <v>Winfred</v>
      </c>
      <c r="F42" s="32" t="s">
        <v>29</v>
      </c>
      <c r="G42" s="32">
        <f t="shared" si="0"/>
        <v>2025</v>
      </c>
      <c r="H42" s="2" t="s">
        <v>28</v>
      </c>
      <c r="I42" s="2" t="s">
        <v>167</v>
      </c>
      <c r="J42" s="49">
        <f>VLOOKUP(I42,'XE rates'!A:D,4,0)*K42</f>
        <v>50</v>
      </c>
      <c r="K42" s="64">
        <v>50</v>
      </c>
      <c r="L42" s="1">
        <v>45962</v>
      </c>
      <c r="M42" s="33" t="str">
        <f t="shared" si="38"/>
        <v>Nov</v>
      </c>
      <c r="N42" s="32">
        <f t="shared" ca="1" si="39"/>
        <v>90</v>
      </c>
      <c r="O42" s="32" t="str">
        <f t="shared" ca="1" si="40"/>
        <v>61-90 days</v>
      </c>
      <c r="P42" s="2" t="s">
        <v>168</v>
      </c>
      <c r="Q42" s="1">
        <v>45994</v>
      </c>
      <c r="R42" s="1">
        <v>46001</v>
      </c>
      <c r="S42" s="2" t="s">
        <v>169</v>
      </c>
      <c r="T42" s="2" t="s">
        <v>794</v>
      </c>
      <c r="U42" s="2" t="s">
        <v>170</v>
      </c>
      <c r="V42" s="2" t="s">
        <v>171</v>
      </c>
      <c r="W42" s="39" t="s">
        <v>684</v>
      </c>
      <c r="X42" s="2"/>
      <c r="Y42" s="32">
        <f>VLOOKUP(T42,'[1]Query result'!$J:$K,2,0)</f>
        <v>46001</v>
      </c>
      <c r="Z42" s="2">
        <f>VLOOKUP(T42,'[1]Query result'!$J:$W,14,0)</f>
        <v>0</v>
      </c>
      <c r="AA42" s="51">
        <f t="shared" si="41"/>
        <v>50</v>
      </c>
    </row>
    <row r="43" spans="1:27" hidden="1">
      <c r="A43" s="2" t="s">
        <v>27</v>
      </c>
      <c r="B43" s="2" t="s">
        <v>151</v>
      </c>
      <c r="C43" s="32" t="str">
        <f>VLOOKUP(B43,Validation!A:B,2,0)</f>
        <v>APAC</v>
      </c>
      <c r="D43" s="32" t="str">
        <f>VLOOKUP(B43,Validation!A:D,4,0)</f>
        <v>Hao Nguyen</v>
      </c>
      <c r="E43" s="32" t="str">
        <f>VLOOKUP(B43,Validation!A:E,5,0)</f>
        <v>NA</v>
      </c>
      <c r="F43" s="32" t="s">
        <v>29</v>
      </c>
      <c r="G43" s="32">
        <f t="shared" si="0"/>
        <v>2025</v>
      </c>
      <c r="H43" s="2" t="s">
        <v>28</v>
      </c>
      <c r="I43" s="2" t="s">
        <v>173</v>
      </c>
      <c r="J43" s="49">
        <f>VLOOKUP(I43,'XE rates'!A:D,4,0)*K43</f>
        <v>4586.6382792659679</v>
      </c>
      <c r="K43" s="64">
        <v>6851.1689999999999</v>
      </c>
      <c r="L43" s="1">
        <v>45962</v>
      </c>
      <c r="M43" s="33" t="str">
        <f t="shared" ref="M43:M44" si="42">TEXT(L43,"mmm")</f>
        <v>Nov</v>
      </c>
      <c r="N43" s="32">
        <f t="shared" ref="N43:N44" ca="1" si="43">$Y$1-R43</f>
        <v>89</v>
      </c>
      <c r="O43" s="32" t="str">
        <f t="shared" ref="O43:O44" ca="1" si="44">IF(N43&lt;=30, "0-30 days", IF(N43&lt;=60, "31-60 days", IF(N43&lt;=90, "61-90 days", "Over 90+ days")))</f>
        <v>61-90 days</v>
      </c>
      <c r="P43" s="2" t="s">
        <v>168</v>
      </c>
      <c r="Q43" s="1">
        <v>45995</v>
      </c>
      <c r="R43" s="1">
        <v>46002</v>
      </c>
      <c r="S43" s="2" t="s">
        <v>169</v>
      </c>
      <c r="T43" s="2" t="s">
        <v>792</v>
      </c>
      <c r="U43" s="32" t="s">
        <v>170</v>
      </c>
      <c r="V43" s="32" t="s">
        <v>170</v>
      </c>
      <c r="W43" s="2" t="s">
        <v>857</v>
      </c>
      <c r="X43" s="2"/>
      <c r="Y43" s="32">
        <f>VLOOKUP(T43,'[1]Query result'!$J:$K,2,0)</f>
        <v>46002</v>
      </c>
      <c r="Z43" s="2">
        <f>VLOOKUP(T43,'[1]Query result'!$J:$W,14,0)</f>
        <v>0</v>
      </c>
      <c r="AA43" s="51">
        <f t="shared" si="41"/>
        <v>6851.1689999999999</v>
      </c>
    </row>
    <row r="44" spans="1:27" hidden="1">
      <c r="A44" s="2" t="s">
        <v>27</v>
      </c>
      <c r="B44" s="2" t="s">
        <v>659</v>
      </c>
      <c r="C44" s="32" t="str">
        <f>VLOOKUP(B44,Validation!A:B,2,0)</f>
        <v>USA</v>
      </c>
      <c r="D44" s="32" t="str">
        <f>VLOOKUP(B44,Validation!A:D,4,0)</f>
        <v>NA</v>
      </c>
      <c r="E44" s="32" t="str">
        <f>VLOOKUP(B44,Validation!A:E,5,0)</f>
        <v>Tyler Reed</v>
      </c>
      <c r="F44" s="32" t="s">
        <v>29</v>
      </c>
      <c r="G44" s="32">
        <f t="shared" si="0"/>
        <v>2025</v>
      </c>
      <c r="H44" s="2" t="s">
        <v>28</v>
      </c>
      <c r="I44" s="2" t="s">
        <v>167</v>
      </c>
      <c r="J44" s="49">
        <f>VLOOKUP(I44,'XE rates'!A:D,4,0)*K44</f>
        <v>500</v>
      </c>
      <c r="K44" s="64">
        <v>500</v>
      </c>
      <c r="L44" s="1">
        <v>45962</v>
      </c>
      <c r="M44" s="33" t="str">
        <f t="shared" si="42"/>
        <v>Nov</v>
      </c>
      <c r="N44" s="32">
        <f t="shared" ca="1" si="43"/>
        <v>90</v>
      </c>
      <c r="O44" s="32" t="str">
        <f t="shared" ca="1" si="44"/>
        <v>61-90 days</v>
      </c>
      <c r="P44" s="2" t="s">
        <v>168</v>
      </c>
      <c r="Q44" s="1">
        <v>45994</v>
      </c>
      <c r="R44" s="1">
        <v>46001</v>
      </c>
      <c r="S44" s="2" t="s">
        <v>169</v>
      </c>
      <c r="T44" s="2" t="s">
        <v>791</v>
      </c>
      <c r="U44" s="2" t="s">
        <v>170</v>
      </c>
      <c r="V44" s="2" t="s">
        <v>171</v>
      </c>
      <c r="W44" s="39" t="s">
        <v>684</v>
      </c>
      <c r="X44" s="2"/>
      <c r="Y44" s="32">
        <f>VLOOKUP(T44,'[1]Query result'!$J:$K,2,0)</f>
        <v>46001</v>
      </c>
      <c r="Z44" s="2">
        <f>VLOOKUP(T44,'[1]Query result'!$J:$W,14,0)</f>
        <v>0</v>
      </c>
      <c r="AA44" s="51">
        <f t="shared" si="41"/>
        <v>500</v>
      </c>
    </row>
    <row r="45" spans="1:27" hidden="1">
      <c r="A45" s="2" t="s">
        <v>27</v>
      </c>
      <c r="B45" s="2" t="s">
        <v>812</v>
      </c>
      <c r="C45" s="32" t="str">
        <f>VLOOKUP(B45,Validation!A:B,2,0)</f>
        <v>USA</v>
      </c>
      <c r="D45" s="32" t="str">
        <f>VLOOKUP(B45,Validation!A:D,4,0)</f>
        <v>NA</v>
      </c>
      <c r="E45" s="32" t="str">
        <f>VLOOKUP(B45,Validation!A:E,5,0)</f>
        <v>Michael Bermingham</v>
      </c>
      <c r="F45" s="32" t="s">
        <v>29</v>
      </c>
      <c r="G45" s="32">
        <f t="shared" si="0"/>
        <v>2025</v>
      </c>
      <c r="H45" s="2" t="s">
        <v>28</v>
      </c>
      <c r="I45" s="2" t="s">
        <v>167</v>
      </c>
      <c r="J45" s="49">
        <f>VLOOKUP(I45,'XE rates'!A:D,4,0)*K45</f>
        <v>2500</v>
      </c>
      <c r="K45" s="67">
        <v>2500</v>
      </c>
      <c r="L45" s="1">
        <v>45992</v>
      </c>
      <c r="M45" s="33" t="str">
        <f t="shared" ref="M45" si="45">TEXT(L45,"mmm")</f>
        <v>Dec</v>
      </c>
      <c r="N45" s="32">
        <f t="shared" ref="N45" ca="1" si="46">$Y$1-R45</f>
        <v>75</v>
      </c>
      <c r="O45" s="32" t="str">
        <f t="shared" ref="O45" ca="1" si="47">IF(N45&lt;=30, "0-30 days", IF(N45&lt;=60, "31-60 days", IF(N45&lt;=90, "61-90 days", "Over 90+ days")))</f>
        <v>61-90 days</v>
      </c>
      <c r="P45" s="2" t="s">
        <v>175</v>
      </c>
      <c r="Q45" s="1">
        <v>46009</v>
      </c>
      <c r="R45" s="1">
        <f>Q45+7</f>
        <v>46016</v>
      </c>
      <c r="S45" s="2" t="s">
        <v>174</v>
      </c>
      <c r="T45" s="2" t="s">
        <v>813</v>
      </c>
      <c r="U45" s="32" t="s">
        <v>170</v>
      </c>
      <c r="V45" s="2" t="s">
        <v>171</v>
      </c>
      <c r="W45" s="39" t="s">
        <v>684</v>
      </c>
      <c r="X45" s="2"/>
      <c r="Y45" s="32">
        <f>VLOOKUP(T45,'[1]Query result'!$J:$K,2,0)</f>
        <v>46016</v>
      </c>
      <c r="Z45" s="2">
        <f>VLOOKUP(T45,'[1]Query result'!$J:$W,14,0)</f>
        <v>0</v>
      </c>
      <c r="AA45" s="51">
        <f t="shared" si="41"/>
        <v>2500</v>
      </c>
    </row>
    <row r="46" spans="1:27" hidden="1">
      <c r="A46" s="2" t="s">
        <v>33</v>
      </c>
      <c r="B46" s="2" t="s">
        <v>604</v>
      </c>
      <c r="C46" s="32" t="str">
        <f>VLOOKUP(B46,Validation!A:B,2,0)</f>
        <v>USA</v>
      </c>
      <c r="D46" s="32" t="str">
        <f>VLOOKUP(B46,Validation!A:D,4,0)</f>
        <v>Eduardo Avallone</v>
      </c>
      <c r="E46" s="32" t="str">
        <f>VLOOKUP(B46,Validation!A:E,5,0)</f>
        <v>NA</v>
      </c>
      <c r="F46" s="32" t="s">
        <v>29</v>
      </c>
      <c r="G46" s="32">
        <f t="shared" si="0"/>
        <v>2025</v>
      </c>
      <c r="H46" s="2" t="s">
        <v>28</v>
      </c>
      <c r="I46" s="2" t="s">
        <v>167</v>
      </c>
      <c r="J46" s="49">
        <f>VLOOKUP(I46,'XE rates'!A:D,4,0)*K46</f>
        <v>2217.6</v>
      </c>
      <c r="K46" s="64">
        <v>2217.6</v>
      </c>
      <c r="L46" s="1">
        <v>45992</v>
      </c>
      <c r="M46" s="33" t="str">
        <f t="shared" ref="M46:M66" si="48">TEXT(L46,"mmm")</f>
        <v>Dec</v>
      </c>
      <c r="N46" s="32">
        <f t="shared" ref="N46:N66" ca="1" si="49">$Y$1-R46</f>
        <v>52</v>
      </c>
      <c r="O46" s="32" t="str">
        <f t="shared" ref="O46:O66" ca="1" si="50">IF(N46&lt;=30, "0-30 days", IF(N46&lt;=60, "31-60 days", IF(N46&lt;=90, "61-90 days", "Over 90+ days")))</f>
        <v>31-60 days</v>
      </c>
      <c r="P46" s="2" t="s">
        <v>168</v>
      </c>
      <c r="Q46" s="1">
        <v>46024</v>
      </c>
      <c r="R46" s="1">
        <v>46039</v>
      </c>
      <c r="S46" s="2" t="s">
        <v>174</v>
      </c>
      <c r="T46" s="2" t="s">
        <v>822</v>
      </c>
      <c r="U46" s="2" t="s">
        <v>170</v>
      </c>
      <c r="V46" s="2" t="s">
        <v>171</v>
      </c>
      <c r="W46" s="39" t="s">
        <v>684</v>
      </c>
      <c r="X46" s="2"/>
      <c r="Y46" s="32">
        <f>VLOOKUP(T46,'[1]Query result'!$J:$K,2,0)</f>
        <v>46039</v>
      </c>
      <c r="Z46" s="2"/>
      <c r="AA46" s="51"/>
    </row>
    <row r="47" spans="1:27" hidden="1">
      <c r="A47" s="2" t="s">
        <v>33</v>
      </c>
      <c r="B47" s="2" t="s">
        <v>113</v>
      </c>
      <c r="C47" s="32" t="str">
        <f>VLOOKUP(B47,Validation!A:B,2,0)</f>
        <v>APAC</v>
      </c>
      <c r="D47" s="32" t="str">
        <f>VLOOKUP(B47,Validation!A:D,4,0)</f>
        <v>Hao Nguyen</v>
      </c>
      <c r="E47" s="32" t="str">
        <f>VLOOKUP(B47,Validation!A:E,5,0)</f>
        <v>NA</v>
      </c>
      <c r="F47" s="32" t="s">
        <v>29</v>
      </c>
      <c r="G47" s="32">
        <f t="shared" si="0"/>
        <v>2025</v>
      </c>
      <c r="H47" s="2" t="s">
        <v>28</v>
      </c>
      <c r="I47" s="2" t="s">
        <v>167</v>
      </c>
      <c r="J47" s="49">
        <f>VLOOKUP(I47,'XE rates'!A:D,4,0)*K47</f>
        <v>6022.36</v>
      </c>
      <c r="K47" s="64">
        <v>6022.36</v>
      </c>
      <c r="L47" s="1">
        <v>45992</v>
      </c>
      <c r="M47" s="33" t="str">
        <f t="shared" si="48"/>
        <v>Dec</v>
      </c>
      <c r="N47" s="32">
        <f t="shared" ca="1" si="49"/>
        <v>52</v>
      </c>
      <c r="O47" s="32" t="str">
        <f t="shared" ca="1" si="50"/>
        <v>31-60 days</v>
      </c>
      <c r="P47" s="2" t="s">
        <v>168</v>
      </c>
      <c r="Q47" s="1">
        <v>46024</v>
      </c>
      <c r="R47" s="1">
        <v>46039</v>
      </c>
      <c r="S47" s="2" t="s">
        <v>174</v>
      </c>
      <c r="T47" s="2" t="s">
        <v>823</v>
      </c>
      <c r="U47" s="2" t="s">
        <v>170</v>
      </c>
      <c r="V47" s="2" t="s">
        <v>171</v>
      </c>
      <c r="W47" s="39" t="s">
        <v>684</v>
      </c>
      <c r="X47" s="2"/>
      <c r="Y47" s="32">
        <f>VLOOKUP(T47,'[1]Query result'!$J:$K,2,0)</f>
        <v>46039</v>
      </c>
      <c r="Z47" s="2">
        <f>VLOOKUP(T47,'[1]Query result'!$J:$W,14,0)</f>
        <v>0</v>
      </c>
      <c r="AA47" s="51">
        <f t="shared" si="41"/>
        <v>6022.36</v>
      </c>
    </row>
    <row r="48" spans="1:27" hidden="1">
      <c r="A48" s="2" t="s">
        <v>33</v>
      </c>
      <c r="B48" s="2" t="s">
        <v>117</v>
      </c>
      <c r="C48" s="32" t="str">
        <f>VLOOKUP(B48,Validation!A:B,2,0)</f>
        <v>APAC</v>
      </c>
      <c r="D48" s="32" t="str">
        <f>VLOOKUP(B48,Validation!A:D,4,0)</f>
        <v>Luciana</v>
      </c>
      <c r="E48" s="32" t="str">
        <f>VLOOKUP(B48,Validation!A:E,5,0)</f>
        <v>NA</v>
      </c>
      <c r="F48" s="32" t="s">
        <v>29</v>
      </c>
      <c r="G48" s="32">
        <f t="shared" si="0"/>
        <v>2025</v>
      </c>
      <c r="H48" s="2" t="s">
        <v>28</v>
      </c>
      <c r="I48" s="2" t="s">
        <v>176</v>
      </c>
      <c r="J48" s="49">
        <f>VLOOKUP(I48,'XE rates'!A:D,4,0)*K48</f>
        <v>5.6508548239204046</v>
      </c>
      <c r="K48" s="64">
        <v>95444</v>
      </c>
      <c r="L48" s="1">
        <v>45992</v>
      </c>
      <c r="M48" s="33" t="str">
        <f t="shared" si="48"/>
        <v>Dec</v>
      </c>
      <c r="N48" s="32">
        <f t="shared" ca="1" si="49"/>
        <v>52</v>
      </c>
      <c r="O48" s="32" t="str">
        <f t="shared" ca="1" si="50"/>
        <v>31-60 days</v>
      </c>
      <c r="P48" s="2" t="s">
        <v>168</v>
      </c>
      <c r="Q48" s="1">
        <v>46024</v>
      </c>
      <c r="R48" s="1">
        <v>46039</v>
      </c>
      <c r="S48" s="2" t="s">
        <v>174</v>
      </c>
      <c r="T48" s="2" t="s">
        <v>824</v>
      </c>
      <c r="U48" s="2" t="s">
        <v>170</v>
      </c>
      <c r="V48" s="2" t="s">
        <v>171</v>
      </c>
      <c r="W48" s="39" t="s">
        <v>684</v>
      </c>
      <c r="X48" s="2"/>
      <c r="Y48" s="32">
        <f>VLOOKUP(T48,'[1]Query result'!$J:$K,2,0)</f>
        <v>46039</v>
      </c>
      <c r="Z48" s="2">
        <f>VLOOKUP(T48,'[1]Query result'!$J:$W,14,0)</f>
        <v>0</v>
      </c>
      <c r="AA48" s="51">
        <f t="shared" si="41"/>
        <v>95444</v>
      </c>
    </row>
    <row r="49" spans="1:27">
      <c r="A49" s="2" t="s">
        <v>33</v>
      </c>
      <c r="B49" s="2" t="s">
        <v>583</v>
      </c>
      <c r="C49" s="32" t="str">
        <f>VLOOKUP(B49,Validation!A:B,2,0)</f>
        <v>USA</v>
      </c>
      <c r="D49" s="32" t="str">
        <f>VLOOKUP(B49,Validation!A:D,4,0)</f>
        <v>Tanu Arora</v>
      </c>
      <c r="E49" s="32" t="str">
        <f>VLOOKUP(B49,Validation!A:E,5,0)</f>
        <v>Michael Bermingham</v>
      </c>
      <c r="F49" s="32" t="s">
        <v>29</v>
      </c>
      <c r="G49" s="32">
        <f t="shared" si="0"/>
        <v>2025</v>
      </c>
      <c r="H49" s="2" t="s">
        <v>28</v>
      </c>
      <c r="I49" s="2" t="s">
        <v>167</v>
      </c>
      <c r="J49" s="49">
        <f>VLOOKUP(I49,'XE rates'!A:D,4,0)*K49</f>
        <v>2500</v>
      </c>
      <c r="K49" s="64">
        <v>2500</v>
      </c>
      <c r="L49" s="1">
        <v>45992</v>
      </c>
      <c r="M49" s="33" t="str">
        <f t="shared" si="48"/>
        <v>Dec</v>
      </c>
      <c r="N49" s="32">
        <f t="shared" ca="1" si="49"/>
        <v>59</v>
      </c>
      <c r="O49" s="32" t="str">
        <f t="shared" ca="1" si="50"/>
        <v>31-60 days</v>
      </c>
      <c r="P49" s="2" t="s">
        <v>168</v>
      </c>
      <c r="Q49" s="1">
        <v>46025</v>
      </c>
      <c r="R49" s="1">
        <v>46032</v>
      </c>
      <c r="S49" s="2" t="s">
        <v>807</v>
      </c>
      <c r="T49" s="2" t="s">
        <v>825</v>
      </c>
      <c r="U49" s="2" t="s">
        <v>170</v>
      </c>
      <c r="V49" s="2" t="s">
        <v>171</v>
      </c>
      <c r="W49" s="39" t="s">
        <v>684</v>
      </c>
      <c r="X49" s="2"/>
      <c r="Y49" s="32">
        <f>VLOOKUP(T49,'[1]Query result'!$J:$K,2,0)</f>
        <v>46032</v>
      </c>
      <c r="Z49" s="2">
        <f>VLOOKUP(T49,'[1]Query result'!$J:$W,14,0)</f>
        <v>0</v>
      </c>
      <c r="AA49" s="51">
        <f t="shared" si="41"/>
        <v>2500</v>
      </c>
    </row>
    <row r="50" spans="1:27">
      <c r="A50" s="2" t="s">
        <v>33</v>
      </c>
      <c r="B50" s="2" t="s">
        <v>138</v>
      </c>
      <c r="C50" s="32" t="str">
        <f>VLOOKUP(B50,Validation!A:B,2,0)</f>
        <v>USA</v>
      </c>
      <c r="D50" s="32" t="str">
        <f>VLOOKUP(B50,Validation!A:D,4,0)</f>
        <v>Tanu Arora</v>
      </c>
      <c r="E50" s="32" t="str">
        <f>VLOOKUP(B50,Validation!A:E,5,0)</f>
        <v>NA</v>
      </c>
      <c r="F50" s="32" t="s">
        <v>29</v>
      </c>
      <c r="G50" s="32">
        <f t="shared" si="0"/>
        <v>2025</v>
      </c>
      <c r="H50" s="2" t="s">
        <v>28</v>
      </c>
      <c r="I50" s="2" t="s">
        <v>167</v>
      </c>
      <c r="J50" s="49">
        <f>VLOOKUP(I50,'XE rates'!A:D,4,0)*K50</f>
        <v>1.5</v>
      </c>
      <c r="K50" s="64">
        <v>1.5</v>
      </c>
      <c r="L50" s="1">
        <v>45992</v>
      </c>
      <c r="M50" s="33" t="str">
        <f t="shared" si="48"/>
        <v>Dec</v>
      </c>
      <c r="N50" s="32">
        <f t="shared" ca="1" si="49"/>
        <v>59</v>
      </c>
      <c r="O50" s="32" t="str">
        <f t="shared" ca="1" si="50"/>
        <v>31-60 days</v>
      </c>
      <c r="P50" s="2" t="s">
        <v>168</v>
      </c>
      <c r="Q50" s="1">
        <v>46025</v>
      </c>
      <c r="R50" s="1">
        <v>46032</v>
      </c>
      <c r="S50" s="2" t="s">
        <v>807</v>
      </c>
      <c r="T50" s="2" t="s">
        <v>826</v>
      </c>
      <c r="U50" s="2" t="s">
        <v>170</v>
      </c>
      <c r="V50" s="2" t="s">
        <v>171</v>
      </c>
      <c r="W50" s="39" t="s">
        <v>684</v>
      </c>
      <c r="X50" s="2"/>
      <c r="Y50" s="32">
        <f>VLOOKUP(T50,'[1]Query result'!$J:$K,2,0)</f>
        <v>46032</v>
      </c>
      <c r="Z50" s="2">
        <f>VLOOKUP(T50,'[1]Query result'!$J:$W,14,0)</f>
        <v>0</v>
      </c>
      <c r="AA50" s="51">
        <f t="shared" si="41"/>
        <v>1.5</v>
      </c>
    </row>
    <row r="51" spans="1:27">
      <c r="A51" s="2" t="s">
        <v>33</v>
      </c>
      <c r="B51" s="2" t="s">
        <v>819</v>
      </c>
      <c r="C51" s="32" t="str">
        <f>VLOOKUP(B51,Validation!A:B,2,0)</f>
        <v>ME</v>
      </c>
      <c r="D51" s="32" t="str">
        <f>VLOOKUP(B51,Validation!A:D,4,0)</f>
        <v>Jerome Coelho</v>
      </c>
      <c r="E51" s="32" t="str">
        <f>VLOOKUP(B51,Validation!A:E,5,0)</f>
        <v>Winfred</v>
      </c>
      <c r="F51" s="32" t="s">
        <v>29</v>
      </c>
      <c r="G51" s="32">
        <f t="shared" si="0"/>
        <v>2025</v>
      </c>
      <c r="H51" s="2" t="s">
        <v>28</v>
      </c>
      <c r="I51" s="2" t="s">
        <v>167</v>
      </c>
      <c r="J51" s="49">
        <f>VLOOKUP(I51,'XE rates'!A:D,4,0)*K51</f>
        <v>3323</v>
      </c>
      <c r="K51" s="64">
        <v>3323</v>
      </c>
      <c r="L51" s="1">
        <v>45992</v>
      </c>
      <c r="M51" s="33" t="str">
        <f t="shared" si="48"/>
        <v>Dec</v>
      </c>
      <c r="N51" s="32">
        <f t="shared" ca="1" si="49"/>
        <v>59</v>
      </c>
      <c r="O51" s="32" t="str">
        <f t="shared" ca="1" si="50"/>
        <v>31-60 days</v>
      </c>
      <c r="P51" s="2" t="s">
        <v>168</v>
      </c>
      <c r="Q51" s="1">
        <v>46025</v>
      </c>
      <c r="R51" s="1">
        <v>46032</v>
      </c>
      <c r="S51" s="2" t="s">
        <v>807</v>
      </c>
      <c r="T51" s="2" t="s">
        <v>827</v>
      </c>
      <c r="U51" s="2" t="s">
        <v>170</v>
      </c>
      <c r="V51" s="2" t="s">
        <v>171</v>
      </c>
      <c r="W51" s="39" t="s">
        <v>684</v>
      </c>
      <c r="X51" s="2"/>
      <c r="Y51" s="32">
        <f>VLOOKUP(T51,'[1]Query result'!$J:$K,2,0)</f>
        <v>46032</v>
      </c>
      <c r="Z51" s="2">
        <f>VLOOKUP(T51,'[1]Query result'!$J:$W,14,0)</f>
        <v>0</v>
      </c>
      <c r="AA51" s="51">
        <f t="shared" si="41"/>
        <v>3323</v>
      </c>
    </row>
    <row r="52" spans="1:27">
      <c r="A52" s="2" t="s">
        <v>33</v>
      </c>
      <c r="B52" s="2" t="s">
        <v>152</v>
      </c>
      <c r="C52" s="32" t="str">
        <f>VLOOKUP(B52,Validation!A:B,2,0)</f>
        <v>USA</v>
      </c>
      <c r="D52" s="32" t="str">
        <f>VLOOKUP(B52,Validation!A:D,4,0)</f>
        <v>Eduardo Avallone</v>
      </c>
      <c r="E52" s="32" t="str">
        <f>VLOOKUP(B52,Validation!A:E,5,0)</f>
        <v>Michael Bermingham</v>
      </c>
      <c r="F52" s="32" t="s">
        <v>29</v>
      </c>
      <c r="G52" s="32">
        <f t="shared" si="0"/>
        <v>2025</v>
      </c>
      <c r="H52" s="2" t="s">
        <v>28</v>
      </c>
      <c r="I52" s="2" t="s">
        <v>167</v>
      </c>
      <c r="J52" s="49">
        <f>VLOOKUP(I52,'XE rates'!A:D,4,0)*K52</f>
        <v>2500</v>
      </c>
      <c r="K52" s="64">
        <v>2500</v>
      </c>
      <c r="L52" s="1">
        <v>45992</v>
      </c>
      <c r="M52" s="33" t="str">
        <f t="shared" si="48"/>
        <v>Dec</v>
      </c>
      <c r="N52" s="32">
        <f t="shared" ca="1" si="49"/>
        <v>59</v>
      </c>
      <c r="O52" s="32" t="str">
        <f t="shared" ca="1" si="50"/>
        <v>31-60 days</v>
      </c>
      <c r="P52" s="2" t="s">
        <v>168</v>
      </c>
      <c r="Q52" s="1">
        <v>46025</v>
      </c>
      <c r="R52" s="1">
        <v>46032</v>
      </c>
      <c r="S52" s="2" t="s">
        <v>807</v>
      </c>
      <c r="T52" s="2" t="s">
        <v>828</v>
      </c>
      <c r="U52" s="2" t="s">
        <v>170</v>
      </c>
      <c r="V52" s="2" t="s">
        <v>171</v>
      </c>
      <c r="W52" s="39" t="s">
        <v>684</v>
      </c>
      <c r="X52" s="2"/>
      <c r="Y52" s="32">
        <f>VLOOKUP(T52,'[1]Query result'!$J:$K,2,0)</f>
        <v>46032</v>
      </c>
      <c r="Z52" s="2">
        <f>VLOOKUP(T52,'[1]Query result'!$J:$W,14,0)</f>
        <v>0</v>
      </c>
      <c r="AA52" s="51">
        <f t="shared" si="41"/>
        <v>2500</v>
      </c>
    </row>
    <row r="53" spans="1:27" hidden="1">
      <c r="A53" s="2" t="s">
        <v>27</v>
      </c>
      <c r="B53" s="2" t="s">
        <v>705</v>
      </c>
      <c r="C53" s="32" t="str">
        <f>VLOOKUP(B53,Validation!A:B,2,0)</f>
        <v>ME</v>
      </c>
      <c r="D53" s="32" t="str">
        <f>VLOOKUP(B53,Validation!A:D,4,0)</f>
        <v>Jerome Coelho</v>
      </c>
      <c r="E53" s="32" t="str">
        <f>VLOOKUP(B53,Validation!A:E,5,0)</f>
        <v>Ashraf Omran</v>
      </c>
      <c r="F53" s="32" t="s">
        <v>29</v>
      </c>
      <c r="G53" s="32">
        <f t="shared" si="0"/>
        <v>2025</v>
      </c>
      <c r="H53" s="2" t="s">
        <v>28</v>
      </c>
      <c r="I53" s="2" t="s">
        <v>167</v>
      </c>
      <c r="J53" s="49">
        <f>VLOOKUP(I53,'XE rates'!A:D,4,0)*K53</f>
        <v>10</v>
      </c>
      <c r="K53" s="64">
        <v>10</v>
      </c>
      <c r="L53" s="1">
        <v>45962</v>
      </c>
      <c r="M53" s="33" t="str">
        <f t="shared" si="48"/>
        <v>Nov</v>
      </c>
      <c r="N53" s="32">
        <f t="shared" ca="1" si="49"/>
        <v>56</v>
      </c>
      <c r="O53" s="32" t="str">
        <f t="shared" ca="1" si="50"/>
        <v>31-60 days</v>
      </c>
      <c r="P53" s="2" t="s">
        <v>168</v>
      </c>
      <c r="Q53" s="1">
        <v>46028</v>
      </c>
      <c r="R53" s="1">
        <v>46035</v>
      </c>
      <c r="S53" s="2" t="s">
        <v>169</v>
      </c>
      <c r="T53" s="2" t="s">
        <v>829</v>
      </c>
      <c r="U53" s="2" t="s">
        <v>170</v>
      </c>
      <c r="V53" s="2" t="s">
        <v>171</v>
      </c>
      <c r="W53" s="39" t="s">
        <v>861</v>
      </c>
      <c r="X53" s="2"/>
      <c r="Y53" s="32">
        <f>VLOOKUP(T53,'[1]Query result'!$J:$K,2,0)</f>
        <v>46035</v>
      </c>
      <c r="Z53" s="2">
        <f>VLOOKUP(T53,'[1]Query result'!$J:$W,14,0)</f>
        <v>0</v>
      </c>
      <c r="AA53" s="51">
        <f t="shared" si="41"/>
        <v>10</v>
      </c>
    </row>
    <row r="54" spans="1:27" hidden="1">
      <c r="A54" s="2" t="s">
        <v>27</v>
      </c>
      <c r="B54" s="2" t="s">
        <v>56</v>
      </c>
      <c r="C54" s="32" t="str">
        <f>VLOOKUP(B54,Validation!A:B,2,0)</f>
        <v>EU/UK</v>
      </c>
      <c r="D54" s="32" t="str">
        <f>VLOOKUP(B54,Validation!A:D,4,0)</f>
        <v>Sachli Zare</v>
      </c>
      <c r="E54" s="32" t="str">
        <f>VLOOKUP(B54,Validation!A:E,5,0)</f>
        <v>Gitesh Athavale</v>
      </c>
      <c r="F54" s="32" t="s">
        <v>29</v>
      </c>
      <c r="G54" s="32">
        <f t="shared" si="0"/>
        <v>2025</v>
      </c>
      <c r="H54" s="2" t="s">
        <v>28</v>
      </c>
      <c r="I54" s="2" t="s">
        <v>179</v>
      </c>
      <c r="J54" s="49">
        <f>VLOOKUP(I54,'XE rates'!A:D,4,0)*K54</f>
        <v>29.961888386709994</v>
      </c>
      <c r="K54" s="64">
        <v>22.41</v>
      </c>
      <c r="L54" s="1">
        <v>45992</v>
      </c>
      <c r="M54" s="33" t="str">
        <f t="shared" si="48"/>
        <v>Dec</v>
      </c>
      <c r="N54" s="32">
        <f t="shared" ca="1" si="49"/>
        <v>37</v>
      </c>
      <c r="O54" s="32" t="str">
        <f t="shared" ca="1" si="50"/>
        <v>31-60 days</v>
      </c>
      <c r="P54" s="2" t="s">
        <v>168</v>
      </c>
      <c r="Q54" s="1">
        <v>46024</v>
      </c>
      <c r="R54" s="1">
        <v>46054</v>
      </c>
      <c r="S54" s="2" t="s">
        <v>174</v>
      </c>
      <c r="T54" s="2" t="s">
        <v>830</v>
      </c>
      <c r="U54" s="32" t="s">
        <v>170</v>
      </c>
      <c r="V54" s="2" t="s">
        <v>171</v>
      </c>
      <c r="W54" s="39" t="s">
        <v>684</v>
      </c>
      <c r="X54" s="2"/>
      <c r="Y54" s="32">
        <f>VLOOKUP(T54,'[1]Query result'!$J:$K,2,0)</f>
        <v>46054</v>
      </c>
      <c r="Z54" s="2">
        <f>VLOOKUP(T54,'[1]Query result'!$J:$W,14,0)</f>
        <v>0</v>
      </c>
      <c r="AA54" s="51">
        <f t="shared" si="41"/>
        <v>22.41</v>
      </c>
    </row>
    <row r="55" spans="1:27" hidden="1">
      <c r="A55" s="2" t="s">
        <v>27</v>
      </c>
      <c r="B55" s="2" t="s">
        <v>60</v>
      </c>
      <c r="C55" s="32" t="str">
        <f>VLOOKUP(B55,Validation!A:B,2,0)</f>
        <v>USA</v>
      </c>
      <c r="D55" s="32" t="str">
        <f>VLOOKUP(B55,Validation!A:D,4,0)</f>
        <v>NA</v>
      </c>
      <c r="E55" s="32" t="str">
        <f>VLOOKUP(B55,Validation!A:E,5,0)</f>
        <v>Michael Bermingham</v>
      </c>
      <c r="F55" s="32" t="s">
        <v>29</v>
      </c>
      <c r="G55" s="32">
        <f t="shared" si="0"/>
        <v>2025</v>
      </c>
      <c r="H55" s="2" t="s">
        <v>28</v>
      </c>
      <c r="I55" s="2" t="s">
        <v>167</v>
      </c>
      <c r="J55" s="49">
        <f>VLOOKUP(I55,'XE rates'!A:D,4,0)*K55</f>
        <v>2000</v>
      </c>
      <c r="K55" s="64">
        <v>2000</v>
      </c>
      <c r="L55" s="1">
        <v>45992</v>
      </c>
      <c r="M55" s="33" t="str">
        <f t="shared" si="48"/>
        <v>Dec</v>
      </c>
      <c r="N55" s="32">
        <f t="shared" ca="1" si="49"/>
        <v>60</v>
      </c>
      <c r="O55" s="32" t="str">
        <f t="shared" ca="1" si="50"/>
        <v>31-60 days</v>
      </c>
      <c r="P55" s="2" t="s">
        <v>168</v>
      </c>
      <c r="Q55" s="1">
        <v>46024</v>
      </c>
      <c r="R55" s="1">
        <v>46031</v>
      </c>
      <c r="S55" s="2" t="s">
        <v>169</v>
      </c>
      <c r="T55" s="2" t="s">
        <v>831</v>
      </c>
      <c r="U55" s="2" t="s">
        <v>170</v>
      </c>
      <c r="V55" s="2" t="s">
        <v>171</v>
      </c>
      <c r="W55" s="39" t="s">
        <v>684</v>
      </c>
      <c r="X55" s="2"/>
      <c r="Y55" s="32">
        <f>VLOOKUP(T55,'[1]Query result'!$J:$K,2,0)</f>
        <v>46031</v>
      </c>
      <c r="Z55" s="2">
        <f>VLOOKUP(T55,'[1]Query result'!$J:$W,14,0)</f>
        <v>0</v>
      </c>
      <c r="AA55" s="51">
        <f t="shared" si="41"/>
        <v>2000</v>
      </c>
    </row>
    <row r="56" spans="1:27" hidden="1">
      <c r="A56" s="2" t="s">
        <v>27</v>
      </c>
      <c r="B56" s="2" t="s">
        <v>61</v>
      </c>
      <c r="C56" s="32" t="str">
        <f>VLOOKUP(B56,Validation!A:B,2,0)</f>
        <v>APAC</v>
      </c>
      <c r="D56" s="32" t="str">
        <f>VLOOKUP(B56,Validation!A:D,4,0)</f>
        <v>Hao Nguyen</v>
      </c>
      <c r="E56" s="32" t="str">
        <f>VLOOKUP(B56,Validation!A:E,5,0)</f>
        <v>Vinoth M</v>
      </c>
      <c r="F56" s="32" t="s">
        <v>29</v>
      </c>
      <c r="G56" s="32">
        <f t="shared" si="0"/>
        <v>2025</v>
      </c>
      <c r="H56" s="2" t="s">
        <v>28</v>
      </c>
      <c r="I56" s="2" t="s">
        <v>173</v>
      </c>
      <c r="J56" s="49">
        <f>VLOOKUP(I56,'XE rates'!A:D,4,0)*K56</f>
        <v>795.00527809449466</v>
      </c>
      <c r="K56" s="64">
        <v>1187.5180000000037</v>
      </c>
      <c r="L56" s="1">
        <v>45992</v>
      </c>
      <c r="M56" s="33" t="str">
        <f t="shared" si="48"/>
        <v>Dec</v>
      </c>
      <c r="N56" s="32">
        <f t="shared" ca="1" si="49"/>
        <v>33</v>
      </c>
      <c r="O56" s="32" t="str">
        <f t="shared" ca="1" si="50"/>
        <v>31-60 days</v>
      </c>
      <c r="P56" s="2" t="s">
        <v>168</v>
      </c>
      <c r="Q56" s="1">
        <v>46028</v>
      </c>
      <c r="R56" s="1">
        <v>46058</v>
      </c>
      <c r="S56" s="2" t="s">
        <v>174</v>
      </c>
      <c r="T56" s="2" t="s">
        <v>832</v>
      </c>
      <c r="U56" s="32" t="s">
        <v>170</v>
      </c>
      <c r="V56" s="2" t="s">
        <v>171</v>
      </c>
      <c r="W56" s="39" t="s">
        <v>856</v>
      </c>
      <c r="X56" s="2"/>
      <c r="Y56" s="32">
        <f>VLOOKUP(T56,'[1]Query result'!$J:$K,2,0)</f>
        <v>46058</v>
      </c>
      <c r="Z56" s="2">
        <f>VLOOKUP(T56,'[1]Query result'!$J:$W,14,0)</f>
        <v>0</v>
      </c>
      <c r="AA56" s="51">
        <f t="shared" si="41"/>
        <v>1187.5180000000037</v>
      </c>
    </row>
    <row r="57" spans="1:27">
      <c r="A57" s="2" t="s">
        <v>27</v>
      </c>
      <c r="B57" s="2" t="s">
        <v>68</v>
      </c>
      <c r="C57" s="32" t="str">
        <f>VLOOKUP(B57,Validation!A:B,2,0)</f>
        <v>APAC</v>
      </c>
      <c r="D57" s="32" t="str">
        <f>VLOOKUP(B57,Validation!A:D,4,0)</f>
        <v>NA</v>
      </c>
      <c r="E57" s="32" t="str">
        <f>VLOOKUP(B57,Validation!A:E,5,0)</f>
        <v>Gitesh Athavale</v>
      </c>
      <c r="F57" s="32" t="s">
        <v>29</v>
      </c>
      <c r="G57" s="32">
        <f t="shared" si="0"/>
        <v>2025</v>
      </c>
      <c r="H57" s="2" t="s">
        <v>28</v>
      </c>
      <c r="I57" s="2" t="s">
        <v>167</v>
      </c>
      <c r="J57" s="49">
        <f>VLOOKUP(I57,'XE rates'!A:D,4,0)*K57</f>
        <v>2897.79</v>
      </c>
      <c r="K57" s="64">
        <v>2897.79</v>
      </c>
      <c r="L57" s="1">
        <v>45992</v>
      </c>
      <c r="M57" s="33" t="str">
        <f t="shared" si="48"/>
        <v>Dec</v>
      </c>
      <c r="N57" s="32">
        <f t="shared" ca="1" si="49"/>
        <v>57</v>
      </c>
      <c r="O57" s="32" t="str">
        <f t="shared" ca="1" si="50"/>
        <v>31-60 days</v>
      </c>
      <c r="P57" s="2" t="s">
        <v>168</v>
      </c>
      <c r="Q57" s="1">
        <v>46027</v>
      </c>
      <c r="R57" s="1">
        <v>46034</v>
      </c>
      <c r="S57" s="2" t="s">
        <v>169</v>
      </c>
      <c r="T57" s="2" t="s">
        <v>833</v>
      </c>
      <c r="U57" s="2" t="s">
        <v>170</v>
      </c>
      <c r="V57" s="2" t="s">
        <v>171</v>
      </c>
      <c r="W57" s="39" t="s">
        <v>684</v>
      </c>
      <c r="X57" s="2"/>
      <c r="Y57" s="32">
        <f>VLOOKUP(T57,'[1]Query result'!$J:$K,2,0)</f>
        <v>46034</v>
      </c>
      <c r="Z57" s="2"/>
      <c r="AA57" s="51"/>
    </row>
    <row r="58" spans="1:27">
      <c r="A58" s="2" t="s">
        <v>27</v>
      </c>
      <c r="B58" s="2" t="s">
        <v>708</v>
      </c>
      <c r="C58" s="32" t="str">
        <f>VLOOKUP(B58,Validation!A:B,2,0)</f>
        <v>APAC</v>
      </c>
      <c r="D58" s="32" t="str">
        <f>VLOOKUP(B58,Validation!A:D,4,0)</f>
        <v>NA</v>
      </c>
      <c r="E58" s="32" t="str">
        <f>VLOOKUP(B58,Validation!A:E,5,0)</f>
        <v>Denis Tan</v>
      </c>
      <c r="F58" s="32" t="s">
        <v>29</v>
      </c>
      <c r="G58" s="32">
        <f t="shared" ref="G58:G88" si="51">YEAR(L58)</f>
        <v>2025</v>
      </c>
      <c r="H58" s="2" t="s">
        <v>28</v>
      </c>
      <c r="I58" s="2" t="s">
        <v>167</v>
      </c>
      <c r="J58" s="49">
        <f>VLOOKUP(I58,'XE rates'!A:D,4,0)*K58</f>
        <v>1.72</v>
      </c>
      <c r="K58" s="64">
        <v>1.72</v>
      </c>
      <c r="L58" s="1">
        <v>45992</v>
      </c>
      <c r="M58" s="33" t="str">
        <f t="shared" si="48"/>
        <v>Dec</v>
      </c>
      <c r="N58" s="32">
        <f t="shared" ca="1" si="49"/>
        <v>57</v>
      </c>
      <c r="O58" s="32" t="str">
        <f t="shared" ca="1" si="50"/>
        <v>31-60 days</v>
      </c>
      <c r="P58" s="2" t="s">
        <v>168</v>
      </c>
      <c r="Q58" s="1">
        <v>46027</v>
      </c>
      <c r="R58" s="1">
        <v>46034</v>
      </c>
      <c r="S58" s="2" t="s">
        <v>169</v>
      </c>
      <c r="T58" s="2" t="s">
        <v>834</v>
      </c>
      <c r="U58" s="2" t="s">
        <v>170</v>
      </c>
      <c r="V58" s="2" t="s">
        <v>171</v>
      </c>
      <c r="W58" s="39" t="s">
        <v>684</v>
      </c>
      <c r="X58" s="2"/>
      <c r="Y58" s="32">
        <f>VLOOKUP(T58,'[1]Query result'!$J:$K,2,0)</f>
        <v>46034</v>
      </c>
      <c r="Z58" s="2">
        <f>VLOOKUP(T58,'[1]Query result'!$J:$W,14,0)</f>
        <v>0</v>
      </c>
      <c r="AA58" s="51">
        <f t="shared" si="41"/>
        <v>1.72</v>
      </c>
    </row>
    <row r="59" spans="1:27" hidden="1">
      <c r="A59" s="2" t="s">
        <v>27</v>
      </c>
      <c r="B59" s="2" t="s">
        <v>615</v>
      </c>
      <c r="C59" s="32" t="str">
        <f>VLOOKUP(B59,Validation!A:B,2,0)</f>
        <v>APAC</v>
      </c>
      <c r="D59" s="32" t="str">
        <f>VLOOKUP(B59,Validation!A:D,4,0)</f>
        <v>NA</v>
      </c>
      <c r="E59" s="32" t="str">
        <f>VLOOKUP(B59,Validation!A:E,5,0)</f>
        <v>Edward Li</v>
      </c>
      <c r="F59" s="32" t="s">
        <v>29</v>
      </c>
      <c r="G59" s="32">
        <f t="shared" si="51"/>
        <v>2025</v>
      </c>
      <c r="H59" s="2" t="s">
        <v>28</v>
      </c>
      <c r="I59" s="2" t="s">
        <v>167</v>
      </c>
      <c r="J59" s="49">
        <f>VLOOKUP(I59,'XE rates'!A:D,4,0)*K59</f>
        <v>1184.1099999999999</v>
      </c>
      <c r="K59" s="64">
        <v>1184.1099999999999</v>
      </c>
      <c r="L59" s="1">
        <v>45992</v>
      </c>
      <c r="M59" s="33" t="str">
        <f t="shared" si="48"/>
        <v>Dec</v>
      </c>
      <c r="N59" s="32">
        <f t="shared" ca="1" si="49"/>
        <v>60</v>
      </c>
      <c r="O59" s="32" t="str">
        <f t="shared" ca="1" si="50"/>
        <v>31-60 days</v>
      </c>
      <c r="P59" s="2" t="s">
        <v>168</v>
      </c>
      <c r="Q59" s="1">
        <v>46024</v>
      </c>
      <c r="R59" s="1">
        <v>46031</v>
      </c>
      <c r="S59" s="2" t="s">
        <v>169</v>
      </c>
      <c r="T59" s="2" t="s">
        <v>835</v>
      </c>
      <c r="U59" s="2" t="s">
        <v>170</v>
      </c>
      <c r="V59" s="2" t="s">
        <v>171</v>
      </c>
      <c r="W59" s="39" t="s">
        <v>684</v>
      </c>
      <c r="X59" s="2"/>
      <c r="Y59" s="32">
        <f>VLOOKUP(T59,'[1]Query result'!$J:$K,2,0)</f>
        <v>46031</v>
      </c>
      <c r="Z59" s="2">
        <f>VLOOKUP(T59,'[1]Query result'!$J:$W,14,0)</f>
        <v>0</v>
      </c>
      <c r="AA59" s="51">
        <f t="shared" si="41"/>
        <v>1184.1099999999999</v>
      </c>
    </row>
    <row r="60" spans="1:27" hidden="1">
      <c r="A60" s="2" t="s">
        <v>27</v>
      </c>
      <c r="B60" s="2" t="s">
        <v>76</v>
      </c>
      <c r="C60" s="32" t="str">
        <f>VLOOKUP(B60,Validation!A:B,2,0)</f>
        <v>APAC</v>
      </c>
      <c r="D60" s="32" t="str">
        <f>VLOOKUP(B60,Validation!A:D,4,0)</f>
        <v>Pat Sarisa</v>
      </c>
      <c r="E60" s="32" t="str">
        <f>VLOOKUP(B60,Validation!A:E,5,0)</f>
        <v>Gitesh Athavale</v>
      </c>
      <c r="F60" s="32" t="s">
        <v>29</v>
      </c>
      <c r="G60" s="32">
        <f t="shared" si="51"/>
        <v>2025</v>
      </c>
      <c r="H60" s="2" t="s">
        <v>28</v>
      </c>
      <c r="I60" s="2" t="s">
        <v>167</v>
      </c>
      <c r="J60" s="49">
        <f>VLOOKUP(I60,'XE rates'!A:D,4,0)*K60</f>
        <v>44332.25</v>
      </c>
      <c r="K60" s="64">
        <v>44332.25</v>
      </c>
      <c r="L60" s="1">
        <v>45992</v>
      </c>
      <c r="M60" s="33" t="str">
        <f t="shared" si="48"/>
        <v>Dec</v>
      </c>
      <c r="N60" s="32">
        <f t="shared" ca="1" si="49"/>
        <v>56</v>
      </c>
      <c r="O60" s="32" t="str">
        <f t="shared" ca="1" si="50"/>
        <v>31-60 days</v>
      </c>
      <c r="P60" s="2" t="s">
        <v>168</v>
      </c>
      <c r="Q60" s="1">
        <v>46028</v>
      </c>
      <c r="R60" s="1">
        <v>46035</v>
      </c>
      <c r="S60" s="2" t="s">
        <v>169</v>
      </c>
      <c r="T60" s="2" t="s">
        <v>836</v>
      </c>
      <c r="U60" s="2" t="s">
        <v>170</v>
      </c>
      <c r="V60" s="2" t="s">
        <v>171</v>
      </c>
      <c r="W60" s="39" t="s">
        <v>684</v>
      </c>
      <c r="X60" s="2"/>
      <c r="Y60" s="32">
        <f>VLOOKUP(T60,'[1]Query result'!$J:$K,2,0)</f>
        <v>46035</v>
      </c>
      <c r="Z60" s="2">
        <f>VLOOKUP(T60,'[1]Query result'!$J:$W,14,0)</f>
        <v>0</v>
      </c>
      <c r="AA60" s="51">
        <f t="shared" si="41"/>
        <v>44332.25</v>
      </c>
    </row>
    <row r="61" spans="1:27" hidden="1">
      <c r="A61" s="2" t="s">
        <v>27</v>
      </c>
      <c r="B61" s="2" t="s">
        <v>594</v>
      </c>
      <c r="C61" s="32" t="str">
        <f>VLOOKUP(B61,Validation!A:B,2,0)</f>
        <v>USA</v>
      </c>
      <c r="D61" s="32" t="str">
        <f>VLOOKUP(B61,Validation!A:D,4,0)</f>
        <v>Eduardo Avallone</v>
      </c>
      <c r="E61" s="32" t="str">
        <f>VLOOKUP(B61,Validation!A:E,5,0)</f>
        <v>Greg McAllister</v>
      </c>
      <c r="F61" s="32" t="s">
        <v>29</v>
      </c>
      <c r="G61" s="32">
        <f t="shared" si="51"/>
        <v>2025</v>
      </c>
      <c r="H61" s="2" t="s">
        <v>28</v>
      </c>
      <c r="I61" s="2" t="s">
        <v>167</v>
      </c>
      <c r="J61" s="49">
        <f>VLOOKUP(I61,'XE rates'!A:D,4,0)*K61</f>
        <v>100</v>
      </c>
      <c r="K61" s="64">
        <v>100</v>
      </c>
      <c r="L61" s="1">
        <v>45992</v>
      </c>
      <c r="M61" s="33" t="str">
        <f t="shared" si="48"/>
        <v>Dec</v>
      </c>
      <c r="N61" s="32">
        <f t="shared" ca="1" si="49"/>
        <v>60</v>
      </c>
      <c r="O61" s="32" t="str">
        <f t="shared" ca="1" si="50"/>
        <v>31-60 days</v>
      </c>
      <c r="P61" s="2" t="s">
        <v>168</v>
      </c>
      <c r="Q61" s="1">
        <v>46024</v>
      </c>
      <c r="R61" s="1">
        <v>46031</v>
      </c>
      <c r="S61" s="2" t="s">
        <v>169</v>
      </c>
      <c r="T61" s="2" t="s">
        <v>837</v>
      </c>
      <c r="U61" s="2" t="s">
        <v>170</v>
      </c>
      <c r="V61" s="2" t="s">
        <v>171</v>
      </c>
      <c r="W61" s="39" t="s">
        <v>684</v>
      </c>
      <c r="X61" s="2"/>
      <c r="Y61" s="32">
        <f>VLOOKUP(T61,'[1]Query result'!$J:$K,2,0)</f>
        <v>46031</v>
      </c>
      <c r="Z61" s="2">
        <f>VLOOKUP(T61,'[1]Query result'!$J:$W,14,0)</f>
        <v>0</v>
      </c>
      <c r="AA61" s="51">
        <f t="shared" si="41"/>
        <v>100</v>
      </c>
    </row>
    <row r="62" spans="1:27">
      <c r="A62" s="2" t="s">
        <v>27</v>
      </c>
      <c r="B62" s="2" t="s">
        <v>697</v>
      </c>
      <c r="C62" s="32" t="str">
        <f>VLOOKUP(B62,Validation!A:B,2,0)</f>
        <v>APAC</v>
      </c>
      <c r="D62" s="32" t="str">
        <f>VLOOKUP(B62,Validation!A:D,4,0)</f>
        <v>NA</v>
      </c>
      <c r="E62" s="32" t="str">
        <f>VLOOKUP(B62,Validation!A:E,5,0)</f>
        <v>Febriali Tan</v>
      </c>
      <c r="F62" s="32" t="s">
        <v>29</v>
      </c>
      <c r="G62" s="32">
        <f t="shared" si="51"/>
        <v>2025</v>
      </c>
      <c r="H62" s="2" t="s">
        <v>28</v>
      </c>
      <c r="I62" s="2" t="s">
        <v>167</v>
      </c>
      <c r="J62" s="49">
        <f>VLOOKUP(I62,'XE rates'!A:D,4,0)*K62</f>
        <v>7</v>
      </c>
      <c r="K62" s="64">
        <v>7</v>
      </c>
      <c r="L62" s="1">
        <v>45992</v>
      </c>
      <c r="M62" s="33" t="str">
        <f t="shared" si="48"/>
        <v>Dec</v>
      </c>
      <c r="N62" s="32">
        <f t="shared" ca="1" si="49"/>
        <v>57</v>
      </c>
      <c r="O62" s="32" t="str">
        <f t="shared" ca="1" si="50"/>
        <v>31-60 days</v>
      </c>
      <c r="P62" s="2" t="s">
        <v>168</v>
      </c>
      <c r="Q62" s="1">
        <v>46027</v>
      </c>
      <c r="R62" s="1">
        <v>46034</v>
      </c>
      <c r="S62" s="2" t="s">
        <v>169</v>
      </c>
      <c r="T62" s="2" t="s">
        <v>838</v>
      </c>
      <c r="U62" s="2" t="s">
        <v>170</v>
      </c>
      <c r="V62" s="2" t="s">
        <v>171</v>
      </c>
      <c r="W62" s="39" t="s">
        <v>684</v>
      </c>
      <c r="X62" s="2"/>
      <c r="Y62" s="32">
        <f>VLOOKUP(T62,'[1]Query result'!$J:$K,2,0)</f>
        <v>46034</v>
      </c>
      <c r="Z62" s="2">
        <f>VLOOKUP(T62,'[1]Query result'!$J:$W,14,0)</f>
        <v>0</v>
      </c>
      <c r="AA62" s="51">
        <f t="shared" si="41"/>
        <v>7</v>
      </c>
    </row>
    <row r="63" spans="1:27" hidden="1">
      <c r="A63" s="2" t="s">
        <v>27</v>
      </c>
      <c r="B63" s="2" t="s">
        <v>820</v>
      </c>
      <c r="C63" s="32" t="str">
        <f>VLOOKUP(B63,Validation!A:B,2,0)</f>
        <v>APAC</v>
      </c>
      <c r="D63" s="32" t="str">
        <f>VLOOKUP(B63,Validation!A:D,4,0)</f>
        <v>NA</v>
      </c>
      <c r="E63" s="32" t="str">
        <f>VLOOKUP(B63,Validation!A:E,5,0)</f>
        <v>Febriali Tan</v>
      </c>
      <c r="F63" s="32" t="s">
        <v>29</v>
      </c>
      <c r="G63" s="32">
        <f t="shared" si="51"/>
        <v>2025</v>
      </c>
      <c r="H63" s="2" t="s">
        <v>28</v>
      </c>
      <c r="I63" s="2" t="s">
        <v>167</v>
      </c>
      <c r="J63" s="49">
        <f>VLOOKUP(I63,'XE rates'!A:D,4,0)*K63</f>
        <v>2000</v>
      </c>
      <c r="K63" s="64">
        <v>2000</v>
      </c>
      <c r="L63" s="1">
        <v>45992</v>
      </c>
      <c r="M63" s="33" t="str">
        <f t="shared" si="48"/>
        <v>Dec</v>
      </c>
      <c r="N63" s="32">
        <f t="shared" ca="1" si="49"/>
        <v>56</v>
      </c>
      <c r="O63" s="32" t="str">
        <f t="shared" ca="1" si="50"/>
        <v>31-60 days</v>
      </c>
      <c r="P63" s="2" t="s">
        <v>168</v>
      </c>
      <c r="Q63" s="1">
        <v>46028</v>
      </c>
      <c r="R63" s="1">
        <v>46035</v>
      </c>
      <c r="S63" s="2" t="s">
        <v>169</v>
      </c>
      <c r="T63" s="2" t="s">
        <v>839</v>
      </c>
      <c r="U63" s="2" t="s">
        <v>170</v>
      </c>
      <c r="V63" s="2" t="s">
        <v>171</v>
      </c>
      <c r="W63" s="39" t="s">
        <v>684</v>
      </c>
      <c r="X63" s="2"/>
      <c r="Y63" s="32">
        <f>VLOOKUP(T63,'[1]Query result'!$J:$K,2,0)</f>
        <v>46035</v>
      </c>
      <c r="Z63" s="2">
        <f>VLOOKUP(T63,'[1]Query result'!$J:$W,14,0)</f>
        <v>0</v>
      </c>
      <c r="AA63" s="51">
        <f t="shared" si="41"/>
        <v>2000</v>
      </c>
    </row>
    <row r="64" spans="1:27">
      <c r="A64" s="2" t="s">
        <v>27</v>
      </c>
      <c r="B64" s="2" t="s">
        <v>617</v>
      </c>
      <c r="C64" s="32" t="str">
        <f>VLOOKUP(B64,Validation!A:B,2,0)</f>
        <v>ME</v>
      </c>
      <c r="D64" s="32" t="str">
        <f>VLOOKUP(B64,Validation!A:D,4,0)</f>
        <v>Jerome Coelho</v>
      </c>
      <c r="E64" s="32" t="str">
        <f>VLOOKUP(B64,Validation!A:E,5,0)</f>
        <v>Ashraf Omran</v>
      </c>
      <c r="F64" s="32" t="s">
        <v>29</v>
      </c>
      <c r="G64" s="32">
        <f t="shared" si="51"/>
        <v>2025</v>
      </c>
      <c r="H64" s="2" t="s">
        <v>28</v>
      </c>
      <c r="I64" s="2" t="s">
        <v>167</v>
      </c>
      <c r="J64" s="49">
        <f>VLOOKUP(I64,'XE rates'!A:D,4,0)*K64</f>
        <v>2500</v>
      </c>
      <c r="K64" s="64">
        <v>2500</v>
      </c>
      <c r="L64" s="1">
        <v>45992</v>
      </c>
      <c r="M64" s="33" t="str">
        <f t="shared" si="48"/>
        <v>Dec</v>
      </c>
      <c r="N64" s="32">
        <f t="shared" ca="1" si="49"/>
        <v>57</v>
      </c>
      <c r="O64" s="32" t="str">
        <f t="shared" ca="1" si="50"/>
        <v>31-60 days</v>
      </c>
      <c r="P64" s="2" t="s">
        <v>168</v>
      </c>
      <c r="Q64" s="1">
        <v>46027</v>
      </c>
      <c r="R64" s="1">
        <v>46034</v>
      </c>
      <c r="S64" s="2" t="s">
        <v>808</v>
      </c>
      <c r="T64" s="2" t="s">
        <v>840</v>
      </c>
      <c r="U64" s="2" t="s">
        <v>170</v>
      </c>
      <c r="V64" s="2" t="s">
        <v>171</v>
      </c>
      <c r="W64" s="39" t="s">
        <v>684</v>
      </c>
      <c r="X64" s="2"/>
      <c r="Y64" s="32">
        <f>VLOOKUP(T64,'[1]Query result'!$J:$K,2,0)</f>
        <v>46034</v>
      </c>
      <c r="Z64" s="2">
        <f>VLOOKUP(T64,'[1]Query result'!$J:$W,14,0)</f>
        <v>0</v>
      </c>
      <c r="AA64" s="51">
        <f t="shared" si="41"/>
        <v>2500</v>
      </c>
    </row>
    <row r="65" spans="1:27">
      <c r="A65" s="2" t="s">
        <v>27</v>
      </c>
      <c r="B65" s="2" t="s">
        <v>728</v>
      </c>
      <c r="C65" s="32" t="str">
        <f>VLOOKUP(B65,Validation!A:B,2,0)</f>
        <v>EU/UK</v>
      </c>
      <c r="D65" s="32" t="str">
        <f>VLOOKUP(B65,Validation!A:D,4,0)</f>
        <v>Sachli Zare</v>
      </c>
      <c r="E65" s="32" t="str">
        <f>VLOOKUP(B65,Validation!A:E,5,0)</f>
        <v>NA</v>
      </c>
      <c r="F65" s="32" t="s">
        <v>29</v>
      </c>
      <c r="G65" s="32">
        <f t="shared" si="51"/>
        <v>2025</v>
      </c>
      <c r="H65" s="2" t="s">
        <v>28</v>
      </c>
      <c r="I65" s="2" t="s">
        <v>167</v>
      </c>
      <c r="J65" s="49">
        <f>VLOOKUP(I65,'XE rates'!A:D,4,0)*K65</f>
        <v>2.5</v>
      </c>
      <c r="K65" s="64">
        <v>2.5</v>
      </c>
      <c r="L65" s="1">
        <v>45992</v>
      </c>
      <c r="M65" s="33" t="str">
        <f t="shared" si="48"/>
        <v>Dec</v>
      </c>
      <c r="N65" s="32">
        <f t="shared" ca="1" si="49"/>
        <v>57</v>
      </c>
      <c r="O65" s="32" t="str">
        <f t="shared" ca="1" si="50"/>
        <v>31-60 days</v>
      </c>
      <c r="P65" s="2" t="s">
        <v>168</v>
      </c>
      <c r="Q65" s="1">
        <v>46027</v>
      </c>
      <c r="R65" s="1">
        <v>46034</v>
      </c>
      <c r="S65" s="2" t="s">
        <v>169</v>
      </c>
      <c r="T65" s="2" t="s">
        <v>841</v>
      </c>
      <c r="U65" s="2" t="s">
        <v>170</v>
      </c>
      <c r="V65" s="2" t="s">
        <v>171</v>
      </c>
      <c r="W65" s="39" t="s">
        <v>784</v>
      </c>
      <c r="X65" s="2"/>
      <c r="Y65" s="32">
        <f>VLOOKUP(T65,'[1]Query result'!$J:$K,2,0)</f>
        <v>46034</v>
      </c>
      <c r="Z65" s="2">
        <f>VLOOKUP(T65,'[1]Query result'!$J:$W,14,0)</f>
        <v>0</v>
      </c>
      <c r="AA65" s="51">
        <f t="shared" si="41"/>
        <v>2.5</v>
      </c>
    </row>
    <row r="66" spans="1:27">
      <c r="A66" s="2" t="s">
        <v>27</v>
      </c>
      <c r="B66" s="2" t="s">
        <v>619</v>
      </c>
      <c r="C66" s="32" t="str">
        <f>VLOOKUP(B66,Validation!A:B,2,0)</f>
        <v>USA</v>
      </c>
      <c r="D66" s="32" t="str">
        <f>VLOOKUP(B66,Validation!A:D,4,0)</f>
        <v>Eduardo Avallone</v>
      </c>
      <c r="E66" s="32" t="str">
        <f>VLOOKUP(B66,Validation!A:E,5,0)</f>
        <v>Christina Hutchinson</v>
      </c>
      <c r="F66" s="32" t="s">
        <v>29</v>
      </c>
      <c r="G66" s="32">
        <f t="shared" si="51"/>
        <v>2025</v>
      </c>
      <c r="H66" s="2" t="s">
        <v>28</v>
      </c>
      <c r="I66" s="2" t="s">
        <v>167</v>
      </c>
      <c r="J66" s="49">
        <f>VLOOKUP(I66,'XE rates'!A:D,4,0)*K66</f>
        <v>1659.6200000000001</v>
      </c>
      <c r="K66" s="64">
        <v>1659.6200000000001</v>
      </c>
      <c r="L66" s="1">
        <v>45992</v>
      </c>
      <c r="M66" s="33" t="str">
        <f t="shared" si="48"/>
        <v>Dec</v>
      </c>
      <c r="N66" s="32">
        <f t="shared" ca="1" si="49"/>
        <v>57</v>
      </c>
      <c r="O66" s="32" t="str">
        <f t="shared" ca="1" si="50"/>
        <v>31-60 days</v>
      </c>
      <c r="P66" s="2" t="s">
        <v>168</v>
      </c>
      <c r="Q66" s="1">
        <v>46027</v>
      </c>
      <c r="R66" s="1">
        <v>46034</v>
      </c>
      <c r="S66" s="2" t="s">
        <v>169</v>
      </c>
      <c r="T66" s="2" t="s">
        <v>842</v>
      </c>
      <c r="U66" s="2" t="s">
        <v>170</v>
      </c>
      <c r="V66" s="2" t="s">
        <v>171</v>
      </c>
      <c r="W66" s="32" t="s">
        <v>785</v>
      </c>
      <c r="X66" s="2"/>
      <c r="Y66" s="32">
        <f>VLOOKUP(T66,'[1]Query result'!$J:$K,2,0)</f>
        <v>46034</v>
      </c>
      <c r="Z66" s="2">
        <f>VLOOKUP(T66,'[1]Query result'!$J:$W,14,0)</f>
        <v>0</v>
      </c>
      <c r="AA66" s="51">
        <f t="shared" si="41"/>
        <v>1659.6200000000001</v>
      </c>
    </row>
    <row r="67" spans="1:27">
      <c r="A67" s="2" t="s">
        <v>27</v>
      </c>
      <c r="B67" s="2" t="s">
        <v>763</v>
      </c>
      <c r="C67" s="32" t="str">
        <f>VLOOKUP(B67,Validation!A:B,2,0)</f>
        <v>APAC</v>
      </c>
      <c r="D67" s="32" t="str">
        <f>VLOOKUP(B67,Validation!A:D,4,0)</f>
        <v>Shi Yin</v>
      </c>
      <c r="E67" s="32" t="str">
        <f>VLOOKUP(B67,Validation!A:E,5,0)</f>
        <v>Vinoth M</v>
      </c>
      <c r="F67" s="32" t="s">
        <v>29</v>
      </c>
      <c r="G67" s="32">
        <f t="shared" si="51"/>
        <v>2025</v>
      </c>
      <c r="H67" s="2" t="s">
        <v>28</v>
      </c>
      <c r="I67" s="2" t="s">
        <v>167</v>
      </c>
      <c r="J67" s="49">
        <f>VLOOKUP(I67,'XE rates'!A:D,4,0)*K67</f>
        <v>2034</v>
      </c>
      <c r="K67" s="64">
        <v>2034</v>
      </c>
      <c r="L67" s="1">
        <v>45992</v>
      </c>
      <c r="M67" s="33" t="str">
        <f t="shared" ref="M67:M72" si="52">TEXT(L67,"mmm")</f>
        <v>Dec</v>
      </c>
      <c r="N67" s="32">
        <f t="shared" ref="N67:N72" ca="1" si="53">$Y$1-R67</f>
        <v>57</v>
      </c>
      <c r="O67" s="32" t="str">
        <f t="shared" ref="O67:O72" ca="1" si="54">IF(N67&lt;=30, "0-30 days", IF(N67&lt;=60, "31-60 days", IF(N67&lt;=90, "61-90 days", "Over 90+ days")))</f>
        <v>31-60 days</v>
      </c>
      <c r="P67" s="2" t="s">
        <v>168</v>
      </c>
      <c r="Q67" s="1">
        <v>46027</v>
      </c>
      <c r="R67" s="1">
        <v>46034</v>
      </c>
      <c r="S67" s="2" t="s">
        <v>169</v>
      </c>
      <c r="T67" s="2" t="s">
        <v>843</v>
      </c>
      <c r="U67" s="2" t="s">
        <v>170</v>
      </c>
      <c r="V67" s="2" t="s">
        <v>171</v>
      </c>
      <c r="W67" s="39" t="s">
        <v>684</v>
      </c>
      <c r="X67" s="2"/>
      <c r="Y67" s="32">
        <f>VLOOKUP(T67,'[1]Query result'!$J:$K,2,0)</f>
        <v>46034</v>
      </c>
      <c r="Z67" s="2">
        <f>VLOOKUP(T67,'[1]Query result'!$J:$W,14,0)</f>
        <v>0</v>
      </c>
      <c r="AA67" s="51">
        <f t="shared" si="41"/>
        <v>2034</v>
      </c>
    </row>
    <row r="68" spans="1:27">
      <c r="A68" s="2" t="s">
        <v>27</v>
      </c>
      <c r="B68" s="2" t="s">
        <v>685</v>
      </c>
      <c r="C68" s="32" t="str">
        <f>VLOOKUP(B68,Validation!A:B,2,0)</f>
        <v>ME</v>
      </c>
      <c r="D68" s="32" t="str">
        <f>VLOOKUP(B68,Validation!A:D,4,0)</f>
        <v>Jerome Coelho</v>
      </c>
      <c r="E68" s="32" t="str">
        <f>VLOOKUP(B68,Validation!A:E,5,0)</f>
        <v>Winfred</v>
      </c>
      <c r="F68" s="32" t="s">
        <v>29</v>
      </c>
      <c r="G68" s="32">
        <f t="shared" si="51"/>
        <v>2025</v>
      </c>
      <c r="H68" s="2" t="s">
        <v>28</v>
      </c>
      <c r="I68" s="2" t="s">
        <v>167</v>
      </c>
      <c r="J68" s="49">
        <f>VLOOKUP(I68,'XE rates'!A:D,4,0)*K68</f>
        <v>3025</v>
      </c>
      <c r="K68" s="64">
        <v>3025</v>
      </c>
      <c r="L68" s="1">
        <v>45992</v>
      </c>
      <c r="M68" s="33" t="str">
        <f t="shared" si="52"/>
        <v>Dec</v>
      </c>
      <c r="N68" s="32">
        <f t="shared" ca="1" si="53"/>
        <v>57</v>
      </c>
      <c r="O68" s="32" t="str">
        <f t="shared" ca="1" si="54"/>
        <v>31-60 days</v>
      </c>
      <c r="P68" s="2" t="s">
        <v>168</v>
      </c>
      <c r="Q68" s="1">
        <v>46027</v>
      </c>
      <c r="R68" s="1">
        <v>46034</v>
      </c>
      <c r="S68" s="2" t="s">
        <v>169</v>
      </c>
      <c r="T68" s="2" t="s">
        <v>844</v>
      </c>
      <c r="U68" s="2" t="s">
        <v>170</v>
      </c>
      <c r="V68" s="2" t="s">
        <v>171</v>
      </c>
      <c r="W68" s="39" t="s">
        <v>684</v>
      </c>
      <c r="X68" s="2"/>
      <c r="Y68" s="32">
        <f>VLOOKUP(T68,'[1]Query result'!$J:$K,2,0)</f>
        <v>46034</v>
      </c>
      <c r="Z68" s="2">
        <f>VLOOKUP(T68,'[1]Query result'!$J:$W,14,0)</f>
        <v>0</v>
      </c>
      <c r="AA68" s="51">
        <f t="shared" si="41"/>
        <v>3025</v>
      </c>
    </row>
    <row r="69" spans="1:27" hidden="1">
      <c r="A69" s="2" t="s">
        <v>27</v>
      </c>
      <c r="B69" s="2" t="s">
        <v>130</v>
      </c>
      <c r="C69" s="32" t="str">
        <f>VLOOKUP(B69,Validation!A:B,2,0)</f>
        <v>APAC</v>
      </c>
      <c r="D69" s="32" t="str">
        <f>VLOOKUP(B69,Validation!A:D,4,0)</f>
        <v>Shi Yin</v>
      </c>
      <c r="E69" s="32" t="str">
        <f>VLOOKUP(B69,Validation!A:E,5,0)</f>
        <v>Gitesh Athavale</v>
      </c>
      <c r="F69" s="32" t="s">
        <v>29</v>
      </c>
      <c r="G69" s="32">
        <f t="shared" si="51"/>
        <v>2025</v>
      </c>
      <c r="H69" s="2" t="s">
        <v>28</v>
      </c>
      <c r="I69" s="2" t="s">
        <v>172</v>
      </c>
      <c r="J69" s="49">
        <f>VLOOKUP(I69,'XE rates'!A:D,4,0)*K69</f>
        <v>55032.238341047159</v>
      </c>
      <c r="K69" s="64">
        <v>70849.935790000003</v>
      </c>
      <c r="L69" s="1">
        <v>45992</v>
      </c>
      <c r="M69" s="33" t="str">
        <f t="shared" si="52"/>
        <v>Dec</v>
      </c>
      <c r="N69" s="32">
        <f t="shared" ca="1" si="53"/>
        <v>32</v>
      </c>
      <c r="O69" s="32" t="str">
        <f t="shared" ca="1" si="54"/>
        <v>31-60 days</v>
      </c>
      <c r="P69" s="2" t="s">
        <v>168</v>
      </c>
      <c r="Q69" s="1">
        <v>46029</v>
      </c>
      <c r="R69" s="1">
        <v>46059</v>
      </c>
      <c r="S69" s="2" t="s">
        <v>174</v>
      </c>
      <c r="T69" s="2" t="s">
        <v>847</v>
      </c>
      <c r="U69" s="32" t="s">
        <v>170</v>
      </c>
      <c r="V69" s="2" t="s">
        <v>171</v>
      </c>
      <c r="W69" s="39" t="s">
        <v>783</v>
      </c>
      <c r="X69" s="2"/>
      <c r="Y69" s="32">
        <f>VLOOKUP(T69,'[1]Query result'!$J:$K,2,0)</f>
        <v>46059</v>
      </c>
      <c r="Z69" s="2">
        <f>VLOOKUP(T69,'[1]Query result'!$J:$W,14,0)</f>
        <v>0</v>
      </c>
      <c r="AA69" s="51">
        <f t="shared" si="41"/>
        <v>70849.935790000003</v>
      </c>
    </row>
    <row r="70" spans="1:27" hidden="1">
      <c r="A70" s="2" t="s">
        <v>27</v>
      </c>
      <c r="B70" s="2" t="s">
        <v>682</v>
      </c>
      <c r="C70" s="32" t="str">
        <f>VLOOKUP(B70,Validation!A:B,2,0)</f>
        <v>APAC</v>
      </c>
      <c r="D70" s="32" t="str">
        <f>VLOOKUP(B70,Validation!A:D,4,0)</f>
        <v>Hao Nguyen</v>
      </c>
      <c r="E70" s="32" t="str">
        <f>VLOOKUP(B70,Validation!A:E,5,0)</f>
        <v>NA</v>
      </c>
      <c r="F70" s="32" t="s">
        <v>29</v>
      </c>
      <c r="G70" s="32">
        <f t="shared" si="51"/>
        <v>2025</v>
      </c>
      <c r="H70" s="2" t="s">
        <v>28</v>
      </c>
      <c r="I70" s="2" t="s">
        <v>173</v>
      </c>
      <c r="J70" s="49">
        <f>VLOOKUP(I70,'XE rates'!A:D,4,0)*K70</f>
        <v>7513.7564807912822</v>
      </c>
      <c r="K70" s="64">
        <v>11223.473999999998</v>
      </c>
      <c r="L70" s="1">
        <v>45992</v>
      </c>
      <c r="M70" s="33" t="str">
        <f t="shared" si="52"/>
        <v>Dec</v>
      </c>
      <c r="N70" s="32">
        <f t="shared" ca="1" si="53"/>
        <v>56</v>
      </c>
      <c r="O70" s="32" t="str">
        <f t="shared" ca="1" si="54"/>
        <v>31-60 days</v>
      </c>
      <c r="P70" s="2" t="s">
        <v>168</v>
      </c>
      <c r="Q70" s="1">
        <v>46028</v>
      </c>
      <c r="R70" s="1">
        <v>46035</v>
      </c>
      <c r="S70" s="2" t="s">
        <v>169</v>
      </c>
      <c r="T70" s="2" t="s">
        <v>848</v>
      </c>
      <c r="U70" s="2" t="s">
        <v>170</v>
      </c>
      <c r="V70" s="2" t="s">
        <v>171</v>
      </c>
      <c r="W70" s="39" t="s">
        <v>684</v>
      </c>
      <c r="X70" s="2"/>
      <c r="Y70" s="32">
        <f>VLOOKUP(T70,'[1]Query result'!$J:$K,2,0)</f>
        <v>46035</v>
      </c>
      <c r="Z70" s="2">
        <f>VLOOKUP(T70,'[1]Query result'!$J:$W,14,0)</f>
        <v>0</v>
      </c>
      <c r="AA70" s="51">
        <f t="shared" si="41"/>
        <v>11223.473999999998</v>
      </c>
    </row>
    <row r="71" spans="1:27" hidden="1">
      <c r="A71" s="2" t="s">
        <v>27</v>
      </c>
      <c r="B71" s="2" t="s">
        <v>151</v>
      </c>
      <c r="C71" s="32" t="str">
        <f>VLOOKUP(B71,Validation!A:B,2,0)</f>
        <v>APAC</v>
      </c>
      <c r="D71" s="32" t="str">
        <f>VLOOKUP(B71,Validation!A:D,4,0)</f>
        <v>Hao Nguyen</v>
      </c>
      <c r="E71" s="32" t="str">
        <f>VLOOKUP(B71,Validation!A:E,5,0)</f>
        <v>NA</v>
      </c>
      <c r="F71" s="32" t="s">
        <v>29</v>
      </c>
      <c r="G71" s="32">
        <f t="shared" si="51"/>
        <v>2025</v>
      </c>
      <c r="H71" s="2" t="s">
        <v>28</v>
      </c>
      <c r="I71" s="2" t="s">
        <v>173</v>
      </c>
      <c r="J71" s="49">
        <f>VLOOKUP(I71,'XE rates'!A:D,4,0)*K71</f>
        <v>4550.0558709014676</v>
      </c>
      <c r="K71" s="64">
        <v>6796.5250000000005</v>
      </c>
      <c r="L71" s="1">
        <v>45992</v>
      </c>
      <c r="M71" s="33" t="str">
        <f t="shared" si="52"/>
        <v>Dec</v>
      </c>
      <c r="N71" s="32">
        <f t="shared" ca="1" si="53"/>
        <v>56</v>
      </c>
      <c r="O71" s="32" t="str">
        <f t="shared" ca="1" si="54"/>
        <v>31-60 days</v>
      </c>
      <c r="P71" s="2" t="s">
        <v>168</v>
      </c>
      <c r="Q71" s="1">
        <v>46028</v>
      </c>
      <c r="R71" s="1">
        <v>46035</v>
      </c>
      <c r="S71" s="2" t="s">
        <v>169</v>
      </c>
      <c r="T71" s="2" t="s">
        <v>850</v>
      </c>
      <c r="U71" s="32" t="s">
        <v>170</v>
      </c>
      <c r="V71" s="32" t="s">
        <v>170</v>
      </c>
      <c r="W71" s="2" t="s">
        <v>857</v>
      </c>
      <c r="X71" s="2"/>
      <c r="Y71" s="32">
        <f>VLOOKUP(T71,'[1]Query result'!$J:$K,2,0)</f>
        <v>46035</v>
      </c>
      <c r="Z71" s="2">
        <f>VLOOKUP(T71,'[1]Query result'!$J:$W,14,0)</f>
        <v>0</v>
      </c>
      <c r="AA71" s="51">
        <f t="shared" ref="AA71:AA73" si="55">K71-Z71</f>
        <v>6796.5250000000005</v>
      </c>
    </row>
    <row r="72" spans="1:27" hidden="1">
      <c r="A72" s="2" t="s">
        <v>27</v>
      </c>
      <c r="B72" s="2" t="s">
        <v>566</v>
      </c>
      <c r="C72" s="32" t="str">
        <f>VLOOKUP(B72,Validation!A:B,2,0)</f>
        <v>USA</v>
      </c>
      <c r="D72" s="32" t="str">
        <f>VLOOKUP(B72,Validation!A:D,4,0)</f>
        <v>Lia Susin</v>
      </c>
      <c r="E72" s="32" t="str">
        <f>VLOOKUP(B72,Validation!A:E,5,0)</f>
        <v>Andrew Gyenis</v>
      </c>
      <c r="F72" s="32" t="s">
        <v>29</v>
      </c>
      <c r="G72" s="32">
        <f t="shared" si="51"/>
        <v>2025</v>
      </c>
      <c r="H72" s="2" t="s">
        <v>28</v>
      </c>
      <c r="I72" s="2" t="s">
        <v>167</v>
      </c>
      <c r="J72" s="49">
        <f>VLOOKUP(I72,'XE rates'!A:D,4,0)*K72</f>
        <v>2529.59</v>
      </c>
      <c r="K72" s="64">
        <v>2529.59</v>
      </c>
      <c r="L72" s="1">
        <v>45992</v>
      </c>
      <c r="M72" s="33" t="str">
        <f t="shared" si="52"/>
        <v>Dec</v>
      </c>
      <c r="N72" s="32">
        <f t="shared" ca="1" si="53"/>
        <v>37</v>
      </c>
      <c r="O72" s="32" t="str">
        <f t="shared" ca="1" si="54"/>
        <v>31-60 days</v>
      </c>
      <c r="P72" s="2" t="s">
        <v>168</v>
      </c>
      <c r="Q72" s="1">
        <v>46024</v>
      </c>
      <c r="R72" s="1">
        <v>46054</v>
      </c>
      <c r="S72" s="2" t="s">
        <v>174</v>
      </c>
      <c r="T72" s="2" t="s">
        <v>851</v>
      </c>
      <c r="U72" s="32" t="s">
        <v>170</v>
      </c>
      <c r="V72" s="2" t="s">
        <v>171</v>
      </c>
      <c r="W72" s="39" t="s">
        <v>684</v>
      </c>
      <c r="X72" s="2"/>
      <c r="Y72" s="32">
        <f>VLOOKUP(T72,'[1]Query result'!$J:$K,2,0)</f>
        <v>46054</v>
      </c>
      <c r="Z72" s="2">
        <f>VLOOKUP(T72,'[1]Query result'!$J:$W,14,0)</f>
        <v>0</v>
      </c>
      <c r="AA72" s="51">
        <f t="shared" si="55"/>
        <v>2529.59</v>
      </c>
    </row>
    <row r="73" spans="1:27">
      <c r="A73" s="2" t="s">
        <v>27</v>
      </c>
      <c r="B73" s="2" t="s">
        <v>659</v>
      </c>
      <c r="C73" s="32" t="str">
        <f>VLOOKUP(B73,Validation!A:B,2,0)</f>
        <v>USA</v>
      </c>
      <c r="D73" s="32" t="str">
        <f>VLOOKUP(B73,Validation!A:D,4,0)</f>
        <v>NA</v>
      </c>
      <c r="E73" s="32" t="str">
        <f>VLOOKUP(B73,Validation!A:E,5,0)</f>
        <v>Tyler Reed</v>
      </c>
      <c r="F73" s="32" t="s">
        <v>29</v>
      </c>
      <c r="G73" s="32">
        <f t="shared" si="51"/>
        <v>2025</v>
      </c>
      <c r="H73" s="2" t="s">
        <v>28</v>
      </c>
      <c r="I73" s="2" t="s">
        <v>167</v>
      </c>
      <c r="J73" s="49">
        <f>VLOOKUP(I73,'XE rates'!A:D,4,0)*K73</f>
        <v>550</v>
      </c>
      <c r="K73" s="64">
        <v>550</v>
      </c>
      <c r="L73" s="1">
        <v>45992</v>
      </c>
      <c r="M73" s="33" t="str">
        <f t="shared" ref="M73:M75" si="56">TEXT(L73,"mmm")</f>
        <v>Dec</v>
      </c>
      <c r="N73" s="32">
        <f ca="1">$Y$1-R73</f>
        <v>59</v>
      </c>
      <c r="O73" s="32" t="str">
        <f t="shared" ref="O73:O75" ca="1" si="57">IF(N73&lt;=30, "0-30 days", IF(N73&lt;=60, "31-60 days", IF(N73&lt;=90, "61-90 days", "Over 90+ days")))</f>
        <v>31-60 days</v>
      </c>
      <c r="P73" s="2" t="s">
        <v>168</v>
      </c>
      <c r="Q73" s="1">
        <v>46025</v>
      </c>
      <c r="R73" s="1">
        <v>46032</v>
      </c>
      <c r="S73" s="2" t="s">
        <v>169</v>
      </c>
      <c r="T73" s="2" t="s">
        <v>852</v>
      </c>
      <c r="U73" s="2" t="s">
        <v>170</v>
      </c>
      <c r="V73" s="2" t="s">
        <v>171</v>
      </c>
      <c r="W73" s="39" t="s">
        <v>684</v>
      </c>
      <c r="X73" s="2"/>
      <c r="Y73" s="32">
        <f>VLOOKUP(T73,'[1]Query result'!$J:$K,2,0)</f>
        <v>46032</v>
      </c>
      <c r="Z73" s="2">
        <f>VLOOKUP(T73,'[1]Query result'!$J:$W,14,0)</f>
        <v>0</v>
      </c>
      <c r="AA73" s="51">
        <f t="shared" si="55"/>
        <v>550</v>
      </c>
    </row>
    <row r="74" spans="1:27" hidden="1">
      <c r="A74" s="2" t="s">
        <v>27</v>
      </c>
      <c r="B74" s="2" t="s">
        <v>55</v>
      </c>
      <c r="C74" s="32" t="str">
        <f>VLOOKUP(B74,Validation!A:B,2,0)</f>
        <v>APAC</v>
      </c>
      <c r="D74" s="32" t="str">
        <f>VLOOKUP(B74,Validation!A:D,4,0)</f>
        <v>Shi Yin</v>
      </c>
      <c r="E74" s="32" t="str">
        <f>VLOOKUP(B74,Validation!A:E,5,0)</f>
        <v>Gitesh Athavale</v>
      </c>
      <c r="F74" s="32" t="s">
        <v>29</v>
      </c>
      <c r="G74" s="32">
        <f t="shared" si="51"/>
        <v>2025</v>
      </c>
      <c r="H74" s="2" t="s">
        <v>28</v>
      </c>
      <c r="I74" s="2" t="s">
        <v>172</v>
      </c>
      <c r="J74" s="49">
        <f>VLOOKUP(I74,'XE rates'!A:D,4,0)*K74</f>
        <v>1226.4160975246832</v>
      </c>
      <c r="K74" s="67">
        <v>1578.92</v>
      </c>
      <c r="L74" s="1">
        <v>45992</v>
      </c>
      <c r="M74" s="33" t="str">
        <f t="shared" si="56"/>
        <v>Dec</v>
      </c>
      <c r="N74" s="32">
        <f ca="1">$Y$1-R74</f>
        <v>15</v>
      </c>
      <c r="O74" s="32" t="str">
        <f t="shared" ca="1" si="57"/>
        <v>0-30 days</v>
      </c>
      <c r="P74" s="2" t="s">
        <v>177</v>
      </c>
      <c r="Q74" s="1">
        <v>46045</v>
      </c>
      <c r="R74" s="1">
        <v>46076</v>
      </c>
      <c r="S74" s="2" t="s">
        <v>174</v>
      </c>
      <c r="T74" s="2" t="s">
        <v>858</v>
      </c>
      <c r="U74" s="2" t="s">
        <v>170</v>
      </c>
      <c r="V74" s="2" t="s">
        <v>171</v>
      </c>
      <c r="W74" s="39" t="s">
        <v>684</v>
      </c>
      <c r="X74" s="2"/>
      <c r="Y74" s="2"/>
      <c r="Z74" s="2"/>
      <c r="AA74" s="2"/>
    </row>
    <row r="75" spans="1:27" hidden="1">
      <c r="A75" s="2" t="s">
        <v>27</v>
      </c>
      <c r="B75" s="2" t="s">
        <v>61</v>
      </c>
      <c r="C75" s="32" t="str">
        <f>VLOOKUP(B75,Validation!A:B,2,0)</f>
        <v>APAC</v>
      </c>
      <c r="D75" s="32" t="str">
        <f>VLOOKUP(B75,Validation!A:D,4,0)</f>
        <v>Hao Nguyen</v>
      </c>
      <c r="E75" s="32" t="str">
        <f>VLOOKUP(B75,Validation!A:E,5,0)</f>
        <v>Vinoth M</v>
      </c>
      <c r="F75" s="32" t="s">
        <v>29</v>
      </c>
      <c r="G75" s="32">
        <f t="shared" si="51"/>
        <v>2025</v>
      </c>
      <c r="H75" s="2" t="s">
        <v>28</v>
      </c>
      <c r="I75" s="2" t="s">
        <v>173</v>
      </c>
      <c r="J75" s="49">
        <f>VLOOKUP(I75,'XE rates'!A:D,4,0)*K75</f>
        <v>1489.0775465359145</v>
      </c>
      <c r="K75" s="67">
        <v>2224.27</v>
      </c>
      <c r="L75" s="1">
        <v>45992</v>
      </c>
      <c r="M75" s="33" t="str">
        <f t="shared" si="56"/>
        <v>Dec</v>
      </c>
      <c r="N75" s="32">
        <f ca="1">$Y$1-R75</f>
        <v>15</v>
      </c>
      <c r="O75" s="32" t="str">
        <f t="shared" ca="1" si="57"/>
        <v>0-30 days</v>
      </c>
      <c r="P75" s="2" t="s">
        <v>177</v>
      </c>
      <c r="Q75" s="1">
        <v>46045</v>
      </c>
      <c r="R75" s="1">
        <v>46076</v>
      </c>
      <c r="S75" s="2" t="s">
        <v>174</v>
      </c>
      <c r="T75" s="2" t="s">
        <v>859</v>
      </c>
      <c r="U75" s="2" t="s">
        <v>171</v>
      </c>
      <c r="V75" s="2" t="s">
        <v>171</v>
      </c>
      <c r="W75" s="39" t="s">
        <v>856</v>
      </c>
      <c r="X75" s="2"/>
      <c r="Y75" s="2"/>
      <c r="Z75" s="2"/>
      <c r="AA75" s="2"/>
    </row>
    <row r="76" spans="1:27" hidden="1">
      <c r="A76" s="2" t="s">
        <v>27</v>
      </c>
      <c r="B76" s="2" t="s">
        <v>650</v>
      </c>
      <c r="C76" s="32" t="str">
        <f>VLOOKUP(B76,Validation!A:B,2,0)</f>
        <v>APAC</v>
      </c>
      <c r="D76" s="32" t="str">
        <f>VLOOKUP(B76,Validation!A:D,4,0)</f>
        <v>Hao Nguyen</v>
      </c>
      <c r="E76" s="32" t="str">
        <f>VLOOKUP(B76,Validation!A:E,5,0)</f>
        <v>Vinoth M</v>
      </c>
      <c r="F76" s="32" t="s">
        <v>29</v>
      </c>
      <c r="G76" s="32">
        <f t="shared" si="51"/>
        <v>2025</v>
      </c>
      <c r="H76" s="2" t="s">
        <v>28</v>
      </c>
      <c r="I76" s="2" t="s">
        <v>173</v>
      </c>
      <c r="J76" s="49">
        <f>VLOOKUP(I76,'XE rates'!A:D,4,0)*K76</f>
        <v>137.8233732889212</v>
      </c>
      <c r="K76" s="67">
        <v>205.87</v>
      </c>
      <c r="L76" s="1">
        <v>45992</v>
      </c>
      <c r="M76" s="33" t="str">
        <f t="shared" ref="M76:M105" si="58">TEXT(L76,"mmm")</f>
        <v>Dec</v>
      </c>
      <c r="N76" s="32">
        <f t="shared" ref="N76:N105" ca="1" si="59">$Y$1-R76</f>
        <v>15</v>
      </c>
      <c r="O76" s="32" t="str">
        <f t="shared" ref="O76:O105" ca="1" si="60">IF(N76&lt;=30, "0-30 days", IF(N76&lt;=60, "31-60 days", IF(N76&lt;=90, "61-90 days", "Over 90+ days")))</f>
        <v>0-30 days</v>
      </c>
      <c r="P76" s="2" t="s">
        <v>177</v>
      </c>
      <c r="Q76" s="1">
        <v>46045</v>
      </c>
      <c r="R76" s="1">
        <v>46076</v>
      </c>
      <c r="S76" s="2" t="s">
        <v>174</v>
      </c>
      <c r="T76" s="2" t="s">
        <v>860</v>
      </c>
      <c r="U76" s="2" t="s">
        <v>171</v>
      </c>
      <c r="V76" s="2" t="s">
        <v>171</v>
      </c>
      <c r="W76" s="39" t="s">
        <v>684</v>
      </c>
      <c r="X76" s="2"/>
      <c r="Y76" s="2"/>
      <c r="Z76" s="2"/>
      <c r="AA76" s="2"/>
    </row>
    <row r="77" spans="1:27" hidden="1">
      <c r="A77" s="2" t="s">
        <v>33</v>
      </c>
      <c r="B77" s="2" t="s">
        <v>611</v>
      </c>
      <c r="C77" s="32" t="str">
        <f>VLOOKUP(B77,Validation!A:B,2,0)</f>
        <v>APAC</v>
      </c>
      <c r="D77" s="32" t="str">
        <f>VLOOKUP(B77,Validation!A:D,4,0)</f>
        <v>NA</v>
      </c>
      <c r="E77" s="32" t="str">
        <f>VLOOKUP(B77,Validation!A:E,5,0)</f>
        <v>Lisa Sung</v>
      </c>
      <c r="F77" s="32" t="s">
        <v>29</v>
      </c>
      <c r="G77" s="32">
        <f t="shared" si="51"/>
        <v>2026</v>
      </c>
      <c r="H77" s="2" t="s">
        <v>28</v>
      </c>
      <c r="I77" s="2" t="s">
        <v>167</v>
      </c>
      <c r="J77" s="49">
        <f>VLOOKUP(I77,'XE rates'!A:D,4,0)*K77</f>
        <v>5000</v>
      </c>
      <c r="K77" s="64">
        <v>5000</v>
      </c>
      <c r="L77" s="1">
        <v>46023</v>
      </c>
      <c r="M77" s="33" t="str">
        <f t="shared" si="58"/>
        <v>Jan</v>
      </c>
      <c r="N77" s="32">
        <f t="shared" ca="1" si="59"/>
        <v>29</v>
      </c>
      <c r="O77" s="32" t="str">
        <f t="shared" ca="1" si="60"/>
        <v>0-30 days</v>
      </c>
      <c r="P77" s="2" t="s">
        <v>168</v>
      </c>
      <c r="Q77" s="1">
        <v>46055</v>
      </c>
      <c r="R77" s="1">
        <v>46062</v>
      </c>
      <c r="S77" s="2" t="s">
        <v>807</v>
      </c>
      <c r="T77" s="2" t="s">
        <v>868</v>
      </c>
      <c r="U77" s="2" t="s">
        <v>170</v>
      </c>
      <c r="V77" s="2" t="s">
        <v>171</v>
      </c>
      <c r="W77" s="39" t="s">
        <v>684</v>
      </c>
      <c r="X77" s="2"/>
      <c r="Y77" s="2"/>
      <c r="Z77" s="2"/>
      <c r="AA77" s="2"/>
    </row>
    <row r="78" spans="1:27" hidden="1">
      <c r="A78" s="2" t="s">
        <v>33</v>
      </c>
      <c r="B78" s="2" t="s">
        <v>604</v>
      </c>
      <c r="C78" s="32" t="str">
        <f>VLOOKUP(B78,Validation!A:B,2,0)</f>
        <v>USA</v>
      </c>
      <c r="D78" s="32" t="str">
        <f>VLOOKUP(B78,Validation!A:D,4,0)</f>
        <v>Eduardo Avallone</v>
      </c>
      <c r="E78" s="32" t="str">
        <f>VLOOKUP(B78,Validation!A:E,5,0)</f>
        <v>NA</v>
      </c>
      <c r="F78" s="32" t="s">
        <v>29</v>
      </c>
      <c r="G78" s="32">
        <f t="shared" si="51"/>
        <v>2026</v>
      </c>
      <c r="H78" s="2" t="s">
        <v>28</v>
      </c>
      <c r="I78" s="2" t="s">
        <v>167</v>
      </c>
      <c r="J78" s="49">
        <f>VLOOKUP(I78,'XE rates'!A:D,4,0)*K78</f>
        <v>1371.03</v>
      </c>
      <c r="K78" s="64">
        <v>1371.03</v>
      </c>
      <c r="L78" s="1">
        <v>46023</v>
      </c>
      <c r="M78" s="33" t="str">
        <f t="shared" si="58"/>
        <v>Jan</v>
      </c>
      <c r="N78" s="32">
        <f t="shared" ca="1" si="59"/>
        <v>21</v>
      </c>
      <c r="O78" s="32" t="str">
        <f t="shared" ca="1" si="60"/>
        <v>0-30 days</v>
      </c>
      <c r="P78" s="2" t="s">
        <v>168</v>
      </c>
      <c r="Q78" s="1">
        <v>46055</v>
      </c>
      <c r="R78" s="1">
        <v>46070</v>
      </c>
      <c r="S78" s="2" t="s">
        <v>807</v>
      </c>
      <c r="T78" s="2" t="s">
        <v>869</v>
      </c>
      <c r="U78" s="2" t="s">
        <v>170</v>
      </c>
      <c r="V78" s="2" t="s">
        <v>171</v>
      </c>
      <c r="W78" s="39" t="s">
        <v>684</v>
      </c>
      <c r="X78" s="2"/>
      <c r="Y78" s="2"/>
      <c r="Z78" s="2"/>
      <c r="AA78" s="2"/>
    </row>
    <row r="79" spans="1:27" hidden="1">
      <c r="A79" s="2" t="s">
        <v>33</v>
      </c>
      <c r="B79" s="2" t="s">
        <v>606</v>
      </c>
      <c r="C79" s="32" t="str">
        <f>VLOOKUP(B79,Validation!A:B,2,0)</f>
        <v>EU/UK</v>
      </c>
      <c r="D79" s="32" t="str">
        <f>VLOOKUP(B79,Validation!A:D,4,0)</f>
        <v>NA</v>
      </c>
      <c r="E79" s="32" t="str">
        <f>VLOOKUP(B79,Validation!A:E,5,0)</f>
        <v>NA</v>
      </c>
      <c r="F79" s="32" t="s">
        <v>29</v>
      </c>
      <c r="G79" s="32">
        <f t="shared" si="51"/>
        <v>2026</v>
      </c>
      <c r="H79" s="2" t="s">
        <v>28</v>
      </c>
      <c r="I79" s="2" t="s">
        <v>167</v>
      </c>
      <c r="J79" s="49">
        <f>VLOOKUP(I79,'XE rates'!A:D,4,0)*K79</f>
        <v>2500</v>
      </c>
      <c r="K79" s="64">
        <v>2500</v>
      </c>
      <c r="L79" s="1">
        <v>46023</v>
      </c>
      <c r="M79" s="33" t="str">
        <f t="shared" si="58"/>
        <v>Jan</v>
      </c>
      <c r="N79" s="32">
        <f t="shared" ca="1" si="59"/>
        <v>31</v>
      </c>
      <c r="O79" s="32" t="str">
        <f t="shared" ca="1" si="60"/>
        <v>31-60 days</v>
      </c>
      <c r="P79" s="2" t="s">
        <v>168</v>
      </c>
      <c r="Q79" s="1">
        <v>46055</v>
      </c>
      <c r="R79" s="1">
        <v>46060</v>
      </c>
      <c r="S79" s="2" t="s">
        <v>807</v>
      </c>
      <c r="T79" s="2" t="s">
        <v>870</v>
      </c>
      <c r="U79" s="2" t="s">
        <v>170</v>
      </c>
      <c r="V79" s="2" t="s">
        <v>171</v>
      </c>
      <c r="W79" s="39" t="s">
        <v>684</v>
      </c>
      <c r="X79" s="2"/>
      <c r="Y79" s="2"/>
      <c r="Z79" s="2"/>
      <c r="AA79" s="2"/>
    </row>
    <row r="80" spans="1:27" hidden="1">
      <c r="A80" s="2" t="s">
        <v>33</v>
      </c>
      <c r="B80" s="2" t="s">
        <v>87</v>
      </c>
      <c r="C80" s="32" t="str">
        <f>VLOOKUP(B80,Validation!A:B,2,0)</f>
        <v>EU/UK</v>
      </c>
      <c r="D80" s="32" t="str">
        <f>VLOOKUP(B80,Validation!A:D,4,0)</f>
        <v>Unmanaged - Harshita or saloni</v>
      </c>
      <c r="E80" s="32" t="str">
        <f>VLOOKUP(B80,Validation!A:E,5,0)</f>
        <v>NA</v>
      </c>
      <c r="F80" s="32" t="s">
        <v>29</v>
      </c>
      <c r="G80" s="32">
        <f t="shared" si="51"/>
        <v>2026</v>
      </c>
      <c r="H80" s="2" t="s">
        <v>28</v>
      </c>
      <c r="I80" s="2" t="s">
        <v>180</v>
      </c>
      <c r="J80" s="49">
        <f>VLOOKUP(I80,'XE rates'!A:D,4,0)*K80</f>
        <v>1325.4861581426064</v>
      </c>
      <c r="K80" s="64">
        <v>1144.33</v>
      </c>
      <c r="L80" s="1">
        <v>46023</v>
      </c>
      <c r="M80" s="33" t="str">
        <f t="shared" si="58"/>
        <v>Jan</v>
      </c>
      <c r="N80" s="32">
        <f t="shared" ca="1" si="59"/>
        <v>31</v>
      </c>
      <c r="O80" s="32" t="str">
        <f t="shared" ca="1" si="60"/>
        <v>31-60 days</v>
      </c>
      <c r="P80" s="2" t="s">
        <v>168</v>
      </c>
      <c r="Q80" s="1">
        <v>46056</v>
      </c>
      <c r="R80" s="1">
        <v>46060</v>
      </c>
      <c r="S80" s="2" t="s">
        <v>807</v>
      </c>
      <c r="T80" s="2" t="s">
        <v>871</v>
      </c>
      <c r="U80" s="2" t="s">
        <v>170</v>
      </c>
      <c r="V80" s="2" t="s">
        <v>171</v>
      </c>
      <c r="W80" s="39" t="s">
        <v>684</v>
      </c>
      <c r="X80" s="2"/>
      <c r="Y80" s="2"/>
      <c r="Z80" s="2"/>
      <c r="AA80" s="2"/>
    </row>
    <row r="81" spans="1:27" hidden="1">
      <c r="A81" s="2" t="s">
        <v>33</v>
      </c>
      <c r="B81" s="2" t="s">
        <v>98</v>
      </c>
      <c r="C81" s="32" t="str">
        <f>VLOOKUP(B81,Validation!A:B,2,0)</f>
        <v>APAC</v>
      </c>
      <c r="D81" s="32" t="str">
        <f>VLOOKUP(B81,Validation!A:D,4,0)</f>
        <v>XiaoXiao</v>
      </c>
      <c r="E81" s="32" t="str">
        <f>VLOOKUP(B81,Validation!A:E,5,0)</f>
        <v>Rohit Bammi</v>
      </c>
      <c r="F81" s="32" t="s">
        <v>29</v>
      </c>
      <c r="G81" s="32">
        <f t="shared" si="51"/>
        <v>2026</v>
      </c>
      <c r="H81" s="2" t="s">
        <v>28</v>
      </c>
      <c r="I81" s="2" t="s">
        <v>167</v>
      </c>
      <c r="J81" s="49">
        <f>VLOOKUP(I81,'XE rates'!A:D,4,0)*K81</f>
        <v>23919.5</v>
      </c>
      <c r="K81" s="64">
        <v>23919.5</v>
      </c>
      <c r="L81" s="1">
        <v>46023</v>
      </c>
      <c r="M81" s="33" t="str">
        <f t="shared" si="58"/>
        <v>Jan</v>
      </c>
      <c r="N81" s="32">
        <f t="shared" ca="1" si="59"/>
        <v>28</v>
      </c>
      <c r="O81" s="32" t="str">
        <f t="shared" ca="1" si="60"/>
        <v>0-30 days</v>
      </c>
      <c r="P81" s="2" t="s">
        <v>168</v>
      </c>
      <c r="Q81" s="1">
        <v>46056</v>
      </c>
      <c r="R81" s="1">
        <v>46063</v>
      </c>
      <c r="S81" s="2" t="s">
        <v>807</v>
      </c>
      <c r="T81" s="2" t="s">
        <v>872</v>
      </c>
      <c r="U81" s="2" t="s">
        <v>170</v>
      </c>
      <c r="V81" s="2" t="s">
        <v>171</v>
      </c>
      <c r="W81" s="39" t="s">
        <v>684</v>
      </c>
      <c r="X81" s="2"/>
      <c r="Y81" s="2"/>
      <c r="Z81" s="2"/>
      <c r="AA81" s="2"/>
    </row>
    <row r="82" spans="1:27" hidden="1">
      <c r="A82" s="2" t="s">
        <v>33</v>
      </c>
      <c r="B82" s="2" t="s">
        <v>113</v>
      </c>
      <c r="C82" s="32" t="str">
        <f>VLOOKUP(B82,Validation!A:B,2,0)</f>
        <v>APAC</v>
      </c>
      <c r="D82" s="32" t="str">
        <f>VLOOKUP(B82,Validation!A:D,4,0)</f>
        <v>Hao Nguyen</v>
      </c>
      <c r="E82" s="32" t="str">
        <f>VLOOKUP(B82,Validation!A:E,5,0)</f>
        <v>NA</v>
      </c>
      <c r="F82" s="32" t="s">
        <v>29</v>
      </c>
      <c r="G82" s="32">
        <f t="shared" si="51"/>
        <v>2026</v>
      </c>
      <c r="H82" s="2" t="s">
        <v>28</v>
      </c>
      <c r="I82" s="2" t="s">
        <v>167</v>
      </c>
      <c r="J82" s="49">
        <f>VLOOKUP(I82,'XE rates'!A:D,4,0)*K82</f>
        <v>4723.7700000000004</v>
      </c>
      <c r="K82" s="64">
        <v>4723.7700000000004</v>
      </c>
      <c r="L82" s="1">
        <v>46023</v>
      </c>
      <c r="M82" s="33" t="str">
        <f t="shared" si="58"/>
        <v>Jan</v>
      </c>
      <c r="N82" s="32">
        <f t="shared" ca="1" si="59"/>
        <v>21</v>
      </c>
      <c r="O82" s="32" t="str">
        <f t="shared" ca="1" si="60"/>
        <v>0-30 days</v>
      </c>
      <c r="P82" s="2" t="s">
        <v>168</v>
      </c>
      <c r="Q82" s="1">
        <v>46055</v>
      </c>
      <c r="R82" s="1">
        <v>46070</v>
      </c>
      <c r="S82" s="2" t="s">
        <v>807</v>
      </c>
      <c r="T82" s="2" t="s">
        <v>873</v>
      </c>
      <c r="U82" s="2" t="s">
        <v>170</v>
      </c>
      <c r="V82" s="2" t="s">
        <v>171</v>
      </c>
      <c r="W82" s="39" t="s">
        <v>684</v>
      </c>
      <c r="X82" s="2"/>
      <c r="Y82" s="2"/>
      <c r="Z82" s="2"/>
      <c r="AA82" s="2"/>
    </row>
    <row r="83" spans="1:27" hidden="1">
      <c r="A83" s="2" t="s">
        <v>33</v>
      </c>
      <c r="B83" s="2" t="s">
        <v>114</v>
      </c>
      <c r="C83" s="32" t="str">
        <f>VLOOKUP(B83,Validation!A:B,2,0)</f>
        <v>APAC</v>
      </c>
      <c r="D83" s="32" t="str">
        <f>VLOOKUP(B83,Validation!A:D,4,0)</f>
        <v>NA</v>
      </c>
      <c r="E83" s="32" t="str">
        <f>VLOOKUP(B83,Validation!A:E,5,0)</f>
        <v>Hari Budiman</v>
      </c>
      <c r="F83" s="32" t="s">
        <v>29</v>
      </c>
      <c r="G83" s="32">
        <f t="shared" si="51"/>
        <v>2026</v>
      </c>
      <c r="H83" s="2" t="s">
        <v>28</v>
      </c>
      <c r="I83" s="2" t="s">
        <v>167</v>
      </c>
      <c r="J83" s="49">
        <f>VLOOKUP(I83,'XE rates'!A:D,4,0)*K83</f>
        <v>3492.62</v>
      </c>
      <c r="K83" s="64">
        <v>3492.62</v>
      </c>
      <c r="L83" s="1">
        <v>46023</v>
      </c>
      <c r="M83" s="33" t="str">
        <f t="shared" si="58"/>
        <v>Jan</v>
      </c>
      <c r="N83" s="32">
        <f t="shared" ca="1" si="59"/>
        <v>21</v>
      </c>
      <c r="O83" s="32" t="str">
        <f t="shared" ca="1" si="60"/>
        <v>0-30 days</v>
      </c>
      <c r="P83" s="2" t="s">
        <v>168</v>
      </c>
      <c r="Q83" s="1">
        <v>46055</v>
      </c>
      <c r="R83" s="1">
        <v>46070</v>
      </c>
      <c r="S83" s="2" t="s">
        <v>807</v>
      </c>
      <c r="T83" s="2" t="s">
        <v>874</v>
      </c>
      <c r="U83" s="2" t="s">
        <v>170</v>
      </c>
      <c r="V83" s="2" t="s">
        <v>171</v>
      </c>
      <c r="W83" s="39" t="s">
        <v>684</v>
      </c>
      <c r="X83" s="2"/>
      <c r="Y83" s="2"/>
      <c r="Z83" s="2"/>
      <c r="AA83" s="2"/>
    </row>
    <row r="84" spans="1:27" hidden="1">
      <c r="A84" s="2" t="s">
        <v>33</v>
      </c>
      <c r="B84" s="2" t="s">
        <v>116</v>
      </c>
      <c r="C84" s="32" t="str">
        <f>VLOOKUP(B84,Validation!A:B,2,0)</f>
        <v>APAC</v>
      </c>
      <c r="D84" s="32" t="str">
        <f>VLOOKUP(B84,Validation!A:D,4,0)</f>
        <v>Hao Nguyen</v>
      </c>
      <c r="E84" s="32" t="str">
        <f>VLOOKUP(B84,Validation!A:E,5,0)</f>
        <v>Hari Budiman</v>
      </c>
      <c r="F84" s="32" t="s">
        <v>29</v>
      </c>
      <c r="G84" s="32">
        <f t="shared" si="51"/>
        <v>2026</v>
      </c>
      <c r="H84" s="2" t="s">
        <v>28</v>
      </c>
      <c r="I84" s="2" t="s">
        <v>176</v>
      </c>
      <c r="J84" s="49">
        <f>VLOOKUP(I84,'XE rates'!A:D,4,0)*K84</f>
        <v>356.96162892151295</v>
      </c>
      <c r="K84" s="64">
        <v>6029149</v>
      </c>
      <c r="L84" s="1">
        <v>46023</v>
      </c>
      <c r="M84" s="33" t="str">
        <f t="shared" si="58"/>
        <v>Jan</v>
      </c>
      <c r="N84" s="32">
        <f t="shared" ca="1" si="59"/>
        <v>6</v>
      </c>
      <c r="O84" s="32" t="str">
        <f t="shared" ca="1" si="60"/>
        <v>0-30 days</v>
      </c>
      <c r="P84" s="2" t="s">
        <v>168</v>
      </c>
      <c r="Q84" s="1">
        <v>46055</v>
      </c>
      <c r="R84" s="1">
        <v>46085</v>
      </c>
      <c r="S84" s="2" t="s">
        <v>174</v>
      </c>
      <c r="T84" s="2" t="s">
        <v>875</v>
      </c>
      <c r="U84" s="2" t="s">
        <v>171</v>
      </c>
      <c r="V84" s="2" t="s">
        <v>171</v>
      </c>
      <c r="W84" s="39" t="s">
        <v>684</v>
      </c>
      <c r="X84" s="2"/>
      <c r="Y84" s="2"/>
      <c r="Z84" s="2"/>
      <c r="AA84" s="2"/>
    </row>
    <row r="85" spans="1:27" hidden="1">
      <c r="A85" s="2" t="s">
        <v>33</v>
      </c>
      <c r="B85" s="2" t="s">
        <v>573</v>
      </c>
      <c r="C85" s="32" t="str">
        <f>VLOOKUP(B85,Validation!A:B,2,0)</f>
        <v>EU/UK</v>
      </c>
      <c r="D85" s="32" t="str">
        <f>VLOOKUP(B85,Validation!A:D,4,0)</f>
        <v>Margarita</v>
      </c>
      <c r="E85" s="32" t="str">
        <f>VLOOKUP(B85,Validation!A:E,5,0)</f>
        <v>Kyle Reny</v>
      </c>
      <c r="F85" s="32" t="s">
        <v>29</v>
      </c>
      <c r="G85" s="32">
        <f t="shared" si="51"/>
        <v>2026</v>
      </c>
      <c r="H85" s="2" t="s">
        <v>28</v>
      </c>
      <c r="I85" s="2" t="s">
        <v>167</v>
      </c>
      <c r="J85" s="49">
        <f>VLOOKUP(I85,'XE rates'!A:D,4,0)*K85</f>
        <v>7580</v>
      </c>
      <c r="K85" s="64">
        <v>7580</v>
      </c>
      <c r="L85" s="1">
        <v>46023</v>
      </c>
      <c r="M85" s="33" t="str">
        <f t="shared" si="58"/>
        <v>Jan</v>
      </c>
      <c r="N85" s="32">
        <f t="shared" ca="1" si="59"/>
        <v>31</v>
      </c>
      <c r="O85" s="32" t="str">
        <f t="shared" ca="1" si="60"/>
        <v>31-60 days</v>
      </c>
      <c r="P85" s="2" t="s">
        <v>168</v>
      </c>
      <c r="Q85" s="1">
        <v>46055</v>
      </c>
      <c r="R85" s="1">
        <v>46060</v>
      </c>
      <c r="S85" s="2" t="s">
        <v>807</v>
      </c>
      <c r="T85" s="2" t="s">
        <v>876</v>
      </c>
      <c r="U85" s="2" t="s">
        <v>170</v>
      </c>
      <c r="V85" s="2" t="s">
        <v>171</v>
      </c>
      <c r="W85" s="39" t="s">
        <v>684</v>
      </c>
      <c r="X85" s="2"/>
      <c r="Y85" s="2"/>
      <c r="Z85" s="2"/>
      <c r="AA85" s="2"/>
    </row>
    <row r="86" spans="1:27" hidden="1">
      <c r="A86" s="2" t="s">
        <v>33</v>
      </c>
      <c r="B86" s="2" t="s">
        <v>138</v>
      </c>
      <c r="C86" s="32" t="str">
        <f>VLOOKUP(B86,Validation!A:B,2,0)</f>
        <v>USA</v>
      </c>
      <c r="D86" s="32" t="str">
        <f>VLOOKUP(B86,Validation!A:D,4,0)</f>
        <v>Tanu Arora</v>
      </c>
      <c r="E86" s="32" t="str">
        <f>VLOOKUP(B86,Validation!A:E,5,0)</f>
        <v>NA</v>
      </c>
      <c r="F86" s="32" t="s">
        <v>29</v>
      </c>
      <c r="G86" s="32">
        <f t="shared" si="51"/>
        <v>2026</v>
      </c>
      <c r="H86" s="2" t="s">
        <v>28</v>
      </c>
      <c r="I86" s="2" t="s">
        <v>167</v>
      </c>
      <c r="J86" s="49">
        <f>VLOOKUP(I86,'XE rates'!A:D,4,0)*K86</f>
        <v>5.5</v>
      </c>
      <c r="K86" s="64">
        <v>5.5</v>
      </c>
      <c r="L86" s="1">
        <v>46023</v>
      </c>
      <c r="M86" s="33" t="str">
        <f t="shared" si="58"/>
        <v>Jan</v>
      </c>
      <c r="N86" s="32">
        <f t="shared" ca="1" si="59"/>
        <v>31</v>
      </c>
      <c r="O86" s="32" t="str">
        <f t="shared" ca="1" si="60"/>
        <v>31-60 days</v>
      </c>
      <c r="P86" s="2" t="s">
        <v>168</v>
      </c>
      <c r="Q86" s="1">
        <v>46055</v>
      </c>
      <c r="R86" s="1">
        <v>46060</v>
      </c>
      <c r="S86" s="2" t="s">
        <v>807</v>
      </c>
      <c r="T86" s="2" t="s">
        <v>877</v>
      </c>
      <c r="U86" s="2" t="s">
        <v>170</v>
      </c>
      <c r="V86" s="2" t="s">
        <v>171</v>
      </c>
      <c r="W86" s="39" t="s">
        <v>684</v>
      </c>
      <c r="X86" s="2"/>
      <c r="Y86" s="2"/>
      <c r="Z86" s="2"/>
      <c r="AA86" s="2"/>
    </row>
    <row r="87" spans="1:27" hidden="1">
      <c r="A87" s="2" t="s">
        <v>33</v>
      </c>
      <c r="B87" s="2" t="s">
        <v>819</v>
      </c>
      <c r="C87" s="32" t="str">
        <f>VLOOKUP(B87,Validation!A:B,2,0)</f>
        <v>ME</v>
      </c>
      <c r="D87" s="32" t="str">
        <f>VLOOKUP(B87,Validation!A:D,4,0)</f>
        <v>Jerome Coelho</v>
      </c>
      <c r="E87" s="32" t="str">
        <f>VLOOKUP(B87,Validation!A:E,5,0)</f>
        <v>Winfred</v>
      </c>
      <c r="F87" s="32" t="s">
        <v>29</v>
      </c>
      <c r="G87" s="32">
        <f t="shared" si="51"/>
        <v>2026</v>
      </c>
      <c r="H87" s="2" t="s">
        <v>28</v>
      </c>
      <c r="I87" s="2" t="s">
        <v>167</v>
      </c>
      <c r="J87" s="49">
        <f>VLOOKUP(I87,'XE rates'!A:D,4,0)*K87</f>
        <v>3025</v>
      </c>
      <c r="K87" s="64">
        <v>3025</v>
      </c>
      <c r="L87" s="1">
        <v>46023</v>
      </c>
      <c r="M87" s="33" t="str">
        <f t="shared" si="58"/>
        <v>Jan</v>
      </c>
      <c r="N87" s="32">
        <f t="shared" ca="1" si="59"/>
        <v>28</v>
      </c>
      <c r="O87" s="32" t="str">
        <f t="shared" ca="1" si="60"/>
        <v>0-30 days</v>
      </c>
      <c r="P87" s="2" t="s">
        <v>168</v>
      </c>
      <c r="Q87" s="1">
        <v>46056</v>
      </c>
      <c r="R87" s="1">
        <v>46063</v>
      </c>
      <c r="S87" s="2" t="s">
        <v>807</v>
      </c>
      <c r="T87" s="2" t="s">
        <v>878</v>
      </c>
      <c r="U87" s="2" t="s">
        <v>170</v>
      </c>
      <c r="V87" s="2" t="s">
        <v>171</v>
      </c>
      <c r="W87" s="39" t="s">
        <v>684</v>
      </c>
      <c r="X87" s="2"/>
      <c r="Y87" s="2"/>
      <c r="Z87" s="2"/>
      <c r="AA87" s="2"/>
    </row>
    <row r="88" spans="1:27" hidden="1">
      <c r="A88" s="2" t="s">
        <v>33</v>
      </c>
      <c r="B88" s="2" t="s">
        <v>630</v>
      </c>
      <c r="C88" s="32" t="str">
        <f>VLOOKUP(B88,Validation!A:B,2,0)</f>
        <v>APAC</v>
      </c>
      <c r="D88" s="32" t="str">
        <f>VLOOKUP(B88,Validation!A:D,4,0)</f>
        <v>XiaoXiao</v>
      </c>
      <c r="E88" s="32" t="str">
        <f>VLOOKUP(B88,Validation!A:E,5,0)</f>
        <v>NA</v>
      </c>
      <c r="F88" s="32" t="s">
        <v>29</v>
      </c>
      <c r="G88" s="32">
        <f t="shared" si="51"/>
        <v>2026</v>
      </c>
      <c r="H88" s="2" t="s">
        <v>28</v>
      </c>
      <c r="I88" s="2" t="s">
        <v>167</v>
      </c>
      <c r="J88" s="49">
        <f>VLOOKUP(I88,'XE rates'!A:D,4,0)*K88</f>
        <v>793.5</v>
      </c>
      <c r="K88" s="64">
        <v>793.5</v>
      </c>
      <c r="L88" s="1">
        <v>46023</v>
      </c>
      <c r="M88" s="33" t="str">
        <f t="shared" si="58"/>
        <v>Jan</v>
      </c>
      <c r="N88" s="32">
        <f t="shared" ca="1" si="59"/>
        <v>24</v>
      </c>
      <c r="O88" s="32" t="str">
        <f t="shared" ca="1" si="60"/>
        <v>0-30 days</v>
      </c>
      <c r="P88" s="2" t="s">
        <v>168</v>
      </c>
      <c r="Q88" s="1">
        <v>46056</v>
      </c>
      <c r="R88" s="1">
        <v>46067</v>
      </c>
      <c r="S88" s="2" t="s">
        <v>807</v>
      </c>
      <c r="T88" s="2" t="s">
        <v>879</v>
      </c>
      <c r="U88" s="2" t="s">
        <v>170</v>
      </c>
      <c r="V88" s="2" t="s">
        <v>171</v>
      </c>
      <c r="W88" s="39" t="s">
        <v>684</v>
      </c>
      <c r="X88" s="2"/>
      <c r="Y88" s="2"/>
      <c r="Z88" s="2"/>
      <c r="AA88" s="2"/>
    </row>
    <row r="89" spans="1:27" hidden="1">
      <c r="A89" s="2" t="s">
        <v>33</v>
      </c>
      <c r="B89" s="2" t="s">
        <v>631</v>
      </c>
      <c r="C89" s="32" t="str">
        <f>VLOOKUP(B89,Validation!A:B,2,0)</f>
        <v>APAC</v>
      </c>
      <c r="D89" s="32" t="str">
        <f>VLOOKUP(B89,Validation!A:D,4,0)</f>
        <v>XiaoXiao</v>
      </c>
      <c r="E89" s="32" t="str">
        <f>VLOOKUP(B89,Validation!A:E,5,0)</f>
        <v>NA</v>
      </c>
      <c r="F89" s="32" t="s">
        <v>29</v>
      </c>
      <c r="G89" s="32">
        <f t="shared" ref="G89:G124" si="61">YEAR(L89)</f>
        <v>2026</v>
      </c>
      <c r="H89" s="2" t="s">
        <v>28</v>
      </c>
      <c r="I89" s="2" t="s">
        <v>167</v>
      </c>
      <c r="J89" s="49">
        <f>VLOOKUP(I89,'XE rates'!A:D,4,0)*K89</f>
        <v>3635.8</v>
      </c>
      <c r="K89" s="64">
        <v>3635.8</v>
      </c>
      <c r="L89" s="1">
        <v>46023</v>
      </c>
      <c r="M89" s="33" t="str">
        <f t="shared" si="58"/>
        <v>Jan</v>
      </c>
      <c r="N89" s="32">
        <f t="shared" ca="1" si="59"/>
        <v>24</v>
      </c>
      <c r="O89" s="32" t="str">
        <f t="shared" ca="1" si="60"/>
        <v>0-30 days</v>
      </c>
      <c r="P89" s="2" t="s">
        <v>168</v>
      </c>
      <c r="Q89" s="1">
        <v>46056</v>
      </c>
      <c r="R89" s="1">
        <v>46067</v>
      </c>
      <c r="S89" s="2" t="s">
        <v>807</v>
      </c>
      <c r="T89" s="2" t="s">
        <v>880</v>
      </c>
      <c r="U89" s="2" t="s">
        <v>170</v>
      </c>
      <c r="V89" s="2" t="s">
        <v>171</v>
      </c>
      <c r="W89" s="39" t="s">
        <v>684</v>
      </c>
      <c r="X89" s="2"/>
      <c r="Y89" s="2"/>
      <c r="Z89" s="2"/>
      <c r="AA89" s="2"/>
    </row>
    <row r="90" spans="1:27" hidden="1">
      <c r="A90" s="2" t="s">
        <v>33</v>
      </c>
      <c r="B90" s="2" t="s">
        <v>152</v>
      </c>
      <c r="C90" s="32" t="str">
        <f>VLOOKUP(B90,Validation!A:B,2,0)</f>
        <v>USA</v>
      </c>
      <c r="D90" s="32" t="str">
        <f>VLOOKUP(B90,Validation!A:D,4,0)</f>
        <v>Eduardo Avallone</v>
      </c>
      <c r="E90" s="32" t="str">
        <f>VLOOKUP(B90,Validation!A:E,5,0)</f>
        <v>Michael Bermingham</v>
      </c>
      <c r="F90" s="32" t="s">
        <v>29</v>
      </c>
      <c r="G90" s="32">
        <f t="shared" si="61"/>
        <v>2026</v>
      </c>
      <c r="H90" s="2" t="s">
        <v>28</v>
      </c>
      <c r="I90" s="2" t="s">
        <v>167</v>
      </c>
      <c r="J90" s="49">
        <f>VLOOKUP(I90,'XE rates'!A:D,4,0)*K90</f>
        <v>2500</v>
      </c>
      <c r="K90" s="64">
        <v>2500</v>
      </c>
      <c r="L90" s="1">
        <v>46023</v>
      </c>
      <c r="M90" s="33" t="str">
        <f t="shared" si="58"/>
        <v>Jan</v>
      </c>
      <c r="N90" s="32">
        <f t="shared" ca="1" si="59"/>
        <v>31</v>
      </c>
      <c r="O90" s="32" t="str">
        <f t="shared" ca="1" si="60"/>
        <v>31-60 days</v>
      </c>
      <c r="P90" s="2" t="s">
        <v>168</v>
      </c>
      <c r="Q90" s="1">
        <v>46055</v>
      </c>
      <c r="R90" s="1">
        <v>46060</v>
      </c>
      <c r="S90" s="2" t="s">
        <v>807</v>
      </c>
      <c r="T90" s="2" t="s">
        <v>881</v>
      </c>
      <c r="U90" s="2" t="s">
        <v>170</v>
      </c>
      <c r="V90" s="2" t="s">
        <v>171</v>
      </c>
      <c r="W90" s="39" t="s">
        <v>684</v>
      </c>
      <c r="X90" s="2"/>
      <c r="Y90" s="2"/>
      <c r="Z90" s="2"/>
      <c r="AA90" s="2"/>
    </row>
    <row r="91" spans="1:27" hidden="1">
      <c r="A91" s="2" t="s">
        <v>27</v>
      </c>
      <c r="B91" s="2" t="s">
        <v>705</v>
      </c>
      <c r="C91" s="32" t="str">
        <f>VLOOKUP(B91,Validation!A:B,2,0)</f>
        <v>ME</v>
      </c>
      <c r="D91" s="32" t="str">
        <f>VLOOKUP(B91,Validation!A:D,4,0)</f>
        <v>Jerome Coelho</v>
      </c>
      <c r="E91" s="32" t="str">
        <f>VLOOKUP(B91,Validation!A:E,5,0)</f>
        <v>Ashraf Omran</v>
      </c>
      <c r="F91" s="32" t="s">
        <v>29</v>
      </c>
      <c r="G91" s="32">
        <f t="shared" si="61"/>
        <v>2026</v>
      </c>
      <c r="H91" s="2" t="s">
        <v>28</v>
      </c>
      <c r="I91" s="2" t="s">
        <v>167</v>
      </c>
      <c r="J91" s="49">
        <f>VLOOKUP(I91,'XE rates'!A:D,4,0)*K91</f>
        <v>10</v>
      </c>
      <c r="K91" s="64">
        <v>10</v>
      </c>
      <c r="L91" s="1">
        <v>46023</v>
      </c>
      <c r="M91" s="33" t="str">
        <f t="shared" si="58"/>
        <v>Jan</v>
      </c>
      <c r="N91" s="32">
        <f t="shared" ca="1" si="59"/>
        <v>26</v>
      </c>
      <c r="O91" s="32" t="str">
        <f t="shared" ca="1" si="60"/>
        <v>0-30 days</v>
      </c>
      <c r="P91" s="2" t="s">
        <v>168</v>
      </c>
      <c r="Q91" s="1">
        <v>46058</v>
      </c>
      <c r="R91" s="1">
        <v>46065</v>
      </c>
      <c r="S91" s="2" t="s">
        <v>169</v>
      </c>
      <c r="T91" s="2" t="s">
        <v>882</v>
      </c>
      <c r="U91" s="2" t="s">
        <v>170</v>
      </c>
      <c r="V91" s="2" t="s">
        <v>171</v>
      </c>
      <c r="W91" s="39" t="s">
        <v>684</v>
      </c>
      <c r="X91" s="2"/>
      <c r="Y91" s="2"/>
      <c r="Z91" s="2"/>
      <c r="AA91" s="2"/>
    </row>
    <row r="92" spans="1:27" hidden="1">
      <c r="A92" s="2" t="s">
        <v>27</v>
      </c>
      <c r="B92" s="2" t="s">
        <v>656</v>
      </c>
      <c r="C92" s="32" t="str">
        <f>VLOOKUP(B92,Validation!A:B,2,0)</f>
        <v>USA</v>
      </c>
      <c r="D92" s="32" t="str">
        <f>VLOOKUP(B92,Validation!A:D,4,0)</f>
        <v>NA</v>
      </c>
      <c r="E92" s="32" t="str">
        <f>VLOOKUP(B92,Validation!A:E,5,0)</f>
        <v>Christina Hutchinson</v>
      </c>
      <c r="F92" s="32" t="s">
        <v>29</v>
      </c>
      <c r="G92" s="32">
        <f t="shared" si="61"/>
        <v>2026</v>
      </c>
      <c r="H92" s="2" t="s">
        <v>28</v>
      </c>
      <c r="I92" s="2" t="s">
        <v>167</v>
      </c>
      <c r="J92" s="49">
        <f>VLOOKUP(I92,'XE rates'!A:D,4,0)*K92</f>
        <v>1000</v>
      </c>
      <c r="K92" s="64">
        <v>1000</v>
      </c>
      <c r="L92" s="1">
        <v>46023</v>
      </c>
      <c r="M92" s="33" t="str">
        <f t="shared" si="58"/>
        <v>Jan</v>
      </c>
      <c r="N92" s="32">
        <f t="shared" ca="1" si="59"/>
        <v>28</v>
      </c>
      <c r="O92" s="32" t="str">
        <f t="shared" ca="1" si="60"/>
        <v>0-30 days</v>
      </c>
      <c r="P92" s="2" t="s">
        <v>168</v>
      </c>
      <c r="Q92" s="1">
        <v>46056</v>
      </c>
      <c r="R92" s="1">
        <v>46063</v>
      </c>
      <c r="S92" s="2" t="s">
        <v>169</v>
      </c>
      <c r="T92" s="2" t="s">
        <v>884</v>
      </c>
      <c r="U92" s="2" t="s">
        <v>170</v>
      </c>
      <c r="V92" s="2" t="s">
        <v>171</v>
      </c>
      <c r="W92" s="39" t="s">
        <v>684</v>
      </c>
      <c r="X92" s="2"/>
      <c r="Y92" s="2"/>
      <c r="Z92" s="2"/>
      <c r="AA92" s="2"/>
    </row>
    <row r="93" spans="1:27" hidden="1">
      <c r="A93" s="2" t="s">
        <v>27</v>
      </c>
      <c r="B93" s="2" t="s">
        <v>56</v>
      </c>
      <c r="C93" s="32" t="str">
        <f>VLOOKUP(B93,Validation!A:B,2,0)</f>
        <v>EU/UK</v>
      </c>
      <c r="D93" s="32" t="str">
        <f>VLOOKUP(B93,Validation!A:D,4,0)</f>
        <v>Sachli Zare</v>
      </c>
      <c r="E93" s="32" t="str">
        <f>VLOOKUP(B93,Validation!A:E,5,0)</f>
        <v>Gitesh Athavale</v>
      </c>
      <c r="F93" s="32" t="s">
        <v>29</v>
      </c>
      <c r="G93" s="32">
        <f t="shared" si="61"/>
        <v>2026</v>
      </c>
      <c r="H93" s="2" t="s">
        <v>28</v>
      </c>
      <c r="I93" s="2" t="s">
        <v>179</v>
      </c>
      <c r="J93" s="49">
        <f>VLOOKUP(I93,'XE rates'!A:D,4,0)*K93</f>
        <v>117.30727742302251</v>
      </c>
      <c r="K93" s="64">
        <v>87.74</v>
      </c>
      <c r="L93" s="1">
        <v>46023</v>
      </c>
      <c r="M93" s="33" t="str">
        <f t="shared" si="58"/>
        <v>Jan</v>
      </c>
      <c r="N93" s="32">
        <f t="shared" ca="1" si="59"/>
        <v>8</v>
      </c>
      <c r="O93" s="32" t="str">
        <f t="shared" ca="1" si="60"/>
        <v>0-30 days</v>
      </c>
      <c r="P93" s="2" t="s">
        <v>168</v>
      </c>
      <c r="Q93" s="1">
        <v>46055</v>
      </c>
      <c r="R93" s="1">
        <v>46083</v>
      </c>
      <c r="S93" s="2" t="s">
        <v>174</v>
      </c>
      <c r="T93" s="2" t="s">
        <v>885</v>
      </c>
      <c r="U93" s="2" t="s">
        <v>171</v>
      </c>
      <c r="V93" s="2" t="s">
        <v>171</v>
      </c>
      <c r="W93" s="39" t="s">
        <v>684</v>
      </c>
      <c r="X93" s="2"/>
      <c r="Y93" s="2"/>
      <c r="Z93" s="2"/>
      <c r="AA93" s="2"/>
    </row>
    <row r="94" spans="1:27" hidden="1">
      <c r="A94" s="2" t="s">
        <v>27</v>
      </c>
      <c r="B94" s="2" t="s">
        <v>60</v>
      </c>
      <c r="C94" s="32" t="str">
        <f>VLOOKUP(B94,Validation!A:B,2,0)</f>
        <v>USA</v>
      </c>
      <c r="D94" s="32" t="str">
        <f>VLOOKUP(B94,Validation!A:D,4,0)</f>
        <v>NA</v>
      </c>
      <c r="E94" s="32" t="str">
        <f>VLOOKUP(B94,Validation!A:E,5,0)</f>
        <v>Michael Bermingham</v>
      </c>
      <c r="F94" s="32" t="s">
        <v>29</v>
      </c>
      <c r="G94" s="32">
        <f t="shared" si="61"/>
        <v>2026</v>
      </c>
      <c r="H94" s="2" t="s">
        <v>28</v>
      </c>
      <c r="I94" s="2" t="s">
        <v>167</v>
      </c>
      <c r="J94" s="49">
        <f>VLOOKUP(I94,'XE rates'!A:D,4,0)*K94</f>
        <v>2000</v>
      </c>
      <c r="K94" s="64">
        <v>2000</v>
      </c>
      <c r="L94" s="1">
        <v>46023</v>
      </c>
      <c r="M94" s="33" t="str">
        <f t="shared" si="58"/>
        <v>Jan</v>
      </c>
      <c r="N94" s="32">
        <f t="shared" ca="1" si="59"/>
        <v>29</v>
      </c>
      <c r="O94" s="32" t="str">
        <f t="shared" ca="1" si="60"/>
        <v>0-30 days</v>
      </c>
      <c r="P94" s="2" t="s">
        <v>168</v>
      </c>
      <c r="Q94" s="1">
        <v>46055</v>
      </c>
      <c r="R94" s="1">
        <v>46062</v>
      </c>
      <c r="S94" s="2" t="s">
        <v>808</v>
      </c>
      <c r="T94" s="2" t="s">
        <v>886</v>
      </c>
      <c r="U94" s="2" t="s">
        <v>170</v>
      </c>
      <c r="V94" s="2" t="s">
        <v>171</v>
      </c>
      <c r="W94" s="39" t="s">
        <v>684</v>
      </c>
      <c r="X94" s="2"/>
      <c r="Y94" s="2"/>
      <c r="Z94" s="2"/>
      <c r="AA94" s="2"/>
    </row>
    <row r="95" spans="1:27" hidden="1">
      <c r="A95" s="2" t="s">
        <v>27</v>
      </c>
      <c r="B95" s="2" t="s">
        <v>61</v>
      </c>
      <c r="C95" s="32" t="str">
        <f>VLOOKUP(B95,Validation!A:B,2,0)</f>
        <v>APAC</v>
      </c>
      <c r="D95" s="32" t="str">
        <f>VLOOKUP(B95,Validation!A:D,4,0)</f>
        <v>Hao Nguyen</v>
      </c>
      <c r="E95" s="32" t="str">
        <f>VLOOKUP(B95,Validation!A:E,5,0)</f>
        <v>Vinoth M</v>
      </c>
      <c r="F95" s="32" t="s">
        <v>29</v>
      </c>
      <c r="G95" s="32">
        <f t="shared" si="61"/>
        <v>2026</v>
      </c>
      <c r="H95" s="2" t="s">
        <v>28</v>
      </c>
      <c r="I95" s="2" t="s">
        <v>173</v>
      </c>
      <c r="J95" s="49">
        <f>VLOOKUP(I95,'XE rates'!A:D,4,0)*K95</f>
        <v>3566.4962748389489</v>
      </c>
      <c r="K95" s="64">
        <v>5327.359000000004</v>
      </c>
      <c r="L95" s="1">
        <v>46023</v>
      </c>
      <c r="M95" s="33" t="str">
        <f t="shared" si="58"/>
        <v>Jan</v>
      </c>
      <c r="N95" s="32">
        <f t="shared" ca="1" si="59"/>
        <v>24</v>
      </c>
      <c r="O95" s="32" t="str">
        <f t="shared" ca="1" si="60"/>
        <v>0-30 days</v>
      </c>
      <c r="P95" s="2" t="s">
        <v>168</v>
      </c>
      <c r="Q95" s="1">
        <v>46060</v>
      </c>
      <c r="R95" s="1">
        <v>46067</v>
      </c>
      <c r="S95" s="2" t="s">
        <v>169</v>
      </c>
      <c r="T95" s="2" t="s">
        <v>887</v>
      </c>
      <c r="U95" s="2" t="s">
        <v>170</v>
      </c>
      <c r="V95" s="2" t="s">
        <v>171</v>
      </c>
      <c r="W95" s="39" t="s">
        <v>856</v>
      </c>
      <c r="X95" s="2"/>
      <c r="Y95" s="2"/>
      <c r="Z95" s="2"/>
      <c r="AA95" s="2"/>
    </row>
    <row r="96" spans="1:27" hidden="1">
      <c r="A96" s="2" t="s">
        <v>27</v>
      </c>
      <c r="B96" s="2" t="s">
        <v>639</v>
      </c>
      <c r="C96" s="32" t="str">
        <f>VLOOKUP(B96,Validation!A:B,2,0)</f>
        <v>APAC</v>
      </c>
      <c r="D96" s="32" t="str">
        <f>VLOOKUP(B96,Validation!A:D,4,0)</f>
        <v>NA</v>
      </c>
      <c r="E96" s="32" t="str">
        <f>VLOOKUP(B96,Validation!A:E,5,0)</f>
        <v>Vinoth M</v>
      </c>
      <c r="F96" s="32" t="s">
        <v>29</v>
      </c>
      <c r="G96" s="32">
        <f t="shared" si="61"/>
        <v>2026</v>
      </c>
      <c r="H96" s="2" t="s">
        <v>28</v>
      </c>
      <c r="I96" s="2" t="s">
        <v>173</v>
      </c>
      <c r="J96" s="49">
        <f>VLOOKUP(I96,'XE rates'!A:D,4,0)*K96</f>
        <v>2105.476800862958</v>
      </c>
      <c r="K96" s="64">
        <v>3145</v>
      </c>
      <c r="L96" s="1">
        <v>46023</v>
      </c>
      <c r="M96" s="33" t="str">
        <f t="shared" si="58"/>
        <v>Jan</v>
      </c>
      <c r="N96" s="32">
        <f t="shared" ca="1" si="59"/>
        <v>27</v>
      </c>
      <c r="O96" s="32" t="str">
        <f t="shared" ca="1" si="60"/>
        <v>0-30 days</v>
      </c>
      <c r="P96" s="2" t="s">
        <v>168</v>
      </c>
      <c r="Q96" s="1">
        <v>46057</v>
      </c>
      <c r="R96" s="1">
        <v>46064</v>
      </c>
      <c r="S96" s="2" t="s">
        <v>169</v>
      </c>
      <c r="T96" s="2" t="s">
        <v>888</v>
      </c>
      <c r="U96" s="2" t="s">
        <v>170</v>
      </c>
      <c r="V96" s="2" t="s">
        <v>171</v>
      </c>
      <c r="W96" s="39" t="s">
        <v>684</v>
      </c>
      <c r="X96" s="2"/>
      <c r="Y96" s="2"/>
      <c r="Z96" s="2"/>
      <c r="AA96" s="2"/>
    </row>
    <row r="97" spans="1:27" hidden="1">
      <c r="A97" s="2" t="s">
        <v>27</v>
      </c>
      <c r="B97" s="2" t="s">
        <v>863</v>
      </c>
      <c r="C97" s="32" t="str">
        <f>VLOOKUP(B97,Validation!A:B,2,0)</f>
        <v>APAC</v>
      </c>
      <c r="D97" s="32" t="str">
        <f>VLOOKUP(B97,Validation!A:D,4,0)</f>
        <v>NA</v>
      </c>
      <c r="E97" s="32" t="str">
        <f>VLOOKUP(B97,Validation!A:E,5,0)</f>
        <v>Febriali Tan</v>
      </c>
      <c r="F97" s="32" t="s">
        <v>29</v>
      </c>
      <c r="G97" s="32">
        <f t="shared" si="61"/>
        <v>2026</v>
      </c>
      <c r="H97" s="2" t="s">
        <v>28</v>
      </c>
      <c r="I97" s="2" t="s">
        <v>167</v>
      </c>
      <c r="J97" s="49">
        <f>VLOOKUP(I97,'XE rates'!A:D,4,0)*K97</f>
        <v>65.2</v>
      </c>
      <c r="K97" s="64">
        <v>65.2</v>
      </c>
      <c r="L97" s="1">
        <v>46023</v>
      </c>
      <c r="M97" s="33" t="str">
        <f t="shared" si="58"/>
        <v>Jan</v>
      </c>
      <c r="N97" s="32">
        <f t="shared" ca="1" si="59"/>
        <v>18</v>
      </c>
      <c r="O97" s="32" t="str">
        <f t="shared" ca="1" si="60"/>
        <v>0-30 days</v>
      </c>
      <c r="P97" s="2" t="s">
        <v>168</v>
      </c>
      <c r="Q97" s="1">
        <v>46060</v>
      </c>
      <c r="R97" s="1">
        <v>46073</v>
      </c>
      <c r="S97" s="2" t="s">
        <v>174</v>
      </c>
      <c r="T97" s="2" t="s">
        <v>889</v>
      </c>
      <c r="U97" s="2" t="s">
        <v>170</v>
      </c>
      <c r="V97" s="2" t="s">
        <v>171</v>
      </c>
      <c r="W97" s="39" t="s">
        <v>684</v>
      </c>
      <c r="X97" s="2"/>
      <c r="Y97" s="2"/>
      <c r="Z97" s="2"/>
      <c r="AA97" s="2"/>
    </row>
    <row r="98" spans="1:27" hidden="1">
      <c r="A98" s="2" t="s">
        <v>27</v>
      </c>
      <c r="B98" s="2" t="s">
        <v>68</v>
      </c>
      <c r="C98" s="32" t="str">
        <f>VLOOKUP(B98,Validation!A:B,2,0)</f>
        <v>APAC</v>
      </c>
      <c r="D98" s="32" t="str">
        <f>VLOOKUP(B98,Validation!A:D,4,0)</f>
        <v>NA</v>
      </c>
      <c r="E98" s="32" t="str">
        <f>VLOOKUP(B98,Validation!A:E,5,0)</f>
        <v>Gitesh Athavale</v>
      </c>
      <c r="F98" s="32" t="s">
        <v>29</v>
      </c>
      <c r="G98" s="32">
        <f t="shared" si="61"/>
        <v>2026</v>
      </c>
      <c r="H98" s="2" t="s">
        <v>28</v>
      </c>
      <c r="I98" s="2" t="s">
        <v>167</v>
      </c>
      <c r="J98" s="49">
        <f>VLOOKUP(I98,'XE rates'!A:D,4,0)*K98</f>
        <v>2953.3</v>
      </c>
      <c r="K98" s="64">
        <v>2953.3</v>
      </c>
      <c r="L98" s="1">
        <v>46023</v>
      </c>
      <c r="M98" s="33" t="str">
        <f t="shared" si="58"/>
        <v>Jan</v>
      </c>
      <c r="N98" s="32">
        <f t="shared" ca="1" si="59"/>
        <v>27</v>
      </c>
      <c r="O98" s="32" t="str">
        <f t="shared" ca="1" si="60"/>
        <v>0-30 days</v>
      </c>
      <c r="P98" s="2" t="s">
        <v>168</v>
      </c>
      <c r="Q98" s="1">
        <v>46057</v>
      </c>
      <c r="R98" s="1">
        <v>46064</v>
      </c>
      <c r="S98" s="2" t="s">
        <v>169</v>
      </c>
      <c r="T98" s="2" t="s">
        <v>890</v>
      </c>
      <c r="U98" s="2" t="s">
        <v>170</v>
      </c>
      <c r="V98" s="2" t="s">
        <v>171</v>
      </c>
      <c r="W98" s="39" t="s">
        <v>684</v>
      </c>
      <c r="X98" s="2"/>
      <c r="Y98" s="2"/>
      <c r="Z98" s="2"/>
      <c r="AA98" s="2"/>
    </row>
    <row r="99" spans="1:27" hidden="1">
      <c r="A99" s="2" t="s">
        <v>27</v>
      </c>
      <c r="B99" s="2" t="s">
        <v>672</v>
      </c>
      <c r="C99" s="32" t="str">
        <f>VLOOKUP(B99,Validation!A:B,2,0)</f>
        <v>ME</v>
      </c>
      <c r="D99" s="32" t="str">
        <f>VLOOKUP(B99,Validation!A:D,4,0)</f>
        <v>Jerome Coelho</v>
      </c>
      <c r="E99" s="32" t="str">
        <f>VLOOKUP(B99,Validation!A:E,5,0)</f>
        <v>Rohit Bammi</v>
      </c>
      <c r="F99" s="32" t="s">
        <v>29</v>
      </c>
      <c r="G99" s="32">
        <f t="shared" si="61"/>
        <v>2026</v>
      </c>
      <c r="H99" s="2" t="s">
        <v>28</v>
      </c>
      <c r="I99" s="2" t="s">
        <v>167</v>
      </c>
      <c r="J99" s="49">
        <f>VLOOKUP(I99,'XE rates'!A:D,4,0)*K99</f>
        <v>2976.5</v>
      </c>
      <c r="K99" s="64">
        <v>2976.5</v>
      </c>
      <c r="L99" s="1">
        <v>46023</v>
      </c>
      <c r="M99" s="33" t="str">
        <f t="shared" si="58"/>
        <v>Jan</v>
      </c>
      <c r="N99" s="32">
        <f t="shared" ca="1" si="59"/>
        <v>27</v>
      </c>
      <c r="O99" s="32" t="str">
        <f t="shared" ca="1" si="60"/>
        <v>0-30 days</v>
      </c>
      <c r="P99" s="2" t="s">
        <v>168</v>
      </c>
      <c r="Q99" s="1">
        <v>46057</v>
      </c>
      <c r="R99" s="1">
        <v>46064</v>
      </c>
      <c r="S99" s="2" t="s">
        <v>169</v>
      </c>
      <c r="T99" s="2" t="s">
        <v>891</v>
      </c>
      <c r="U99" s="2" t="s">
        <v>170</v>
      </c>
      <c r="V99" s="2" t="s">
        <v>171</v>
      </c>
      <c r="W99" s="39" t="s">
        <v>684</v>
      </c>
      <c r="X99" s="2"/>
      <c r="Y99" s="2"/>
      <c r="Z99" s="2"/>
      <c r="AA99" s="2"/>
    </row>
    <row r="100" spans="1:27" hidden="1">
      <c r="A100" s="2" t="s">
        <v>27</v>
      </c>
      <c r="B100" s="2" t="s">
        <v>864</v>
      </c>
      <c r="C100" s="32" t="str">
        <f>VLOOKUP(B100,Validation!A:B,2,0)</f>
        <v>APAC</v>
      </c>
      <c r="D100" s="32" t="str">
        <f>VLOOKUP(B100,Validation!A:D,4,0)</f>
        <v>NA</v>
      </c>
      <c r="E100" s="32" t="str">
        <f>VLOOKUP(B100,Validation!A:E,5,0)</f>
        <v>Wendy zhai</v>
      </c>
      <c r="F100" s="32" t="s">
        <v>29</v>
      </c>
      <c r="G100" s="32">
        <f t="shared" si="61"/>
        <v>2026</v>
      </c>
      <c r="H100" s="2" t="s">
        <v>28</v>
      </c>
      <c r="I100" s="2" t="s">
        <v>173</v>
      </c>
      <c r="J100" s="49">
        <f>VLOOKUP(I100,'XE rates'!A:D,4,0)*K100</f>
        <v>6666.8031652278687</v>
      </c>
      <c r="K100" s="64">
        <v>9958.36</v>
      </c>
      <c r="L100" s="1">
        <v>46023</v>
      </c>
      <c r="M100" s="33" t="str">
        <f t="shared" si="58"/>
        <v>Jan</v>
      </c>
      <c r="N100" s="32">
        <f t="shared" ca="1" si="59"/>
        <v>25</v>
      </c>
      <c r="O100" s="32" t="str">
        <f t="shared" ca="1" si="60"/>
        <v>0-30 days</v>
      </c>
      <c r="P100" s="2" t="s">
        <v>168</v>
      </c>
      <c r="Q100" s="1">
        <v>46059</v>
      </c>
      <c r="R100" s="1">
        <v>46066</v>
      </c>
      <c r="S100" s="2" t="s">
        <v>169</v>
      </c>
      <c r="T100" s="2" t="s">
        <v>892</v>
      </c>
      <c r="U100" s="2" t="s">
        <v>170</v>
      </c>
      <c r="V100" s="2" t="s">
        <v>171</v>
      </c>
      <c r="W100" s="39" t="s">
        <v>684</v>
      </c>
      <c r="X100" s="2"/>
      <c r="Y100" s="2"/>
      <c r="Z100" s="2"/>
      <c r="AA100" s="2"/>
    </row>
    <row r="101" spans="1:27" hidden="1">
      <c r="A101" s="2" t="s">
        <v>27</v>
      </c>
      <c r="B101" s="2" t="s">
        <v>708</v>
      </c>
      <c r="C101" s="32" t="str">
        <f>VLOOKUP(B101,Validation!A:B,2,0)</f>
        <v>APAC</v>
      </c>
      <c r="D101" s="32" t="str">
        <f>VLOOKUP(B101,Validation!A:D,4,0)</f>
        <v>NA</v>
      </c>
      <c r="E101" s="32" t="str">
        <f>VLOOKUP(B101,Validation!A:E,5,0)</f>
        <v>Denis Tan</v>
      </c>
      <c r="F101" s="32" t="s">
        <v>29</v>
      </c>
      <c r="G101" s="32">
        <f t="shared" si="61"/>
        <v>2026</v>
      </c>
      <c r="H101" s="2" t="s">
        <v>28</v>
      </c>
      <c r="I101" s="2" t="s">
        <v>167</v>
      </c>
      <c r="J101" s="49">
        <f>VLOOKUP(I101,'XE rates'!A:D,4,0)*K101</f>
        <v>14.19</v>
      </c>
      <c r="K101" s="64">
        <v>14.19</v>
      </c>
      <c r="L101" s="1">
        <v>46023</v>
      </c>
      <c r="M101" s="33" t="str">
        <f t="shared" si="58"/>
        <v>Jan</v>
      </c>
      <c r="N101" s="32">
        <f t="shared" ca="1" si="59"/>
        <v>25</v>
      </c>
      <c r="O101" s="32" t="str">
        <f t="shared" ca="1" si="60"/>
        <v>0-30 days</v>
      </c>
      <c r="P101" s="2" t="s">
        <v>168</v>
      </c>
      <c r="Q101" s="1">
        <v>46059</v>
      </c>
      <c r="R101" s="1">
        <v>46066</v>
      </c>
      <c r="S101" s="2" t="s">
        <v>169</v>
      </c>
      <c r="T101" s="2" t="s">
        <v>893</v>
      </c>
      <c r="U101" s="2" t="s">
        <v>170</v>
      </c>
      <c r="V101" s="2" t="s">
        <v>171</v>
      </c>
      <c r="W101" s="39" t="s">
        <v>684</v>
      </c>
      <c r="X101" s="2"/>
      <c r="Y101" s="2"/>
      <c r="Z101" s="2"/>
      <c r="AA101" s="2"/>
    </row>
    <row r="102" spans="1:27" hidden="1">
      <c r="A102" s="2" t="s">
        <v>27</v>
      </c>
      <c r="B102" s="2" t="s">
        <v>615</v>
      </c>
      <c r="C102" s="32" t="str">
        <f>VLOOKUP(B102,Validation!A:B,2,0)</f>
        <v>APAC</v>
      </c>
      <c r="D102" s="32" t="str">
        <f>VLOOKUP(B102,Validation!A:D,4,0)</f>
        <v>NA</v>
      </c>
      <c r="E102" s="32" t="str">
        <f>VLOOKUP(B102,Validation!A:E,5,0)</f>
        <v>Edward Li</v>
      </c>
      <c r="F102" s="32" t="s">
        <v>29</v>
      </c>
      <c r="G102" s="32">
        <f t="shared" si="61"/>
        <v>2026</v>
      </c>
      <c r="H102" s="2" t="s">
        <v>28</v>
      </c>
      <c r="I102" s="2" t="s">
        <v>167</v>
      </c>
      <c r="J102" s="49">
        <f>VLOOKUP(I102,'XE rates'!A:D,4,0)*K102</f>
        <v>1141.6099999999999</v>
      </c>
      <c r="K102" s="64">
        <v>1141.6099999999999</v>
      </c>
      <c r="L102" s="1">
        <v>46023</v>
      </c>
      <c r="M102" s="33" t="str">
        <f t="shared" si="58"/>
        <v>Jan</v>
      </c>
      <c r="N102" s="32">
        <f t="shared" ca="1" si="59"/>
        <v>27</v>
      </c>
      <c r="O102" s="32" t="str">
        <f t="shared" ca="1" si="60"/>
        <v>0-30 days</v>
      </c>
      <c r="P102" s="2" t="s">
        <v>168</v>
      </c>
      <c r="Q102" s="1">
        <v>46057</v>
      </c>
      <c r="R102" s="1">
        <v>46064</v>
      </c>
      <c r="S102" s="2" t="s">
        <v>169</v>
      </c>
      <c r="T102" s="2" t="s">
        <v>894</v>
      </c>
      <c r="U102" s="2" t="s">
        <v>170</v>
      </c>
      <c r="V102" s="2" t="s">
        <v>171</v>
      </c>
      <c r="W102" s="39" t="s">
        <v>684</v>
      </c>
      <c r="X102" s="2"/>
      <c r="Y102" s="2"/>
      <c r="Z102" s="2"/>
      <c r="AA102" s="2"/>
    </row>
    <row r="103" spans="1:27" hidden="1">
      <c r="A103" s="2" t="s">
        <v>27</v>
      </c>
      <c r="B103" s="2" t="s">
        <v>647</v>
      </c>
      <c r="C103" s="32" t="str">
        <f>VLOOKUP(B103,Validation!A:B,2,0)</f>
        <v>APAC</v>
      </c>
      <c r="D103" s="32" t="str">
        <f>VLOOKUP(B103,Validation!A:D,4,0)</f>
        <v>NA</v>
      </c>
      <c r="E103" s="32" t="str">
        <f>VLOOKUP(B103,Validation!A:E,5,0)</f>
        <v>Vinoth M</v>
      </c>
      <c r="F103" s="32" t="s">
        <v>29</v>
      </c>
      <c r="G103" s="32">
        <f t="shared" si="61"/>
        <v>2026</v>
      </c>
      <c r="H103" s="2" t="s">
        <v>28</v>
      </c>
      <c r="I103" s="2" t="s">
        <v>173</v>
      </c>
      <c r="J103" s="49">
        <f>VLOOKUP(I103,'XE rates'!A:D,4,0)*K103</f>
        <v>1925.7782053501962</v>
      </c>
      <c r="K103" s="64">
        <v>2876.58</v>
      </c>
      <c r="L103" s="1">
        <v>46023</v>
      </c>
      <c r="M103" s="33" t="str">
        <f t="shared" si="58"/>
        <v>Jan</v>
      </c>
      <c r="N103" s="32">
        <f t="shared" ca="1" si="59"/>
        <v>26</v>
      </c>
      <c r="O103" s="32" t="str">
        <f t="shared" ca="1" si="60"/>
        <v>0-30 days</v>
      </c>
      <c r="P103" s="2" t="s">
        <v>168</v>
      </c>
      <c r="Q103" s="1">
        <v>46058</v>
      </c>
      <c r="R103" s="1">
        <v>46065</v>
      </c>
      <c r="S103" s="2" t="s">
        <v>169</v>
      </c>
      <c r="T103" s="2" t="s">
        <v>895</v>
      </c>
      <c r="U103" s="2" t="s">
        <v>170</v>
      </c>
      <c r="V103" s="2" t="s">
        <v>171</v>
      </c>
      <c r="W103" s="39" t="s">
        <v>684</v>
      </c>
      <c r="X103" s="2"/>
      <c r="Y103" s="2"/>
      <c r="Z103" s="2"/>
      <c r="AA103" s="2"/>
    </row>
    <row r="104" spans="1:27" hidden="1">
      <c r="A104" s="2" t="s">
        <v>27</v>
      </c>
      <c r="B104" s="2" t="s">
        <v>76</v>
      </c>
      <c r="C104" s="32" t="str">
        <f>VLOOKUP(B104,Validation!A:B,2,0)</f>
        <v>APAC</v>
      </c>
      <c r="D104" s="32" t="str">
        <f>VLOOKUP(B104,Validation!A:D,4,0)</f>
        <v>Pat Sarisa</v>
      </c>
      <c r="E104" s="32" t="str">
        <f>VLOOKUP(B104,Validation!A:E,5,0)</f>
        <v>Gitesh Athavale</v>
      </c>
      <c r="F104" s="32" t="s">
        <v>29</v>
      </c>
      <c r="G104" s="32">
        <f t="shared" si="61"/>
        <v>2026</v>
      </c>
      <c r="H104" s="2" t="s">
        <v>28</v>
      </c>
      <c r="I104" s="2" t="s">
        <v>167</v>
      </c>
      <c r="J104" s="49">
        <f>VLOOKUP(I104,'XE rates'!A:D,4,0)*K104</f>
        <v>32268.400000000001</v>
      </c>
      <c r="K104" s="64">
        <v>32268.400000000001</v>
      </c>
      <c r="L104" s="1">
        <v>46023</v>
      </c>
      <c r="M104" s="33" t="str">
        <f t="shared" si="58"/>
        <v>Jan</v>
      </c>
      <c r="N104" s="32">
        <f t="shared" ca="1" si="59"/>
        <v>24</v>
      </c>
      <c r="O104" s="32" t="str">
        <f t="shared" ca="1" si="60"/>
        <v>0-30 days</v>
      </c>
      <c r="P104" s="2" t="s">
        <v>168</v>
      </c>
      <c r="Q104" s="1">
        <v>46060</v>
      </c>
      <c r="R104" s="1">
        <v>46067</v>
      </c>
      <c r="S104" s="2" t="s">
        <v>169</v>
      </c>
      <c r="T104" s="2" t="s">
        <v>896</v>
      </c>
      <c r="U104" s="2" t="s">
        <v>170</v>
      </c>
      <c r="V104" s="2" t="s">
        <v>171</v>
      </c>
      <c r="W104" s="39" t="s">
        <v>684</v>
      </c>
      <c r="X104" s="2"/>
      <c r="Y104" s="2"/>
      <c r="Z104" s="2"/>
      <c r="AA104" s="2"/>
    </row>
    <row r="105" spans="1:27" hidden="1">
      <c r="A105" s="2" t="s">
        <v>27</v>
      </c>
      <c r="B105" s="2" t="s">
        <v>709</v>
      </c>
      <c r="C105" s="32" t="str">
        <f>VLOOKUP(B105,Validation!A:B,2,0)</f>
        <v>APAC</v>
      </c>
      <c r="D105" s="32" t="str">
        <f>VLOOKUP(B105,Validation!A:D,4,0)</f>
        <v>Pat Sarisa</v>
      </c>
      <c r="E105" s="32" t="str">
        <f>VLOOKUP(B105,Validation!A:E,5,0)</f>
        <v>NA</v>
      </c>
      <c r="F105" s="32" t="s">
        <v>29</v>
      </c>
      <c r="G105" s="32">
        <f t="shared" si="61"/>
        <v>2026</v>
      </c>
      <c r="H105" s="2" t="s">
        <v>28</v>
      </c>
      <c r="I105" s="2" t="s">
        <v>167</v>
      </c>
      <c r="J105" s="49">
        <f>VLOOKUP(I105,'XE rates'!A:D,4,0)*K105</f>
        <v>10010</v>
      </c>
      <c r="K105" s="64">
        <v>10010</v>
      </c>
      <c r="L105" s="1">
        <v>46023</v>
      </c>
      <c r="M105" s="33" t="str">
        <f t="shared" si="58"/>
        <v>Jan</v>
      </c>
      <c r="N105" s="32">
        <f t="shared" ca="1" si="59"/>
        <v>25</v>
      </c>
      <c r="O105" s="32" t="str">
        <f t="shared" ca="1" si="60"/>
        <v>0-30 days</v>
      </c>
      <c r="P105" s="2" t="s">
        <v>168</v>
      </c>
      <c r="Q105" s="1">
        <v>46059</v>
      </c>
      <c r="R105" s="1">
        <v>46066</v>
      </c>
      <c r="S105" s="2" t="s">
        <v>169</v>
      </c>
      <c r="T105" s="2" t="s">
        <v>897</v>
      </c>
      <c r="U105" s="2" t="s">
        <v>170</v>
      </c>
      <c r="V105" s="2" t="s">
        <v>171</v>
      </c>
      <c r="W105" s="39" t="s">
        <v>684</v>
      </c>
      <c r="X105" s="2"/>
      <c r="Y105" s="2"/>
      <c r="Z105" s="2"/>
      <c r="AA105" s="2"/>
    </row>
    <row r="106" spans="1:27" hidden="1">
      <c r="A106" s="2" t="s">
        <v>27</v>
      </c>
      <c r="B106" s="2" t="s">
        <v>594</v>
      </c>
      <c r="C106" s="32" t="str">
        <f>VLOOKUP(B106,Validation!A:B,2,0)</f>
        <v>USA</v>
      </c>
      <c r="D106" s="32" t="str">
        <f>VLOOKUP(B106,Validation!A:D,4,0)</f>
        <v>Eduardo Avallone</v>
      </c>
      <c r="E106" s="32" t="str">
        <f>VLOOKUP(B106,Validation!A:E,5,0)</f>
        <v>Greg McAllister</v>
      </c>
      <c r="F106" s="32" t="s">
        <v>29</v>
      </c>
      <c r="G106" s="32">
        <f t="shared" si="61"/>
        <v>2026</v>
      </c>
      <c r="H106" s="2" t="s">
        <v>28</v>
      </c>
      <c r="I106" s="2" t="s">
        <v>167</v>
      </c>
      <c r="J106" s="49">
        <f>VLOOKUP(I106,'XE rates'!A:D,4,0)*K106</f>
        <v>130</v>
      </c>
      <c r="K106" s="64">
        <v>130</v>
      </c>
      <c r="L106" s="1">
        <v>46023</v>
      </c>
      <c r="M106" s="33" t="str">
        <f t="shared" ref="M106:M127" si="62">TEXT(L106,"mmm")</f>
        <v>Jan</v>
      </c>
      <c r="N106" s="32">
        <f t="shared" ref="N106:N127" ca="1" si="63">$Y$1-R106</f>
        <v>29</v>
      </c>
      <c r="O106" s="32" t="str">
        <f t="shared" ref="O106:O127" ca="1" si="64">IF(N106&lt;=30, "0-30 days", IF(N106&lt;=60, "31-60 days", IF(N106&lt;=90, "61-90 days", "Over 90+ days")))</f>
        <v>0-30 days</v>
      </c>
      <c r="P106" s="2" t="s">
        <v>168</v>
      </c>
      <c r="Q106" s="1">
        <v>46055</v>
      </c>
      <c r="R106" s="1">
        <v>46062</v>
      </c>
      <c r="S106" s="2" t="s">
        <v>169</v>
      </c>
      <c r="T106" s="2" t="s">
        <v>898</v>
      </c>
      <c r="U106" s="2" t="s">
        <v>170</v>
      </c>
      <c r="V106" s="2" t="s">
        <v>171</v>
      </c>
      <c r="W106" s="39" t="s">
        <v>684</v>
      </c>
      <c r="X106" s="2"/>
      <c r="Y106" s="2"/>
      <c r="Z106" s="2"/>
      <c r="AA106" s="2"/>
    </row>
    <row r="107" spans="1:27" hidden="1">
      <c r="A107" s="2" t="s">
        <v>27</v>
      </c>
      <c r="B107" s="2" t="s">
        <v>865</v>
      </c>
      <c r="C107" s="32" t="str">
        <f>VLOOKUP(B107,Validation!A:B,2,0)</f>
        <v>APAC</v>
      </c>
      <c r="D107" s="32" t="str">
        <f>VLOOKUP(B107,Validation!A:D,4,0)</f>
        <v>NA</v>
      </c>
      <c r="E107" s="32" t="str">
        <f>VLOOKUP(B107,Validation!A:E,5,0)</f>
        <v>Edward Li</v>
      </c>
      <c r="F107" s="32" t="s">
        <v>29</v>
      </c>
      <c r="G107" s="32">
        <f t="shared" si="61"/>
        <v>2026</v>
      </c>
      <c r="H107" s="2" t="s">
        <v>28</v>
      </c>
      <c r="I107" s="2" t="s">
        <v>167</v>
      </c>
      <c r="J107" s="49">
        <f>VLOOKUP(I107,'XE rates'!A:D,4,0)*K107</f>
        <v>15000</v>
      </c>
      <c r="K107" s="64">
        <v>15000</v>
      </c>
      <c r="L107" s="1">
        <v>46054</v>
      </c>
      <c r="M107" s="33" t="str">
        <f t="shared" si="62"/>
        <v>Feb</v>
      </c>
      <c r="N107" s="32">
        <f t="shared" ca="1" si="63"/>
        <v>18</v>
      </c>
      <c r="O107" s="32" t="str">
        <f t="shared" ca="1" si="64"/>
        <v>0-30 days</v>
      </c>
      <c r="P107" s="2" t="s">
        <v>923</v>
      </c>
      <c r="Q107" s="1">
        <v>46066</v>
      </c>
      <c r="R107" s="1">
        <v>46073</v>
      </c>
      <c r="S107" s="2" t="s">
        <v>174</v>
      </c>
      <c r="T107" s="2" t="s">
        <v>899</v>
      </c>
      <c r="U107" s="2" t="s">
        <v>170</v>
      </c>
      <c r="V107" s="2" t="s">
        <v>171</v>
      </c>
      <c r="W107" s="39" t="s">
        <v>684</v>
      </c>
      <c r="X107" s="2"/>
      <c r="Y107" s="2"/>
      <c r="Z107" s="2"/>
      <c r="AA107" s="2"/>
    </row>
    <row r="108" spans="1:27" hidden="1">
      <c r="A108" s="2" t="s">
        <v>27</v>
      </c>
      <c r="B108" s="2" t="s">
        <v>697</v>
      </c>
      <c r="C108" s="32" t="str">
        <f>VLOOKUP(B108,Validation!A:B,2,0)</f>
        <v>APAC</v>
      </c>
      <c r="D108" s="32" t="str">
        <f>VLOOKUP(B108,Validation!A:D,4,0)</f>
        <v>NA</v>
      </c>
      <c r="E108" s="32" t="str">
        <f>VLOOKUP(B108,Validation!A:E,5,0)</f>
        <v>Febriali Tan</v>
      </c>
      <c r="F108" s="32" t="s">
        <v>29</v>
      </c>
      <c r="G108" s="32">
        <f t="shared" si="61"/>
        <v>2026</v>
      </c>
      <c r="H108" s="2" t="s">
        <v>28</v>
      </c>
      <c r="I108" s="2" t="s">
        <v>167</v>
      </c>
      <c r="J108" s="49">
        <f>VLOOKUP(I108,'XE rates'!A:D,4,0)*K108</f>
        <v>249.2</v>
      </c>
      <c r="K108" s="64">
        <v>249.2</v>
      </c>
      <c r="L108" s="1">
        <v>46023</v>
      </c>
      <c r="M108" s="33" t="str">
        <f t="shared" si="62"/>
        <v>Jan</v>
      </c>
      <c r="N108" s="32">
        <f t="shared" ca="1" si="63"/>
        <v>27</v>
      </c>
      <c r="O108" s="32" t="str">
        <f t="shared" ca="1" si="64"/>
        <v>0-30 days</v>
      </c>
      <c r="P108" s="2" t="s">
        <v>168</v>
      </c>
      <c r="Q108" s="1">
        <v>46057</v>
      </c>
      <c r="R108" s="1">
        <v>46064</v>
      </c>
      <c r="S108" s="2" t="s">
        <v>169</v>
      </c>
      <c r="T108" s="2" t="s">
        <v>900</v>
      </c>
      <c r="U108" s="2" t="s">
        <v>170</v>
      </c>
      <c r="V108" s="2" t="s">
        <v>171</v>
      </c>
      <c r="W108" s="39" t="s">
        <v>684</v>
      </c>
      <c r="X108" s="2"/>
      <c r="Y108" s="2"/>
      <c r="Z108" s="2"/>
      <c r="AA108" s="2"/>
    </row>
    <row r="109" spans="1:27" hidden="1">
      <c r="A109" s="2" t="s">
        <v>27</v>
      </c>
      <c r="B109" s="2" t="s">
        <v>820</v>
      </c>
      <c r="C109" s="32" t="str">
        <f>VLOOKUP(B109,Validation!A:B,2,0)</f>
        <v>APAC</v>
      </c>
      <c r="D109" s="32" t="str">
        <f>VLOOKUP(B109,Validation!A:D,4,0)</f>
        <v>NA</v>
      </c>
      <c r="E109" s="32" t="str">
        <f>VLOOKUP(B109,Validation!A:E,5,0)</f>
        <v>Febriali Tan</v>
      </c>
      <c r="F109" s="32" t="s">
        <v>29</v>
      </c>
      <c r="G109" s="32">
        <f t="shared" si="61"/>
        <v>2026</v>
      </c>
      <c r="H109" s="2" t="s">
        <v>28</v>
      </c>
      <c r="I109" s="2" t="s">
        <v>167</v>
      </c>
      <c r="J109" s="49">
        <f>VLOOKUP(I109,'XE rates'!A:D,4,0)*K109</f>
        <v>2970</v>
      </c>
      <c r="K109" s="64">
        <v>2970</v>
      </c>
      <c r="L109" s="1">
        <v>46023</v>
      </c>
      <c r="M109" s="33" t="str">
        <f t="shared" si="62"/>
        <v>Jan</v>
      </c>
      <c r="N109" s="32">
        <f t="shared" ca="1" si="63"/>
        <v>27</v>
      </c>
      <c r="O109" s="32" t="str">
        <f t="shared" ca="1" si="64"/>
        <v>0-30 days</v>
      </c>
      <c r="P109" s="2" t="s">
        <v>168</v>
      </c>
      <c r="Q109" s="1">
        <v>46057</v>
      </c>
      <c r="R109" s="1">
        <v>46064</v>
      </c>
      <c r="S109" s="2" t="s">
        <v>169</v>
      </c>
      <c r="T109" s="2" t="s">
        <v>901</v>
      </c>
      <c r="U109" s="2" t="s">
        <v>170</v>
      </c>
      <c r="V109" s="2" t="s">
        <v>171</v>
      </c>
      <c r="W109" s="39" t="s">
        <v>684</v>
      </c>
      <c r="X109" s="2"/>
      <c r="Y109" s="2"/>
      <c r="Z109" s="2"/>
      <c r="AA109" s="2"/>
    </row>
    <row r="110" spans="1:27" hidden="1">
      <c r="A110" s="2" t="s">
        <v>27</v>
      </c>
      <c r="B110" s="2" t="s">
        <v>617</v>
      </c>
      <c r="C110" s="32" t="str">
        <f>VLOOKUP(B110,Validation!A:B,2,0)</f>
        <v>ME</v>
      </c>
      <c r="D110" s="32" t="str">
        <f>VLOOKUP(B110,Validation!A:D,4,0)</f>
        <v>Jerome Coelho</v>
      </c>
      <c r="E110" s="32" t="str">
        <f>VLOOKUP(B110,Validation!A:E,5,0)</f>
        <v>Ashraf Omran</v>
      </c>
      <c r="F110" s="32" t="s">
        <v>29</v>
      </c>
      <c r="G110" s="32">
        <f t="shared" si="61"/>
        <v>2026</v>
      </c>
      <c r="H110" s="2" t="s">
        <v>28</v>
      </c>
      <c r="I110" s="2" t="s">
        <v>167</v>
      </c>
      <c r="J110" s="49">
        <f>VLOOKUP(I110,'XE rates'!A:D,4,0)*K110</f>
        <v>2500</v>
      </c>
      <c r="K110" s="64">
        <v>2500</v>
      </c>
      <c r="L110" s="1">
        <v>46023</v>
      </c>
      <c r="M110" s="33" t="str">
        <f t="shared" si="62"/>
        <v>Jan</v>
      </c>
      <c r="N110" s="32">
        <f t="shared" ca="1" si="63"/>
        <v>29</v>
      </c>
      <c r="O110" s="32" t="str">
        <f t="shared" ca="1" si="64"/>
        <v>0-30 days</v>
      </c>
      <c r="P110" s="2" t="s">
        <v>168</v>
      </c>
      <c r="Q110" s="1">
        <v>46055</v>
      </c>
      <c r="R110" s="1">
        <v>46062</v>
      </c>
      <c r="S110" s="2" t="s">
        <v>808</v>
      </c>
      <c r="T110" s="2" t="s">
        <v>902</v>
      </c>
      <c r="U110" s="2" t="s">
        <v>170</v>
      </c>
      <c r="V110" s="2" t="s">
        <v>171</v>
      </c>
      <c r="W110" s="39" t="s">
        <v>684</v>
      </c>
      <c r="X110" s="2"/>
      <c r="Y110" s="2"/>
      <c r="Z110" s="2"/>
      <c r="AA110" s="2"/>
    </row>
    <row r="111" spans="1:27" hidden="1">
      <c r="A111" s="2" t="s">
        <v>27</v>
      </c>
      <c r="B111" s="2" t="s">
        <v>728</v>
      </c>
      <c r="C111" s="32" t="str">
        <f>VLOOKUP(B111,Validation!A:B,2,0)</f>
        <v>EU/UK</v>
      </c>
      <c r="D111" s="32" t="str">
        <f>VLOOKUP(B111,Validation!A:D,4,0)</f>
        <v>Sachli Zare</v>
      </c>
      <c r="E111" s="32" t="str">
        <f>VLOOKUP(B111,Validation!A:E,5,0)</f>
        <v>NA</v>
      </c>
      <c r="F111" s="32" t="s">
        <v>29</v>
      </c>
      <c r="G111" s="32">
        <f t="shared" si="61"/>
        <v>2026</v>
      </c>
      <c r="H111" s="2" t="s">
        <v>28</v>
      </c>
      <c r="I111" s="2" t="s">
        <v>167</v>
      </c>
      <c r="J111" s="49">
        <f>VLOOKUP(I111,'XE rates'!A:D,4,0)*K111</f>
        <v>0.60000000000000142</v>
      </c>
      <c r="K111" s="64">
        <v>0.60000000000000142</v>
      </c>
      <c r="L111" s="1">
        <v>46023</v>
      </c>
      <c r="M111" s="33" t="str">
        <f t="shared" si="62"/>
        <v>Jan</v>
      </c>
      <c r="N111" s="32">
        <f t="shared" ca="1" si="63"/>
        <v>27</v>
      </c>
      <c r="O111" s="32" t="str">
        <f t="shared" ca="1" si="64"/>
        <v>0-30 days</v>
      </c>
      <c r="P111" s="2" t="s">
        <v>168</v>
      </c>
      <c r="Q111" s="1">
        <v>46057</v>
      </c>
      <c r="R111" s="1">
        <v>46064</v>
      </c>
      <c r="S111" s="2" t="s">
        <v>809</v>
      </c>
      <c r="T111" s="2" t="s">
        <v>903</v>
      </c>
      <c r="U111" s="2" t="s">
        <v>170</v>
      </c>
      <c r="V111" s="2" t="s">
        <v>171</v>
      </c>
      <c r="W111" s="39" t="s">
        <v>684</v>
      </c>
      <c r="X111" s="2"/>
      <c r="Y111" s="2"/>
      <c r="Z111" s="2"/>
      <c r="AA111" s="2"/>
    </row>
    <row r="112" spans="1:27" hidden="1">
      <c r="A112" s="2" t="s">
        <v>27</v>
      </c>
      <c r="B112" s="2" t="s">
        <v>674</v>
      </c>
      <c r="C112" s="32" t="str">
        <f>VLOOKUP(B112,Validation!A:B,2,0)</f>
        <v>USA</v>
      </c>
      <c r="D112" s="32" t="str">
        <f>VLOOKUP(B112,Validation!A:D,4,0)</f>
        <v>Eduardo Avallone</v>
      </c>
      <c r="E112" s="32" t="str">
        <f>VLOOKUP(B112,Validation!A:E,5,0)</f>
        <v>Vinoth M</v>
      </c>
      <c r="F112" s="32" t="s">
        <v>29</v>
      </c>
      <c r="G112" s="32">
        <f t="shared" si="61"/>
        <v>2026</v>
      </c>
      <c r="H112" s="2" t="s">
        <v>28</v>
      </c>
      <c r="I112" s="2" t="s">
        <v>167</v>
      </c>
      <c r="J112" s="49">
        <f>VLOOKUP(I112,'XE rates'!A:D,4,0)*K112</f>
        <v>142.80000000000001</v>
      </c>
      <c r="K112" s="64">
        <v>142.80000000000001</v>
      </c>
      <c r="L112" s="1">
        <v>46023</v>
      </c>
      <c r="M112" s="33" t="str">
        <f t="shared" si="62"/>
        <v>Jan</v>
      </c>
      <c r="N112" s="32">
        <f t="shared" ca="1" si="63"/>
        <v>26</v>
      </c>
      <c r="O112" s="32" t="str">
        <f t="shared" ca="1" si="64"/>
        <v>0-30 days</v>
      </c>
      <c r="P112" s="2" t="s">
        <v>168</v>
      </c>
      <c r="Q112" s="1">
        <v>46058</v>
      </c>
      <c r="R112" s="1">
        <v>46065</v>
      </c>
      <c r="S112" s="2" t="s">
        <v>169</v>
      </c>
      <c r="T112" s="2" t="s">
        <v>904</v>
      </c>
      <c r="U112" s="2" t="s">
        <v>170</v>
      </c>
      <c r="V112" s="2" t="s">
        <v>171</v>
      </c>
      <c r="W112" s="39" t="s">
        <v>684</v>
      </c>
      <c r="X112" s="2"/>
      <c r="Y112" s="2"/>
      <c r="Z112" s="2"/>
      <c r="AA112" s="2"/>
    </row>
    <row r="113" spans="1:27" hidden="1">
      <c r="A113" s="2" t="s">
        <v>27</v>
      </c>
      <c r="B113" s="2" t="s">
        <v>763</v>
      </c>
      <c r="C113" s="32" t="str">
        <f>VLOOKUP(B113,Validation!A:B,2,0)</f>
        <v>APAC</v>
      </c>
      <c r="D113" s="32" t="str">
        <f>VLOOKUP(B113,Validation!A:D,4,0)</f>
        <v>Shi Yin</v>
      </c>
      <c r="E113" s="32" t="str">
        <f>VLOOKUP(B113,Validation!A:E,5,0)</f>
        <v>Vinoth M</v>
      </c>
      <c r="F113" s="32" t="s">
        <v>29</v>
      </c>
      <c r="G113" s="32">
        <f t="shared" si="61"/>
        <v>2026</v>
      </c>
      <c r="H113" s="2" t="s">
        <v>28</v>
      </c>
      <c r="I113" s="2" t="s">
        <v>167</v>
      </c>
      <c r="J113" s="49">
        <f>VLOOKUP(I113,'XE rates'!A:D,4,0)*K113</f>
        <v>2965</v>
      </c>
      <c r="K113" s="64">
        <v>2965</v>
      </c>
      <c r="L113" s="1">
        <v>46023</v>
      </c>
      <c r="M113" s="33" t="str">
        <f t="shared" si="62"/>
        <v>Jan</v>
      </c>
      <c r="N113" s="32">
        <f t="shared" ca="1" si="63"/>
        <v>26</v>
      </c>
      <c r="O113" s="32" t="str">
        <f t="shared" ca="1" si="64"/>
        <v>0-30 days</v>
      </c>
      <c r="P113" s="2" t="s">
        <v>168</v>
      </c>
      <c r="Q113" s="1">
        <v>46058</v>
      </c>
      <c r="R113" s="1">
        <v>46065</v>
      </c>
      <c r="S113" s="2" t="s">
        <v>169</v>
      </c>
      <c r="T113" s="2" t="s">
        <v>906</v>
      </c>
      <c r="U113" s="2" t="s">
        <v>170</v>
      </c>
      <c r="V113" s="2" t="s">
        <v>171</v>
      </c>
      <c r="W113" s="39" t="s">
        <v>684</v>
      </c>
      <c r="X113" s="2"/>
      <c r="Y113" s="2"/>
      <c r="Z113" s="2"/>
      <c r="AA113" s="2"/>
    </row>
    <row r="114" spans="1:27" hidden="1">
      <c r="A114" s="2" t="s">
        <v>27</v>
      </c>
      <c r="B114" s="2" t="s">
        <v>866</v>
      </c>
      <c r="C114" s="32" t="str">
        <f>VLOOKUP(B114,Validation!A:B,2,0)</f>
        <v>USA</v>
      </c>
      <c r="D114" s="32" t="str">
        <f>VLOOKUP(B114,Validation!A:D,4,0)</f>
        <v>NA</v>
      </c>
      <c r="E114" s="32" t="str">
        <f>VLOOKUP(B114,Validation!A:E,5,0)</f>
        <v>Michael Bermingham</v>
      </c>
      <c r="F114" s="32" t="s">
        <v>29</v>
      </c>
      <c r="G114" s="32">
        <f t="shared" si="61"/>
        <v>2026</v>
      </c>
      <c r="H114" s="2" t="s">
        <v>28</v>
      </c>
      <c r="I114" s="2" t="s">
        <v>191</v>
      </c>
      <c r="J114" s="49">
        <f>VLOOKUP(I114,'XE rates'!A:D,4,0)*K114</f>
        <v>260.47031625256835</v>
      </c>
      <c r="K114" s="64">
        <v>362.5</v>
      </c>
      <c r="L114" s="1">
        <v>46023</v>
      </c>
      <c r="M114" s="33" t="str">
        <f t="shared" si="62"/>
        <v>Jan</v>
      </c>
      <c r="N114" s="32">
        <f t="shared" ca="1" si="63"/>
        <v>27</v>
      </c>
      <c r="O114" s="32" t="str">
        <f t="shared" ca="1" si="64"/>
        <v>0-30 days</v>
      </c>
      <c r="P114" s="2" t="s">
        <v>168</v>
      </c>
      <c r="Q114" s="1">
        <v>46057</v>
      </c>
      <c r="R114" s="1">
        <v>46064</v>
      </c>
      <c r="S114" s="2" t="s">
        <v>169</v>
      </c>
      <c r="T114" s="2" t="s">
        <v>907</v>
      </c>
      <c r="U114" s="2" t="s">
        <v>170</v>
      </c>
      <c r="V114" s="2" t="s">
        <v>171</v>
      </c>
      <c r="W114" s="39" t="s">
        <v>684</v>
      </c>
      <c r="X114" s="2"/>
      <c r="Y114" s="2"/>
      <c r="Z114" s="2"/>
      <c r="AA114" s="2"/>
    </row>
    <row r="115" spans="1:27" hidden="1">
      <c r="A115" s="2" t="s">
        <v>27</v>
      </c>
      <c r="B115" s="2" t="s">
        <v>867</v>
      </c>
      <c r="C115" s="32" t="str">
        <f>VLOOKUP(B115,Validation!A:B,2,0)</f>
        <v>USA</v>
      </c>
      <c r="D115" s="32" t="str">
        <f>VLOOKUP(B115,Validation!A:D,4,0)</f>
        <v>NA</v>
      </c>
      <c r="E115" s="32" t="str">
        <f>VLOOKUP(B115,Validation!A:E,5,0)</f>
        <v>Michael Bermingham</v>
      </c>
      <c r="F115" s="32" t="s">
        <v>29</v>
      </c>
      <c r="G115" s="32">
        <f t="shared" si="61"/>
        <v>2026</v>
      </c>
      <c r="H115" s="2" t="s">
        <v>28</v>
      </c>
      <c r="I115" s="2" t="s">
        <v>167</v>
      </c>
      <c r="J115" s="49">
        <f>VLOOKUP(I115,'XE rates'!A:D,4,0)*K115</f>
        <v>36.32</v>
      </c>
      <c r="K115" s="64">
        <v>36.32</v>
      </c>
      <c r="L115" s="1">
        <v>46023</v>
      </c>
      <c r="M115" s="33" t="str">
        <f t="shared" si="62"/>
        <v>Jan</v>
      </c>
      <c r="N115" s="32">
        <f t="shared" ca="1" si="63"/>
        <v>27</v>
      </c>
      <c r="O115" s="32" t="str">
        <f t="shared" ca="1" si="64"/>
        <v>0-30 days</v>
      </c>
      <c r="P115" s="2" t="s">
        <v>168</v>
      </c>
      <c r="Q115" s="1">
        <v>46057</v>
      </c>
      <c r="R115" s="1">
        <v>46064</v>
      </c>
      <c r="S115" s="2" t="s">
        <v>169</v>
      </c>
      <c r="T115" s="2" t="s">
        <v>908</v>
      </c>
      <c r="U115" s="2" t="s">
        <v>170</v>
      </c>
      <c r="V115" s="2" t="s">
        <v>171</v>
      </c>
      <c r="W115" s="39" t="s">
        <v>684</v>
      </c>
      <c r="X115" s="2"/>
      <c r="Y115" s="2"/>
      <c r="Z115" s="2"/>
      <c r="AA115" s="2"/>
    </row>
    <row r="116" spans="1:27" hidden="1">
      <c r="A116" s="2" t="s">
        <v>27</v>
      </c>
      <c r="B116" s="2" t="s">
        <v>620</v>
      </c>
      <c r="C116" s="32" t="str">
        <f>VLOOKUP(B116,Validation!A:B,2,0)</f>
        <v>USA</v>
      </c>
      <c r="D116" s="32" t="str">
        <f>VLOOKUP(B116,Validation!A:D,4,0)</f>
        <v>Tanu Arora</v>
      </c>
      <c r="E116" s="32" t="str">
        <f>VLOOKUP(B116,Validation!A:E,5,0)</f>
        <v>Rohit Bammi</v>
      </c>
      <c r="F116" s="32" t="s">
        <v>29</v>
      </c>
      <c r="G116" s="32">
        <f t="shared" si="61"/>
        <v>2026</v>
      </c>
      <c r="H116" s="2" t="s">
        <v>28</v>
      </c>
      <c r="I116" s="2" t="s">
        <v>167</v>
      </c>
      <c r="J116" s="49">
        <f>VLOOKUP(I116,'XE rates'!A:D,4,0)*K116</f>
        <v>60</v>
      </c>
      <c r="K116" s="64">
        <v>60</v>
      </c>
      <c r="L116" s="1">
        <v>46023</v>
      </c>
      <c r="M116" s="33" t="str">
        <f t="shared" si="62"/>
        <v>Jan</v>
      </c>
      <c r="N116" s="32">
        <f t="shared" ca="1" si="63"/>
        <v>26</v>
      </c>
      <c r="O116" s="32" t="str">
        <f t="shared" ca="1" si="64"/>
        <v>0-30 days</v>
      </c>
      <c r="P116" s="2" t="s">
        <v>168</v>
      </c>
      <c r="Q116" s="1">
        <v>46058</v>
      </c>
      <c r="R116" s="1">
        <v>46065</v>
      </c>
      <c r="S116" s="2" t="s">
        <v>169</v>
      </c>
      <c r="T116" s="2" t="s">
        <v>909</v>
      </c>
      <c r="U116" s="2" t="s">
        <v>170</v>
      </c>
      <c r="V116" s="2" t="s">
        <v>171</v>
      </c>
      <c r="W116" s="39" t="s">
        <v>684</v>
      </c>
      <c r="X116" s="2"/>
      <c r="Y116" s="2"/>
      <c r="Z116" s="2"/>
      <c r="AA116" s="2"/>
    </row>
    <row r="117" spans="1:27" hidden="1">
      <c r="A117" s="2" t="s">
        <v>27</v>
      </c>
      <c r="B117" s="2" t="s">
        <v>729</v>
      </c>
      <c r="C117" s="32" t="str">
        <f>VLOOKUP(B117,Validation!A:B,2,0)</f>
        <v>USA</v>
      </c>
      <c r="D117" s="32" t="str">
        <f>VLOOKUP(B117,Validation!A:D,4,0)</f>
        <v>Tanu Arora</v>
      </c>
      <c r="E117" s="32" t="str">
        <f>VLOOKUP(B117,Validation!A:E,5,0)</f>
        <v>Michael Bermingham</v>
      </c>
      <c r="F117" s="32" t="s">
        <v>29</v>
      </c>
      <c r="G117" s="32">
        <f t="shared" si="61"/>
        <v>2026</v>
      </c>
      <c r="H117" s="2" t="s">
        <v>28</v>
      </c>
      <c r="I117" s="2" t="s">
        <v>167</v>
      </c>
      <c r="J117" s="49">
        <f>VLOOKUP(I117,'XE rates'!A:D,4,0)*K117</f>
        <v>1000</v>
      </c>
      <c r="K117" s="64">
        <v>1000</v>
      </c>
      <c r="L117" s="1">
        <v>46023</v>
      </c>
      <c r="M117" s="33" t="str">
        <f t="shared" si="62"/>
        <v>Jan</v>
      </c>
      <c r="N117" s="32">
        <f t="shared" ca="1" si="63"/>
        <v>26</v>
      </c>
      <c r="O117" s="32" t="str">
        <f t="shared" ca="1" si="64"/>
        <v>0-30 days</v>
      </c>
      <c r="P117" s="2" t="s">
        <v>168</v>
      </c>
      <c r="Q117" s="1">
        <v>46058</v>
      </c>
      <c r="R117" s="1">
        <v>46065</v>
      </c>
      <c r="S117" s="2" t="s">
        <v>169</v>
      </c>
      <c r="T117" s="2" t="s">
        <v>910</v>
      </c>
      <c r="U117" s="2" t="s">
        <v>170</v>
      </c>
      <c r="V117" s="2" t="s">
        <v>171</v>
      </c>
      <c r="W117" s="39" t="s">
        <v>684</v>
      </c>
      <c r="X117" s="2"/>
      <c r="Y117" s="2"/>
      <c r="Z117" s="2"/>
      <c r="AA117" s="2"/>
    </row>
    <row r="118" spans="1:27" hidden="1">
      <c r="A118" s="2" t="s">
        <v>27</v>
      </c>
      <c r="B118" s="2" t="s">
        <v>685</v>
      </c>
      <c r="C118" s="32" t="str">
        <f>VLOOKUP(B118,Validation!A:B,2,0)</f>
        <v>ME</v>
      </c>
      <c r="D118" s="32" t="str">
        <f>VLOOKUP(B118,Validation!A:D,4,0)</f>
        <v>Jerome Coelho</v>
      </c>
      <c r="E118" s="32" t="str">
        <f>VLOOKUP(B118,Validation!A:E,5,0)</f>
        <v>Winfred</v>
      </c>
      <c r="F118" s="32" t="s">
        <v>29</v>
      </c>
      <c r="G118" s="32">
        <f t="shared" si="61"/>
        <v>2026</v>
      </c>
      <c r="H118" s="2" t="s">
        <v>28</v>
      </c>
      <c r="I118" s="2" t="s">
        <v>167</v>
      </c>
      <c r="J118" s="49">
        <f>VLOOKUP(I118,'XE rates'!A:D,4,0)*K118</f>
        <v>3000</v>
      </c>
      <c r="K118" s="64">
        <v>3000</v>
      </c>
      <c r="L118" s="1">
        <v>46023</v>
      </c>
      <c r="M118" s="33" t="str">
        <f t="shared" si="62"/>
        <v>Jan</v>
      </c>
      <c r="N118" s="32">
        <f t="shared" ca="1" si="63"/>
        <v>26</v>
      </c>
      <c r="O118" s="32" t="str">
        <f t="shared" ca="1" si="64"/>
        <v>0-30 days</v>
      </c>
      <c r="P118" s="2" t="s">
        <v>168</v>
      </c>
      <c r="Q118" s="1">
        <v>46058</v>
      </c>
      <c r="R118" s="1">
        <v>46065</v>
      </c>
      <c r="S118" s="2" t="s">
        <v>169</v>
      </c>
      <c r="T118" s="2" t="s">
        <v>911</v>
      </c>
      <c r="U118" s="2" t="s">
        <v>170</v>
      </c>
      <c r="V118" s="2" t="s">
        <v>171</v>
      </c>
      <c r="W118" s="39" t="s">
        <v>684</v>
      </c>
      <c r="X118" s="2"/>
      <c r="Y118" s="2"/>
      <c r="Z118" s="2"/>
      <c r="AA118" s="2"/>
    </row>
    <row r="119" spans="1:27" hidden="1">
      <c r="A119" s="2" t="s">
        <v>27</v>
      </c>
      <c r="B119" s="2" t="s">
        <v>650</v>
      </c>
      <c r="C119" s="32" t="str">
        <f>VLOOKUP(B119,Validation!A:B,2,0)</f>
        <v>APAC</v>
      </c>
      <c r="D119" s="32" t="str">
        <f>VLOOKUP(B119,Validation!A:D,4,0)</f>
        <v>Hao Nguyen</v>
      </c>
      <c r="E119" s="32" t="str">
        <f>VLOOKUP(B119,Validation!A:E,5,0)</f>
        <v>Vinoth M</v>
      </c>
      <c r="F119" s="32" t="s">
        <v>29</v>
      </c>
      <c r="G119" s="32">
        <f t="shared" si="61"/>
        <v>2026</v>
      </c>
      <c r="H119" s="2" t="s">
        <v>28</v>
      </c>
      <c r="I119" s="2" t="s">
        <v>173</v>
      </c>
      <c r="J119" s="49">
        <f>VLOOKUP(I119,'XE rates'!A:D,4,0)*K119</f>
        <v>3439.8135182251167</v>
      </c>
      <c r="K119" s="64">
        <v>5138.130000000001</v>
      </c>
      <c r="L119" s="1">
        <v>46023</v>
      </c>
      <c r="M119" s="33" t="str">
        <f t="shared" si="62"/>
        <v>Jan</v>
      </c>
      <c r="N119" s="32">
        <f t="shared" ca="1" si="63"/>
        <v>25</v>
      </c>
      <c r="O119" s="32" t="str">
        <f t="shared" ca="1" si="64"/>
        <v>0-30 days</v>
      </c>
      <c r="P119" s="2" t="s">
        <v>168</v>
      </c>
      <c r="Q119" s="1">
        <v>46059</v>
      </c>
      <c r="R119" s="1">
        <v>46066</v>
      </c>
      <c r="S119" s="2" t="s">
        <v>169</v>
      </c>
      <c r="T119" s="2" t="s">
        <v>912</v>
      </c>
      <c r="U119" s="2" t="s">
        <v>170</v>
      </c>
      <c r="V119" s="2" t="s">
        <v>171</v>
      </c>
      <c r="W119" s="39" t="s">
        <v>684</v>
      </c>
      <c r="X119" s="2"/>
      <c r="Y119" s="2"/>
      <c r="Z119" s="2"/>
      <c r="AA119" s="2"/>
    </row>
    <row r="120" spans="1:27" hidden="1">
      <c r="A120" s="2" t="s">
        <v>27</v>
      </c>
      <c r="B120" s="2" t="s">
        <v>130</v>
      </c>
      <c r="C120" s="32" t="str">
        <f>VLOOKUP(B120,Validation!A:B,2,0)</f>
        <v>APAC</v>
      </c>
      <c r="D120" s="32" t="str">
        <f>VLOOKUP(B120,Validation!A:D,4,0)</f>
        <v>Shi Yin</v>
      </c>
      <c r="E120" s="32" t="str">
        <f>VLOOKUP(B120,Validation!A:E,5,0)</f>
        <v>Gitesh Athavale</v>
      </c>
      <c r="F120" s="32" t="s">
        <v>29</v>
      </c>
      <c r="G120" s="32">
        <f t="shared" si="61"/>
        <v>2026</v>
      </c>
      <c r="H120" s="2" t="s">
        <v>28</v>
      </c>
      <c r="I120" s="2" t="s">
        <v>172</v>
      </c>
      <c r="J120" s="49">
        <f>VLOOKUP(I120,'XE rates'!A:D,4,0)*K120</f>
        <v>66082.648583379123</v>
      </c>
      <c r="K120" s="64">
        <v>85076.521510000006</v>
      </c>
      <c r="L120" s="1">
        <v>46023</v>
      </c>
      <c r="M120" s="33" t="str">
        <f t="shared" si="62"/>
        <v>Jan</v>
      </c>
      <c r="N120" s="32">
        <f t="shared" ca="1" si="63"/>
        <v>22</v>
      </c>
      <c r="O120" s="32" t="str">
        <f t="shared" ca="1" si="64"/>
        <v>0-30 days</v>
      </c>
      <c r="P120" s="2" t="s">
        <v>168</v>
      </c>
      <c r="Q120" s="1">
        <v>46060</v>
      </c>
      <c r="R120" s="1">
        <v>46069</v>
      </c>
      <c r="S120" s="2" t="s">
        <v>169</v>
      </c>
      <c r="T120" s="2" t="s">
        <v>914</v>
      </c>
      <c r="U120" s="2" t="s">
        <v>170</v>
      </c>
      <c r="V120" s="2" t="s">
        <v>171</v>
      </c>
      <c r="W120" s="39" t="s">
        <v>684</v>
      </c>
      <c r="X120" s="2"/>
      <c r="Y120" s="2"/>
      <c r="Z120" s="2"/>
      <c r="AA120" s="2"/>
    </row>
    <row r="121" spans="1:27" hidden="1">
      <c r="A121" s="2" t="s">
        <v>27</v>
      </c>
      <c r="B121" s="2" t="s">
        <v>603</v>
      </c>
      <c r="C121" s="32" t="str">
        <f>VLOOKUP(B121,Validation!A:B,2,0)</f>
        <v>APAC</v>
      </c>
      <c r="D121" s="32" t="str">
        <f>VLOOKUP(B121,Validation!A:D,4,0)</f>
        <v>Shi Yin</v>
      </c>
      <c r="E121" s="32" t="str">
        <f>VLOOKUP(B121,Validation!A:E,5,0)</f>
        <v>Gitesh Athavale</v>
      </c>
      <c r="F121" s="32" t="s">
        <v>29</v>
      </c>
      <c r="G121" s="32">
        <f t="shared" si="61"/>
        <v>2026</v>
      </c>
      <c r="H121" s="2" t="s">
        <v>28</v>
      </c>
      <c r="I121" s="2" t="s">
        <v>172</v>
      </c>
      <c r="J121" s="49">
        <f>VLOOKUP(I121,'XE rates'!A:D,4,0)*K121</f>
        <v>30312.630999827154</v>
      </c>
      <c r="K121" s="64">
        <v>39025.269999999997</v>
      </c>
      <c r="L121" s="1">
        <v>46023</v>
      </c>
      <c r="M121" s="33" t="str">
        <f t="shared" si="62"/>
        <v>Jan</v>
      </c>
      <c r="N121" s="32">
        <f t="shared" ca="1" si="63"/>
        <v>21</v>
      </c>
      <c r="O121" s="32" t="str">
        <f t="shared" ca="1" si="64"/>
        <v>0-30 days</v>
      </c>
      <c r="P121" s="2" t="s">
        <v>168</v>
      </c>
      <c r="Q121" s="1">
        <v>46060</v>
      </c>
      <c r="R121" s="1">
        <v>46070</v>
      </c>
      <c r="S121" s="2" t="s">
        <v>169</v>
      </c>
      <c r="T121" s="2" t="s">
        <v>915</v>
      </c>
      <c r="U121" s="2" t="s">
        <v>170</v>
      </c>
      <c r="V121" s="2" t="s">
        <v>171</v>
      </c>
      <c r="W121" s="39" t="s">
        <v>684</v>
      </c>
      <c r="X121" s="2"/>
      <c r="Y121" s="2"/>
      <c r="Z121" s="2"/>
      <c r="AA121" s="2"/>
    </row>
    <row r="122" spans="1:27" hidden="1">
      <c r="A122" s="2" t="s">
        <v>27</v>
      </c>
      <c r="B122" s="2" t="s">
        <v>143</v>
      </c>
      <c r="C122" s="32" t="str">
        <f>VLOOKUP(B122,Validation!A:B,2,0)</f>
        <v>EU/UK</v>
      </c>
      <c r="D122" s="32" t="str">
        <f>VLOOKUP(B122,Validation!A:D,4,0)</f>
        <v>Margarita</v>
      </c>
      <c r="E122" s="32" t="str">
        <f>VLOOKUP(B122,Validation!A:E,5,0)</f>
        <v>Danny May</v>
      </c>
      <c r="F122" s="32" t="s">
        <v>29</v>
      </c>
      <c r="G122" s="32">
        <f t="shared" si="61"/>
        <v>2026</v>
      </c>
      <c r="H122" s="2" t="s">
        <v>28</v>
      </c>
      <c r="I122" s="2" t="s">
        <v>179</v>
      </c>
      <c r="J122" s="49">
        <f>VLOOKUP(I122,'XE rates'!A:D,4,0)*K122</f>
        <v>4012.9677819147723</v>
      </c>
      <c r="K122" s="64">
        <v>3001.5</v>
      </c>
      <c r="L122" s="1">
        <v>46023</v>
      </c>
      <c r="M122" s="33" t="str">
        <f t="shared" si="62"/>
        <v>Jan</v>
      </c>
      <c r="N122" s="32">
        <f t="shared" ca="1" si="63"/>
        <v>22</v>
      </c>
      <c r="O122" s="32" t="str">
        <f t="shared" ca="1" si="64"/>
        <v>0-30 days</v>
      </c>
      <c r="P122" s="2" t="s">
        <v>168</v>
      </c>
      <c r="Q122" s="1">
        <v>46060</v>
      </c>
      <c r="R122" s="1">
        <v>46069</v>
      </c>
      <c r="S122" s="2" t="s">
        <v>169</v>
      </c>
      <c r="T122" s="2" t="s">
        <v>916</v>
      </c>
      <c r="U122" s="2" t="s">
        <v>170</v>
      </c>
      <c r="V122" s="2" t="s">
        <v>171</v>
      </c>
      <c r="W122" s="39" t="s">
        <v>684</v>
      </c>
      <c r="X122" s="2"/>
      <c r="Y122" s="2"/>
      <c r="Z122" s="2"/>
      <c r="AA122" s="2"/>
    </row>
    <row r="123" spans="1:27" hidden="1">
      <c r="A123" s="2" t="s">
        <v>27</v>
      </c>
      <c r="B123" s="2" t="s">
        <v>682</v>
      </c>
      <c r="C123" s="32" t="str">
        <f>VLOOKUP(B123,Validation!A:B,2,0)</f>
        <v>APAC</v>
      </c>
      <c r="D123" s="32" t="str">
        <f>VLOOKUP(B123,Validation!A:D,4,0)</f>
        <v>Hao Nguyen</v>
      </c>
      <c r="E123" s="32" t="str">
        <f>VLOOKUP(B123,Validation!A:E,5,0)</f>
        <v>NA</v>
      </c>
      <c r="F123" s="32" t="s">
        <v>29</v>
      </c>
      <c r="G123" s="32">
        <f t="shared" si="61"/>
        <v>2026</v>
      </c>
      <c r="H123" s="2" t="s">
        <v>28</v>
      </c>
      <c r="I123" s="2" t="s">
        <v>173</v>
      </c>
      <c r="J123" s="49">
        <f>VLOOKUP(I123,'XE rates'!A:D,4,0)*K123</f>
        <v>19087.871079874294</v>
      </c>
      <c r="K123" s="64">
        <v>28512</v>
      </c>
      <c r="L123" s="1">
        <v>46054</v>
      </c>
      <c r="M123" s="33" t="str">
        <f t="shared" si="62"/>
        <v>Feb</v>
      </c>
      <c r="N123" s="32">
        <f t="shared" ca="1" si="63"/>
        <v>29</v>
      </c>
      <c r="O123" s="32" t="str">
        <f t="shared" ca="1" si="64"/>
        <v>0-30 days</v>
      </c>
      <c r="P123" s="2" t="s">
        <v>924</v>
      </c>
      <c r="Q123" s="1">
        <v>46055</v>
      </c>
      <c r="R123" s="1">
        <v>46062</v>
      </c>
      <c r="S123" s="2" t="s">
        <v>169</v>
      </c>
      <c r="T123" s="2" t="s">
        <v>917</v>
      </c>
      <c r="U123" s="2" t="s">
        <v>170</v>
      </c>
      <c r="V123" s="2" t="s">
        <v>171</v>
      </c>
      <c r="W123" s="39" t="s">
        <v>684</v>
      </c>
      <c r="X123" s="2"/>
      <c r="Y123" s="2"/>
      <c r="Z123" s="2"/>
      <c r="AA123" s="2"/>
    </row>
    <row r="124" spans="1:27" hidden="1">
      <c r="A124" s="2" t="s">
        <v>27</v>
      </c>
      <c r="B124" s="2" t="s">
        <v>682</v>
      </c>
      <c r="C124" s="32" t="str">
        <f>VLOOKUP(B124,Validation!A:B,2,0)</f>
        <v>APAC</v>
      </c>
      <c r="D124" s="32" t="str">
        <f>VLOOKUP(B124,Validation!A:D,4,0)</f>
        <v>Hao Nguyen</v>
      </c>
      <c r="E124" s="32" t="str">
        <f>VLOOKUP(B124,Validation!A:E,5,0)</f>
        <v>NA</v>
      </c>
      <c r="F124" s="32" t="s">
        <v>29</v>
      </c>
      <c r="G124" s="32">
        <f t="shared" si="61"/>
        <v>2026</v>
      </c>
      <c r="H124" s="2" t="s">
        <v>28</v>
      </c>
      <c r="I124" s="2" t="s">
        <v>173</v>
      </c>
      <c r="J124" s="49">
        <f>VLOOKUP(I124,'XE rates'!A:D,4,0)*K124</f>
        <v>7527.1498572230994</v>
      </c>
      <c r="K124" s="64">
        <v>11243.48</v>
      </c>
      <c r="L124" s="1">
        <v>46023</v>
      </c>
      <c r="M124" s="33" t="str">
        <f t="shared" si="62"/>
        <v>Jan</v>
      </c>
      <c r="N124" s="32">
        <f t="shared" ca="1" si="63"/>
        <v>25</v>
      </c>
      <c r="O124" s="32" t="str">
        <f t="shared" ca="1" si="64"/>
        <v>0-30 days</v>
      </c>
      <c r="P124" s="2" t="s">
        <v>168</v>
      </c>
      <c r="Q124" s="1">
        <v>46059</v>
      </c>
      <c r="R124" s="1">
        <v>46066</v>
      </c>
      <c r="S124" s="2" t="s">
        <v>169</v>
      </c>
      <c r="T124" s="2" t="s">
        <v>918</v>
      </c>
      <c r="U124" s="2" t="s">
        <v>170</v>
      </c>
      <c r="V124" s="2" t="s">
        <v>171</v>
      </c>
      <c r="W124" s="39" t="s">
        <v>684</v>
      </c>
      <c r="X124" s="2"/>
      <c r="Y124" s="2"/>
      <c r="Z124" s="2"/>
      <c r="AA124" s="2"/>
    </row>
    <row r="125" spans="1:27" hidden="1">
      <c r="A125" s="2" t="s">
        <v>27</v>
      </c>
      <c r="B125" s="2" t="s">
        <v>731</v>
      </c>
      <c r="C125" s="32" t="str">
        <f>VLOOKUP(B125,Validation!A:B,2,0)</f>
        <v>APAC</v>
      </c>
      <c r="D125" s="32" t="str">
        <f>VLOOKUP(B125,Validation!A:D,4,0)</f>
        <v>NA</v>
      </c>
      <c r="E125" s="32" t="str">
        <f>VLOOKUP(B125,Validation!A:E,5,0)</f>
        <v>Lisa Sung</v>
      </c>
      <c r="F125" s="32" t="s">
        <v>29</v>
      </c>
      <c r="G125" s="32">
        <f t="shared" ref="G125:G131" si="65">YEAR(L125)</f>
        <v>2026</v>
      </c>
      <c r="H125" s="2" t="s">
        <v>28</v>
      </c>
      <c r="I125" s="2" t="s">
        <v>167</v>
      </c>
      <c r="J125" s="49">
        <f>VLOOKUP(I125,'XE rates'!A:D,4,0)*K125</f>
        <v>25050</v>
      </c>
      <c r="K125" s="64">
        <v>25050</v>
      </c>
      <c r="L125" s="1">
        <v>46023</v>
      </c>
      <c r="M125" s="33" t="str">
        <f t="shared" si="62"/>
        <v>Jan</v>
      </c>
      <c r="N125" s="32">
        <f t="shared" ca="1" si="63"/>
        <v>25</v>
      </c>
      <c r="O125" s="32" t="str">
        <f t="shared" ca="1" si="64"/>
        <v>0-30 days</v>
      </c>
      <c r="P125" s="2" t="s">
        <v>168</v>
      </c>
      <c r="Q125" s="1">
        <v>46059</v>
      </c>
      <c r="R125" s="1">
        <v>46066</v>
      </c>
      <c r="S125" s="2" t="s">
        <v>169</v>
      </c>
      <c r="T125" s="2" t="s">
        <v>920</v>
      </c>
      <c r="U125" s="2" t="s">
        <v>170</v>
      </c>
      <c r="V125" s="2" t="s">
        <v>171</v>
      </c>
      <c r="W125" s="39" t="s">
        <v>684</v>
      </c>
      <c r="X125" s="2"/>
      <c r="Y125" s="2"/>
      <c r="Z125" s="2"/>
      <c r="AA125" s="2"/>
    </row>
    <row r="126" spans="1:27" hidden="1">
      <c r="A126" s="2" t="s">
        <v>27</v>
      </c>
      <c r="B126" s="2" t="s">
        <v>151</v>
      </c>
      <c r="C126" s="32" t="str">
        <f>VLOOKUP(B126,Validation!A:B,2,0)</f>
        <v>APAC</v>
      </c>
      <c r="D126" s="32" t="str">
        <f>VLOOKUP(B126,Validation!A:D,4,0)</f>
        <v>Hao Nguyen</v>
      </c>
      <c r="E126" s="32" t="str">
        <f>VLOOKUP(B126,Validation!A:E,5,0)</f>
        <v>NA</v>
      </c>
      <c r="F126" s="32" t="s">
        <v>29</v>
      </c>
      <c r="G126" s="32">
        <f t="shared" si="65"/>
        <v>2026</v>
      </c>
      <c r="H126" s="2" t="s">
        <v>28</v>
      </c>
      <c r="I126" s="2" t="s">
        <v>173</v>
      </c>
      <c r="J126" s="49">
        <f>VLOOKUP(I126,'XE rates'!A:D,4,0)*K126</f>
        <v>4749.1389118097732</v>
      </c>
      <c r="K126" s="64">
        <v>7093.9</v>
      </c>
      <c r="L126" s="1">
        <v>46023</v>
      </c>
      <c r="M126" s="33" t="str">
        <f t="shared" si="62"/>
        <v>Jan</v>
      </c>
      <c r="N126" s="32">
        <f t="shared" ca="1" si="63"/>
        <v>25</v>
      </c>
      <c r="O126" s="32" t="str">
        <f t="shared" ca="1" si="64"/>
        <v>0-30 days</v>
      </c>
      <c r="P126" s="2" t="s">
        <v>168</v>
      </c>
      <c r="Q126" s="1">
        <v>46059</v>
      </c>
      <c r="R126" s="1">
        <v>46066</v>
      </c>
      <c r="S126" s="2" t="s">
        <v>169</v>
      </c>
      <c r="T126" s="2" t="s">
        <v>921</v>
      </c>
      <c r="U126" s="2" t="s">
        <v>170</v>
      </c>
      <c r="V126" s="32" t="s">
        <v>170</v>
      </c>
      <c r="W126" s="39" t="s">
        <v>684</v>
      </c>
      <c r="X126" s="2"/>
      <c r="Y126" s="2"/>
      <c r="Z126" s="2"/>
      <c r="AA126" s="2"/>
    </row>
    <row r="127" spans="1:27" hidden="1">
      <c r="A127" s="2" t="s">
        <v>27</v>
      </c>
      <c r="B127" s="2" t="s">
        <v>659</v>
      </c>
      <c r="C127" s="32" t="str">
        <f>VLOOKUP(B127,Validation!A:B,2,0)</f>
        <v>USA</v>
      </c>
      <c r="D127" s="32" t="str">
        <f>VLOOKUP(B127,Validation!A:D,4,0)</f>
        <v>NA</v>
      </c>
      <c r="E127" s="32" t="str">
        <f>VLOOKUP(B127,Validation!A:E,5,0)</f>
        <v>Tyler Reed</v>
      </c>
      <c r="F127" s="32" t="s">
        <v>29</v>
      </c>
      <c r="G127" s="32">
        <f t="shared" si="65"/>
        <v>2026</v>
      </c>
      <c r="H127" s="2" t="s">
        <v>28</v>
      </c>
      <c r="I127" s="2" t="s">
        <v>167</v>
      </c>
      <c r="J127" s="49">
        <f>VLOOKUP(I127,'XE rates'!A:D,4,0)*K127</f>
        <v>500</v>
      </c>
      <c r="K127" s="64">
        <v>500</v>
      </c>
      <c r="L127" s="1">
        <v>46023</v>
      </c>
      <c r="M127" s="33" t="str">
        <f t="shared" si="62"/>
        <v>Jan</v>
      </c>
      <c r="N127" s="32">
        <f t="shared" ca="1" si="63"/>
        <v>26</v>
      </c>
      <c r="O127" s="32" t="str">
        <f t="shared" ca="1" si="64"/>
        <v>0-30 days</v>
      </c>
      <c r="P127" s="2" t="s">
        <v>168</v>
      </c>
      <c r="Q127" s="1">
        <v>46058</v>
      </c>
      <c r="R127" s="1">
        <v>46065</v>
      </c>
      <c r="S127" s="2" t="s">
        <v>169</v>
      </c>
      <c r="T127" s="2" t="s">
        <v>922</v>
      </c>
      <c r="U127" s="2" t="s">
        <v>170</v>
      </c>
      <c r="V127" s="2" t="s">
        <v>171</v>
      </c>
      <c r="W127" s="39" t="s">
        <v>684</v>
      </c>
      <c r="X127" s="2"/>
      <c r="Y127" s="2"/>
      <c r="Z127" s="2"/>
      <c r="AA127" s="2"/>
    </row>
    <row r="128" spans="1:27" hidden="1">
      <c r="A128" s="2" t="s">
        <v>27</v>
      </c>
      <c r="B128" s="2" t="s">
        <v>55</v>
      </c>
      <c r="C128" s="32" t="str">
        <f>VLOOKUP(B128,Validation!A:B,2,0)</f>
        <v>APAC</v>
      </c>
      <c r="D128" s="32" t="str">
        <f>VLOOKUP(B128,Validation!A:D,4,0)</f>
        <v>Shi Yin</v>
      </c>
      <c r="E128" s="32" t="str">
        <f>VLOOKUP(B128,Validation!A:E,5,0)</f>
        <v>Gitesh Athavale</v>
      </c>
      <c r="F128" s="32" t="s">
        <v>29</v>
      </c>
      <c r="G128" s="32">
        <f t="shared" si="65"/>
        <v>2026</v>
      </c>
      <c r="H128" s="2" t="s">
        <v>28</v>
      </c>
      <c r="I128" s="2" t="s">
        <v>172</v>
      </c>
      <c r="J128" s="49">
        <f>VLOOKUP(I128,'XE rates'!A:D,4,0)*K128</f>
        <v>1474.9740682945123</v>
      </c>
      <c r="K128" s="68">
        <v>1898.92</v>
      </c>
      <c r="L128" s="1">
        <v>46023</v>
      </c>
      <c r="M128" s="33" t="str">
        <f t="shared" ref="M128:M131" si="66">TEXT(L128,"mmm")</f>
        <v>Jan</v>
      </c>
      <c r="N128" s="32">
        <f t="shared" ref="N128:N131" ca="1" si="67">$Y$1-R128</f>
        <v>-10</v>
      </c>
      <c r="O128" s="32" t="str">
        <f t="shared" ref="O128:O131" ca="1" si="68">IF(N128&lt;=30, "0-30 days", IF(N128&lt;=60, "31-60 days", IF(N128&lt;=90, "61-90 days", "Over 90+ days")))</f>
        <v>0-30 days</v>
      </c>
      <c r="P128" s="2" t="s">
        <v>177</v>
      </c>
      <c r="Q128" s="1">
        <v>46073</v>
      </c>
      <c r="R128" s="1">
        <v>46101</v>
      </c>
      <c r="S128" s="2" t="s">
        <v>174</v>
      </c>
      <c r="T128" s="2" t="s">
        <v>934</v>
      </c>
      <c r="U128" s="2" t="s">
        <v>171</v>
      </c>
      <c r="V128" s="2" t="s">
        <v>171</v>
      </c>
      <c r="W128" s="39" t="s">
        <v>856</v>
      </c>
      <c r="X128" s="2"/>
      <c r="Y128" s="2"/>
      <c r="Z128" s="2"/>
      <c r="AA128" s="2"/>
    </row>
    <row r="129" spans="1:27" hidden="1">
      <c r="A129" s="2" t="s">
        <v>27</v>
      </c>
      <c r="B129" s="2" t="s">
        <v>61</v>
      </c>
      <c r="C129" s="32" t="str">
        <f>VLOOKUP(B129,Validation!A:B,2,0)</f>
        <v>APAC</v>
      </c>
      <c r="D129" s="32" t="str">
        <f>VLOOKUP(B129,Validation!A:D,4,0)</f>
        <v>Hao Nguyen</v>
      </c>
      <c r="E129" s="32" t="str">
        <f>VLOOKUP(B129,Validation!A:E,5,0)</f>
        <v>Vinoth M</v>
      </c>
      <c r="F129" s="32" t="s">
        <v>29</v>
      </c>
      <c r="G129" s="32">
        <f t="shared" si="65"/>
        <v>2026</v>
      </c>
      <c r="H129" s="2" t="s">
        <v>28</v>
      </c>
      <c r="I129" s="2" t="s">
        <v>173</v>
      </c>
      <c r="J129" s="49">
        <f>VLOOKUP(I129,'XE rates'!A:D,4,0)*K129</f>
        <v>37.16886231602907</v>
      </c>
      <c r="K129" s="58">
        <v>55.52</v>
      </c>
      <c r="L129" s="1">
        <v>46023</v>
      </c>
      <c r="M129" s="33" t="str">
        <f t="shared" si="66"/>
        <v>Jan</v>
      </c>
      <c r="N129" s="32">
        <f t="shared" ca="1" si="67"/>
        <v>-10</v>
      </c>
      <c r="O129" s="32" t="str">
        <f t="shared" ca="1" si="68"/>
        <v>0-30 days</v>
      </c>
      <c r="P129" s="2" t="s">
        <v>177</v>
      </c>
      <c r="Q129" s="1">
        <v>46073</v>
      </c>
      <c r="R129" s="1">
        <v>46101</v>
      </c>
      <c r="S129" s="2" t="s">
        <v>174</v>
      </c>
      <c r="T129" s="2" t="s">
        <v>935</v>
      </c>
      <c r="U129" s="2" t="s">
        <v>171</v>
      </c>
      <c r="V129" s="2" t="s">
        <v>171</v>
      </c>
      <c r="W129" s="39" t="s">
        <v>856</v>
      </c>
      <c r="X129" s="2"/>
      <c r="Y129" s="2"/>
      <c r="Z129" s="2"/>
      <c r="AA129" s="2"/>
    </row>
    <row r="130" spans="1:27" hidden="1">
      <c r="A130" s="2" t="s">
        <v>27</v>
      </c>
      <c r="B130" s="2" t="s">
        <v>932</v>
      </c>
      <c r="C130" s="32" t="str">
        <f>VLOOKUP(B130,Validation!A:B,2,0)</f>
        <v>USA</v>
      </c>
      <c r="D130" s="32" t="str">
        <f>VLOOKUP(B130,Validation!A:D,4,0)</f>
        <v>NA</v>
      </c>
      <c r="E130" s="32" t="str">
        <f>VLOOKUP(B130,Validation!A:E,5,0)</f>
        <v>Michael Bermingham</v>
      </c>
      <c r="F130" s="32" t="s">
        <v>29</v>
      </c>
      <c r="G130" s="32">
        <f t="shared" si="65"/>
        <v>2026</v>
      </c>
      <c r="H130" s="2" t="s">
        <v>28</v>
      </c>
      <c r="I130" s="2" t="s">
        <v>167</v>
      </c>
      <c r="J130" s="49">
        <f>VLOOKUP(I130,'XE rates'!A:D,4,0)*K130</f>
        <v>4000</v>
      </c>
      <c r="K130" s="67">
        <v>4000</v>
      </c>
      <c r="L130" s="1">
        <v>46054</v>
      </c>
      <c r="M130" s="33" t="str">
        <f t="shared" si="66"/>
        <v>Feb</v>
      </c>
      <c r="N130" s="32">
        <f t="shared" ca="1" si="67"/>
        <v>11</v>
      </c>
      <c r="O130" s="32" t="str">
        <f t="shared" ca="1" si="68"/>
        <v>0-30 days</v>
      </c>
      <c r="P130" s="2" t="s">
        <v>923</v>
      </c>
      <c r="Q130" s="1">
        <v>46073</v>
      </c>
      <c r="R130" s="1">
        <v>46080</v>
      </c>
      <c r="S130" s="2" t="s">
        <v>169</v>
      </c>
      <c r="T130" s="2" t="s">
        <v>936</v>
      </c>
      <c r="U130" s="2" t="s">
        <v>170</v>
      </c>
      <c r="V130" s="2" t="s">
        <v>171</v>
      </c>
      <c r="W130" s="39" t="s">
        <v>684</v>
      </c>
      <c r="X130" s="2"/>
      <c r="Y130" s="2"/>
      <c r="Z130" s="2"/>
      <c r="AA130" s="2"/>
    </row>
    <row r="131" spans="1:27" hidden="1">
      <c r="A131" s="2" t="s">
        <v>27</v>
      </c>
      <c r="B131" s="2" t="s">
        <v>148</v>
      </c>
      <c r="C131" s="32" t="str">
        <f>VLOOKUP(B131,Validation!A:B,2,0)</f>
        <v>APAC</v>
      </c>
      <c r="D131" s="32" t="str">
        <f>VLOOKUP(B131,Validation!A:D,4,0)</f>
        <v>Hao Nguyen</v>
      </c>
      <c r="E131" s="32" t="str">
        <f>VLOOKUP(B131,Validation!A:E,5,0)</f>
        <v>Vinoth M</v>
      </c>
      <c r="F131" s="32" t="s">
        <v>29</v>
      </c>
      <c r="G131" s="32">
        <f t="shared" si="65"/>
        <v>2026</v>
      </c>
      <c r="H131" s="2" t="s">
        <v>28</v>
      </c>
      <c r="I131" s="2" t="s">
        <v>173</v>
      </c>
      <c r="J131" s="49">
        <f>VLOOKUP(I131,'XE rates'!A:D,4,0)*K131</f>
        <v>1088.0327524001577</v>
      </c>
      <c r="K131" s="68">
        <v>1625.22</v>
      </c>
      <c r="L131" s="1">
        <v>46023</v>
      </c>
      <c r="M131" s="33" t="str">
        <f t="shared" si="66"/>
        <v>Jan</v>
      </c>
      <c r="N131" s="32">
        <f t="shared" ca="1" si="67"/>
        <v>-10</v>
      </c>
      <c r="O131" s="32" t="str">
        <f t="shared" ca="1" si="68"/>
        <v>0-30 days</v>
      </c>
      <c r="P131" s="2" t="s">
        <v>177</v>
      </c>
      <c r="Q131" s="1">
        <v>46073</v>
      </c>
      <c r="R131" s="1">
        <v>46101</v>
      </c>
      <c r="S131" s="2" t="s">
        <v>174</v>
      </c>
      <c r="T131" s="2" t="s">
        <v>937</v>
      </c>
      <c r="U131" s="2" t="s">
        <v>171</v>
      </c>
      <c r="V131" s="2" t="s">
        <v>171</v>
      </c>
      <c r="W131" s="39" t="s">
        <v>856</v>
      </c>
      <c r="X131" s="2"/>
      <c r="Y131" s="2"/>
      <c r="Z131" s="2"/>
      <c r="AA131" s="2"/>
    </row>
  </sheetData>
  <autoFilter ref="A1:AA131" xr:uid="{D6B92A82-F0E8-4346-B54C-8E5D5C11883E}">
    <filterColumn colId="13">
      <filters>
        <filter val="57"/>
        <filter val="59"/>
      </filters>
    </filterColumn>
  </autoFilter>
  <conditionalFormatting sqref="T1:T1048576">
    <cfRule type="duplicateValues" dxfId="2" priority="10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X15"/>
  <sheetViews>
    <sheetView zoomScale="85" zoomScaleNormal="85" workbookViewId="0">
      <selection activeCell="D10" sqref="D10"/>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8" customWidth="1"/>
    <col min="12" max="12" width="13.1796875" style="15"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6328125" customWidth="1"/>
    <col min="21" max="21" width="25.81640625" bestFit="1" customWidth="1"/>
    <col min="22" max="22" width="12.26953125" bestFit="1" customWidth="1"/>
    <col min="23" max="23" width="41.26953125" customWidth="1"/>
    <col min="24" max="24" width="46.81640625" customWidth="1"/>
  </cols>
  <sheetData>
    <row r="1" spans="1:24">
      <c r="A1" s="36" t="s">
        <v>17</v>
      </c>
      <c r="B1" s="36" t="s">
        <v>16</v>
      </c>
      <c r="C1" s="36" t="s">
        <v>12</v>
      </c>
      <c r="D1" s="36" t="s">
        <v>23</v>
      </c>
      <c r="E1" s="36" t="s">
        <v>24</v>
      </c>
      <c r="F1" s="36" t="s">
        <v>19</v>
      </c>
      <c r="G1" s="36" t="s">
        <v>25</v>
      </c>
      <c r="H1" s="36" t="s">
        <v>18</v>
      </c>
      <c r="I1" s="36" t="s">
        <v>154</v>
      </c>
      <c r="J1" s="50" t="s">
        <v>155</v>
      </c>
      <c r="K1" s="62" t="s">
        <v>156</v>
      </c>
      <c r="L1" s="38" t="s">
        <v>157</v>
      </c>
      <c r="M1" s="37" t="s">
        <v>15</v>
      </c>
      <c r="N1" s="36" t="s">
        <v>158</v>
      </c>
      <c r="O1" s="36" t="s">
        <v>159</v>
      </c>
      <c r="P1" s="36" t="s">
        <v>160</v>
      </c>
      <c r="Q1" s="38" t="s">
        <v>161</v>
      </c>
      <c r="R1" s="38" t="s">
        <v>162</v>
      </c>
      <c r="S1" s="36" t="s">
        <v>163</v>
      </c>
      <c r="T1" s="38" t="s">
        <v>164</v>
      </c>
      <c r="U1" s="38" t="s">
        <v>165</v>
      </c>
      <c r="V1" s="38" t="s">
        <v>166</v>
      </c>
      <c r="W1" s="38" t="s">
        <v>21</v>
      </c>
      <c r="X1" s="38" t="s">
        <v>22</v>
      </c>
    </row>
    <row r="2" spans="1:24">
      <c r="A2" s="2" t="s">
        <v>27</v>
      </c>
      <c r="B2" s="2" t="s">
        <v>705</v>
      </c>
      <c r="C2" s="32" t="s">
        <v>653</v>
      </c>
      <c r="D2" s="32" t="s">
        <v>50</v>
      </c>
      <c r="E2" s="32" t="s">
        <v>554</v>
      </c>
      <c r="F2" s="32" t="s">
        <v>29</v>
      </c>
      <c r="G2" s="32">
        <v>2025</v>
      </c>
      <c r="H2" s="2" t="s">
        <v>28</v>
      </c>
      <c r="I2" s="2" t="s">
        <v>167</v>
      </c>
      <c r="J2" s="49">
        <v>-68</v>
      </c>
      <c r="K2" s="64">
        <v>-68</v>
      </c>
      <c r="L2" s="35">
        <v>45870</v>
      </c>
      <c r="M2" s="33" t="s">
        <v>718</v>
      </c>
      <c r="N2" s="32">
        <v>170</v>
      </c>
      <c r="O2" s="32" t="s">
        <v>7</v>
      </c>
      <c r="P2" s="2" t="s">
        <v>717</v>
      </c>
      <c r="Q2" s="1">
        <v>45903</v>
      </c>
      <c r="R2" s="1">
        <v>45910</v>
      </c>
      <c r="S2" s="2" t="s">
        <v>169</v>
      </c>
      <c r="T2" s="2" t="s">
        <v>713</v>
      </c>
      <c r="U2" s="2" t="s">
        <v>171</v>
      </c>
      <c r="V2" s="2" t="s">
        <v>171</v>
      </c>
      <c r="W2" s="2" t="s">
        <v>861</v>
      </c>
      <c r="X2" s="2"/>
    </row>
    <row r="3" spans="1:24">
      <c r="A3" s="2" t="s">
        <v>27</v>
      </c>
      <c r="B3" s="2" t="s">
        <v>675</v>
      </c>
      <c r="C3" s="32" t="s">
        <v>653</v>
      </c>
      <c r="D3" s="32" t="s">
        <v>50</v>
      </c>
      <c r="E3" s="32" t="s">
        <v>48</v>
      </c>
      <c r="F3" s="32" t="s">
        <v>29</v>
      </c>
      <c r="G3" s="32">
        <v>2025</v>
      </c>
      <c r="H3" s="2" t="s">
        <v>28</v>
      </c>
      <c r="I3" s="2" t="s">
        <v>167</v>
      </c>
      <c r="J3" s="49">
        <v>-10</v>
      </c>
      <c r="K3" s="64">
        <v>-10</v>
      </c>
      <c r="L3" s="1">
        <v>45901</v>
      </c>
      <c r="M3" s="33" t="s">
        <v>719</v>
      </c>
      <c r="N3" s="32">
        <v>137</v>
      </c>
      <c r="O3" s="32" t="s">
        <v>7</v>
      </c>
      <c r="P3" s="2" t="s">
        <v>766</v>
      </c>
      <c r="Q3" s="1">
        <v>45936</v>
      </c>
      <c r="R3" s="1">
        <v>45943</v>
      </c>
      <c r="S3" s="2" t="s">
        <v>169</v>
      </c>
      <c r="T3" s="2" t="s">
        <v>735</v>
      </c>
      <c r="U3" s="2" t="s">
        <v>171</v>
      </c>
      <c r="V3" s="2" t="s">
        <v>171</v>
      </c>
      <c r="W3" s="2" t="s">
        <v>861</v>
      </c>
      <c r="X3" s="2"/>
    </row>
    <row r="4" spans="1:24">
      <c r="A4" s="2" t="s">
        <v>27</v>
      </c>
      <c r="B4" s="2" t="s">
        <v>675</v>
      </c>
      <c r="C4" s="32" t="s">
        <v>653</v>
      </c>
      <c r="D4" s="32" t="s">
        <v>50</v>
      </c>
      <c r="E4" s="32" t="s">
        <v>48</v>
      </c>
      <c r="F4" s="32" t="s">
        <v>29</v>
      </c>
      <c r="G4" s="32">
        <v>2025</v>
      </c>
      <c r="H4" s="2" t="s">
        <v>28</v>
      </c>
      <c r="I4" s="2" t="s">
        <v>167</v>
      </c>
      <c r="J4" s="49">
        <v>-25</v>
      </c>
      <c r="K4" s="64">
        <v>-25</v>
      </c>
      <c r="L4" s="1">
        <v>45931</v>
      </c>
      <c r="M4" s="33" t="s">
        <v>738</v>
      </c>
      <c r="N4" s="32">
        <v>107</v>
      </c>
      <c r="O4" s="32" t="s">
        <v>7</v>
      </c>
      <c r="P4" s="2" t="s">
        <v>766</v>
      </c>
      <c r="Q4" s="1">
        <v>45966</v>
      </c>
      <c r="R4" s="1">
        <v>45973</v>
      </c>
      <c r="S4" s="2" t="s">
        <v>169</v>
      </c>
      <c r="T4" s="2" t="s">
        <v>775</v>
      </c>
      <c r="U4" s="2" t="s">
        <v>171</v>
      </c>
      <c r="V4" s="2" t="s">
        <v>171</v>
      </c>
      <c r="W4" s="2" t="s">
        <v>861</v>
      </c>
      <c r="X4" s="2"/>
    </row>
    <row r="5" spans="1:24">
      <c r="A5" s="2" t="s">
        <v>27</v>
      </c>
      <c r="B5" s="2" t="s">
        <v>675</v>
      </c>
      <c r="C5" s="32" t="s">
        <v>653</v>
      </c>
      <c r="D5" s="32" t="s">
        <v>50</v>
      </c>
      <c r="E5" s="32" t="s">
        <v>48</v>
      </c>
      <c r="F5" s="32" t="s">
        <v>29</v>
      </c>
      <c r="G5" s="32">
        <v>2025</v>
      </c>
      <c r="H5" s="2" t="s">
        <v>28</v>
      </c>
      <c r="I5" s="2" t="s">
        <v>167</v>
      </c>
      <c r="J5" s="49">
        <v>-115</v>
      </c>
      <c r="K5" s="64">
        <v>-115</v>
      </c>
      <c r="L5" s="1">
        <v>45962</v>
      </c>
      <c r="M5" s="33" t="s">
        <v>810</v>
      </c>
      <c r="N5" s="32">
        <v>79</v>
      </c>
      <c r="O5" s="32" t="s">
        <v>6</v>
      </c>
      <c r="P5" s="2" t="s">
        <v>766</v>
      </c>
      <c r="Q5" s="1">
        <v>45994</v>
      </c>
      <c r="R5" s="1">
        <v>46001</v>
      </c>
      <c r="S5" s="2" t="s">
        <v>169</v>
      </c>
      <c r="T5" s="2" t="s">
        <v>845</v>
      </c>
      <c r="U5" s="2" t="s">
        <v>171</v>
      </c>
      <c r="V5" s="2" t="s">
        <v>171</v>
      </c>
      <c r="W5" s="2" t="s">
        <v>861</v>
      </c>
      <c r="X5" s="2"/>
    </row>
    <row r="6" spans="1:24">
      <c r="A6" s="2" t="s">
        <v>27</v>
      </c>
      <c r="B6" s="2" t="s">
        <v>675</v>
      </c>
      <c r="C6" s="32" t="s">
        <v>653</v>
      </c>
      <c r="D6" s="32" t="s">
        <v>50</v>
      </c>
      <c r="E6" s="32" t="s">
        <v>48</v>
      </c>
      <c r="F6" s="32" t="s">
        <v>29</v>
      </c>
      <c r="G6" s="32">
        <v>2025</v>
      </c>
      <c r="H6" s="2" t="s">
        <v>28</v>
      </c>
      <c r="I6" s="2" t="s">
        <v>167</v>
      </c>
      <c r="J6" s="49">
        <v>-96</v>
      </c>
      <c r="K6" s="64">
        <v>-96</v>
      </c>
      <c r="L6" s="1">
        <v>45992</v>
      </c>
      <c r="M6" s="33" t="s">
        <v>811</v>
      </c>
      <c r="N6" s="32">
        <v>46</v>
      </c>
      <c r="O6" s="32" t="s">
        <v>5</v>
      </c>
      <c r="P6" s="2" t="s">
        <v>766</v>
      </c>
      <c r="Q6" s="1">
        <v>46027</v>
      </c>
      <c r="R6" s="1">
        <v>46034</v>
      </c>
      <c r="S6" s="2" t="s">
        <v>169</v>
      </c>
      <c r="T6" s="2" t="s">
        <v>846</v>
      </c>
      <c r="U6" s="2" t="s">
        <v>170</v>
      </c>
      <c r="V6" s="2" t="s">
        <v>171</v>
      </c>
      <c r="W6" s="2" t="s">
        <v>861</v>
      </c>
      <c r="X6" s="2"/>
    </row>
    <row r="7" spans="1:24">
      <c r="A7" s="2" t="s">
        <v>27</v>
      </c>
      <c r="B7" s="2" t="s">
        <v>765</v>
      </c>
      <c r="C7" s="32" t="s">
        <v>37</v>
      </c>
      <c r="D7" s="32" t="s">
        <v>662</v>
      </c>
      <c r="E7" s="32" t="s">
        <v>41</v>
      </c>
      <c r="F7" s="32" t="s">
        <v>29</v>
      </c>
      <c r="G7" s="32">
        <v>2025</v>
      </c>
      <c r="H7" s="2" t="s">
        <v>28</v>
      </c>
      <c r="I7" s="2" t="s">
        <v>167</v>
      </c>
      <c r="J7" s="49">
        <v>-527.48510000000533</v>
      </c>
      <c r="K7" s="64">
        <v>-527.48510000000533</v>
      </c>
      <c r="L7" s="1">
        <v>45931</v>
      </c>
      <c r="M7" s="33" t="s">
        <v>738</v>
      </c>
      <c r="N7" s="32">
        <v>106</v>
      </c>
      <c r="O7" s="32" t="s">
        <v>7</v>
      </c>
      <c r="P7" s="2" t="s">
        <v>168</v>
      </c>
      <c r="Q7" s="1">
        <v>45967</v>
      </c>
      <c r="R7" s="1">
        <v>45974</v>
      </c>
      <c r="S7" s="2" t="s">
        <v>169</v>
      </c>
      <c r="T7" s="2" t="s">
        <v>776</v>
      </c>
      <c r="U7" s="2" t="s">
        <v>170</v>
      </c>
      <c r="V7" s="2" t="s">
        <v>171</v>
      </c>
      <c r="W7" s="2" t="s">
        <v>862</v>
      </c>
      <c r="X7" s="2"/>
    </row>
    <row r="8" spans="1:24">
      <c r="A8" s="2" t="s">
        <v>27</v>
      </c>
      <c r="B8" s="2" t="s">
        <v>765</v>
      </c>
      <c r="C8" s="32" t="s">
        <v>37</v>
      </c>
      <c r="D8" s="32" t="s">
        <v>662</v>
      </c>
      <c r="E8" s="32" t="s">
        <v>41</v>
      </c>
      <c r="F8" s="32" t="s">
        <v>29</v>
      </c>
      <c r="G8" s="32">
        <v>2025</v>
      </c>
      <c r="H8" s="2" t="s">
        <v>28</v>
      </c>
      <c r="I8" s="2" t="s">
        <v>167</v>
      </c>
      <c r="J8" s="49">
        <v>-3888.0024000000049</v>
      </c>
      <c r="K8" s="64">
        <v>-3888.0024000000049</v>
      </c>
      <c r="L8" s="1">
        <v>45962</v>
      </c>
      <c r="M8" s="33" t="s">
        <v>810</v>
      </c>
      <c r="N8" s="32">
        <v>78</v>
      </c>
      <c r="O8" s="32" t="s">
        <v>6</v>
      </c>
      <c r="P8" s="2" t="s">
        <v>168</v>
      </c>
      <c r="Q8" s="1">
        <v>45995</v>
      </c>
      <c r="R8" s="1">
        <v>46002</v>
      </c>
      <c r="S8" s="2" t="s">
        <v>169</v>
      </c>
      <c r="T8" s="2" t="s">
        <v>793</v>
      </c>
      <c r="U8" s="2" t="s">
        <v>170</v>
      </c>
      <c r="V8" s="2" t="s">
        <v>171</v>
      </c>
      <c r="W8" s="2" t="s">
        <v>862</v>
      </c>
      <c r="X8" s="2"/>
    </row>
    <row r="9" spans="1:24">
      <c r="A9" s="2" t="s">
        <v>27</v>
      </c>
      <c r="B9" s="2" t="s">
        <v>765</v>
      </c>
      <c r="C9" s="32" t="s">
        <v>37</v>
      </c>
      <c r="D9" s="32" t="s">
        <v>662</v>
      </c>
      <c r="E9" s="32" t="s">
        <v>41</v>
      </c>
      <c r="F9" s="32" t="s">
        <v>29</v>
      </c>
      <c r="G9" s="32">
        <v>2025</v>
      </c>
      <c r="H9" s="2" t="s">
        <v>28</v>
      </c>
      <c r="I9" s="2" t="s">
        <v>167</v>
      </c>
      <c r="J9" s="49">
        <v>-1738.4406000000017</v>
      </c>
      <c r="K9" s="64">
        <v>-1738.4406000000017</v>
      </c>
      <c r="L9" s="1">
        <v>45992</v>
      </c>
      <c r="M9" s="33" t="s">
        <v>811</v>
      </c>
      <c r="N9" s="32">
        <v>45</v>
      </c>
      <c r="O9" s="32" t="s">
        <v>5</v>
      </c>
      <c r="P9" s="2" t="s">
        <v>168</v>
      </c>
      <c r="Q9" s="1">
        <v>46028</v>
      </c>
      <c r="R9" s="1">
        <v>46035</v>
      </c>
      <c r="S9" s="2" t="s">
        <v>169</v>
      </c>
      <c r="T9" s="2" t="s">
        <v>849</v>
      </c>
      <c r="U9" s="2" t="s">
        <v>170</v>
      </c>
      <c r="V9" s="2" t="s">
        <v>171</v>
      </c>
      <c r="W9" s="2" t="s">
        <v>862</v>
      </c>
      <c r="X9" s="2"/>
    </row>
    <row r="10" spans="1:24">
      <c r="A10" s="2" t="s">
        <v>27</v>
      </c>
      <c r="B10" s="2" t="s">
        <v>55</v>
      </c>
      <c r="C10" s="32" t="s">
        <v>37</v>
      </c>
      <c r="D10" s="32" t="s">
        <v>702</v>
      </c>
      <c r="E10" s="32" t="s">
        <v>41</v>
      </c>
      <c r="F10" s="32" t="s">
        <v>29</v>
      </c>
      <c r="G10" s="32">
        <v>2026</v>
      </c>
      <c r="H10" s="2" t="s">
        <v>28</v>
      </c>
      <c r="I10" s="2" t="s">
        <v>172</v>
      </c>
      <c r="J10" s="49">
        <v>-85143.008119189122</v>
      </c>
      <c r="K10" s="64">
        <v>-109615.32439999992</v>
      </c>
      <c r="L10" s="1">
        <v>46023</v>
      </c>
      <c r="M10" s="33" t="s">
        <v>814</v>
      </c>
      <c r="N10" s="32">
        <v>13</v>
      </c>
      <c r="O10" s="32" t="s">
        <v>4</v>
      </c>
      <c r="P10" s="2" t="s">
        <v>168</v>
      </c>
      <c r="Q10" s="1">
        <v>46060</v>
      </c>
      <c r="R10" s="1">
        <v>46067</v>
      </c>
      <c r="S10" s="2" t="s">
        <v>169</v>
      </c>
      <c r="T10" s="2" t="s">
        <v>883</v>
      </c>
      <c r="U10" s="2" t="s">
        <v>170</v>
      </c>
      <c r="V10" s="2" t="s">
        <v>171</v>
      </c>
      <c r="W10" s="2" t="s">
        <v>684</v>
      </c>
      <c r="X10" s="2"/>
    </row>
    <row r="11" spans="1:24">
      <c r="A11" s="2" t="s">
        <v>27</v>
      </c>
      <c r="B11" s="2" t="s">
        <v>619</v>
      </c>
      <c r="C11" s="32" t="s">
        <v>10</v>
      </c>
      <c r="D11" s="32" t="s">
        <v>600</v>
      </c>
      <c r="E11" s="32" t="s">
        <v>52</v>
      </c>
      <c r="F11" s="32" t="s">
        <v>29</v>
      </c>
      <c r="G11" s="32">
        <v>2026</v>
      </c>
      <c r="H11" s="2" t="s">
        <v>28</v>
      </c>
      <c r="I11" s="2" t="s">
        <v>167</v>
      </c>
      <c r="J11" s="49">
        <v>-152.90999999999985</v>
      </c>
      <c r="K11" s="64">
        <v>-152.90999999999985</v>
      </c>
      <c r="L11" s="1">
        <v>46023</v>
      </c>
      <c r="M11" s="33" t="s">
        <v>814</v>
      </c>
      <c r="N11" s="32">
        <v>17</v>
      </c>
      <c r="O11" s="32" t="s">
        <v>4</v>
      </c>
      <c r="P11" s="2" t="s">
        <v>168</v>
      </c>
      <c r="Q11" s="1">
        <v>46056</v>
      </c>
      <c r="R11" s="1">
        <v>46063</v>
      </c>
      <c r="S11" s="2" t="s">
        <v>169</v>
      </c>
      <c r="T11" s="2" t="s">
        <v>905</v>
      </c>
      <c r="U11" s="2" t="s">
        <v>170</v>
      </c>
      <c r="V11" s="2" t="s">
        <v>171</v>
      </c>
      <c r="W11" s="2" t="s">
        <v>684</v>
      </c>
      <c r="X11" s="2"/>
    </row>
    <row r="12" spans="1:24">
      <c r="A12" s="2" t="s">
        <v>27</v>
      </c>
      <c r="B12" s="2" t="s">
        <v>675</v>
      </c>
      <c r="C12" s="32" t="s">
        <v>653</v>
      </c>
      <c r="D12" s="32" t="s">
        <v>50</v>
      </c>
      <c r="E12" s="32" t="s">
        <v>48</v>
      </c>
      <c r="F12" s="32" t="s">
        <v>29</v>
      </c>
      <c r="G12" s="32">
        <v>2026</v>
      </c>
      <c r="H12" s="2" t="s">
        <v>28</v>
      </c>
      <c r="I12" s="2" t="s">
        <v>167</v>
      </c>
      <c r="J12" s="49">
        <v>-52</v>
      </c>
      <c r="K12" s="64">
        <v>-52</v>
      </c>
      <c r="L12" s="1">
        <v>46023</v>
      </c>
      <c r="M12" s="33" t="s">
        <v>814</v>
      </c>
      <c r="N12" s="32">
        <v>14</v>
      </c>
      <c r="O12" s="32" t="s">
        <v>4</v>
      </c>
      <c r="P12" s="2" t="s">
        <v>766</v>
      </c>
      <c r="Q12" s="1">
        <v>46059</v>
      </c>
      <c r="R12" s="1">
        <v>46066</v>
      </c>
      <c r="S12" s="2" t="s">
        <v>169</v>
      </c>
      <c r="T12" s="2" t="s">
        <v>913</v>
      </c>
      <c r="U12" s="2" t="s">
        <v>170</v>
      </c>
      <c r="V12" s="2" t="s">
        <v>171</v>
      </c>
      <c r="W12" s="2" t="s">
        <v>684</v>
      </c>
      <c r="X12" s="2"/>
    </row>
    <row r="13" spans="1:24">
      <c r="A13" s="2" t="s">
        <v>27</v>
      </c>
      <c r="B13" s="2" t="s">
        <v>765</v>
      </c>
      <c r="C13" s="32" t="s">
        <v>37</v>
      </c>
      <c r="D13" s="32" t="s">
        <v>662</v>
      </c>
      <c r="E13" s="32" t="s">
        <v>41</v>
      </c>
      <c r="F13" s="32" t="s">
        <v>29</v>
      </c>
      <c r="G13" s="32">
        <v>2026</v>
      </c>
      <c r="H13" s="2" t="s">
        <v>28</v>
      </c>
      <c r="I13" s="2" t="s">
        <v>167</v>
      </c>
      <c r="J13" s="49">
        <v>-1754.3781999999992</v>
      </c>
      <c r="K13" s="64">
        <v>-1754.3781999999992</v>
      </c>
      <c r="L13" s="1">
        <v>46023</v>
      </c>
      <c r="M13" s="33" t="s">
        <v>814</v>
      </c>
      <c r="N13" s="32">
        <v>13</v>
      </c>
      <c r="O13" s="32" t="s">
        <v>4</v>
      </c>
      <c r="P13" s="2" t="s">
        <v>168</v>
      </c>
      <c r="Q13" s="1">
        <v>46060</v>
      </c>
      <c r="R13" s="1">
        <v>46067</v>
      </c>
      <c r="S13" s="2" t="s">
        <v>169</v>
      </c>
      <c r="T13" s="2" t="s">
        <v>919</v>
      </c>
      <c r="U13" s="2" t="s">
        <v>170</v>
      </c>
      <c r="V13" s="2" t="s">
        <v>171</v>
      </c>
      <c r="W13" s="2" t="s">
        <v>862</v>
      </c>
      <c r="X13" s="2"/>
    </row>
    <row r="14" spans="1:24">
      <c r="A14" s="2" t="s">
        <v>33</v>
      </c>
      <c r="B14" s="2" t="s">
        <v>584</v>
      </c>
      <c r="C14" s="32" t="s">
        <v>10</v>
      </c>
      <c r="D14" s="32" t="s">
        <v>65</v>
      </c>
      <c r="E14" s="32" t="s">
        <v>31</v>
      </c>
      <c r="F14" s="32" t="s">
        <v>29</v>
      </c>
      <c r="G14" s="32">
        <v>2026</v>
      </c>
      <c r="H14" s="2" t="s">
        <v>712</v>
      </c>
      <c r="I14" s="2" t="s">
        <v>167</v>
      </c>
      <c r="J14" s="49">
        <v>-105.02</v>
      </c>
      <c r="K14" s="58">
        <v>-105.02</v>
      </c>
      <c r="L14" s="1">
        <v>46023</v>
      </c>
      <c r="M14" s="33" t="s">
        <v>814</v>
      </c>
      <c r="N14" s="32">
        <v>-27</v>
      </c>
      <c r="O14" s="32" t="s">
        <v>4</v>
      </c>
      <c r="P14" s="2" t="s">
        <v>766</v>
      </c>
      <c r="Q14" s="1">
        <v>46079</v>
      </c>
      <c r="R14" s="1">
        <v>46107</v>
      </c>
      <c r="S14" s="2" t="s">
        <v>174</v>
      </c>
      <c r="T14" s="2" t="s">
        <v>933</v>
      </c>
      <c r="U14" s="2" t="s">
        <v>171</v>
      </c>
      <c r="V14" s="2" t="s">
        <v>171</v>
      </c>
      <c r="W14" s="2" t="s">
        <v>861</v>
      </c>
      <c r="X14" s="2"/>
    </row>
    <row r="15" spans="1:24">
      <c r="I15" s="70" t="s">
        <v>786</v>
      </c>
      <c r="J15" s="71">
        <f>SUM(J2:J14)</f>
        <v>-93675.244419189155</v>
      </c>
    </row>
  </sheetData>
  <conditionalFormatting sqref="T2:T9">
    <cfRule type="duplicateValues" dxfId="1" priority="1"/>
  </conditionalFormatting>
  <conditionalFormatting sqref="T10:T14 T1">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89"/>
  <sheetViews>
    <sheetView workbookViewId="0">
      <selection sqref="A1:D189"/>
    </sheetView>
  </sheetViews>
  <sheetFormatPr defaultRowHeight="14.5"/>
  <sheetData>
    <row r="1" spans="1:4">
      <c r="A1" s="26" t="s">
        <v>154</v>
      </c>
      <c r="B1" s="27" t="s">
        <v>182</v>
      </c>
      <c r="C1" s="27" t="s">
        <v>183</v>
      </c>
      <c r="D1" s="28" t="s">
        <v>184</v>
      </c>
    </row>
    <row r="2" spans="1:4" ht="15" thickBot="1">
      <c r="A2" s="19" t="s">
        <v>167</v>
      </c>
      <c r="B2" s="29" t="s">
        <v>185</v>
      </c>
      <c r="C2" s="29">
        <v>1</v>
      </c>
      <c r="D2" s="30">
        <v>1</v>
      </c>
    </row>
    <row r="3" spans="1:4" ht="15" thickBot="1">
      <c r="A3" s="19" t="s">
        <v>180</v>
      </c>
      <c r="B3" s="29" t="s">
        <v>186</v>
      </c>
      <c r="C3" s="29">
        <v>0.86332851759352403</v>
      </c>
      <c r="D3" s="30">
        <v>1.15830761943024</v>
      </c>
    </row>
    <row r="4" spans="1:4" ht="15" thickBot="1">
      <c r="A4" s="19" t="s">
        <v>179</v>
      </c>
      <c r="B4" s="29" t="s">
        <v>187</v>
      </c>
      <c r="C4" s="29">
        <v>0.74795018627531495</v>
      </c>
      <c r="D4" s="30">
        <v>1.33698743358813</v>
      </c>
    </row>
    <row r="5" spans="1:4" ht="15" thickBot="1">
      <c r="A5" s="19" t="s">
        <v>188</v>
      </c>
      <c r="B5" s="29" t="s">
        <v>189</v>
      </c>
      <c r="C5" s="29">
        <v>90.7255604633974</v>
      </c>
      <c r="D5" s="30">
        <v>1.1022252107259701E-2</v>
      </c>
    </row>
    <row r="6" spans="1:4" ht="15" thickBot="1">
      <c r="A6" s="19" t="s">
        <v>173</v>
      </c>
      <c r="B6" s="29" t="s">
        <v>190</v>
      </c>
      <c r="C6" s="29">
        <v>1.4937234163354201</v>
      </c>
      <c r="D6" s="30">
        <v>0.66946798119648898</v>
      </c>
    </row>
    <row r="7" spans="1:4" ht="15" thickBot="1">
      <c r="A7" s="19" t="s">
        <v>191</v>
      </c>
      <c r="B7" s="29" t="s">
        <v>192</v>
      </c>
      <c r="C7" s="29">
        <v>1.3917132870084701</v>
      </c>
      <c r="D7" s="30">
        <v>0.71853880345536103</v>
      </c>
    </row>
    <row r="8" spans="1:4" ht="15" thickBot="1">
      <c r="A8" s="19" t="s">
        <v>172</v>
      </c>
      <c r="B8" s="29" t="s">
        <v>193</v>
      </c>
      <c r="C8" s="29">
        <v>1.28742602383219</v>
      </c>
      <c r="D8" s="30">
        <v>0.77674365865571604</v>
      </c>
    </row>
    <row r="9" spans="1:4" ht="15" thickBot="1">
      <c r="A9" s="19" t="s">
        <v>194</v>
      </c>
      <c r="B9" s="29" t="s">
        <v>195</v>
      </c>
      <c r="C9" s="29">
        <v>0.802601939251531</v>
      </c>
      <c r="D9" s="30">
        <v>1.24594764988052</v>
      </c>
    </row>
    <row r="10" spans="1:4" ht="15" thickBot="1">
      <c r="A10" s="19" t="s">
        <v>181</v>
      </c>
      <c r="B10" s="29" t="s">
        <v>196</v>
      </c>
      <c r="C10" s="29">
        <v>4.0571159243179498</v>
      </c>
      <c r="D10" s="30">
        <v>0.24648050946883099</v>
      </c>
    </row>
    <row r="11" spans="1:4" ht="15" thickBot="1">
      <c r="A11" s="19" t="s">
        <v>197</v>
      </c>
      <c r="B11" s="29" t="s">
        <v>198</v>
      </c>
      <c r="C11" s="29">
        <v>158.30924187616799</v>
      </c>
      <c r="D11" s="30">
        <v>6.31675060880029E-3</v>
      </c>
    </row>
    <row r="12" spans="1:4" ht="15" thickBot="1">
      <c r="A12" s="19" t="s">
        <v>199</v>
      </c>
      <c r="B12" s="29" t="s">
        <v>200</v>
      </c>
      <c r="C12" s="29">
        <v>6.9689280619704697</v>
      </c>
      <c r="D12" s="30">
        <v>0.143494091359187</v>
      </c>
    </row>
    <row r="13" spans="1:4" ht="15" thickBot="1">
      <c r="A13" s="19" t="s">
        <v>201</v>
      </c>
      <c r="B13" s="29" t="s">
        <v>202</v>
      </c>
      <c r="C13" s="29">
        <v>1.7386016333558201</v>
      </c>
      <c r="D13" s="30">
        <v>0.57517488814836304</v>
      </c>
    </row>
    <row r="14" spans="1:4" ht="15" thickBot="1">
      <c r="A14" s="19" t="s">
        <v>203</v>
      </c>
      <c r="B14" s="29" t="s">
        <v>204</v>
      </c>
      <c r="C14" s="29">
        <v>31.403352360655902</v>
      </c>
      <c r="D14" s="30">
        <v>3.1843734022895601E-2</v>
      </c>
    </row>
    <row r="15" spans="1:4" ht="15" thickBot="1">
      <c r="A15" s="19" t="s">
        <v>205</v>
      </c>
      <c r="B15" s="29" t="s">
        <v>206</v>
      </c>
      <c r="C15" s="29">
        <v>332.01060443199799</v>
      </c>
      <c r="D15" s="30">
        <v>3.0119519878312102E-3</v>
      </c>
    </row>
    <row r="16" spans="1:4" ht="15" thickBot="1">
      <c r="A16" s="19" t="s">
        <v>207</v>
      </c>
      <c r="B16" s="29" t="s">
        <v>208</v>
      </c>
      <c r="C16" s="29">
        <v>3.6724999999999999</v>
      </c>
      <c r="D16" s="30">
        <v>0.27229407760381202</v>
      </c>
    </row>
    <row r="17" spans="1:4" ht="15" thickBot="1">
      <c r="A17" s="19" t="s">
        <v>209</v>
      </c>
      <c r="B17" s="29" t="s">
        <v>210</v>
      </c>
      <c r="C17" s="29">
        <v>7.7983679720627999</v>
      </c>
      <c r="D17" s="30">
        <v>0.128231958735781</v>
      </c>
    </row>
    <row r="18" spans="1:4" ht="15" thickBot="1">
      <c r="A18" s="19" t="s">
        <v>211</v>
      </c>
      <c r="B18" s="29" t="s">
        <v>212</v>
      </c>
      <c r="C18" s="29">
        <v>17.633512861489201</v>
      </c>
      <c r="D18" s="30">
        <v>5.6710197670479599E-2</v>
      </c>
    </row>
    <row r="19" spans="1:4" ht="15" thickBot="1">
      <c r="A19" s="19" t="s">
        <v>213</v>
      </c>
      <c r="B19" s="29" t="s">
        <v>214</v>
      </c>
      <c r="C19" s="29">
        <v>16.4428379153963</v>
      </c>
      <c r="D19" s="30">
        <v>6.0816752262919598E-2</v>
      </c>
    </row>
    <row r="20" spans="1:4" ht="15" thickBot="1">
      <c r="A20" s="19" t="s">
        <v>215</v>
      </c>
      <c r="B20" s="29" t="s">
        <v>216</v>
      </c>
      <c r="C20" s="29">
        <v>59.390383088343199</v>
      </c>
      <c r="D20" s="30">
        <v>1.6837742880231901E-2</v>
      </c>
    </row>
    <row r="21" spans="1:4" ht="15" thickBot="1">
      <c r="A21" s="19" t="s">
        <v>217</v>
      </c>
      <c r="B21" s="29" t="s">
        <v>218</v>
      </c>
      <c r="C21" s="29">
        <v>9.2224502729053004</v>
      </c>
      <c r="D21" s="30">
        <v>0.108431053614667</v>
      </c>
    </row>
    <row r="22" spans="1:4" ht="15" thickBot="1">
      <c r="A22" s="19" t="s">
        <v>176</v>
      </c>
      <c r="B22" s="29" t="s">
        <v>219</v>
      </c>
      <c r="C22" s="29">
        <v>16890.187940412001</v>
      </c>
      <c r="D22" s="30">
        <v>5.9205972338967399E-5</v>
      </c>
    </row>
    <row r="23" spans="1:4" ht="15" thickBot="1">
      <c r="A23" s="19" t="s">
        <v>220</v>
      </c>
      <c r="B23" s="29" t="s">
        <v>221</v>
      </c>
      <c r="C23" s="29">
        <v>5.3699209321742503</v>
      </c>
      <c r="D23" s="30">
        <v>0.186222481230297</v>
      </c>
    </row>
    <row r="24" spans="1:4" ht="15" thickBot="1">
      <c r="A24" s="19" t="s">
        <v>222</v>
      </c>
      <c r="B24" s="29" t="s">
        <v>223</v>
      </c>
      <c r="C24" s="29">
        <v>3.75</v>
      </c>
      <c r="D24" s="30">
        <v>0.266666666666666</v>
      </c>
    </row>
    <row r="25" spans="1:4" ht="15" thickBot="1">
      <c r="A25" s="19" t="s">
        <v>224</v>
      </c>
      <c r="B25" s="29" t="s">
        <v>225</v>
      </c>
      <c r="C25" s="29">
        <v>43.291782256654898</v>
      </c>
      <c r="D25" s="30">
        <v>2.30990721072999E-2</v>
      </c>
    </row>
    <row r="26" spans="1:4" ht="15" thickBot="1">
      <c r="A26" s="19" t="s">
        <v>226</v>
      </c>
      <c r="B26" s="29" t="s">
        <v>227</v>
      </c>
      <c r="C26" s="29">
        <v>129.02504805674599</v>
      </c>
      <c r="D26" s="30">
        <v>7.7504330752908596E-3</v>
      </c>
    </row>
    <row r="27" spans="1:4" ht="15" thickBot="1">
      <c r="A27" s="19" t="s">
        <v>228</v>
      </c>
      <c r="B27" s="29" t="s">
        <v>229</v>
      </c>
      <c r="C27" s="29">
        <v>1473.5676450001499</v>
      </c>
      <c r="D27" s="30">
        <v>6.7862510648426604E-4</v>
      </c>
    </row>
    <row r="28" spans="1:4" ht="15" thickBot="1">
      <c r="A28" s="19" t="s">
        <v>230</v>
      </c>
      <c r="B28" s="29" t="s">
        <v>231</v>
      </c>
      <c r="C28" s="29">
        <v>47.253185268525698</v>
      </c>
      <c r="D28" s="30">
        <v>2.1162594528121199E-2</v>
      </c>
    </row>
    <row r="29" spans="1:4" ht="15" thickBot="1">
      <c r="A29" s="19" t="s">
        <v>232</v>
      </c>
      <c r="B29" s="29" t="s">
        <v>233</v>
      </c>
      <c r="C29" s="29">
        <v>1310.1946660762001</v>
      </c>
      <c r="D29" s="30">
        <v>7.6324536032101203E-4</v>
      </c>
    </row>
    <row r="30" spans="1:4" ht="15" thickBot="1">
      <c r="A30" s="19" t="s">
        <v>234</v>
      </c>
      <c r="B30" s="29" t="s">
        <v>235</v>
      </c>
      <c r="C30" s="29">
        <v>10.0961353011557</v>
      </c>
      <c r="D30" s="30">
        <v>9.9047800982374298E-2</v>
      </c>
    </row>
    <row r="31" spans="1:4" ht="15" thickBot="1">
      <c r="A31" s="19" t="s">
        <v>236</v>
      </c>
      <c r="B31" s="29" t="s">
        <v>237</v>
      </c>
      <c r="C31" s="29">
        <v>0.30754743078237801</v>
      </c>
      <c r="D31" s="30">
        <v>3.2515309832245101</v>
      </c>
    </row>
    <row r="32" spans="1:4" ht="15" thickBot="1">
      <c r="A32" s="19" t="s">
        <v>238</v>
      </c>
      <c r="B32" s="29" t="s">
        <v>239</v>
      </c>
      <c r="C32" s="29">
        <v>77.846324276423701</v>
      </c>
      <c r="D32" s="30">
        <v>1.2845821678736E-2</v>
      </c>
    </row>
    <row r="33" spans="1:4" ht="15" thickBot="1">
      <c r="A33" s="19" t="s">
        <v>240</v>
      </c>
      <c r="B33" s="29" t="s">
        <v>241</v>
      </c>
      <c r="C33" s="29">
        <v>6.44157051470994</v>
      </c>
      <c r="D33" s="30">
        <v>0.155241644520758</v>
      </c>
    </row>
    <row r="34" spans="1:4" ht="15" thickBot="1">
      <c r="A34" s="19" t="s">
        <v>242</v>
      </c>
      <c r="B34" s="29" t="s">
        <v>243</v>
      </c>
      <c r="C34" s="29">
        <v>279.84213013753401</v>
      </c>
      <c r="D34" s="30">
        <v>3.5734433536098601E-3</v>
      </c>
    </row>
    <row r="35" spans="1:4" ht="15" thickBot="1">
      <c r="A35" s="19" t="s">
        <v>244</v>
      </c>
      <c r="B35" s="29" t="s">
        <v>245</v>
      </c>
      <c r="C35" s="29">
        <v>3.14449460624928</v>
      </c>
      <c r="D35" s="30">
        <v>0.318016128255595</v>
      </c>
    </row>
    <row r="36" spans="1:4" ht="15" thickBot="1">
      <c r="A36" s="19" t="s">
        <v>246</v>
      </c>
      <c r="B36" s="29" t="s">
        <v>247</v>
      </c>
      <c r="C36" s="29">
        <v>3.63739342040087</v>
      </c>
      <c r="D36" s="30">
        <v>0.27492214463009301</v>
      </c>
    </row>
    <row r="37" spans="1:4" ht="15" thickBot="1">
      <c r="A37" s="19" t="s">
        <v>248</v>
      </c>
      <c r="B37" s="29" t="s">
        <v>249</v>
      </c>
      <c r="C37" s="29">
        <v>3.64</v>
      </c>
      <c r="D37" s="30">
        <v>0.27472527472527403</v>
      </c>
    </row>
    <row r="38" spans="1:4" ht="15" thickBot="1">
      <c r="A38" s="19" t="s">
        <v>250</v>
      </c>
      <c r="B38" s="29" t="s">
        <v>251</v>
      </c>
      <c r="C38" s="29">
        <v>2.1761488547268401E-4</v>
      </c>
      <c r="D38" s="30">
        <v>4595.27388408143</v>
      </c>
    </row>
    <row r="39" spans="1:4" ht="15" thickBot="1">
      <c r="A39" s="19" t="s">
        <v>252</v>
      </c>
      <c r="B39" s="29" t="s">
        <v>253</v>
      </c>
      <c r="C39" s="29">
        <v>0.384688766998797</v>
      </c>
      <c r="D39" s="30">
        <v>2.5995040297163801</v>
      </c>
    </row>
    <row r="40" spans="1:4" ht="15" thickBot="1">
      <c r="A40" s="19" t="s">
        <v>254</v>
      </c>
      <c r="B40" s="29" t="s">
        <v>255</v>
      </c>
      <c r="C40" s="29">
        <v>3693.6449615850001</v>
      </c>
      <c r="D40" s="30">
        <v>2.7073527921613798E-4</v>
      </c>
    </row>
    <row r="41" spans="1:4" ht="15" thickBot="1">
      <c r="A41" s="19" t="s">
        <v>256</v>
      </c>
      <c r="B41" s="29" t="s">
        <v>257</v>
      </c>
      <c r="C41" s="29">
        <v>886.62358162478199</v>
      </c>
      <c r="D41" s="30">
        <v>1.1278743547148201E-3</v>
      </c>
    </row>
    <row r="42" spans="1:4" ht="15" thickBot="1">
      <c r="A42" s="19" t="s">
        <v>258</v>
      </c>
      <c r="B42" s="29" t="s">
        <v>259</v>
      </c>
      <c r="C42" s="29">
        <v>31.635115245569501</v>
      </c>
      <c r="D42" s="30">
        <v>3.1610442770239201E-2</v>
      </c>
    </row>
    <row r="43" spans="1:4" ht="15" thickBot="1">
      <c r="A43" s="19" t="s">
        <v>260</v>
      </c>
      <c r="B43" s="29" t="s">
        <v>261</v>
      </c>
      <c r="C43" s="29">
        <v>1428.03585330948</v>
      </c>
      <c r="D43" s="30">
        <v>7.0026253030166803E-4</v>
      </c>
    </row>
    <row r="44" spans="1:4" ht="15" thickBot="1">
      <c r="A44" s="19" t="s">
        <v>262</v>
      </c>
      <c r="B44" s="29" t="s">
        <v>263</v>
      </c>
      <c r="C44" s="29">
        <v>20.912671361874398</v>
      </c>
      <c r="D44" s="30">
        <v>4.7817898665164303E-2</v>
      </c>
    </row>
    <row r="45" spans="1:4" ht="15" thickBot="1">
      <c r="A45" s="19" t="s">
        <v>264</v>
      </c>
      <c r="B45" s="29" t="s">
        <v>265</v>
      </c>
      <c r="C45" s="29">
        <v>26267.084603644998</v>
      </c>
      <c r="D45" s="30">
        <v>3.80704602390944E-5</v>
      </c>
    </row>
    <row r="46" spans="1:4" ht="15" thickBot="1">
      <c r="A46" s="19" t="s">
        <v>266</v>
      </c>
      <c r="B46" s="29" t="s">
        <v>267</v>
      </c>
      <c r="C46" s="29">
        <v>9.2214935576988104</v>
      </c>
      <c r="D46" s="30">
        <v>0.10844230316304</v>
      </c>
    </row>
    <row r="47" spans="1:4" ht="15" thickBot="1">
      <c r="A47" s="19" t="s">
        <v>268</v>
      </c>
      <c r="B47" s="29" t="s">
        <v>269</v>
      </c>
      <c r="C47" s="29">
        <v>0.70899999999999996</v>
      </c>
      <c r="D47" s="30">
        <v>1.4104372355430099</v>
      </c>
    </row>
    <row r="48" spans="1:4" ht="15" thickBot="1">
      <c r="A48" s="19" t="s">
        <v>270</v>
      </c>
      <c r="B48" s="29" t="s">
        <v>271</v>
      </c>
      <c r="C48" s="29">
        <v>0.376</v>
      </c>
      <c r="D48" s="30">
        <v>2.6595744680851001</v>
      </c>
    </row>
    <row r="49" spans="1:4" ht="15" thickBot="1">
      <c r="A49" s="19" t="s">
        <v>272</v>
      </c>
      <c r="B49" s="29" t="s">
        <v>273</v>
      </c>
      <c r="C49" s="29">
        <v>566.30638441509495</v>
      </c>
      <c r="D49" s="30">
        <v>1.7658285824074501E-3</v>
      </c>
    </row>
    <row r="50" spans="1:4" ht="15" thickBot="1">
      <c r="A50" s="19" t="s">
        <v>274</v>
      </c>
      <c r="B50" s="29" t="s">
        <v>275</v>
      </c>
      <c r="C50" s="29">
        <v>309.64495014877099</v>
      </c>
      <c r="D50" s="30">
        <v>3.2295052753792399E-3</v>
      </c>
    </row>
    <row r="51" spans="1:4" ht="15" thickBot="1">
      <c r="A51" s="19" t="s">
        <v>276</v>
      </c>
      <c r="B51" s="29" t="s">
        <v>277</v>
      </c>
      <c r="C51" s="29">
        <v>43.431569533586497</v>
      </c>
      <c r="D51" s="30">
        <v>2.3024726270292301E-2</v>
      </c>
    </row>
    <row r="52" spans="1:4" ht="15" thickBot="1">
      <c r="A52" s="19" t="s">
        <v>278</v>
      </c>
      <c r="B52" s="29" t="s">
        <v>279</v>
      </c>
      <c r="C52" s="29">
        <v>1417.8414449171401</v>
      </c>
      <c r="D52" s="30">
        <v>7.0529748131212201E-4</v>
      </c>
    </row>
    <row r="53" spans="1:4" ht="15" thickBot="1">
      <c r="A53" s="19" t="s">
        <v>280</v>
      </c>
      <c r="B53" s="29" t="s">
        <v>281</v>
      </c>
      <c r="C53" s="29">
        <v>2.89474953895277</v>
      </c>
      <c r="D53" s="30">
        <v>0.34545303023410001</v>
      </c>
    </row>
    <row r="54" spans="1:4" ht="15" thickBot="1">
      <c r="A54" s="19" t="s">
        <v>282</v>
      </c>
      <c r="B54" s="29" t="s">
        <v>283</v>
      </c>
      <c r="C54" s="29">
        <v>3560.3273150561599</v>
      </c>
      <c r="D54" s="30">
        <v>2.8087305225312501E-4</v>
      </c>
    </row>
    <row r="55" spans="1:4" ht="15" thickBot="1">
      <c r="A55" s="19" t="s">
        <v>284</v>
      </c>
      <c r="B55" s="29" t="s">
        <v>285</v>
      </c>
      <c r="C55" s="29">
        <v>4.38742097277885</v>
      </c>
      <c r="D55" s="30">
        <v>0.22792433327104</v>
      </c>
    </row>
    <row r="56" spans="1:4" ht="15" thickBot="1">
      <c r="A56" s="19" t="s">
        <v>286</v>
      </c>
      <c r="B56" s="29" t="s">
        <v>287</v>
      </c>
      <c r="C56" s="29">
        <v>122.338236703855</v>
      </c>
      <c r="D56" s="30">
        <v>8.1740592879452692E-3</v>
      </c>
    </row>
    <row r="57" spans="1:4" ht="15" thickBot="1">
      <c r="A57" s="19" t="s">
        <v>288</v>
      </c>
      <c r="B57" s="29" t="s">
        <v>289</v>
      </c>
      <c r="C57" s="29">
        <v>3.3610339764459098</v>
      </c>
      <c r="D57" s="30">
        <v>0.29752748916196198</v>
      </c>
    </row>
    <row r="58" spans="1:4" ht="15" thickBot="1">
      <c r="A58" s="19" t="s">
        <v>290</v>
      </c>
      <c r="B58" s="29" t="s">
        <v>291</v>
      </c>
      <c r="C58" s="29">
        <v>2.6919654062417</v>
      </c>
      <c r="D58" s="30">
        <v>0.37147579893907801</v>
      </c>
    </row>
    <row r="59" spans="1:4" ht="15" thickBot="1">
      <c r="A59" s="19" t="s">
        <v>292</v>
      </c>
      <c r="B59" s="29" t="s">
        <v>293</v>
      </c>
      <c r="C59" s="29">
        <v>566.30638441509495</v>
      </c>
      <c r="D59" s="30">
        <v>1.7658285824074501E-3</v>
      </c>
    </row>
    <row r="60" spans="1:4" ht="15" thickBot="1">
      <c r="A60" s="19" t="s">
        <v>294</v>
      </c>
      <c r="B60" s="29" t="s">
        <v>295</v>
      </c>
      <c r="C60" s="29">
        <v>2.2795789241790199</v>
      </c>
      <c r="D60" s="30">
        <v>0.43867750723311499</v>
      </c>
    </row>
    <row r="61" spans="1:4" ht="15" thickBot="1">
      <c r="A61" s="19" t="s">
        <v>297</v>
      </c>
      <c r="B61" s="29" t="s">
        <v>296</v>
      </c>
      <c r="C61" s="29">
        <v>342.66355734621197</v>
      </c>
      <c r="D61" s="30">
        <v>2.9183144182141399E-3</v>
      </c>
    </row>
    <row r="62" spans="1:4" ht="15" thickBot="1">
      <c r="A62" s="19" t="s">
        <v>298</v>
      </c>
      <c r="B62" s="29" t="s">
        <v>299</v>
      </c>
      <c r="C62" s="29">
        <v>2.8842644166448799</v>
      </c>
      <c r="D62" s="30">
        <v>0.34670885034987398</v>
      </c>
    </row>
    <row r="63" spans="1:4" ht="15" thickBot="1">
      <c r="A63" s="19" t="s">
        <v>300</v>
      </c>
      <c r="B63" s="29" t="s">
        <v>301</v>
      </c>
      <c r="C63" s="29">
        <v>11964.618602245901</v>
      </c>
      <c r="D63" s="30">
        <v>8.3579764073071598E-5</v>
      </c>
    </row>
    <row r="64" spans="1:4" ht="15" thickBot="1">
      <c r="A64" s="19" t="s">
        <v>302</v>
      </c>
      <c r="B64" s="29" t="s">
        <v>303</v>
      </c>
      <c r="C64" s="29">
        <v>130.30550433652101</v>
      </c>
      <c r="D64" s="30">
        <v>7.6742728950071198E-3</v>
      </c>
    </row>
    <row r="65" spans="1:4" ht="15" thickBot="1">
      <c r="A65" s="19" t="s">
        <v>304</v>
      </c>
      <c r="B65" s="29" t="s">
        <v>305</v>
      </c>
      <c r="C65" s="29">
        <v>1064638.4774297799</v>
      </c>
      <c r="D65" s="61">
        <v>9.3928598411562405E-7</v>
      </c>
    </row>
    <row r="66" spans="1:4" ht="15" thickBot="1">
      <c r="A66" s="19" t="s">
        <v>306</v>
      </c>
      <c r="B66" s="29" t="s">
        <v>307</v>
      </c>
      <c r="C66" s="29">
        <v>63.5007411022412</v>
      </c>
      <c r="D66" s="30">
        <v>1.5747847704484501E-2</v>
      </c>
    </row>
    <row r="67" spans="1:4" ht="15" thickBot="1">
      <c r="A67" s="19" t="s">
        <v>308</v>
      </c>
      <c r="B67" s="29" t="s">
        <v>309</v>
      </c>
      <c r="C67" s="29">
        <v>126.047388237864</v>
      </c>
      <c r="D67" s="30">
        <v>7.9335241608726806E-3</v>
      </c>
    </row>
    <row r="68" spans="1:4" ht="15" thickBot="1">
      <c r="A68" s="19" t="s">
        <v>310</v>
      </c>
      <c r="B68" s="29" t="s">
        <v>311</v>
      </c>
      <c r="C68" s="29">
        <v>488.90449782010501</v>
      </c>
      <c r="D68" s="30">
        <v>2.0453892415773002E-3</v>
      </c>
    </row>
    <row r="69" spans="1:4" ht="15" thickBot="1">
      <c r="A69" s="19" t="s">
        <v>312</v>
      </c>
      <c r="B69" s="29" t="s">
        <v>313</v>
      </c>
      <c r="C69" s="29">
        <v>1.10960397497237E-2</v>
      </c>
      <c r="D69" s="30">
        <v>90.122243841537795</v>
      </c>
    </row>
    <row r="70" spans="1:4" ht="15" thickBot="1">
      <c r="A70" s="19" t="s">
        <v>314</v>
      </c>
      <c r="B70" s="29" t="s">
        <v>315</v>
      </c>
      <c r="C70" s="29">
        <v>110.57747801196901</v>
      </c>
      <c r="D70" s="30">
        <v>9.0434328760125894E-3</v>
      </c>
    </row>
    <row r="71" spans="1:4" ht="15" thickBot="1">
      <c r="A71" s="19" t="s">
        <v>316</v>
      </c>
      <c r="B71" s="29" t="s">
        <v>317</v>
      </c>
      <c r="C71" s="29">
        <v>157.58462721383501</v>
      </c>
      <c r="D71" s="30">
        <v>6.3457966533946603E-3</v>
      </c>
    </row>
    <row r="72" spans="1:4" ht="15" thickBot="1">
      <c r="A72" s="19" t="s">
        <v>318</v>
      </c>
      <c r="B72" s="29" t="s">
        <v>319</v>
      </c>
      <c r="C72" s="29">
        <v>5.4308837773983401</v>
      </c>
      <c r="D72" s="30">
        <v>0.184132093594359</v>
      </c>
    </row>
    <row r="73" spans="1:4" ht="15" thickBot="1">
      <c r="A73" s="19" t="s">
        <v>320</v>
      </c>
      <c r="B73" s="29" t="s">
        <v>321</v>
      </c>
      <c r="C73" s="29">
        <v>10.8175755941405</v>
      </c>
      <c r="D73" s="30">
        <v>9.2442155018696001E-2</v>
      </c>
    </row>
    <row r="74" spans="1:4" ht="15" thickBot="1">
      <c r="A74" s="19" t="s">
        <v>322</v>
      </c>
      <c r="B74" s="29" t="s">
        <v>323</v>
      </c>
      <c r="C74" s="29">
        <v>46.300965853270696</v>
      </c>
      <c r="D74" s="30">
        <v>2.1597821591217599E-2</v>
      </c>
    </row>
    <row r="75" spans="1:4" ht="15" thickBot="1">
      <c r="A75" s="19" t="s">
        <v>324</v>
      </c>
      <c r="B75" s="29" t="s">
        <v>325</v>
      </c>
      <c r="C75" s="29">
        <v>912.62578689704401</v>
      </c>
      <c r="D75" s="30">
        <v>1.09573936476201E-3</v>
      </c>
    </row>
    <row r="76" spans="1:4" ht="15" thickBot="1">
      <c r="A76" s="19" t="s">
        <v>326</v>
      </c>
      <c r="B76" s="29" t="s">
        <v>327</v>
      </c>
      <c r="C76" s="29">
        <v>38.652654656151903</v>
      </c>
      <c r="D76" s="30">
        <v>2.5871444248676899E-2</v>
      </c>
    </row>
    <row r="77" spans="1:4" ht="15" thickBot="1">
      <c r="A77" s="19" t="s">
        <v>328</v>
      </c>
      <c r="B77" s="29" t="s">
        <v>329</v>
      </c>
      <c r="C77" s="29">
        <v>66.377452992272893</v>
      </c>
      <c r="D77" s="30">
        <v>1.50653566071058E-2</v>
      </c>
    </row>
    <row r="78" spans="1:4" ht="15" thickBot="1">
      <c r="A78" s="19" t="s">
        <v>330</v>
      </c>
      <c r="B78" s="29" t="s">
        <v>331</v>
      </c>
      <c r="C78" s="29">
        <v>89858.076821694296</v>
      </c>
      <c r="D78" s="30">
        <v>1.11286601646761E-5</v>
      </c>
    </row>
    <row r="79" spans="1:4" ht="15" thickBot="1">
      <c r="A79" s="19" t="s">
        <v>332</v>
      </c>
      <c r="B79" s="29" t="s">
        <v>333</v>
      </c>
      <c r="C79" s="29">
        <v>103.022496132501</v>
      </c>
      <c r="D79" s="30">
        <v>9.7066178508610004E-3</v>
      </c>
    </row>
    <row r="80" spans="1:4" ht="15" thickBot="1">
      <c r="A80" s="19" t="s">
        <v>334</v>
      </c>
      <c r="B80" s="29" t="s">
        <v>335</v>
      </c>
      <c r="C80" s="29">
        <v>6.75829639119089</v>
      </c>
      <c r="D80" s="30">
        <v>0.14796628353018801</v>
      </c>
    </row>
    <row r="81" spans="1:4" ht="15" thickBot="1">
      <c r="A81" s="19" t="s">
        <v>336</v>
      </c>
      <c r="B81" s="29" t="s">
        <v>337</v>
      </c>
      <c r="C81" s="29">
        <v>2506.0943218879402</v>
      </c>
      <c r="D81" s="30">
        <v>3.9902727972611102E-4</v>
      </c>
    </row>
    <row r="82" spans="1:4" ht="15" thickBot="1">
      <c r="A82" s="19" t="s">
        <v>338</v>
      </c>
      <c r="B82" s="29" t="s">
        <v>339</v>
      </c>
      <c r="C82" s="29">
        <v>83.022837237687597</v>
      </c>
      <c r="D82" s="30">
        <v>1.2044878653533301E-2</v>
      </c>
    </row>
    <row r="83" spans="1:4" ht="15" thickBot="1">
      <c r="A83" s="19" t="s">
        <v>340</v>
      </c>
      <c r="B83" s="29" t="s">
        <v>341</v>
      </c>
      <c r="C83" s="29">
        <v>2.70128508695641</v>
      </c>
      <c r="D83" s="30">
        <v>0.37019417344309802</v>
      </c>
    </row>
    <row r="84" spans="1:4" ht="15" thickBot="1">
      <c r="A84" s="19" t="s">
        <v>342</v>
      </c>
      <c r="B84" s="29" t="s">
        <v>343</v>
      </c>
      <c r="C84" s="29">
        <v>7.6644343536073603</v>
      </c>
      <c r="D84" s="30">
        <v>0.130472772531392</v>
      </c>
    </row>
    <row r="85" spans="1:4" ht="15" thickBot="1">
      <c r="A85" s="19" t="s">
        <v>344</v>
      </c>
      <c r="B85" s="29" t="s">
        <v>345</v>
      </c>
      <c r="C85" s="29">
        <v>145.22894091178301</v>
      </c>
      <c r="D85" s="30">
        <v>6.8856799045820399E-3</v>
      </c>
    </row>
    <row r="86" spans="1:4" ht="15" thickBot="1">
      <c r="A86" s="19" t="s">
        <v>346</v>
      </c>
      <c r="B86" s="29" t="s">
        <v>347</v>
      </c>
      <c r="C86" s="29">
        <v>6.9201341503047198</v>
      </c>
      <c r="D86" s="30">
        <v>0.14450586914647601</v>
      </c>
    </row>
    <row r="87" spans="1:4" ht="15" thickBot="1">
      <c r="A87" s="19" t="s">
        <v>349</v>
      </c>
      <c r="B87" s="29" t="s">
        <v>350</v>
      </c>
      <c r="C87" s="29">
        <v>2</v>
      </c>
      <c r="D87" s="30">
        <v>0.5</v>
      </c>
    </row>
    <row r="88" spans="1:4" ht="15" thickBot="1">
      <c r="A88" s="19" t="s">
        <v>351</v>
      </c>
      <c r="B88" s="29" t="s">
        <v>352</v>
      </c>
      <c r="C88" s="29">
        <v>1</v>
      </c>
      <c r="D88" s="30">
        <v>1</v>
      </c>
    </row>
    <row r="89" spans="1:4" ht="15" thickBot="1">
      <c r="A89" s="19" t="s">
        <v>353</v>
      </c>
      <c r="B89" s="29" t="s">
        <v>354</v>
      </c>
      <c r="C89" s="29">
        <v>21599.4532872829</v>
      </c>
      <c r="D89" s="30">
        <v>4.6297468121045698E-5</v>
      </c>
    </row>
    <row r="90" spans="1:4" ht="15" thickBot="1">
      <c r="A90" s="19" t="s">
        <v>355</v>
      </c>
      <c r="B90" s="29" t="s">
        <v>356</v>
      </c>
      <c r="C90" s="29">
        <v>1.28742602383219</v>
      </c>
      <c r="D90" s="30">
        <v>0.77674365865571604</v>
      </c>
    </row>
    <row r="91" spans="1:4" ht="15" thickBot="1">
      <c r="A91" s="19" t="s">
        <v>357</v>
      </c>
      <c r="B91" s="29" t="s">
        <v>358</v>
      </c>
      <c r="C91" s="29">
        <v>13.3644908356973</v>
      </c>
      <c r="D91" s="30">
        <v>7.4825147646398804E-2</v>
      </c>
    </row>
    <row r="92" spans="1:4" ht="15" thickBot="1">
      <c r="A92" s="19" t="s">
        <v>359</v>
      </c>
      <c r="B92" s="29" t="s">
        <v>360</v>
      </c>
      <c r="C92" s="29">
        <v>26.456045017319699</v>
      </c>
      <c r="D92" s="30">
        <v>3.7798544693484502E-2</v>
      </c>
    </row>
    <row r="93" spans="1:4" ht="15" thickBot="1">
      <c r="A93" s="19" t="s">
        <v>361</v>
      </c>
      <c r="B93" s="29" t="s">
        <v>362</v>
      </c>
      <c r="C93" s="29">
        <v>6766.3228050741</v>
      </c>
      <c r="D93" s="30">
        <v>1.4779076151230801E-4</v>
      </c>
    </row>
    <row r="94" spans="1:4" ht="15" thickBot="1">
      <c r="A94" s="19" t="s">
        <v>363</v>
      </c>
      <c r="B94" s="29" t="s">
        <v>364</v>
      </c>
      <c r="C94" s="29">
        <v>155.59306753704101</v>
      </c>
      <c r="D94" s="30">
        <v>6.42702156226808E-3</v>
      </c>
    </row>
    <row r="95" spans="1:4" ht="15" thickBot="1">
      <c r="A95" s="19" t="s">
        <v>365</v>
      </c>
      <c r="B95" s="29" t="s">
        <v>366</v>
      </c>
      <c r="C95" s="29">
        <v>16.4428379153963</v>
      </c>
      <c r="D95" s="30">
        <v>6.0816752262919598E-2</v>
      </c>
    </row>
    <row r="96" spans="1:4" ht="15" thickBot="1">
      <c r="A96" s="19" t="s">
        <v>367</v>
      </c>
      <c r="B96" s="29" t="s">
        <v>368</v>
      </c>
      <c r="C96" s="29">
        <v>4.2630236293300303</v>
      </c>
      <c r="D96" s="30">
        <v>0.23457528903191999</v>
      </c>
    </row>
    <row r="97" spans="1:4" ht="15" thickBot="1">
      <c r="A97" s="19" t="s">
        <v>369</v>
      </c>
      <c r="B97" s="29" t="s">
        <v>370</v>
      </c>
      <c r="C97" s="29">
        <v>599.28149629594998</v>
      </c>
      <c r="D97" s="30">
        <v>1.66866490318959E-3</v>
      </c>
    </row>
    <row r="98" spans="1:4" ht="15" thickBot="1">
      <c r="A98" s="19" t="s">
        <v>371</v>
      </c>
      <c r="B98" s="29" t="s">
        <v>372</v>
      </c>
      <c r="C98" s="29">
        <v>8.0323190112246792</v>
      </c>
      <c r="D98" s="30">
        <v>0.12449704731629301</v>
      </c>
    </row>
    <row r="99" spans="1:4" ht="15" thickBot="1">
      <c r="A99" s="19" t="s">
        <v>373</v>
      </c>
      <c r="B99" s="29" t="s">
        <v>374</v>
      </c>
      <c r="C99" s="29">
        <v>1</v>
      </c>
      <c r="D99" s="30">
        <v>1</v>
      </c>
    </row>
    <row r="100" spans="1:4" ht="15" thickBot="1">
      <c r="A100" s="19" t="s">
        <v>375</v>
      </c>
      <c r="B100" s="29" t="s">
        <v>376</v>
      </c>
      <c r="C100" s="29">
        <v>36.681713240555602</v>
      </c>
      <c r="D100" s="30">
        <v>2.7261540196939001E-2</v>
      </c>
    </row>
    <row r="101" spans="1:4" ht="15" thickBot="1">
      <c r="A101" s="19" t="s">
        <v>377</v>
      </c>
      <c r="B101" s="29" t="s">
        <v>686</v>
      </c>
      <c r="C101" s="29">
        <v>1.6885238145649399</v>
      </c>
      <c r="D101" s="30">
        <v>0.59223328174240497</v>
      </c>
    </row>
    <row r="102" spans="1:4" ht="15" thickBot="1">
      <c r="A102" s="19" t="s">
        <v>378</v>
      </c>
      <c r="B102" s="29" t="s">
        <v>379</v>
      </c>
      <c r="C102" s="29">
        <v>511.268718467761</v>
      </c>
      <c r="D102" s="30">
        <v>1.9559186077273199E-3</v>
      </c>
    </row>
    <row r="103" spans="1:4" ht="15" thickBot="1">
      <c r="A103" s="19" t="s">
        <v>380</v>
      </c>
      <c r="B103" s="29" t="s">
        <v>381</v>
      </c>
      <c r="C103" s="29">
        <v>1</v>
      </c>
      <c r="D103" s="30">
        <v>1</v>
      </c>
    </row>
    <row r="104" spans="1:4" ht="15" thickBot="1">
      <c r="A104" s="19" t="s">
        <v>382</v>
      </c>
      <c r="B104" s="29" t="s">
        <v>383</v>
      </c>
      <c r="C104" s="29">
        <v>209.19367590352701</v>
      </c>
      <c r="D104" s="30">
        <v>4.78025922954365E-3</v>
      </c>
    </row>
    <row r="105" spans="1:4" ht="15" thickBot="1">
      <c r="A105" s="19" t="s">
        <v>384</v>
      </c>
      <c r="B105" s="29" t="s">
        <v>385</v>
      </c>
      <c r="C105" s="29">
        <v>238.42645397647601</v>
      </c>
      <c r="D105" s="30">
        <v>4.1941654683110702E-3</v>
      </c>
    </row>
    <row r="106" spans="1:4" ht="15" thickBot="1">
      <c r="A106" s="19" t="s">
        <v>386</v>
      </c>
      <c r="B106" s="29" t="s">
        <v>387</v>
      </c>
      <c r="C106" s="29">
        <v>4600.55033567398</v>
      </c>
      <c r="D106" s="30">
        <v>2.1736529915686599E-4</v>
      </c>
    </row>
    <row r="107" spans="1:4" ht="15" thickBot="1">
      <c r="A107" s="19" t="s">
        <v>388</v>
      </c>
      <c r="B107" s="29" t="s">
        <v>389</v>
      </c>
      <c r="C107" s="29">
        <v>0.82254662977208803</v>
      </c>
      <c r="D107" s="30">
        <v>1.21573654769831</v>
      </c>
    </row>
    <row r="108" spans="1:4" ht="15" thickBot="1">
      <c r="A108" s="19" t="s">
        <v>390</v>
      </c>
      <c r="B108" s="29" t="s">
        <v>391</v>
      </c>
      <c r="C108" s="29">
        <v>63.720316726059103</v>
      </c>
      <c r="D108" s="30">
        <v>1.5693581755079899E-2</v>
      </c>
    </row>
    <row r="109" spans="1:4" ht="15" thickBot="1">
      <c r="A109" s="19" t="s">
        <v>392</v>
      </c>
      <c r="B109" s="29" t="s">
        <v>393</v>
      </c>
      <c r="C109" s="29">
        <v>101.186620101806</v>
      </c>
      <c r="D109" s="30">
        <v>9.8827295446163692E-3</v>
      </c>
    </row>
    <row r="110" spans="1:4" ht="15" thickBot="1">
      <c r="A110" s="19" t="s">
        <v>394</v>
      </c>
      <c r="B110" s="29" t="s">
        <v>395</v>
      </c>
      <c r="C110" s="29">
        <v>15.105804000873199</v>
      </c>
      <c r="D110" s="30">
        <v>6.6199720315594499E-2</v>
      </c>
    </row>
    <row r="111" spans="1:4" ht="15" thickBot="1">
      <c r="A111" s="19" t="s">
        <v>396</v>
      </c>
      <c r="B111" s="29" t="s">
        <v>397</v>
      </c>
      <c r="C111" s="29">
        <v>380.32794996032902</v>
      </c>
      <c r="D111" s="30">
        <v>2.62930978410686E-3</v>
      </c>
    </row>
    <row r="112" spans="1:4" ht="15" thickBot="1">
      <c r="A112" s="19" t="s">
        <v>398</v>
      </c>
      <c r="B112" s="29" t="s">
        <v>399</v>
      </c>
      <c r="C112" s="29">
        <v>1.7016119955073199</v>
      </c>
      <c r="D112" s="30">
        <v>0.58767803861294399</v>
      </c>
    </row>
    <row r="113" spans="1:4" ht="15" thickBot="1">
      <c r="A113" s="19" t="s">
        <v>400</v>
      </c>
      <c r="B113" s="29" t="s">
        <v>401</v>
      </c>
      <c r="C113" s="29">
        <v>8.1240150785696397</v>
      </c>
      <c r="D113" s="30">
        <v>0.12309184440559399</v>
      </c>
    </row>
    <row r="114" spans="1:4" ht="15" thickBot="1">
      <c r="A114" s="19" t="s">
        <v>403</v>
      </c>
      <c r="B114" s="29" t="s">
        <v>404</v>
      </c>
      <c r="C114" s="29">
        <v>2.3918618708424</v>
      </c>
      <c r="D114" s="30">
        <v>0.41808434349421902</v>
      </c>
    </row>
    <row r="115" spans="1:4" ht="15" thickBot="1">
      <c r="A115" s="19" t="s">
        <v>405</v>
      </c>
      <c r="B115" s="29" t="s">
        <v>406</v>
      </c>
      <c r="C115" s="29">
        <v>2.0135713654477101</v>
      </c>
      <c r="D115" s="30">
        <v>0.496630026210991</v>
      </c>
    </row>
    <row r="116" spans="1:4" ht="15" thickBot="1">
      <c r="A116" s="19" t="s">
        <v>407</v>
      </c>
      <c r="B116" s="29" t="s">
        <v>408</v>
      </c>
      <c r="C116" s="29">
        <v>73.839617615902796</v>
      </c>
      <c r="D116" s="30">
        <v>1.35428653653351E-2</v>
      </c>
    </row>
    <row r="117" spans="1:4" ht="15" thickBot="1">
      <c r="A117" s="19" t="s">
        <v>409</v>
      </c>
      <c r="B117" s="29" t="s">
        <v>410</v>
      </c>
      <c r="C117" s="29">
        <v>1732.4980033741101</v>
      </c>
      <c r="D117" s="30">
        <v>5.7720124239823598E-4</v>
      </c>
    </row>
    <row r="118" spans="1:4" ht="15" thickBot="1">
      <c r="A118" s="19" t="s">
        <v>411</v>
      </c>
      <c r="B118" s="29" t="s">
        <v>412</v>
      </c>
      <c r="C118" s="29">
        <v>2957.6533298342702</v>
      </c>
      <c r="D118" s="30">
        <v>3.38105886147256E-4</v>
      </c>
    </row>
    <row r="119" spans="1:4" ht="15" thickBot="1">
      <c r="A119" s="19" t="s">
        <v>413</v>
      </c>
      <c r="B119" s="29" t="s">
        <v>414</v>
      </c>
      <c r="C119" s="29">
        <v>131.66954949378399</v>
      </c>
      <c r="D119" s="30">
        <v>7.5947704222015496E-3</v>
      </c>
    </row>
    <row r="120" spans="1:4" ht="15" thickBot="1">
      <c r="A120" s="19" t="s">
        <v>415</v>
      </c>
      <c r="B120" s="29" t="s">
        <v>416</v>
      </c>
      <c r="C120" s="29">
        <v>571.01401385999202</v>
      </c>
      <c r="D120" s="30">
        <v>1.7512705042738001E-3</v>
      </c>
    </row>
    <row r="121" spans="1:4" ht="15" thickBot="1">
      <c r="A121" s="19" t="s">
        <v>417</v>
      </c>
      <c r="B121" s="29" t="s">
        <v>418</v>
      </c>
      <c r="C121" s="29">
        <v>8755.0942933264396</v>
      </c>
      <c r="D121" s="30">
        <v>1.14219215293003E-4</v>
      </c>
    </row>
    <row r="122" spans="1:4" ht="15" thickBot="1">
      <c r="A122" s="19" t="s">
        <v>419</v>
      </c>
      <c r="B122" s="29" t="s">
        <v>420</v>
      </c>
      <c r="C122" s="29">
        <v>3564.0349337519401</v>
      </c>
      <c r="D122" s="30">
        <v>2.8058086370867099E-4</v>
      </c>
    </row>
    <row r="123" spans="1:4" ht="15" thickBot="1">
      <c r="A123" s="19" t="s">
        <v>421</v>
      </c>
      <c r="B123" s="29" t="s">
        <v>422</v>
      </c>
      <c r="C123" s="29">
        <v>15.4599350438207</v>
      </c>
      <c r="D123" s="30">
        <v>6.4683324811231804E-2</v>
      </c>
    </row>
    <row r="124" spans="1:4" ht="15" thickBot="1">
      <c r="A124" s="19" t="s">
        <v>423</v>
      </c>
      <c r="B124" s="29" t="s">
        <v>424</v>
      </c>
      <c r="C124" s="29">
        <v>2151.3380144390198</v>
      </c>
      <c r="D124" s="30">
        <v>4.6482700221366801E-4</v>
      </c>
    </row>
    <row r="125" spans="1:4" ht="15" thickBot="1">
      <c r="A125" s="19" t="s">
        <v>425</v>
      </c>
      <c r="B125" s="29" t="s">
        <v>426</v>
      </c>
      <c r="C125" s="29">
        <v>21.156416482487199</v>
      </c>
      <c r="D125" s="30">
        <v>4.7266984029538897E-2</v>
      </c>
    </row>
    <row r="126" spans="1:4" ht="15" thickBot="1">
      <c r="A126" s="19" t="s">
        <v>427</v>
      </c>
      <c r="B126" s="29" t="s">
        <v>428</v>
      </c>
      <c r="C126" s="29">
        <v>9.3287972535901194</v>
      </c>
      <c r="D126" s="30">
        <v>0.107194954806757</v>
      </c>
    </row>
    <row r="127" spans="1:4" ht="15" thickBot="1">
      <c r="A127" s="19" t="s">
        <v>429</v>
      </c>
      <c r="B127" s="29" t="s">
        <v>430</v>
      </c>
      <c r="C127" s="29">
        <v>899.99909630755599</v>
      </c>
      <c r="D127" s="30">
        <v>1.1111122267819099E-3</v>
      </c>
    </row>
    <row r="128" spans="1:4" ht="15" thickBot="1">
      <c r="A128" s="19" t="s">
        <v>431</v>
      </c>
      <c r="B128" s="29" t="s">
        <v>432</v>
      </c>
      <c r="C128" s="29">
        <v>87.447960820298903</v>
      </c>
      <c r="D128" s="30">
        <v>1.14353724274365E-2</v>
      </c>
    </row>
    <row r="129" spans="1:4" ht="15" thickBot="1">
      <c r="A129" s="19" t="s">
        <v>433</v>
      </c>
      <c r="B129" s="29" t="s">
        <v>434</v>
      </c>
      <c r="C129" s="29">
        <v>180.76397010825499</v>
      </c>
      <c r="D129" s="30">
        <v>5.5320758854827002E-3</v>
      </c>
    </row>
    <row r="130" spans="1:4" ht="15" thickBot="1">
      <c r="A130" s="19" t="s">
        <v>435</v>
      </c>
      <c r="B130" s="29" t="s">
        <v>436</v>
      </c>
      <c r="C130" s="29">
        <v>16.4428379153963</v>
      </c>
      <c r="D130" s="30">
        <v>6.0816752262919598E-2</v>
      </c>
    </row>
    <row r="131" spans="1:4" ht="15" thickBot="1">
      <c r="A131" s="19" t="s">
        <v>437</v>
      </c>
      <c r="B131" s="29" t="s">
        <v>438</v>
      </c>
      <c r="C131" s="29">
        <v>2099.72994864764</v>
      </c>
      <c r="D131" s="30">
        <v>4.7625172020052402E-4</v>
      </c>
    </row>
    <row r="132" spans="1:4" ht="15" thickBot="1">
      <c r="A132" s="19" t="s">
        <v>439</v>
      </c>
      <c r="B132" s="29" t="s">
        <v>440</v>
      </c>
      <c r="C132" s="29">
        <v>0.74795018627531495</v>
      </c>
      <c r="D132" s="30">
        <v>1.33698743358813</v>
      </c>
    </row>
    <row r="133" spans="1:4" ht="15" thickBot="1">
      <c r="A133" s="19" t="s">
        <v>441</v>
      </c>
      <c r="B133" s="29" t="s">
        <v>442</v>
      </c>
      <c r="C133" s="29">
        <v>4.2671519180736598E-4</v>
      </c>
      <c r="D133" s="30">
        <v>2343.4834737532201</v>
      </c>
    </row>
    <row r="134" spans="1:4" ht="15" thickBot="1">
      <c r="A134" s="19" t="s">
        <v>443</v>
      </c>
      <c r="B134" s="29" t="s">
        <v>444</v>
      </c>
      <c r="C134" s="29">
        <v>17.0840011225099</v>
      </c>
      <c r="D134" s="30">
        <v>5.8534297254429102E-2</v>
      </c>
    </row>
    <row r="135" spans="1:4" ht="15" thickBot="1">
      <c r="A135" s="19" t="s">
        <v>445</v>
      </c>
      <c r="B135" s="29" t="s">
        <v>446</v>
      </c>
      <c r="C135" s="29">
        <v>24.004320504268399</v>
      </c>
      <c r="D135" s="30">
        <v>4.1659167141272602E-2</v>
      </c>
    </row>
    <row r="136" spans="1:4" ht="15" thickBot="1">
      <c r="A136" s="19" t="s">
        <v>447</v>
      </c>
      <c r="B136" s="29" t="s">
        <v>448</v>
      </c>
      <c r="C136" s="29">
        <v>4024.6375118713199</v>
      </c>
      <c r="D136" s="30">
        <v>2.4846958193137502E-4</v>
      </c>
    </row>
    <row r="137" spans="1:4" ht="15" thickBot="1">
      <c r="A137" s="19" t="s">
        <v>449</v>
      </c>
      <c r="B137" s="29" t="s">
        <v>450</v>
      </c>
      <c r="C137" s="29">
        <v>53.007361676971101</v>
      </c>
      <c r="D137" s="30">
        <v>1.88653041457531E-2</v>
      </c>
    </row>
    <row r="138" spans="1:4" ht="15" thickBot="1">
      <c r="A138" s="19" t="s">
        <v>451</v>
      </c>
      <c r="B138" s="29" t="s">
        <v>452</v>
      </c>
      <c r="C138" s="29">
        <v>120.335140433718</v>
      </c>
      <c r="D138" s="30">
        <v>8.3101245105606202E-3</v>
      </c>
    </row>
    <row r="139" spans="1:4" ht="15" thickBot="1">
      <c r="A139" s="19" t="s">
        <v>453</v>
      </c>
      <c r="B139" s="29" t="s">
        <v>454</v>
      </c>
      <c r="C139" s="29">
        <v>39.919350594405401</v>
      </c>
      <c r="D139" s="30">
        <v>2.5050507713924201E-2</v>
      </c>
    </row>
    <row r="140" spans="1:4" ht="15" thickBot="1">
      <c r="A140" s="19" t="s">
        <v>455</v>
      </c>
      <c r="B140" s="29" t="s">
        <v>456</v>
      </c>
      <c r="C140" s="29">
        <v>16.4428379153963</v>
      </c>
      <c r="D140" s="30">
        <v>6.0816752262919598E-2</v>
      </c>
    </row>
    <row r="141" spans="1:4" ht="15" thickBot="1">
      <c r="A141" s="19" t="s">
        <v>457</v>
      </c>
      <c r="B141" s="29" t="s">
        <v>458</v>
      </c>
      <c r="C141" s="29">
        <v>95.199235635037894</v>
      </c>
      <c r="D141" s="30">
        <v>1.05042860200439E-2</v>
      </c>
    </row>
    <row r="142" spans="1:4" ht="15" thickBot="1">
      <c r="A142" s="19" t="s">
        <v>459</v>
      </c>
      <c r="B142" s="29" t="s">
        <v>460</v>
      </c>
      <c r="C142" s="29">
        <v>38.291953976694202</v>
      </c>
      <c r="D142" s="30">
        <v>2.6115146816708099E-2</v>
      </c>
    </row>
    <row r="143" spans="1:4" ht="15" thickBot="1">
      <c r="A143" s="19" t="s">
        <v>461</v>
      </c>
      <c r="B143" s="29" t="s">
        <v>462</v>
      </c>
      <c r="C143" s="29">
        <v>8.75</v>
      </c>
      <c r="D143" s="30">
        <v>0.114285714285714</v>
      </c>
    </row>
    <row r="144" spans="1:4" ht="15" thickBot="1">
      <c r="A144" s="19" t="s">
        <v>463</v>
      </c>
      <c r="B144" s="29" t="s">
        <v>464</v>
      </c>
      <c r="C144" s="29">
        <v>5.5203709249982899E-4</v>
      </c>
      <c r="D144" s="30">
        <v>1811.4724781837101</v>
      </c>
    </row>
    <row r="145" spans="1:4" ht="15" thickBot="1">
      <c r="A145" s="19" t="s">
        <v>465</v>
      </c>
      <c r="B145" s="29" t="s">
        <v>466</v>
      </c>
      <c r="C145" s="29">
        <v>1</v>
      </c>
      <c r="D145" s="30">
        <v>1</v>
      </c>
    </row>
    <row r="146" spans="1:4" ht="15" thickBot="1">
      <c r="A146" s="19" t="s">
        <v>467</v>
      </c>
      <c r="B146" s="29" t="s">
        <v>468</v>
      </c>
      <c r="C146" s="29">
        <v>0.73322383202810304</v>
      </c>
      <c r="D146" s="30">
        <v>1.3638400121747101</v>
      </c>
    </row>
    <row r="147" spans="1:4" ht="15" thickBot="1">
      <c r="A147" s="19" t="s">
        <v>469</v>
      </c>
      <c r="B147" s="29" t="s">
        <v>470</v>
      </c>
      <c r="C147" s="29">
        <v>1455.9093656493601</v>
      </c>
      <c r="D147" s="30">
        <v>6.8685594281755005E-4</v>
      </c>
    </row>
    <row r="148" spans="1:4" ht="15" thickBot="1">
      <c r="A148" s="19" t="s">
        <v>471</v>
      </c>
      <c r="B148" s="29" t="s">
        <v>472</v>
      </c>
      <c r="C148" s="29">
        <v>1.79</v>
      </c>
      <c r="D148" s="30">
        <v>0.55865921787709405</v>
      </c>
    </row>
    <row r="149" spans="1:4" ht="15" thickBot="1">
      <c r="A149" s="19" t="s">
        <v>473</v>
      </c>
      <c r="B149" s="29" t="s">
        <v>474</v>
      </c>
      <c r="C149" s="29">
        <v>90.7255604633974</v>
      </c>
      <c r="D149" s="30">
        <v>1.1022252107259701E-2</v>
      </c>
    </row>
    <row r="150" spans="1:4" ht="15" thickBot="1">
      <c r="A150" s="19" t="s">
        <v>475</v>
      </c>
      <c r="B150" s="29" t="s">
        <v>476</v>
      </c>
      <c r="C150" s="29">
        <v>178.42087580611101</v>
      </c>
      <c r="D150" s="30">
        <v>5.60472531861514E-3</v>
      </c>
    </row>
    <row r="151" spans="1:4" ht="15" thickBot="1">
      <c r="A151" s="19" t="s">
        <v>477</v>
      </c>
      <c r="B151" s="29" t="s">
        <v>478</v>
      </c>
      <c r="C151" s="29">
        <v>424.72978831132099</v>
      </c>
      <c r="D151" s="30">
        <v>2.3544381098765999E-3</v>
      </c>
    </row>
    <row r="152" spans="1:4" ht="15" thickBot="1">
      <c r="A152" s="19" t="s">
        <v>479</v>
      </c>
      <c r="B152" s="29" t="s">
        <v>480</v>
      </c>
      <c r="C152" s="29">
        <v>15</v>
      </c>
      <c r="D152" s="30">
        <v>6.6666666666666596E-2</v>
      </c>
    </row>
    <row r="153" spans="1:4" ht="15" thickBot="1">
      <c r="A153" s="19" t="s">
        <v>481</v>
      </c>
      <c r="B153" s="29" t="s">
        <v>482</v>
      </c>
      <c r="C153" s="29">
        <v>0.74795018627531495</v>
      </c>
      <c r="D153" s="30">
        <v>1.33698743358813</v>
      </c>
    </row>
    <row r="154" spans="1:4" ht="15" thickBot="1">
      <c r="A154" s="19" t="s">
        <v>483</v>
      </c>
      <c r="B154" s="29" t="s">
        <v>484</v>
      </c>
      <c r="C154" s="29">
        <v>0.74795018627531495</v>
      </c>
      <c r="D154" s="30">
        <v>1.33698743358813</v>
      </c>
    </row>
    <row r="155" spans="1:4" ht="15" thickBot="1">
      <c r="A155" s="19" t="s">
        <v>485</v>
      </c>
      <c r="B155" s="29" t="s">
        <v>486</v>
      </c>
      <c r="C155" s="29">
        <v>0.16666666599999999</v>
      </c>
      <c r="D155" s="30">
        <v>6.0000000240000002</v>
      </c>
    </row>
    <row r="156" spans="1:4" ht="15" thickBot="1">
      <c r="A156" s="19" t="s">
        <v>487</v>
      </c>
      <c r="B156" s="29" t="s">
        <v>488</v>
      </c>
      <c r="C156" s="29">
        <v>2.7901890085037602</v>
      </c>
      <c r="D156" s="30">
        <v>0.35839865935686099</v>
      </c>
    </row>
    <row r="157" spans="1:4" ht="15" thickBot="1">
      <c r="A157" s="19" t="s">
        <v>489</v>
      </c>
      <c r="B157" s="29" t="s">
        <v>490</v>
      </c>
      <c r="C157" s="29">
        <v>0.74795018627531495</v>
      </c>
      <c r="D157" s="30">
        <v>1.33698743358813</v>
      </c>
    </row>
    <row r="158" spans="1:4" ht="15" thickBot="1">
      <c r="A158" s="19" t="s">
        <v>491</v>
      </c>
      <c r="B158" s="29" t="s">
        <v>492</v>
      </c>
      <c r="C158" s="29">
        <v>3.5065827267351701</v>
      </c>
      <c r="D158" s="30">
        <v>0.285177929034931</v>
      </c>
    </row>
    <row r="159" spans="1:4" ht="15" thickBot="1">
      <c r="A159" s="19" t="s">
        <v>493</v>
      </c>
      <c r="B159" s="29" t="s">
        <v>494</v>
      </c>
      <c r="C159" s="29">
        <v>0.74795018627531495</v>
      </c>
      <c r="D159" s="30">
        <v>1.33698743358813</v>
      </c>
    </row>
    <row r="160" spans="1:4" ht="15" thickBot="1">
      <c r="A160" s="19" t="s">
        <v>495</v>
      </c>
      <c r="B160" s="29" t="s">
        <v>496</v>
      </c>
      <c r="C160" s="29">
        <v>0.74795018627531495</v>
      </c>
      <c r="D160" s="30">
        <v>1.33698743358813</v>
      </c>
    </row>
    <row r="161" spans="1:4" ht="15" thickBot="1">
      <c r="A161" s="19" t="s">
        <v>497</v>
      </c>
      <c r="B161" s="29" t="s">
        <v>498</v>
      </c>
      <c r="C161" s="29">
        <v>1.4937234163354201</v>
      </c>
      <c r="D161" s="30">
        <v>0.66946798119648898</v>
      </c>
    </row>
    <row r="162" spans="1:4" ht="15" thickBot="1">
      <c r="A162" s="19" t="s">
        <v>499</v>
      </c>
      <c r="B162" s="29" t="s">
        <v>500</v>
      </c>
      <c r="C162" s="29">
        <v>20.1734705534375</v>
      </c>
      <c r="D162" s="30">
        <v>4.9570052775554797E-2</v>
      </c>
    </row>
    <row r="163" spans="1:4" ht="15" thickBot="1">
      <c r="A163" s="19" t="s">
        <v>501</v>
      </c>
      <c r="B163" s="29" t="s">
        <v>502</v>
      </c>
      <c r="C163" s="29">
        <v>2.5495798251562798</v>
      </c>
      <c r="D163" s="30">
        <v>0.39222149082494401</v>
      </c>
    </row>
    <row r="164" spans="1:4" ht="15" thickBot="1">
      <c r="A164" s="19" t="s">
        <v>503</v>
      </c>
      <c r="B164" s="29" t="s">
        <v>504</v>
      </c>
      <c r="C164" s="29">
        <v>1.69291938280738E-3</v>
      </c>
      <c r="D164" s="30">
        <v>590.69558193709599</v>
      </c>
    </row>
    <row r="165" spans="1:4" ht="15" thickBot="1">
      <c r="A165" s="19" t="s">
        <v>853</v>
      </c>
      <c r="B165" s="29" t="s">
        <v>853</v>
      </c>
      <c r="C165" s="29">
        <v>1.0526650937934701E-3</v>
      </c>
      <c r="D165" s="30">
        <v>949.96975381439995</v>
      </c>
    </row>
    <row r="166" spans="1:4" ht="15" thickBot="1">
      <c r="A166" s="19" t="s">
        <v>505</v>
      </c>
      <c r="B166" s="29" t="s">
        <v>506</v>
      </c>
      <c r="C166" s="29">
        <v>1.05131254031352E-5</v>
      </c>
      <c r="D166" s="30">
        <v>95119.192595360902</v>
      </c>
    </row>
    <row r="167" spans="1:4" ht="15" thickBot="1">
      <c r="A167" s="31" t="s">
        <v>507</v>
      </c>
      <c r="B167" s="29" t="s">
        <v>507</v>
      </c>
      <c r="C167" s="29">
        <v>2.2456045000000001E-2</v>
      </c>
      <c r="D167" s="30">
        <v>44.531439084665102</v>
      </c>
    </row>
    <row r="168" spans="1:4" ht="15" thickBot="1">
      <c r="A168" s="31" t="s">
        <v>508</v>
      </c>
      <c r="B168" s="29" t="s">
        <v>509</v>
      </c>
      <c r="C168" s="29">
        <v>6.9725002720255702</v>
      </c>
      <c r="D168" s="30">
        <v>0.143420575257932</v>
      </c>
    </row>
    <row r="169" spans="1:4" ht="15" thickBot="1">
      <c r="A169" s="19" t="s">
        <v>510</v>
      </c>
      <c r="B169" s="29" t="s">
        <v>511</v>
      </c>
      <c r="C169" s="29">
        <v>7.3123863323813598</v>
      </c>
      <c r="D169" s="30">
        <v>0.13675426250001399</v>
      </c>
    </row>
    <row r="170" spans="1:4" ht="15" thickBot="1">
      <c r="A170" s="19" t="s">
        <v>512</v>
      </c>
      <c r="B170" s="29" t="s">
        <v>513</v>
      </c>
      <c r="C170" s="29">
        <v>0.46160091837013201</v>
      </c>
      <c r="D170" s="30">
        <v>2.1663735062115999</v>
      </c>
    </row>
    <row r="171" spans="1:4" ht="15" thickBot="1">
      <c r="A171" s="19" t="s">
        <v>514</v>
      </c>
      <c r="B171" s="29" t="s">
        <v>515</v>
      </c>
      <c r="C171" s="29">
        <v>2.9996984798833903E-4</v>
      </c>
      <c r="D171" s="30">
        <v>3333.66838936049</v>
      </c>
    </row>
    <row r="172" spans="1:4" ht="15" thickBot="1">
      <c r="A172" s="31" t="s">
        <v>687</v>
      </c>
      <c r="B172" s="29" t="s">
        <v>687</v>
      </c>
      <c r="C172" s="29">
        <v>0.86327551389539703</v>
      </c>
      <c r="D172" s="30">
        <v>1.15837873761489</v>
      </c>
    </row>
    <row r="173" spans="1:4" ht="15" thickBot="1">
      <c r="A173" s="19" t="s">
        <v>516</v>
      </c>
      <c r="B173" s="29" t="s">
        <v>517</v>
      </c>
      <c r="C173" s="29">
        <v>7.2637180748351696E-2</v>
      </c>
      <c r="D173" s="30">
        <v>13.767054140832499</v>
      </c>
    </row>
    <row r="174" spans="1:4" ht="15" thickBot="1">
      <c r="A174" s="19" t="s">
        <v>518</v>
      </c>
      <c r="B174" s="29" t="s">
        <v>519</v>
      </c>
      <c r="C174" s="29">
        <v>1.33439760646215E-2</v>
      </c>
      <c r="D174" s="30">
        <v>74.940182383215699</v>
      </c>
    </row>
    <row r="175" spans="1:4" ht="15" thickBot="1">
      <c r="A175" s="19" t="s">
        <v>520</v>
      </c>
      <c r="B175" s="29" t="s">
        <v>521</v>
      </c>
      <c r="C175" s="29">
        <v>11.461060744006</v>
      </c>
      <c r="D175" s="30">
        <v>8.72519588139333E-2</v>
      </c>
    </row>
    <row r="176" spans="1:4" ht="15" thickBot="1">
      <c r="A176" s="31" t="s">
        <v>522</v>
      </c>
      <c r="B176" s="29" t="s">
        <v>522</v>
      </c>
      <c r="C176" s="29">
        <v>2.0387340866271</v>
      </c>
      <c r="D176" s="30">
        <v>0.490500456415289</v>
      </c>
    </row>
    <row r="177" spans="1:4" ht="15" thickBot="1">
      <c r="A177" s="19" t="s">
        <v>523</v>
      </c>
      <c r="B177" s="29" t="s">
        <v>402</v>
      </c>
      <c r="C177" s="29">
        <v>22.835108216231699</v>
      </c>
      <c r="D177" s="30">
        <v>4.3792216377112399E-2</v>
      </c>
    </row>
    <row r="178" spans="1:4" ht="15" thickBot="1">
      <c r="A178" s="31" t="s">
        <v>688</v>
      </c>
      <c r="B178" s="29" t="s">
        <v>688</v>
      </c>
      <c r="C178" s="29">
        <v>7.0398671071998402E-3</v>
      </c>
      <c r="D178" s="30">
        <v>142.048135962293</v>
      </c>
    </row>
    <row r="179" spans="1:4" ht="15" thickBot="1">
      <c r="A179" s="19" t="s">
        <v>854</v>
      </c>
      <c r="B179" s="29" t="s">
        <v>854</v>
      </c>
      <c r="C179" s="29">
        <v>4550.0577194904899</v>
      </c>
      <c r="D179" s="30">
        <v>2.19777431771124E-4</v>
      </c>
    </row>
    <row r="180" spans="1:4" ht="15" thickBot="1">
      <c r="A180" s="31" t="s">
        <v>524</v>
      </c>
      <c r="B180" s="29" t="s">
        <v>525</v>
      </c>
      <c r="C180" s="29">
        <v>0.18701458142292701</v>
      </c>
      <c r="D180" s="30">
        <v>5.34717663398947</v>
      </c>
    </row>
    <row r="181" spans="1:4" ht="15" thickBot="1">
      <c r="A181" s="31" t="s">
        <v>689</v>
      </c>
      <c r="B181" s="29" t="s">
        <v>689</v>
      </c>
      <c r="C181" s="29">
        <v>1.00008746864405</v>
      </c>
      <c r="D181" s="30">
        <v>0.99991253900604204</v>
      </c>
    </row>
    <row r="182" spans="1:4" ht="15" thickBot="1">
      <c r="A182" s="31" t="s">
        <v>690</v>
      </c>
      <c r="B182" s="29" t="s">
        <v>690</v>
      </c>
      <c r="C182" s="29">
        <v>1.0014389607640899</v>
      </c>
      <c r="D182" s="30">
        <v>0.99856310686873995</v>
      </c>
    </row>
    <row r="183" spans="1:4" ht="15" thickBot="1">
      <c r="A183" s="31" t="s">
        <v>855</v>
      </c>
      <c r="B183" s="29" t="s">
        <v>855</v>
      </c>
      <c r="C183" s="29">
        <v>1.00028803581712</v>
      </c>
      <c r="D183" s="30">
        <v>0.99971204712361905</v>
      </c>
    </row>
    <row r="184" spans="1:4" ht="15" thickBot="1">
      <c r="A184" s="19" t="s">
        <v>526</v>
      </c>
      <c r="B184" s="29" t="s">
        <v>526</v>
      </c>
      <c r="C184" s="29">
        <v>342.66355734621197</v>
      </c>
      <c r="D184" s="30">
        <v>2.9183144182141399E-3</v>
      </c>
    </row>
    <row r="185" spans="1:4" ht="15" thickBot="1">
      <c r="A185" s="19" t="s">
        <v>527</v>
      </c>
      <c r="B185" s="29" t="s">
        <v>527</v>
      </c>
      <c r="C185" s="29">
        <v>1.05131254031352E-5</v>
      </c>
      <c r="D185" s="30">
        <v>95119.192595360902</v>
      </c>
    </row>
    <row r="186" spans="1:4" ht="15" thickBot="1">
      <c r="A186" s="19" t="s">
        <v>664</v>
      </c>
      <c r="B186" s="29" t="s">
        <v>665</v>
      </c>
      <c r="C186" s="29">
        <v>1.7971551547262601</v>
      </c>
      <c r="D186" s="30">
        <v>0.55643498413041204</v>
      </c>
    </row>
    <row r="187" spans="1:4" ht="15" thickBot="1">
      <c r="A187" s="19" t="s">
        <v>528</v>
      </c>
      <c r="B187" s="29" t="s">
        <v>529</v>
      </c>
      <c r="C187" s="29">
        <v>4.4489257024547797</v>
      </c>
      <c r="D187" s="30">
        <v>0.22477336482563101</v>
      </c>
    </row>
    <row r="188" spans="1:4">
      <c r="A188" t="s">
        <v>530</v>
      </c>
      <c r="B188" t="s">
        <v>531</v>
      </c>
      <c r="C188">
        <v>0.48700231878865402</v>
      </c>
      <c r="D188">
        <v>2.053378313449</v>
      </c>
    </row>
    <row r="189" spans="1:4">
      <c r="A189" t="s">
        <v>532</v>
      </c>
      <c r="B189" t="s">
        <v>348</v>
      </c>
      <c r="C189">
        <v>25.677679592315599</v>
      </c>
      <c r="D189">
        <v>3.8944328922121997E-2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2"/>
  <sheetViews>
    <sheetView topLeftCell="A301" workbookViewId="0">
      <selection activeCell="E308" sqref="E308"/>
    </sheetView>
  </sheetViews>
  <sheetFormatPr defaultRowHeight="14.5"/>
  <cols>
    <col min="1" max="1" width="37" customWidth="1"/>
    <col min="4" max="4" width="27.26953125" customWidth="1"/>
    <col min="5" max="5" width="9.1796875" customWidth="1"/>
  </cols>
  <sheetData>
    <row r="2" spans="1:5">
      <c r="A2" s="21" t="s">
        <v>16</v>
      </c>
      <c r="B2" s="21" t="s">
        <v>12</v>
      </c>
      <c r="C2" s="21" t="s">
        <v>20</v>
      </c>
      <c r="D2" s="21" t="s">
        <v>23</v>
      </c>
      <c r="E2" s="21" t="s">
        <v>24</v>
      </c>
    </row>
    <row r="3" spans="1:5">
      <c r="A3" s="6" t="s">
        <v>535</v>
      </c>
      <c r="B3" s="6" t="s">
        <v>37</v>
      </c>
      <c r="C3" s="6" t="s">
        <v>37</v>
      </c>
      <c r="D3" s="14" t="s">
        <v>662</v>
      </c>
      <c r="E3" s="14" t="s">
        <v>31</v>
      </c>
    </row>
    <row r="4" spans="1:5">
      <c r="A4" s="6" t="s">
        <v>536</v>
      </c>
      <c r="B4" s="6" t="s">
        <v>10</v>
      </c>
      <c r="C4" s="6" t="s">
        <v>10</v>
      </c>
      <c r="D4" s="14" t="s">
        <v>600</v>
      </c>
      <c r="E4" s="14" t="s">
        <v>102</v>
      </c>
    </row>
    <row r="5" spans="1:5">
      <c r="A5" s="6" t="s">
        <v>146</v>
      </c>
      <c r="B5" s="6" t="s">
        <v>37</v>
      </c>
      <c r="C5" s="6" t="s">
        <v>37</v>
      </c>
      <c r="D5" s="14" t="s">
        <v>50</v>
      </c>
      <c r="E5" s="14" t="s">
        <v>41</v>
      </c>
    </row>
    <row r="6" spans="1:5">
      <c r="A6" s="6" t="s">
        <v>537</v>
      </c>
      <c r="B6" s="6" t="s">
        <v>37</v>
      </c>
      <c r="C6" s="6" t="s">
        <v>37</v>
      </c>
      <c r="D6" s="14" t="s">
        <v>50</v>
      </c>
      <c r="E6" s="14" t="s">
        <v>41</v>
      </c>
    </row>
    <row r="7" spans="1:5">
      <c r="A7" s="6" t="s">
        <v>538</v>
      </c>
      <c r="B7" s="6" t="s">
        <v>10</v>
      </c>
      <c r="C7" s="6" t="s">
        <v>10</v>
      </c>
      <c r="D7" s="14" t="s">
        <v>30</v>
      </c>
      <c r="E7" s="14" t="s">
        <v>31</v>
      </c>
    </row>
    <row r="8" spans="1:5">
      <c r="A8" s="6" t="s">
        <v>138</v>
      </c>
      <c r="B8" s="6" t="s">
        <v>10</v>
      </c>
      <c r="C8" s="6" t="s">
        <v>10</v>
      </c>
      <c r="D8" s="14" t="s">
        <v>30</v>
      </c>
      <c r="E8" s="14" t="s">
        <v>31</v>
      </c>
    </row>
    <row r="9" spans="1:5">
      <c r="A9" s="6" t="s">
        <v>141</v>
      </c>
      <c r="B9" s="6" t="s">
        <v>37</v>
      </c>
      <c r="C9" s="6" t="s">
        <v>37</v>
      </c>
      <c r="D9" s="14" t="s">
        <v>50</v>
      </c>
      <c r="E9" s="14" t="s">
        <v>41</v>
      </c>
    </row>
    <row r="10" spans="1:5">
      <c r="A10" s="6" t="s">
        <v>149</v>
      </c>
      <c r="B10" s="6" t="s">
        <v>37</v>
      </c>
      <c r="C10" s="6" t="s">
        <v>37</v>
      </c>
      <c r="D10" s="14" t="s">
        <v>31</v>
      </c>
      <c r="E10" s="14" t="s">
        <v>39</v>
      </c>
    </row>
    <row r="11" spans="1:5">
      <c r="A11" s="6" t="s">
        <v>539</v>
      </c>
      <c r="B11" s="6" t="s">
        <v>9</v>
      </c>
      <c r="C11" s="6" t="s">
        <v>661</v>
      </c>
      <c r="D11" t="s">
        <v>926</v>
      </c>
      <c r="E11" s="14" t="s">
        <v>41</v>
      </c>
    </row>
    <row r="12" spans="1:5">
      <c r="A12" s="6" t="s">
        <v>93</v>
      </c>
      <c r="B12" s="6" t="s">
        <v>9</v>
      </c>
      <c r="C12" s="6" t="s">
        <v>661</v>
      </c>
      <c r="D12" t="s">
        <v>926</v>
      </c>
      <c r="E12" s="14" t="s">
        <v>41</v>
      </c>
    </row>
    <row r="13" spans="1:5">
      <c r="A13" s="6" t="s">
        <v>133</v>
      </c>
      <c r="B13" s="6" t="s">
        <v>37</v>
      </c>
      <c r="C13" s="6" t="s">
        <v>37</v>
      </c>
      <c r="D13" s="14" t="s">
        <v>702</v>
      </c>
      <c r="E13" s="14" t="s">
        <v>41</v>
      </c>
    </row>
    <row r="14" spans="1:5">
      <c r="A14" s="6" t="s">
        <v>148</v>
      </c>
      <c r="B14" s="6" t="s">
        <v>37</v>
      </c>
      <c r="C14" s="6" t="s">
        <v>37</v>
      </c>
      <c r="D14" s="14" t="s">
        <v>38</v>
      </c>
      <c r="E14" s="14" t="s">
        <v>39</v>
      </c>
    </row>
    <row r="15" spans="1:5">
      <c r="A15" s="6" t="s">
        <v>540</v>
      </c>
      <c r="B15" s="6" t="s">
        <v>541</v>
      </c>
      <c r="C15" s="6" t="s">
        <v>541</v>
      </c>
      <c r="D15" s="14" t="s">
        <v>542</v>
      </c>
      <c r="E15" s="14" t="s">
        <v>31</v>
      </c>
    </row>
    <row r="16" spans="1:5">
      <c r="A16" s="6" t="s">
        <v>46</v>
      </c>
      <c r="B16" s="6" t="s">
        <v>653</v>
      </c>
      <c r="C16" s="6" t="s">
        <v>653</v>
      </c>
      <c r="D16" s="14" t="s">
        <v>50</v>
      </c>
      <c r="E16" s="14" t="s">
        <v>48</v>
      </c>
    </row>
    <row r="17" spans="1:5">
      <c r="A17" s="6" t="s">
        <v>543</v>
      </c>
      <c r="B17" s="6" t="s">
        <v>541</v>
      </c>
      <c r="C17" s="6" t="s">
        <v>541</v>
      </c>
      <c r="D17" s="14" t="s">
        <v>544</v>
      </c>
      <c r="E17" s="14" t="s">
        <v>31</v>
      </c>
    </row>
    <row r="18" spans="1:5">
      <c r="A18" s="6" t="s">
        <v>63</v>
      </c>
      <c r="B18" s="6" t="s">
        <v>37</v>
      </c>
      <c r="C18" s="6" t="s">
        <v>37</v>
      </c>
      <c r="D18" s="14" t="s">
        <v>50</v>
      </c>
      <c r="E18" s="14" t="s">
        <v>41</v>
      </c>
    </row>
    <row r="19" spans="1:5">
      <c r="A19" s="6" t="s">
        <v>545</v>
      </c>
      <c r="B19" s="6" t="s">
        <v>9</v>
      </c>
      <c r="C19" s="6" t="s">
        <v>601</v>
      </c>
      <c r="D19" s="14" t="s">
        <v>546</v>
      </c>
      <c r="E19" s="14" t="s">
        <v>31</v>
      </c>
    </row>
    <row r="20" spans="1:5">
      <c r="A20" s="6" t="s">
        <v>547</v>
      </c>
      <c r="B20" s="6" t="s">
        <v>9</v>
      </c>
      <c r="C20" s="6" t="s">
        <v>601</v>
      </c>
      <c r="D20" s="14" t="s">
        <v>546</v>
      </c>
      <c r="E20" s="14" t="s">
        <v>31</v>
      </c>
    </row>
    <row r="21" spans="1:5">
      <c r="A21" s="6" t="s">
        <v>548</v>
      </c>
      <c r="B21" s="6" t="s">
        <v>9</v>
      </c>
      <c r="C21" s="6" t="s">
        <v>601</v>
      </c>
      <c r="D21" s="14" t="s">
        <v>546</v>
      </c>
      <c r="E21" s="14" t="s">
        <v>31</v>
      </c>
    </row>
    <row r="22" spans="1:5">
      <c r="A22" s="6" t="s">
        <v>549</v>
      </c>
      <c r="B22" s="6" t="s">
        <v>9</v>
      </c>
      <c r="C22" s="6" t="s">
        <v>601</v>
      </c>
      <c r="D22" s="14" t="s">
        <v>546</v>
      </c>
      <c r="E22" s="14" t="s">
        <v>31</v>
      </c>
    </row>
    <row r="23" spans="1:5">
      <c r="A23" s="6" t="s">
        <v>91</v>
      </c>
      <c r="B23" s="6" t="s">
        <v>9</v>
      </c>
      <c r="C23" s="6" t="s">
        <v>601</v>
      </c>
      <c r="D23" t="s">
        <v>926</v>
      </c>
      <c r="E23" s="14" t="s">
        <v>41</v>
      </c>
    </row>
    <row r="24" spans="1:5">
      <c r="A24" s="6" t="s">
        <v>550</v>
      </c>
      <c r="B24" s="6" t="s">
        <v>9</v>
      </c>
      <c r="C24" s="6" t="s">
        <v>601</v>
      </c>
      <c r="D24" t="s">
        <v>926</v>
      </c>
      <c r="E24" s="14" t="s">
        <v>31</v>
      </c>
    </row>
    <row r="25" spans="1:5">
      <c r="A25" s="6" t="s">
        <v>108</v>
      </c>
      <c r="B25" s="6" t="s">
        <v>37</v>
      </c>
      <c r="C25" s="6" t="s">
        <v>37</v>
      </c>
      <c r="D25" s="14" t="s">
        <v>31</v>
      </c>
      <c r="E25" s="14" t="s">
        <v>41</v>
      </c>
    </row>
    <row r="26" spans="1:5">
      <c r="A26" s="6" t="s">
        <v>145</v>
      </c>
      <c r="B26" s="6" t="s">
        <v>37</v>
      </c>
      <c r="C26" s="6" t="s">
        <v>37</v>
      </c>
      <c r="D26" s="14" t="s">
        <v>50</v>
      </c>
      <c r="E26" s="14" t="s">
        <v>41</v>
      </c>
    </row>
    <row r="27" spans="1:5">
      <c r="A27" s="6" t="s">
        <v>151</v>
      </c>
      <c r="B27" s="6" t="s">
        <v>37</v>
      </c>
      <c r="C27" s="6" t="s">
        <v>37</v>
      </c>
      <c r="D27" s="14" t="s">
        <v>38</v>
      </c>
      <c r="E27" s="14" t="s">
        <v>31</v>
      </c>
    </row>
    <row r="28" spans="1:5">
      <c r="A28" s="6" t="s">
        <v>131</v>
      </c>
      <c r="B28" s="6" t="s">
        <v>9</v>
      </c>
      <c r="C28" s="6" t="s">
        <v>601</v>
      </c>
      <c r="D28" s="14" t="s">
        <v>71</v>
      </c>
      <c r="E28" s="14" t="s">
        <v>31</v>
      </c>
    </row>
    <row r="29" spans="1:5">
      <c r="A29" s="6" t="s">
        <v>103</v>
      </c>
      <c r="B29" s="6" t="s">
        <v>9</v>
      </c>
      <c r="C29" s="6" t="s">
        <v>601</v>
      </c>
      <c r="D29" s="14" t="s">
        <v>71</v>
      </c>
      <c r="E29" s="14" t="s">
        <v>31</v>
      </c>
    </row>
    <row r="30" spans="1:5">
      <c r="A30" s="6" t="s">
        <v>551</v>
      </c>
      <c r="B30" s="6" t="s">
        <v>653</v>
      </c>
      <c r="C30" s="6" t="s">
        <v>653</v>
      </c>
      <c r="D30" s="14" t="s">
        <v>50</v>
      </c>
      <c r="E30" s="14" t="s">
        <v>48</v>
      </c>
    </row>
    <row r="31" spans="1:5">
      <c r="A31" s="6" t="s">
        <v>122</v>
      </c>
      <c r="B31" s="6" t="s">
        <v>10</v>
      </c>
      <c r="C31" s="6" t="s">
        <v>10</v>
      </c>
      <c r="D31" s="14" t="s">
        <v>600</v>
      </c>
      <c r="E31" s="7" t="s">
        <v>102</v>
      </c>
    </row>
    <row r="32" spans="1:5">
      <c r="A32" s="14" t="s">
        <v>56</v>
      </c>
      <c r="B32" s="6" t="s">
        <v>9</v>
      </c>
      <c r="C32" s="6" t="s">
        <v>661</v>
      </c>
      <c r="D32" t="s">
        <v>926</v>
      </c>
      <c r="E32" s="14" t="s">
        <v>41</v>
      </c>
    </row>
    <row r="33" spans="1:5">
      <c r="A33" s="14" t="s">
        <v>60</v>
      </c>
      <c r="B33" s="6" t="s">
        <v>10</v>
      </c>
      <c r="C33" s="6" t="s">
        <v>10</v>
      </c>
      <c r="D33" s="14" t="s">
        <v>31</v>
      </c>
      <c r="E33" s="14" t="s">
        <v>58</v>
      </c>
    </row>
    <row r="34" spans="1:5">
      <c r="A34" s="14" t="s">
        <v>74</v>
      </c>
      <c r="B34" s="6" t="s">
        <v>37</v>
      </c>
      <c r="C34" s="6" t="s">
        <v>37</v>
      </c>
      <c r="D34" s="14" t="s">
        <v>31</v>
      </c>
      <c r="E34" s="14" t="s">
        <v>41</v>
      </c>
    </row>
    <row r="35" spans="1:5">
      <c r="A35" s="14" t="s">
        <v>99</v>
      </c>
      <c r="B35" s="6" t="s">
        <v>37</v>
      </c>
      <c r="C35" s="6" t="s">
        <v>37</v>
      </c>
      <c r="D35" s="14" t="s">
        <v>38</v>
      </c>
      <c r="E35" s="14" t="s">
        <v>41</v>
      </c>
    </row>
    <row r="36" spans="1:5">
      <c r="A36" s="14" t="s">
        <v>104</v>
      </c>
      <c r="B36" s="6" t="s">
        <v>37</v>
      </c>
      <c r="C36" s="6" t="s">
        <v>37</v>
      </c>
      <c r="D36" s="14" t="s">
        <v>31</v>
      </c>
      <c r="E36" s="14" t="s">
        <v>105</v>
      </c>
    </row>
    <row r="37" spans="1:5">
      <c r="A37" t="s">
        <v>765</v>
      </c>
      <c r="B37" s="6" t="s">
        <v>37</v>
      </c>
      <c r="C37" s="6" t="s">
        <v>37</v>
      </c>
      <c r="D37" s="14" t="s">
        <v>662</v>
      </c>
      <c r="E37" s="14" t="s">
        <v>41</v>
      </c>
    </row>
    <row r="38" spans="1:5">
      <c r="A38" s="14" t="s">
        <v>36</v>
      </c>
      <c r="B38" s="6" t="s">
        <v>37</v>
      </c>
      <c r="C38" s="6" t="s">
        <v>37</v>
      </c>
      <c r="D38" s="14" t="s">
        <v>38</v>
      </c>
      <c r="E38" s="14" t="s">
        <v>39</v>
      </c>
    </row>
    <row r="39" spans="1:5">
      <c r="A39" s="14" t="s">
        <v>40</v>
      </c>
      <c r="B39" s="6" t="s">
        <v>37</v>
      </c>
      <c r="C39" s="6" t="s">
        <v>37</v>
      </c>
      <c r="D39" s="14" t="s">
        <v>702</v>
      </c>
      <c r="E39" s="14" t="s">
        <v>41</v>
      </c>
    </row>
    <row r="40" spans="1:5">
      <c r="A40" s="14" t="s">
        <v>55</v>
      </c>
      <c r="B40" s="6" t="s">
        <v>37</v>
      </c>
      <c r="C40" s="6" t="s">
        <v>37</v>
      </c>
      <c r="D40" s="14" t="s">
        <v>702</v>
      </c>
      <c r="E40" s="14" t="s">
        <v>41</v>
      </c>
    </row>
    <row r="41" spans="1:5">
      <c r="A41" s="14" t="s">
        <v>61</v>
      </c>
      <c r="B41" s="6" t="s">
        <v>37</v>
      </c>
      <c r="C41" s="6" t="s">
        <v>37</v>
      </c>
      <c r="D41" s="14" t="s">
        <v>38</v>
      </c>
      <c r="E41" s="14" t="s">
        <v>39</v>
      </c>
    </row>
    <row r="42" spans="1:5">
      <c r="A42" s="14" t="s">
        <v>552</v>
      </c>
      <c r="B42" s="6" t="s">
        <v>37</v>
      </c>
      <c r="C42" s="6" t="s">
        <v>37</v>
      </c>
      <c r="D42" s="14" t="s">
        <v>31</v>
      </c>
      <c r="E42" s="14" t="s">
        <v>65</v>
      </c>
    </row>
    <row r="43" spans="1:5">
      <c r="A43" s="14" t="s">
        <v>553</v>
      </c>
      <c r="B43" s="6" t="s">
        <v>653</v>
      </c>
      <c r="C43" s="6" t="s">
        <v>653</v>
      </c>
      <c r="D43" s="14" t="s">
        <v>50</v>
      </c>
      <c r="E43" s="14" t="s">
        <v>554</v>
      </c>
    </row>
    <row r="44" spans="1:5">
      <c r="A44" s="14" t="s">
        <v>64</v>
      </c>
      <c r="B44" s="6" t="s">
        <v>10</v>
      </c>
      <c r="C44" s="6" t="s">
        <v>10</v>
      </c>
      <c r="D44" s="22" t="s">
        <v>65</v>
      </c>
      <c r="E44" s="14" t="s">
        <v>41</v>
      </c>
    </row>
    <row r="45" spans="1:5">
      <c r="A45" s="14" t="s">
        <v>66</v>
      </c>
      <c r="B45" s="6" t="s">
        <v>37</v>
      </c>
      <c r="C45" s="6" t="s">
        <v>37</v>
      </c>
      <c r="D45" s="18" t="s">
        <v>662</v>
      </c>
      <c r="E45" s="14" t="s">
        <v>41</v>
      </c>
    </row>
    <row r="46" spans="1:5">
      <c r="A46" s="14" t="s">
        <v>69</v>
      </c>
      <c r="B46" s="6" t="s">
        <v>37</v>
      </c>
      <c r="C46" s="6" t="s">
        <v>37</v>
      </c>
      <c r="D46" s="14" t="s">
        <v>31</v>
      </c>
      <c r="E46" s="14" t="s">
        <v>45</v>
      </c>
    </row>
    <row r="47" spans="1:5">
      <c r="A47" s="14" t="s">
        <v>72</v>
      </c>
      <c r="B47" s="6" t="s">
        <v>9</v>
      </c>
      <c r="C47" s="6" t="s">
        <v>601</v>
      </c>
      <c r="D47" t="s">
        <v>926</v>
      </c>
      <c r="E47" s="14" t="s">
        <v>73</v>
      </c>
    </row>
    <row r="48" spans="1:5">
      <c r="A48" s="14" t="s">
        <v>74</v>
      </c>
      <c r="B48" s="6" t="s">
        <v>37</v>
      </c>
      <c r="C48" s="6" t="s">
        <v>37</v>
      </c>
      <c r="D48" s="14" t="s">
        <v>663</v>
      </c>
      <c r="E48" s="14" t="s">
        <v>41</v>
      </c>
    </row>
    <row r="49" spans="1:5">
      <c r="A49" s="14" t="s">
        <v>76</v>
      </c>
      <c r="B49" s="6" t="s">
        <v>37</v>
      </c>
      <c r="C49" s="6" t="s">
        <v>37</v>
      </c>
      <c r="D49" s="14" t="s">
        <v>663</v>
      </c>
      <c r="E49" s="14" t="s">
        <v>41</v>
      </c>
    </row>
    <row r="50" spans="1:5">
      <c r="A50" s="14" t="s">
        <v>78</v>
      </c>
      <c r="B50" s="6" t="s">
        <v>37</v>
      </c>
      <c r="C50" s="6" t="s">
        <v>37</v>
      </c>
      <c r="D50" s="14" t="s">
        <v>31</v>
      </c>
      <c r="E50" s="14" t="s">
        <v>41</v>
      </c>
    </row>
    <row r="51" spans="1:5">
      <c r="A51" s="14" t="s">
        <v>79</v>
      </c>
      <c r="B51" s="6" t="s">
        <v>37</v>
      </c>
      <c r="C51" s="6" t="s">
        <v>37</v>
      </c>
      <c r="D51" s="14" t="s">
        <v>702</v>
      </c>
      <c r="E51" s="14" t="s">
        <v>41</v>
      </c>
    </row>
    <row r="52" spans="1:5">
      <c r="A52" s="14" t="s">
        <v>80</v>
      </c>
      <c r="B52" s="6" t="s">
        <v>37</v>
      </c>
      <c r="C52" s="6" t="s">
        <v>37</v>
      </c>
      <c r="D52" s="18" t="s">
        <v>663</v>
      </c>
      <c r="E52" s="14" t="s">
        <v>41</v>
      </c>
    </row>
    <row r="53" spans="1:5">
      <c r="A53" s="14" t="s">
        <v>555</v>
      </c>
      <c r="B53" s="6" t="s">
        <v>653</v>
      </c>
      <c r="C53" s="6" t="s">
        <v>653</v>
      </c>
      <c r="D53" s="14" t="s">
        <v>50</v>
      </c>
      <c r="E53" s="14" t="s">
        <v>554</v>
      </c>
    </row>
    <row r="54" spans="1:5">
      <c r="A54" s="14" t="s">
        <v>556</v>
      </c>
      <c r="B54" s="6" t="s">
        <v>9</v>
      </c>
      <c r="C54" s="6" t="s">
        <v>661</v>
      </c>
      <c r="D54" s="14" t="s">
        <v>71</v>
      </c>
      <c r="E54" s="14" t="s">
        <v>125</v>
      </c>
    </row>
    <row r="55" spans="1:5">
      <c r="A55" s="14" t="s">
        <v>89</v>
      </c>
      <c r="B55" s="6" t="s">
        <v>37</v>
      </c>
      <c r="C55" s="6" t="s">
        <v>37</v>
      </c>
      <c r="D55" s="14" t="s">
        <v>663</v>
      </c>
      <c r="E55" s="14" t="s">
        <v>41</v>
      </c>
    </row>
    <row r="56" spans="1:5">
      <c r="A56" s="14" t="s">
        <v>557</v>
      </c>
      <c r="B56" s="6" t="s">
        <v>10</v>
      </c>
      <c r="C56" s="6" t="s">
        <v>10</v>
      </c>
      <c r="D56" s="14" t="s">
        <v>600</v>
      </c>
      <c r="E56" s="14" t="s">
        <v>58</v>
      </c>
    </row>
    <row r="57" spans="1:5">
      <c r="A57" s="14" t="s">
        <v>558</v>
      </c>
      <c r="B57" s="6" t="s">
        <v>9</v>
      </c>
      <c r="C57" s="6" t="s">
        <v>601</v>
      </c>
      <c r="D57" t="s">
        <v>926</v>
      </c>
      <c r="E57" s="14" t="s">
        <v>41</v>
      </c>
    </row>
    <row r="58" spans="1:5">
      <c r="A58" s="14" t="s">
        <v>91</v>
      </c>
      <c r="B58" s="6" t="s">
        <v>9</v>
      </c>
      <c r="C58" s="6" t="s">
        <v>601</v>
      </c>
      <c r="D58" t="s">
        <v>926</v>
      </c>
      <c r="E58" s="14" t="s">
        <v>41</v>
      </c>
    </row>
    <row r="59" spans="1:5">
      <c r="A59" s="14" t="s">
        <v>92</v>
      </c>
      <c r="B59" s="6" t="s">
        <v>9</v>
      </c>
      <c r="C59" s="6" t="s">
        <v>601</v>
      </c>
      <c r="D59" t="s">
        <v>926</v>
      </c>
      <c r="E59" s="14" t="s">
        <v>41</v>
      </c>
    </row>
    <row r="60" spans="1:5">
      <c r="A60" s="14" t="s">
        <v>533</v>
      </c>
      <c r="B60" s="6" t="s">
        <v>9</v>
      </c>
      <c r="C60" s="6" t="s">
        <v>661</v>
      </c>
      <c r="D60" t="s">
        <v>926</v>
      </c>
      <c r="E60" s="14" t="s">
        <v>41</v>
      </c>
    </row>
    <row r="61" spans="1:5">
      <c r="A61" s="14" t="s">
        <v>559</v>
      </c>
      <c r="B61" s="6" t="s">
        <v>37</v>
      </c>
      <c r="C61" s="6" t="s">
        <v>37</v>
      </c>
      <c r="D61" s="14" t="s">
        <v>50</v>
      </c>
      <c r="E61" s="14" t="s">
        <v>48</v>
      </c>
    </row>
    <row r="62" spans="1:5">
      <c r="A62" s="14" t="s">
        <v>534</v>
      </c>
      <c r="B62" s="6" t="s">
        <v>37</v>
      </c>
      <c r="C62" s="6" t="s">
        <v>37</v>
      </c>
      <c r="D62" s="14" t="s">
        <v>38</v>
      </c>
      <c r="E62" s="14" t="s">
        <v>41</v>
      </c>
    </row>
    <row r="63" spans="1:5">
      <c r="A63" s="14" t="s">
        <v>99</v>
      </c>
      <c r="B63" s="6" t="s">
        <v>37</v>
      </c>
      <c r="C63" s="6" t="s">
        <v>37</v>
      </c>
      <c r="D63" s="14" t="s">
        <v>38</v>
      </c>
      <c r="E63" s="14" t="s">
        <v>41</v>
      </c>
    </row>
    <row r="64" spans="1:5">
      <c r="A64" s="14" t="s">
        <v>560</v>
      </c>
      <c r="B64" s="6" t="s">
        <v>9</v>
      </c>
      <c r="C64" s="6" t="s">
        <v>661</v>
      </c>
      <c r="D64" s="14" t="s">
        <v>71</v>
      </c>
      <c r="E64" s="14" t="s">
        <v>561</v>
      </c>
    </row>
    <row r="65" spans="1:5">
      <c r="A65" s="14" t="s">
        <v>104</v>
      </c>
      <c r="B65" s="6" t="s">
        <v>37</v>
      </c>
      <c r="C65" s="6" t="s">
        <v>37</v>
      </c>
      <c r="D65" s="14" t="s">
        <v>31</v>
      </c>
      <c r="E65" s="14" t="s">
        <v>105</v>
      </c>
    </row>
    <row r="66" spans="1:5">
      <c r="A66" s="14" t="s">
        <v>108</v>
      </c>
      <c r="B66" s="6" t="s">
        <v>37</v>
      </c>
      <c r="C66" s="6" t="s">
        <v>37</v>
      </c>
      <c r="D66" s="14" t="s">
        <v>31</v>
      </c>
      <c r="E66" s="14" t="s">
        <v>41</v>
      </c>
    </row>
    <row r="67" spans="1:5">
      <c r="A67" s="14" t="s">
        <v>562</v>
      </c>
      <c r="B67" s="6" t="s">
        <v>37</v>
      </c>
      <c r="C67" s="6" t="s">
        <v>37</v>
      </c>
      <c r="D67" s="14" t="s">
        <v>663</v>
      </c>
      <c r="E67" s="14" t="s">
        <v>41</v>
      </c>
    </row>
    <row r="68" spans="1:5">
      <c r="A68" s="14" t="s">
        <v>124</v>
      </c>
      <c r="B68" s="6" t="s">
        <v>10</v>
      </c>
      <c r="C68" s="6" t="s">
        <v>10</v>
      </c>
      <c r="D68" s="14" t="s">
        <v>65</v>
      </c>
      <c r="E68" s="14" t="s">
        <v>125</v>
      </c>
    </row>
    <row r="69" spans="1:5">
      <c r="A69" s="14" t="s">
        <v>563</v>
      </c>
      <c r="B69" s="6" t="s">
        <v>653</v>
      </c>
      <c r="C69" s="6" t="s">
        <v>653</v>
      </c>
      <c r="D69" s="14" t="s">
        <v>50</v>
      </c>
      <c r="E69" s="14" t="s">
        <v>554</v>
      </c>
    </row>
    <row r="70" spans="1:5">
      <c r="A70" s="14" t="s">
        <v>130</v>
      </c>
      <c r="B70" s="6" t="s">
        <v>37</v>
      </c>
      <c r="C70" s="6" t="s">
        <v>37</v>
      </c>
      <c r="D70" s="14" t="s">
        <v>702</v>
      </c>
      <c r="E70" s="14" t="s">
        <v>41</v>
      </c>
    </row>
    <row r="71" spans="1:5">
      <c r="A71" s="14" t="s">
        <v>132</v>
      </c>
      <c r="B71" s="6" t="s">
        <v>37</v>
      </c>
      <c r="C71" s="6" t="s">
        <v>37</v>
      </c>
      <c r="D71" s="14" t="s">
        <v>663</v>
      </c>
      <c r="E71" s="14" t="s">
        <v>41</v>
      </c>
    </row>
    <row r="72" spans="1:5">
      <c r="A72" s="14" t="s">
        <v>133</v>
      </c>
      <c r="B72" s="6" t="s">
        <v>37</v>
      </c>
      <c r="C72" s="6" t="s">
        <v>37</v>
      </c>
      <c r="D72" s="14" t="s">
        <v>38</v>
      </c>
      <c r="E72" s="14" t="s">
        <v>41</v>
      </c>
    </row>
    <row r="73" spans="1:5">
      <c r="A73" s="14" t="s">
        <v>134</v>
      </c>
      <c r="B73" s="6" t="s">
        <v>37</v>
      </c>
      <c r="C73" s="6" t="s">
        <v>37</v>
      </c>
      <c r="D73" s="14" t="s">
        <v>31</v>
      </c>
      <c r="E73" s="14" t="s">
        <v>39</v>
      </c>
    </row>
    <row r="74" spans="1:5">
      <c r="A74" s="14" t="s">
        <v>564</v>
      </c>
      <c r="B74" s="6" t="s">
        <v>10</v>
      </c>
      <c r="C74" s="6" t="s">
        <v>10</v>
      </c>
      <c r="D74" s="14" t="s">
        <v>31</v>
      </c>
      <c r="E74" s="14" t="s">
        <v>565</v>
      </c>
    </row>
    <row r="75" spans="1:5">
      <c r="A75" s="14" t="s">
        <v>143</v>
      </c>
      <c r="B75" s="6" t="s">
        <v>9</v>
      </c>
      <c r="C75" s="6" t="s">
        <v>661</v>
      </c>
      <c r="D75" s="14" t="s">
        <v>71</v>
      </c>
      <c r="E75" s="14" t="s">
        <v>125</v>
      </c>
    </row>
    <row r="76" spans="1:5">
      <c r="A76" s="14" t="s">
        <v>144</v>
      </c>
      <c r="B76" s="6" t="s">
        <v>37</v>
      </c>
      <c r="C76" s="6" t="s">
        <v>37</v>
      </c>
      <c r="D76" s="14" t="s">
        <v>662</v>
      </c>
      <c r="E76" s="14" t="s">
        <v>41</v>
      </c>
    </row>
    <row r="77" spans="1:5">
      <c r="A77" s="14" t="s">
        <v>148</v>
      </c>
      <c r="B77" s="6" t="s">
        <v>37</v>
      </c>
      <c r="C77" s="6" t="s">
        <v>37</v>
      </c>
      <c r="D77" s="14" t="s">
        <v>38</v>
      </c>
      <c r="E77" s="14" t="s">
        <v>31</v>
      </c>
    </row>
    <row r="78" spans="1:5">
      <c r="A78" s="14" t="s">
        <v>151</v>
      </c>
      <c r="B78" s="6" t="s">
        <v>37</v>
      </c>
      <c r="C78" s="6" t="s">
        <v>37</v>
      </c>
      <c r="D78" s="14" t="s">
        <v>38</v>
      </c>
      <c r="E78" s="14" t="s">
        <v>31</v>
      </c>
    </row>
    <row r="79" spans="1:5">
      <c r="A79" s="14" t="s">
        <v>566</v>
      </c>
      <c r="B79" s="6" t="s">
        <v>10</v>
      </c>
      <c r="C79" s="6" t="s">
        <v>10</v>
      </c>
      <c r="D79" s="14" t="s">
        <v>65</v>
      </c>
      <c r="E79" s="7" t="s">
        <v>567</v>
      </c>
    </row>
    <row r="80" spans="1:5">
      <c r="A80" s="6" t="s">
        <v>568</v>
      </c>
      <c r="B80" s="6" t="s">
        <v>9</v>
      </c>
      <c r="C80" s="6" t="s">
        <v>661</v>
      </c>
      <c r="D80" s="14" t="s">
        <v>71</v>
      </c>
      <c r="E80" s="14" t="s">
        <v>31</v>
      </c>
    </row>
    <row r="81" spans="1:5">
      <c r="A81" s="6" t="s">
        <v>569</v>
      </c>
      <c r="B81" s="6" t="s">
        <v>10</v>
      </c>
      <c r="C81" s="6" t="s">
        <v>10</v>
      </c>
      <c r="D81" s="14" t="s">
        <v>600</v>
      </c>
      <c r="E81" s="14" t="s">
        <v>58</v>
      </c>
    </row>
    <row r="82" spans="1:5">
      <c r="A82" s="6" t="s">
        <v>139</v>
      </c>
      <c r="B82" s="6" t="s">
        <v>37</v>
      </c>
      <c r="C82" s="6" t="s">
        <v>37</v>
      </c>
      <c r="D82" s="14" t="s">
        <v>662</v>
      </c>
      <c r="E82" s="14" t="s">
        <v>31</v>
      </c>
    </row>
    <row r="83" spans="1:5">
      <c r="A83" s="6" t="s">
        <v>87</v>
      </c>
      <c r="B83" s="6" t="s">
        <v>9</v>
      </c>
      <c r="C83" s="6" t="s">
        <v>601</v>
      </c>
      <c r="D83" s="14" t="s">
        <v>780</v>
      </c>
      <c r="E83" s="14" t="s">
        <v>31</v>
      </c>
    </row>
    <row r="84" spans="1:5">
      <c r="A84" s="6" t="s">
        <v>109</v>
      </c>
      <c r="B84" s="6" t="s">
        <v>9</v>
      </c>
      <c r="C84" s="6" t="s">
        <v>601</v>
      </c>
      <c r="D84" s="14" t="s">
        <v>71</v>
      </c>
      <c r="E84" s="14" t="s">
        <v>31</v>
      </c>
    </row>
    <row r="85" spans="1:5">
      <c r="A85" s="6" t="s">
        <v>110</v>
      </c>
      <c r="B85" s="6" t="s">
        <v>9</v>
      </c>
      <c r="C85" s="6" t="s">
        <v>601</v>
      </c>
      <c r="D85" s="14" t="s">
        <v>71</v>
      </c>
      <c r="E85" s="14" t="s">
        <v>31</v>
      </c>
    </row>
    <row r="86" spans="1:5">
      <c r="A86" s="6" t="s">
        <v>131</v>
      </c>
      <c r="B86" s="6" t="s">
        <v>9</v>
      </c>
      <c r="C86" s="6" t="s">
        <v>601</v>
      </c>
      <c r="D86" s="14" t="s">
        <v>71</v>
      </c>
      <c r="E86" s="14" t="s">
        <v>31</v>
      </c>
    </row>
    <row r="87" spans="1:5">
      <c r="A87" s="6" t="s">
        <v>152</v>
      </c>
      <c r="B87" s="6" t="s">
        <v>10</v>
      </c>
      <c r="C87" s="6" t="s">
        <v>10</v>
      </c>
      <c r="D87" s="14" t="s">
        <v>600</v>
      </c>
      <c r="E87" s="14" t="s">
        <v>58</v>
      </c>
    </row>
    <row r="88" spans="1:5">
      <c r="A88" s="6" t="s">
        <v>83</v>
      </c>
      <c r="B88" s="6" t="s">
        <v>10</v>
      </c>
      <c r="C88" s="6" t="s">
        <v>10</v>
      </c>
      <c r="D88" s="14" t="s">
        <v>30</v>
      </c>
      <c r="E88" s="14" t="s">
        <v>58</v>
      </c>
    </row>
    <row r="89" spans="1:5">
      <c r="A89" s="6" t="s">
        <v>570</v>
      </c>
      <c r="B89" s="14" t="s">
        <v>541</v>
      </c>
      <c r="C89" s="6" t="s">
        <v>541</v>
      </c>
      <c r="D89" s="14" t="s">
        <v>571</v>
      </c>
      <c r="E89" s="14" t="s">
        <v>571</v>
      </c>
    </row>
    <row r="90" spans="1:5">
      <c r="A90" s="6" t="s">
        <v>127</v>
      </c>
      <c r="B90" s="6" t="s">
        <v>10</v>
      </c>
      <c r="C90" s="6" t="s">
        <v>10</v>
      </c>
      <c r="D90" s="14" t="s">
        <v>30</v>
      </c>
      <c r="E90" s="7" t="s">
        <v>128</v>
      </c>
    </row>
    <row r="91" spans="1:5">
      <c r="A91" s="6" t="s">
        <v>103</v>
      </c>
      <c r="B91" s="6" t="s">
        <v>9</v>
      </c>
      <c r="C91" s="6" t="s">
        <v>601</v>
      </c>
      <c r="D91" s="14" t="s">
        <v>71</v>
      </c>
      <c r="E91" s="14" t="s">
        <v>31</v>
      </c>
    </row>
    <row r="92" spans="1:5">
      <c r="A92" s="6" t="s">
        <v>100</v>
      </c>
      <c r="B92" s="6" t="s">
        <v>37</v>
      </c>
      <c r="C92" s="6" t="s">
        <v>37</v>
      </c>
      <c r="D92" s="14" t="s">
        <v>50</v>
      </c>
      <c r="E92" s="14" t="s">
        <v>31</v>
      </c>
    </row>
    <row r="93" spans="1:5">
      <c r="A93" s="6" t="s">
        <v>572</v>
      </c>
      <c r="B93" s="6" t="s">
        <v>37</v>
      </c>
      <c r="C93" s="6" t="s">
        <v>37</v>
      </c>
      <c r="D93" s="14" t="s">
        <v>82</v>
      </c>
      <c r="E93" s="14" t="s">
        <v>82</v>
      </c>
    </row>
    <row r="94" spans="1:5">
      <c r="A94" s="6" t="s">
        <v>573</v>
      </c>
      <c r="B94" s="6" t="s">
        <v>9</v>
      </c>
      <c r="C94" s="6" t="s">
        <v>601</v>
      </c>
      <c r="D94" s="14" t="s">
        <v>71</v>
      </c>
      <c r="E94" s="14" t="s">
        <v>102</v>
      </c>
    </row>
    <row r="95" spans="1:5">
      <c r="A95" s="6" t="s">
        <v>551</v>
      </c>
      <c r="B95" s="6" t="s">
        <v>653</v>
      </c>
      <c r="C95" s="6" t="s">
        <v>653</v>
      </c>
      <c r="D95" s="14" t="s">
        <v>50</v>
      </c>
      <c r="E95" s="14" t="s">
        <v>48</v>
      </c>
    </row>
    <row r="96" spans="1:5">
      <c r="A96" s="6" t="s">
        <v>46</v>
      </c>
      <c r="B96" s="6" t="s">
        <v>653</v>
      </c>
      <c r="C96" s="6" t="s">
        <v>653</v>
      </c>
      <c r="D96" s="14" t="s">
        <v>50</v>
      </c>
      <c r="E96" s="14" t="s">
        <v>48</v>
      </c>
    </row>
    <row r="97" spans="1:5">
      <c r="A97" s="6" t="s">
        <v>574</v>
      </c>
      <c r="B97" s="6" t="s">
        <v>37</v>
      </c>
      <c r="C97" s="6" t="s">
        <v>37</v>
      </c>
      <c r="D97" s="14" t="s">
        <v>38</v>
      </c>
      <c r="E97" s="14" t="s">
        <v>39</v>
      </c>
    </row>
    <row r="98" spans="1:5">
      <c r="A98" s="6" t="s">
        <v>575</v>
      </c>
      <c r="B98" s="14" t="s">
        <v>10</v>
      </c>
      <c r="C98" s="6" t="s">
        <v>10</v>
      </c>
      <c r="D98" s="14" t="s">
        <v>600</v>
      </c>
      <c r="E98" s="7" t="s">
        <v>52</v>
      </c>
    </row>
    <row r="99" spans="1:5">
      <c r="A99" s="6" t="s">
        <v>576</v>
      </c>
      <c r="B99" s="6" t="s">
        <v>37</v>
      </c>
      <c r="C99" s="6" t="s">
        <v>37</v>
      </c>
      <c r="D99" s="14" t="s">
        <v>50</v>
      </c>
      <c r="E99" s="14" t="s">
        <v>41</v>
      </c>
    </row>
    <row r="100" spans="1:5">
      <c r="A100" s="6" t="s">
        <v>101</v>
      </c>
      <c r="B100" s="6" t="s">
        <v>10</v>
      </c>
      <c r="C100" s="6" t="s">
        <v>10</v>
      </c>
      <c r="D100" s="14" t="s">
        <v>600</v>
      </c>
      <c r="E100" s="7" t="s">
        <v>102</v>
      </c>
    </row>
    <row r="101" spans="1:5">
      <c r="A101" s="6" t="s">
        <v>149</v>
      </c>
      <c r="B101" s="6" t="s">
        <v>37</v>
      </c>
      <c r="C101" s="6" t="s">
        <v>37</v>
      </c>
      <c r="D101" s="14" t="s">
        <v>31</v>
      </c>
      <c r="E101" s="14" t="s">
        <v>39</v>
      </c>
    </row>
    <row r="102" spans="1:5">
      <c r="A102" s="6" t="s">
        <v>577</v>
      </c>
      <c r="B102" s="6" t="s">
        <v>10</v>
      </c>
      <c r="C102" s="6" t="s">
        <v>10</v>
      </c>
      <c r="D102" s="14" t="s">
        <v>30</v>
      </c>
      <c r="E102" s="7" t="s">
        <v>128</v>
      </c>
    </row>
    <row r="103" spans="1:5">
      <c r="A103" s="6" t="s">
        <v>135</v>
      </c>
      <c r="B103" s="6" t="s">
        <v>37</v>
      </c>
      <c r="C103" s="6" t="s">
        <v>37</v>
      </c>
      <c r="D103" s="14" t="s">
        <v>50</v>
      </c>
      <c r="E103" s="14" t="s">
        <v>41</v>
      </c>
    </row>
    <row r="104" spans="1:5">
      <c r="A104" s="6" t="s">
        <v>578</v>
      </c>
      <c r="B104" s="6" t="s">
        <v>10</v>
      </c>
      <c r="C104" s="6" t="s">
        <v>10</v>
      </c>
      <c r="D104" s="14" t="s">
        <v>30</v>
      </c>
      <c r="E104" s="7" t="s">
        <v>128</v>
      </c>
    </row>
    <row r="105" spans="1:5">
      <c r="A105" s="6" t="s">
        <v>98</v>
      </c>
      <c r="B105" s="6" t="s">
        <v>37</v>
      </c>
      <c r="C105" s="6" t="s">
        <v>37</v>
      </c>
      <c r="D105" s="14" t="s">
        <v>662</v>
      </c>
      <c r="E105" s="14" t="s">
        <v>48</v>
      </c>
    </row>
    <row r="106" spans="1:5">
      <c r="A106" s="6" t="s">
        <v>579</v>
      </c>
      <c r="B106" s="6" t="s">
        <v>9</v>
      </c>
      <c r="C106" s="6" t="s">
        <v>601</v>
      </c>
      <c r="D106" s="14" t="s">
        <v>546</v>
      </c>
      <c r="E106" s="14" t="s">
        <v>31</v>
      </c>
    </row>
    <row r="107" spans="1:5">
      <c r="A107" s="6" t="s">
        <v>580</v>
      </c>
      <c r="B107" s="6" t="s">
        <v>10</v>
      </c>
      <c r="C107" s="6" t="s">
        <v>10</v>
      </c>
      <c r="D107" s="14" t="s">
        <v>600</v>
      </c>
      <c r="E107" s="7" t="s">
        <v>52</v>
      </c>
    </row>
    <row r="108" spans="1:5">
      <c r="A108" s="6" t="s">
        <v>581</v>
      </c>
      <c r="B108" s="6" t="s">
        <v>653</v>
      </c>
      <c r="C108" s="6" t="s">
        <v>653</v>
      </c>
      <c r="D108" s="14" t="s">
        <v>50</v>
      </c>
      <c r="E108" s="14" t="s">
        <v>48</v>
      </c>
    </row>
    <row r="109" spans="1:5">
      <c r="A109" s="6" t="s">
        <v>49</v>
      </c>
      <c r="B109" s="6" t="s">
        <v>37</v>
      </c>
      <c r="C109" s="6" t="s">
        <v>37</v>
      </c>
      <c r="D109" s="14" t="s">
        <v>50</v>
      </c>
      <c r="E109" s="14" t="s">
        <v>31</v>
      </c>
    </row>
    <row r="110" spans="1:5">
      <c r="A110" s="6" t="s">
        <v>113</v>
      </c>
      <c r="B110" s="6" t="s">
        <v>37</v>
      </c>
      <c r="C110" s="6" t="s">
        <v>37</v>
      </c>
      <c r="D110" s="14" t="s">
        <v>38</v>
      </c>
      <c r="E110" s="14" t="s">
        <v>31</v>
      </c>
    </row>
    <row r="111" spans="1:5">
      <c r="A111" s="6" t="s">
        <v>59</v>
      </c>
      <c r="B111" s="6" t="s">
        <v>653</v>
      </c>
      <c r="C111" s="6" t="s">
        <v>653</v>
      </c>
      <c r="D111" s="14" t="s">
        <v>50</v>
      </c>
      <c r="E111" s="14" t="s">
        <v>48</v>
      </c>
    </row>
    <row r="112" spans="1:5">
      <c r="A112" s="6" t="s">
        <v>32</v>
      </c>
      <c r="B112" s="14" t="s">
        <v>10</v>
      </c>
      <c r="C112" s="6" t="s">
        <v>10</v>
      </c>
      <c r="D112" s="14" t="s">
        <v>30</v>
      </c>
      <c r="E112" s="14" t="s">
        <v>31</v>
      </c>
    </row>
    <row r="113" spans="1:5">
      <c r="A113" s="6" t="s">
        <v>582</v>
      </c>
      <c r="B113" s="14" t="s">
        <v>10</v>
      </c>
      <c r="C113" s="6" t="s">
        <v>10</v>
      </c>
      <c r="D113" s="14" t="s">
        <v>65</v>
      </c>
      <c r="E113" s="14" t="s">
        <v>31</v>
      </c>
    </row>
    <row r="114" spans="1:5">
      <c r="A114" s="6" t="s">
        <v>142</v>
      </c>
      <c r="B114" s="6" t="s">
        <v>37</v>
      </c>
      <c r="C114" s="6" t="s">
        <v>37</v>
      </c>
      <c r="D114" s="14" t="s">
        <v>31</v>
      </c>
      <c r="E114" s="14" t="s">
        <v>105</v>
      </c>
    </row>
    <row r="115" spans="1:5">
      <c r="A115" s="6" t="s">
        <v>583</v>
      </c>
      <c r="B115" s="14" t="s">
        <v>10</v>
      </c>
      <c r="C115" s="6" t="s">
        <v>10</v>
      </c>
      <c r="D115" s="14" t="s">
        <v>30</v>
      </c>
      <c r="E115" s="14" t="s">
        <v>58</v>
      </c>
    </row>
    <row r="116" spans="1:5">
      <c r="A116" s="6" t="s">
        <v>57</v>
      </c>
      <c r="B116" s="14" t="s">
        <v>10</v>
      </c>
      <c r="C116" s="6" t="s">
        <v>10</v>
      </c>
      <c r="D116" s="23" t="s">
        <v>30</v>
      </c>
      <c r="E116" s="14" t="s">
        <v>58</v>
      </c>
    </row>
    <row r="117" spans="1:5">
      <c r="A117" s="14" t="s">
        <v>51</v>
      </c>
      <c r="B117" s="14" t="s">
        <v>10</v>
      </c>
      <c r="C117" s="6" t="s">
        <v>10</v>
      </c>
      <c r="D117" s="14" t="s">
        <v>600</v>
      </c>
      <c r="E117" s="14" t="s">
        <v>52</v>
      </c>
    </row>
    <row r="118" spans="1:5">
      <c r="A118" s="14" t="s">
        <v>67</v>
      </c>
      <c r="B118" s="14" t="s">
        <v>10</v>
      </c>
      <c r="C118" s="6" t="s">
        <v>10</v>
      </c>
      <c r="D118" s="14" t="s">
        <v>30</v>
      </c>
      <c r="E118" s="14" t="s">
        <v>31</v>
      </c>
    </row>
    <row r="119" spans="1:5">
      <c r="A119" s="14" t="s">
        <v>77</v>
      </c>
      <c r="B119" s="14" t="s">
        <v>10</v>
      </c>
      <c r="C119" s="6" t="s">
        <v>10</v>
      </c>
      <c r="D119" s="14" t="s">
        <v>30</v>
      </c>
      <c r="E119" s="14" t="s">
        <v>31</v>
      </c>
    </row>
    <row r="120" spans="1:5">
      <c r="A120" s="14" t="s">
        <v>88</v>
      </c>
      <c r="B120" s="6" t="s">
        <v>9</v>
      </c>
      <c r="C120" s="6" t="s">
        <v>601</v>
      </c>
      <c r="D120" s="14" t="s">
        <v>71</v>
      </c>
      <c r="E120" s="14" t="s">
        <v>31</v>
      </c>
    </row>
    <row r="121" spans="1:5">
      <c r="A121" s="14" t="s">
        <v>153</v>
      </c>
      <c r="B121" s="14" t="s">
        <v>10</v>
      </c>
      <c r="C121" s="6" t="s">
        <v>10</v>
      </c>
      <c r="D121" s="14" t="s">
        <v>30</v>
      </c>
      <c r="E121" s="14" t="s">
        <v>31</v>
      </c>
    </row>
    <row r="122" spans="1:5">
      <c r="A122" s="6" t="s">
        <v>70</v>
      </c>
      <c r="B122" s="6" t="s">
        <v>9</v>
      </c>
      <c r="C122" s="6" t="s">
        <v>601</v>
      </c>
      <c r="D122" s="14" t="s">
        <v>71</v>
      </c>
      <c r="E122" s="14" t="s">
        <v>31</v>
      </c>
    </row>
    <row r="123" spans="1:5">
      <c r="A123" s="6" t="s">
        <v>584</v>
      </c>
      <c r="B123" s="14" t="s">
        <v>10</v>
      </c>
      <c r="C123" s="6" t="s">
        <v>10</v>
      </c>
      <c r="D123" s="14" t="s">
        <v>65</v>
      </c>
      <c r="E123" s="14" t="s">
        <v>31</v>
      </c>
    </row>
    <row r="124" spans="1:5">
      <c r="A124" s="6" t="s">
        <v>584</v>
      </c>
      <c r="B124" s="14" t="s">
        <v>10</v>
      </c>
      <c r="C124" s="6" t="s">
        <v>10</v>
      </c>
      <c r="D124" s="14" t="s">
        <v>65</v>
      </c>
      <c r="E124" s="14" t="s">
        <v>31</v>
      </c>
    </row>
    <row r="125" spans="1:5">
      <c r="A125" s="6" t="s">
        <v>86</v>
      </c>
      <c r="B125" s="6" t="s">
        <v>37</v>
      </c>
      <c r="C125" s="6" t="s">
        <v>37</v>
      </c>
      <c r="D125" s="14" t="s">
        <v>31</v>
      </c>
      <c r="E125" s="14" t="s">
        <v>39</v>
      </c>
    </row>
    <row r="126" spans="1:5">
      <c r="A126" s="6" t="s">
        <v>97</v>
      </c>
      <c r="B126" s="6" t="s">
        <v>37</v>
      </c>
      <c r="C126" s="6" t="s">
        <v>37</v>
      </c>
      <c r="D126" s="14" t="s">
        <v>38</v>
      </c>
      <c r="E126" s="14" t="s">
        <v>39</v>
      </c>
    </row>
    <row r="127" spans="1:5">
      <c r="A127" s="14" t="s">
        <v>26</v>
      </c>
      <c r="B127" s="14" t="s">
        <v>10</v>
      </c>
      <c r="C127" s="6" t="s">
        <v>10</v>
      </c>
      <c r="D127" s="14" t="s">
        <v>30</v>
      </c>
      <c r="E127" s="14" t="s">
        <v>31</v>
      </c>
    </row>
    <row r="128" spans="1:5">
      <c r="A128" s="14" t="s">
        <v>585</v>
      </c>
      <c r="B128" s="14" t="s">
        <v>10</v>
      </c>
      <c r="C128" s="6" t="s">
        <v>10</v>
      </c>
      <c r="D128" s="14" t="s">
        <v>31</v>
      </c>
      <c r="E128" s="14" t="s">
        <v>45</v>
      </c>
    </row>
    <row r="129" spans="1:5">
      <c r="A129" s="14" t="s">
        <v>42</v>
      </c>
      <c r="B129" s="6" t="s">
        <v>37</v>
      </c>
      <c r="C129" s="6" t="s">
        <v>37</v>
      </c>
      <c r="D129" s="18" t="s">
        <v>663</v>
      </c>
      <c r="E129" s="14" t="s">
        <v>31</v>
      </c>
    </row>
    <row r="130" spans="1:5">
      <c r="A130" s="14" t="s">
        <v>586</v>
      </c>
      <c r="B130" s="6" t="s">
        <v>9</v>
      </c>
      <c r="C130" s="6" t="s">
        <v>601</v>
      </c>
      <c r="D130" s="14" t="s">
        <v>31</v>
      </c>
      <c r="E130" s="14" t="s">
        <v>73</v>
      </c>
    </row>
    <row r="131" spans="1:5">
      <c r="A131" s="14" t="s">
        <v>587</v>
      </c>
      <c r="B131" s="6" t="s">
        <v>37</v>
      </c>
      <c r="C131" s="6" t="s">
        <v>37</v>
      </c>
      <c r="D131" s="18" t="s">
        <v>663</v>
      </c>
      <c r="E131" s="14" t="s">
        <v>31</v>
      </c>
    </row>
    <row r="132" spans="1:5">
      <c r="A132" s="14" t="s">
        <v>588</v>
      </c>
      <c r="B132" s="6" t="s">
        <v>37</v>
      </c>
      <c r="C132" s="6" t="s">
        <v>37</v>
      </c>
      <c r="D132" s="14" t="s">
        <v>31</v>
      </c>
      <c r="E132" s="14" t="s">
        <v>39</v>
      </c>
    </row>
    <row r="133" spans="1:5">
      <c r="A133" s="14" t="s">
        <v>589</v>
      </c>
      <c r="B133" s="6" t="s">
        <v>37</v>
      </c>
      <c r="C133" s="6" t="s">
        <v>37</v>
      </c>
      <c r="D133" s="14" t="s">
        <v>38</v>
      </c>
      <c r="E133" s="14" t="s">
        <v>31</v>
      </c>
    </row>
    <row r="134" spans="1:5">
      <c r="A134" s="14" t="s">
        <v>590</v>
      </c>
      <c r="B134" s="6" t="s">
        <v>37</v>
      </c>
      <c r="C134" s="6" t="s">
        <v>37</v>
      </c>
      <c r="D134" s="14" t="s">
        <v>663</v>
      </c>
      <c r="E134" s="14" t="s">
        <v>31</v>
      </c>
    </row>
    <row r="135" spans="1:5">
      <c r="A135" s="14" t="s">
        <v>126</v>
      </c>
      <c r="B135" s="14" t="s">
        <v>10</v>
      </c>
      <c r="C135" s="6" t="s">
        <v>10</v>
      </c>
      <c r="D135" s="14" t="s">
        <v>600</v>
      </c>
      <c r="E135" s="14" t="s">
        <v>52</v>
      </c>
    </row>
    <row r="136" spans="1:5">
      <c r="A136" s="14" t="s">
        <v>591</v>
      </c>
      <c r="B136" s="6" t="s">
        <v>37</v>
      </c>
      <c r="C136" s="6" t="s">
        <v>37</v>
      </c>
      <c r="D136" s="18" t="s">
        <v>662</v>
      </c>
      <c r="E136" s="14" t="s">
        <v>31</v>
      </c>
    </row>
    <row r="137" spans="1:5">
      <c r="A137" s="14" t="s">
        <v>136</v>
      </c>
      <c r="B137" s="6" t="s">
        <v>37</v>
      </c>
      <c r="C137" s="6" t="s">
        <v>37</v>
      </c>
      <c r="D137" s="14" t="s">
        <v>31</v>
      </c>
      <c r="E137" s="14" t="s">
        <v>137</v>
      </c>
    </row>
    <row r="138" spans="1:5">
      <c r="A138" s="6" t="s">
        <v>115</v>
      </c>
      <c r="B138" s="6" t="s">
        <v>37</v>
      </c>
      <c r="C138" s="6" t="s">
        <v>37</v>
      </c>
      <c r="D138" s="24" t="s">
        <v>38</v>
      </c>
      <c r="E138" s="14" t="s">
        <v>31</v>
      </c>
    </row>
    <row r="139" spans="1:5">
      <c r="A139" s="6" t="s">
        <v>121</v>
      </c>
      <c r="B139" s="6" t="s">
        <v>37</v>
      </c>
      <c r="C139" s="6" t="s">
        <v>37</v>
      </c>
      <c r="D139" s="24" t="s">
        <v>112</v>
      </c>
      <c r="E139" s="14" t="s">
        <v>31</v>
      </c>
    </row>
    <row r="140" spans="1:5">
      <c r="A140" s="6" t="s">
        <v>120</v>
      </c>
      <c r="B140" s="6" t="s">
        <v>37</v>
      </c>
      <c r="C140" s="6" t="s">
        <v>37</v>
      </c>
      <c r="D140" s="24" t="s">
        <v>31</v>
      </c>
      <c r="E140" s="14" t="s">
        <v>112</v>
      </c>
    </row>
    <row r="141" spans="1:5">
      <c r="A141" s="14" t="s">
        <v>53</v>
      </c>
      <c r="B141" s="6" t="s">
        <v>37</v>
      </c>
      <c r="C141" s="6" t="s">
        <v>37</v>
      </c>
      <c r="D141" s="6" t="s">
        <v>31</v>
      </c>
      <c r="E141" s="6" t="s">
        <v>54</v>
      </c>
    </row>
    <row r="142" spans="1:5">
      <c r="A142" s="14" t="s">
        <v>68</v>
      </c>
      <c r="B142" s="6" t="s">
        <v>37</v>
      </c>
      <c r="C142" s="6" t="s">
        <v>37</v>
      </c>
      <c r="D142" s="6" t="s">
        <v>31</v>
      </c>
      <c r="E142" s="6" t="s">
        <v>41</v>
      </c>
    </row>
    <row r="143" spans="1:5">
      <c r="A143" s="14" t="s">
        <v>106</v>
      </c>
      <c r="B143" s="6" t="s">
        <v>37</v>
      </c>
      <c r="C143" s="6" t="s">
        <v>37</v>
      </c>
      <c r="D143" s="14" t="s">
        <v>38</v>
      </c>
      <c r="E143" s="14" t="s">
        <v>39</v>
      </c>
    </row>
    <row r="144" spans="1:5">
      <c r="A144" s="6" t="s">
        <v>117</v>
      </c>
      <c r="B144" s="6" t="s">
        <v>37</v>
      </c>
      <c r="C144" s="6" t="s">
        <v>37</v>
      </c>
      <c r="D144" s="14" t="s">
        <v>118</v>
      </c>
      <c r="E144" s="14" t="s">
        <v>31</v>
      </c>
    </row>
    <row r="145" spans="1:5">
      <c r="A145" s="6" t="s">
        <v>107</v>
      </c>
      <c r="B145" s="17" t="s">
        <v>10</v>
      </c>
      <c r="C145" s="6" t="s">
        <v>10</v>
      </c>
      <c r="D145" s="14" t="s">
        <v>600</v>
      </c>
      <c r="E145" s="14" t="s">
        <v>31</v>
      </c>
    </row>
    <row r="146" spans="1:5">
      <c r="A146" s="6" t="s">
        <v>111</v>
      </c>
      <c r="B146" s="6" t="s">
        <v>37</v>
      </c>
      <c r="C146" s="6" t="s">
        <v>37</v>
      </c>
      <c r="D146" s="14" t="s">
        <v>112</v>
      </c>
      <c r="E146" s="14" t="s">
        <v>112</v>
      </c>
    </row>
    <row r="147" spans="1:5">
      <c r="A147" s="17" t="s">
        <v>62</v>
      </c>
      <c r="B147" s="17" t="s">
        <v>10</v>
      </c>
      <c r="C147" s="6" t="s">
        <v>10</v>
      </c>
      <c r="D147" s="24" t="s">
        <v>30</v>
      </c>
      <c r="E147" s="24" t="s">
        <v>31</v>
      </c>
    </row>
    <row r="148" spans="1:5">
      <c r="A148" s="17" t="s">
        <v>84</v>
      </c>
      <c r="B148" s="17" t="s">
        <v>10</v>
      </c>
      <c r="C148" s="6" t="s">
        <v>10</v>
      </c>
      <c r="D148" s="17" t="s">
        <v>31</v>
      </c>
      <c r="E148" s="17" t="s">
        <v>85</v>
      </c>
    </row>
    <row r="149" spans="1:5">
      <c r="A149" s="17" t="s">
        <v>95</v>
      </c>
      <c r="B149" s="17" t="s">
        <v>10</v>
      </c>
      <c r="C149" s="6" t="s">
        <v>10</v>
      </c>
      <c r="D149" s="17" t="s">
        <v>31</v>
      </c>
      <c r="E149" s="17" t="s">
        <v>58</v>
      </c>
    </row>
    <row r="150" spans="1:5">
      <c r="A150" s="17" t="s">
        <v>96</v>
      </c>
      <c r="B150" s="17" t="s">
        <v>10</v>
      </c>
      <c r="C150" s="6" t="s">
        <v>10</v>
      </c>
      <c r="D150" s="17" t="s">
        <v>31</v>
      </c>
      <c r="E150" s="17" t="s">
        <v>58</v>
      </c>
    </row>
    <row r="151" spans="1:5">
      <c r="A151" s="17" t="s">
        <v>123</v>
      </c>
      <c r="B151" s="6" t="s">
        <v>37</v>
      </c>
      <c r="C151" s="6" t="s">
        <v>37</v>
      </c>
      <c r="D151" s="17" t="s">
        <v>31</v>
      </c>
      <c r="E151" s="17" t="s">
        <v>39</v>
      </c>
    </row>
    <row r="152" spans="1:5">
      <c r="A152" s="17" t="s">
        <v>150</v>
      </c>
      <c r="B152" s="17" t="s">
        <v>10</v>
      </c>
      <c r="C152" s="6" t="s">
        <v>10</v>
      </c>
      <c r="D152" s="17" t="s">
        <v>31</v>
      </c>
      <c r="E152" s="17" t="s">
        <v>85</v>
      </c>
    </row>
    <row r="153" spans="1:5">
      <c r="A153" s="12" t="s">
        <v>129</v>
      </c>
      <c r="B153" s="6" t="s">
        <v>37</v>
      </c>
      <c r="C153" s="6" t="s">
        <v>37</v>
      </c>
      <c r="D153" s="17" t="s">
        <v>663</v>
      </c>
      <c r="E153" s="17" t="s">
        <v>31</v>
      </c>
    </row>
    <row r="154" spans="1:5">
      <c r="A154" s="12" t="s">
        <v>140</v>
      </c>
      <c r="B154" s="17" t="s">
        <v>10</v>
      </c>
      <c r="C154" s="6" t="s">
        <v>10</v>
      </c>
      <c r="D154" s="17" t="s">
        <v>31</v>
      </c>
      <c r="E154" s="17" t="s">
        <v>31</v>
      </c>
    </row>
    <row r="155" spans="1:5">
      <c r="A155" s="12" t="s">
        <v>94</v>
      </c>
      <c r="B155" s="17" t="s">
        <v>10</v>
      </c>
      <c r="C155" s="6" t="s">
        <v>10</v>
      </c>
      <c r="D155" s="17" t="s">
        <v>30</v>
      </c>
      <c r="E155" s="17" t="s">
        <v>58</v>
      </c>
    </row>
    <row r="156" spans="1:5">
      <c r="A156" s="12" t="s">
        <v>44</v>
      </c>
      <c r="B156" s="6" t="s">
        <v>37</v>
      </c>
      <c r="C156" s="6" t="s">
        <v>37</v>
      </c>
      <c r="D156" s="17" t="s">
        <v>31</v>
      </c>
      <c r="E156" s="17" t="s">
        <v>48</v>
      </c>
    </row>
    <row r="157" spans="1:5">
      <c r="A157" s="12" t="s">
        <v>90</v>
      </c>
      <c r="B157" s="17" t="s">
        <v>10</v>
      </c>
      <c r="C157" s="6" t="s">
        <v>10</v>
      </c>
      <c r="D157" s="17" t="s">
        <v>30</v>
      </c>
      <c r="E157" s="17" t="s">
        <v>58</v>
      </c>
    </row>
    <row r="158" spans="1:5">
      <c r="A158" s="12" t="s">
        <v>81</v>
      </c>
      <c r="B158" s="6" t="s">
        <v>37</v>
      </c>
      <c r="C158" s="6" t="s">
        <v>37</v>
      </c>
      <c r="D158" s="17" t="s">
        <v>82</v>
      </c>
      <c r="E158" s="17" t="s">
        <v>82</v>
      </c>
    </row>
    <row r="159" spans="1:5">
      <c r="A159" s="12" t="s">
        <v>119</v>
      </c>
      <c r="B159" s="6" t="s">
        <v>37</v>
      </c>
      <c r="C159" s="6" t="s">
        <v>37</v>
      </c>
      <c r="D159" s="24" t="s">
        <v>112</v>
      </c>
      <c r="E159" s="17" t="s">
        <v>31</v>
      </c>
    </row>
    <row r="160" spans="1:5">
      <c r="A160" s="12" t="s">
        <v>114</v>
      </c>
      <c r="B160" s="6" t="s">
        <v>37</v>
      </c>
      <c r="C160" s="6" t="s">
        <v>37</v>
      </c>
      <c r="D160" s="24" t="s">
        <v>31</v>
      </c>
      <c r="E160" s="17" t="s">
        <v>112</v>
      </c>
    </row>
    <row r="161" spans="1:5">
      <c r="A161" s="12" t="s">
        <v>34</v>
      </c>
      <c r="B161" s="17" t="s">
        <v>10</v>
      </c>
      <c r="C161" s="6" t="s">
        <v>10</v>
      </c>
      <c r="D161" s="17" t="s">
        <v>31</v>
      </c>
      <c r="E161" s="17" t="s">
        <v>35</v>
      </c>
    </row>
    <row r="162" spans="1:5">
      <c r="A162" s="12" t="s">
        <v>116</v>
      </c>
      <c r="B162" s="6" t="s">
        <v>37</v>
      </c>
      <c r="C162" s="6" t="s">
        <v>37</v>
      </c>
      <c r="D162" s="24" t="s">
        <v>38</v>
      </c>
      <c r="E162" s="17" t="s">
        <v>112</v>
      </c>
    </row>
    <row r="163" spans="1:5">
      <c r="A163" s="25" t="s">
        <v>593</v>
      </c>
      <c r="B163" s="17" t="s">
        <v>10</v>
      </c>
      <c r="C163" s="6" t="s">
        <v>10</v>
      </c>
      <c r="D163" s="17" t="s">
        <v>31</v>
      </c>
      <c r="E163" s="17" t="s">
        <v>85</v>
      </c>
    </row>
    <row r="164" spans="1:5">
      <c r="A164" s="25" t="s">
        <v>595</v>
      </c>
      <c r="B164" s="17" t="s">
        <v>10</v>
      </c>
      <c r="C164" s="6" t="s">
        <v>10</v>
      </c>
      <c r="D164" s="17" t="s">
        <v>31</v>
      </c>
      <c r="E164" s="17" t="s">
        <v>35</v>
      </c>
    </row>
    <row r="165" spans="1:5">
      <c r="A165" s="25" t="s">
        <v>597</v>
      </c>
      <c r="B165" s="17" t="s">
        <v>10</v>
      </c>
      <c r="C165" s="6" t="s">
        <v>10</v>
      </c>
      <c r="D165" s="17" t="s">
        <v>31</v>
      </c>
      <c r="E165" s="17" t="s">
        <v>85</v>
      </c>
    </row>
    <row r="166" spans="1:5">
      <c r="A166" s="25" t="s">
        <v>599</v>
      </c>
      <c r="B166" s="17" t="s">
        <v>10</v>
      </c>
      <c r="C166" s="6" t="s">
        <v>10</v>
      </c>
      <c r="D166" s="17" t="s">
        <v>30</v>
      </c>
      <c r="E166" s="17" t="s">
        <v>625</v>
      </c>
    </row>
    <row r="167" spans="1:5">
      <c r="A167" s="25" t="s">
        <v>592</v>
      </c>
      <c r="B167" s="6" t="s">
        <v>37</v>
      </c>
      <c r="C167" s="6" t="s">
        <v>37</v>
      </c>
      <c r="D167" s="17" t="s">
        <v>31</v>
      </c>
      <c r="E167" s="17" t="s">
        <v>554</v>
      </c>
    </row>
    <row r="168" spans="1:5">
      <c r="A168" s="25" t="s">
        <v>594</v>
      </c>
      <c r="B168" s="17" t="s">
        <v>10</v>
      </c>
      <c r="C168" s="6" t="s">
        <v>10</v>
      </c>
      <c r="D168" s="17" t="s">
        <v>600</v>
      </c>
      <c r="E168" s="17" t="s">
        <v>35</v>
      </c>
    </row>
    <row r="169" spans="1:5">
      <c r="A169" s="25" t="s">
        <v>596</v>
      </c>
      <c r="B169" s="6" t="s">
        <v>37</v>
      </c>
      <c r="C169" s="6" t="s">
        <v>37</v>
      </c>
      <c r="D169" s="17" t="s">
        <v>702</v>
      </c>
      <c r="E169" s="17" t="s">
        <v>31</v>
      </c>
    </row>
    <row r="170" spans="1:5">
      <c r="A170" s="25" t="s">
        <v>598</v>
      </c>
      <c r="B170" s="17" t="s">
        <v>10</v>
      </c>
      <c r="C170" s="6" t="s">
        <v>10</v>
      </c>
      <c r="D170" s="17" t="s">
        <v>31</v>
      </c>
      <c r="E170" s="17" t="s">
        <v>58</v>
      </c>
    </row>
    <row r="171" spans="1:5">
      <c r="A171" s="6" t="s">
        <v>75</v>
      </c>
      <c r="B171" s="6" t="s">
        <v>37</v>
      </c>
      <c r="C171" s="6" t="s">
        <v>37</v>
      </c>
      <c r="D171" s="17" t="s">
        <v>31</v>
      </c>
      <c r="E171" s="17" t="s">
        <v>41</v>
      </c>
    </row>
    <row r="172" spans="1:5">
      <c r="A172" s="17" t="s">
        <v>602</v>
      </c>
      <c r="B172" s="17" t="s">
        <v>10</v>
      </c>
      <c r="C172" s="6" t="s">
        <v>10</v>
      </c>
      <c r="D172" s="17" t="s">
        <v>31</v>
      </c>
      <c r="E172" s="17" t="s">
        <v>45</v>
      </c>
    </row>
    <row r="173" spans="1:5">
      <c r="A173" s="17" t="s">
        <v>603</v>
      </c>
      <c r="B173" s="6" t="s">
        <v>37</v>
      </c>
      <c r="C173" s="6" t="s">
        <v>37</v>
      </c>
      <c r="D173" s="14" t="s">
        <v>702</v>
      </c>
      <c r="E173" s="17" t="s">
        <v>41</v>
      </c>
    </row>
    <row r="174" spans="1:5">
      <c r="A174" s="17" t="s">
        <v>604</v>
      </c>
      <c r="B174" s="17" t="s">
        <v>10</v>
      </c>
      <c r="C174" s="6" t="s">
        <v>10</v>
      </c>
      <c r="D174" s="17" t="s">
        <v>600</v>
      </c>
      <c r="E174" s="17" t="s">
        <v>31</v>
      </c>
    </row>
    <row r="175" spans="1:5">
      <c r="A175" s="17" t="s">
        <v>605</v>
      </c>
      <c r="B175" s="17" t="s">
        <v>10</v>
      </c>
      <c r="C175" s="6" t="s">
        <v>10</v>
      </c>
      <c r="D175" s="14" t="s">
        <v>600</v>
      </c>
      <c r="E175" s="17" t="s">
        <v>31</v>
      </c>
    </row>
    <row r="176" spans="1:5">
      <c r="A176" s="17" t="s">
        <v>606</v>
      </c>
      <c r="B176" s="17" t="s">
        <v>9</v>
      </c>
      <c r="C176" s="6" t="s">
        <v>601</v>
      </c>
      <c r="D176" s="17" t="s">
        <v>31</v>
      </c>
      <c r="E176" s="17" t="s">
        <v>31</v>
      </c>
    </row>
    <row r="177" spans="1:5">
      <c r="A177" s="17" t="s">
        <v>607</v>
      </c>
      <c r="B177" s="17" t="s">
        <v>9</v>
      </c>
      <c r="C177" s="6" t="s">
        <v>601</v>
      </c>
      <c r="D177" t="s">
        <v>926</v>
      </c>
      <c r="E177" s="17" t="s">
        <v>31</v>
      </c>
    </row>
    <row r="178" spans="1:5">
      <c r="A178" s="17" t="s">
        <v>608</v>
      </c>
      <c r="B178" s="6" t="s">
        <v>37</v>
      </c>
      <c r="C178" s="6" t="s">
        <v>37</v>
      </c>
      <c r="D178" s="17" t="s">
        <v>31</v>
      </c>
      <c r="E178" s="17" t="s">
        <v>31</v>
      </c>
    </row>
    <row r="179" spans="1:5">
      <c r="A179" s="12" t="s">
        <v>609</v>
      </c>
      <c r="B179" s="17" t="s">
        <v>10</v>
      </c>
      <c r="C179" s="6" t="s">
        <v>10</v>
      </c>
      <c r="D179" s="14" t="s">
        <v>600</v>
      </c>
      <c r="E179" s="17" t="s">
        <v>31</v>
      </c>
    </row>
    <row r="180" spans="1:5">
      <c r="A180" s="12" t="s">
        <v>610</v>
      </c>
      <c r="B180" s="17" t="s">
        <v>9</v>
      </c>
      <c r="C180" s="6" t="s">
        <v>601</v>
      </c>
      <c r="D180" s="17" t="s">
        <v>31</v>
      </c>
      <c r="E180" s="17" t="s">
        <v>31</v>
      </c>
    </row>
    <row r="181" spans="1:5">
      <c r="A181" s="12" t="s">
        <v>611</v>
      </c>
      <c r="B181" s="6" t="s">
        <v>37</v>
      </c>
      <c r="C181" s="6" t="s">
        <v>37</v>
      </c>
      <c r="D181" s="17" t="s">
        <v>31</v>
      </c>
      <c r="E181" s="17" t="s">
        <v>105</v>
      </c>
    </row>
    <row r="182" spans="1:5">
      <c r="A182" s="17" t="s">
        <v>612</v>
      </c>
      <c r="B182" s="17" t="s">
        <v>653</v>
      </c>
      <c r="C182" s="17" t="s">
        <v>653</v>
      </c>
      <c r="D182" s="14" t="s">
        <v>50</v>
      </c>
      <c r="E182" s="17" t="s">
        <v>47</v>
      </c>
    </row>
    <row r="183" spans="1:5">
      <c r="A183" s="17" t="s">
        <v>613</v>
      </c>
      <c r="B183" s="17" t="s">
        <v>10</v>
      </c>
      <c r="C183" s="6" t="s">
        <v>10</v>
      </c>
      <c r="D183" s="17" t="s">
        <v>600</v>
      </c>
      <c r="E183" s="17" t="s">
        <v>625</v>
      </c>
    </row>
    <row r="184" spans="1:5">
      <c r="A184" s="17" t="s">
        <v>614</v>
      </c>
      <c r="B184" s="6" t="s">
        <v>37</v>
      </c>
      <c r="C184" s="6" t="s">
        <v>37</v>
      </c>
      <c r="D184" s="17" t="s">
        <v>31</v>
      </c>
      <c r="E184" s="17" t="s">
        <v>554</v>
      </c>
    </row>
    <row r="185" spans="1:5">
      <c r="A185" s="17" t="s">
        <v>615</v>
      </c>
      <c r="B185" s="6" t="s">
        <v>37</v>
      </c>
      <c r="C185" s="6" t="s">
        <v>37</v>
      </c>
      <c r="D185" s="17" t="s">
        <v>31</v>
      </c>
      <c r="E185" s="17" t="s">
        <v>54</v>
      </c>
    </row>
    <row r="186" spans="1:5">
      <c r="A186" s="17" t="s">
        <v>616</v>
      </c>
      <c r="B186" s="6" t="s">
        <v>37</v>
      </c>
      <c r="C186" s="6" t="s">
        <v>37</v>
      </c>
      <c r="D186" s="17" t="s">
        <v>31</v>
      </c>
      <c r="E186" s="17" t="s">
        <v>54</v>
      </c>
    </row>
    <row r="187" spans="1:5">
      <c r="A187" s="17" t="s">
        <v>617</v>
      </c>
      <c r="B187" s="6" t="s">
        <v>653</v>
      </c>
      <c r="C187" s="6" t="s">
        <v>653</v>
      </c>
      <c r="D187" s="14" t="s">
        <v>50</v>
      </c>
      <c r="E187" s="17" t="s">
        <v>554</v>
      </c>
    </row>
    <row r="188" spans="1:5">
      <c r="A188" s="17" t="s">
        <v>618</v>
      </c>
      <c r="B188" s="17" t="s">
        <v>10</v>
      </c>
      <c r="C188" s="6" t="s">
        <v>10</v>
      </c>
      <c r="D188" s="17" t="s">
        <v>600</v>
      </c>
      <c r="E188" s="17" t="s">
        <v>39</v>
      </c>
    </row>
    <row r="189" spans="1:5">
      <c r="A189" s="17" t="s">
        <v>619</v>
      </c>
      <c r="B189" s="17" t="s">
        <v>10</v>
      </c>
      <c r="C189" s="6" t="s">
        <v>10</v>
      </c>
      <c r="D189" s="17" t="s">
        <v>600</v>
      </c>
      <c r="E189" s="17" t="s">
        <v>52</v>
      </c>
    </row>
    <row r="190" spans="1:5">
      <c r="A190" s="17" t="s">
        <v>620</v>
      </c>
      <c r="B190" s="12" t="s">
        <v>10</v>
      </c>
      <c r="C190" s="6" t="s">
        <v>10</v>
      </c>
      <c r="D190" s="17" t="s">
        <v>30</v>
      </c>
      <c r="E190" s="17" t="s">
        <v>48</v>
      </c>
    </row>
    <row r="191" spans="1:5">
      <c r="A191" s="17" t="s">
        <v>621</v>
      </c>
      <c r="B191" s="12" t="s">
        <v>10</v>
      </c>
      <c r="C191" s="6" t="s">
        <v>10</v>
      </c>
      <c r="D191" s="17" t="s">
        <v>65</v>
      </c>
      <c r="E191" s="17" t="s">
        <v>35</v>
      </c>
    </row>
    <row r="192" spans="1:5">
      <c r="A192" s="17" t="s">
        <v>622</v>
      </c>
      <c r="B192" s="12" t="s">
        <v>10</v>
      </c>
      <c r="C192" s="6" t="s">
        <v>10</v>
      </c>
      <c r="D192" s="17" t="s">
        <v>65</v>
      </c>
      <c r="E192" s="17" t="s">
        <v>35</v>
      </c>
    </row>
    <row r="193" spans="1:5">
      <c r="A193" s="17" t="s">
        <v>623</v>
      </c>
      <c r="B193" s="12" t="s">
        <v>10</v>
      </c>
      <c r="C193" s="6" t="s">
        <v>10</v>
      </c>
      <c r="D193" s="17" t="s">
        <v>65</v>
      </c>
      <c r="E193" s="17" t="s">
        <v>35</v>
      </c>
    </row>
    <row r="194" spans="1:5">
      <c r="A194" s="17" t="s">
        <v>626</v>
      </c>
      <c r="B194" s="12" t="s">
        <v>10</v>
      </c>
      <c r="C194" s="6" t="s">
        <v>10</v>
      </c>
      <c r="D194" s="17" t="s">
        <v>31</v>
      </c>
      <c r="E194" s="17" t="s">
        <v>627</v>
      </c>
    </row>
    <row r="195" spans="1:5">
      <c r="A195" s="12" t="s">
        <v>628</v>
      </c>
      <c r="B195" s="6" t="s">
        <v>37</v>
      </c>
      <c r="C195" s="6" t="s">
        <v>37</v>
      </c>
      <c r="D195" s="17" t="s">
        <v>663</v>
      </c>
      <c r="E195" s="17" t="s">
        <v>31</v>
      </c>
    </row>
    <row r="196" spans="1:5">
      <c r="A196" s="12" t="s">
        <v>629</v>
      </c>
      <c r="B196" s="12" t="s">
        <v>9</v>
      </c>
      <c r="C196" s="6" t="s">
        <v>601</v>
      </c>
      <c r="D196" s="17" t="s">
        <v>71</v>
      </c>
      <c r="E196" s="17" t="s">
        <v>31</v>
      </c>
    </row>
    <row r="197" spans="1:5">
      <c r="A197" s="12" t="s">
        <v>630</v>
      </c>
      <c r="B197" s="6" t="s">
        <v>37</v>
      </c>
      <c r="C197" s="6" t="s">
        <v>37</v>
      </c>
      <c r="D197" s="17" t="s">
        <v>662</v>
      </c>
      <c r="E197" s="17" t="s">
        <v>31</v>
      </c>
    </row>
    <row r="198" spans="1:5">
      <c r="A198" s="12" t="s">
        <v>631</v>
      </c>
      <c r="B198" s="6" t="s">
        <v>37</v>
      </c>
      <c r="C198" s="6" t="s">
        <v>37</v>
      </c>
      <c r="D198" s="17" t="s">
        <v>662</v>
      </c>
      <c r="E198" s="17" t="s">
        <v>31</v>
      </c>
    </row>
    <row r="199" spans="1:5">
      <c r="A199" s="12" t="s">
        <v>632</v>
      </c>
      <c r="B199" s="6" t="s">
        <v>37</v>
      </c>
      <c r="C199" s="6" t="s">
        <v>37</v>
      </c>
      <c r="D199" s="17" t="s">
        <v>31</v>
      </c>
      <c r="E199" s="17" t="s">
        <v>48</v>
      </c>
    </row>
    <row r="200" spans="1:5">
      <c r="A200" s="14" t="s">
        <v>634</v>
      </c>
      <c r="B200" s="12" t="s">
        <v>10</v>
      </c>
      <c r="C200" s="6" t="s">
        <v>10</v>
      </c>
      <c r="D200" s="17" t="s">
        <v>30</v>
      </c>
      <c r="E200" s="17" t="s">
        <v>625</v>
      </c>
    </row>
    <row r="201" spans="1:5">
      <c r="A201" s="14" t="s">
        <v>635</v>
      </c>
      <c r="B201" s="12" t="s">
        <v>10</v>
      </c>
      <c r="C201" s="6" t="s">
        <v>10</v>
      </c>
      <c r="D201" s="17" t="s">
        <v>31</v>
      </c>
      <c r="E201" s="17" t="s">
        <v>35</v>
      </c>
    </row>
    <row r="202" spans="1:5">
      <c r="A202" s="14" t="s">
        <v>636</v>
      </c>
      <c r="B202" s="12" t="s">
        <v>10</v>
      </c>
      <c r="C202" s="6" t="s">
        <v>10</v>
      </c>
      <c r="D202" s="17" t="s">
        <v>30</v>
      </c>
      <c r="E202" s="17" t="s">
        <v>31</v>
      </c>
    </row>
    <row r="203" spans="1:5">
      <c r="A203" s="14" t="s">
        <v>637</v>
      </c>
      <c r="B203" s="12" t="s">
        <v>10</v>
      </c>
      <c r="C203" s="6" t="s">
        <v>10</v>
      </c>
      <c r="D203" s="17" t="s">
        <v>31</v>
      </c>
      <c r="E203" s="17" t="s">
        <v>54</v>
      </c>
    </row>
    <row r="204" spans="1:5">
      <c r="A204" s="17" t="s">
        <v>638</v>
      </c>
      <c r="B204" s="12" t="s">
        <v>10</v>
      </c>
      <c r="C204" s="6" t="s">
        <v>10</v>
      </c>
      <c r="D204" s="14" t="s">
        <v>600</v>
      </c>
      <c r="E204" s="17" t="s">
        <v>31</v>
      </c>
    </row>
    <row r="205" spans="1:5">
      <c r="A205" s="17" t="s">
        <v>639</v>
      </c>
      <c r="B205" s="6" t="s">
        <v>37</v>
      </c>
      <c r="C205" s="6" t="s">
        <v>37</v>
      </c>
      <c r="D205" s="17" t="s">
        <v>31</v>
      </c>
      <c r="E205" s="17" t="s">
        <v>39</v>
      </c>
    </row>
    <row r="206" spans="1:5">
      <c r="A206" s="17" t="s">
        <v>640</v>
      </c>
      <c r="B206" s="12" t="s">
        <v>9</v>
      </c>
      <c r="C206" s="6" t="s">
        <v>601</v>
      </c>
      <c r="D206" t="s">
        <v>926</v>
      </c>
      <c r="E206" s="17" t="s">
        <v>73</v>
      </c>
    </row>
    <row r="207" spans="1:5">
      <c r="A207" s="17" t="s">
        <v>641</v>
      </c>
      <c r="B207" s="6" t="s">
        <v>37</v>
      </c>
      <c r="C207" s="6" t="s">
        <v>37</v>
      </c>
      <c r="D207" s="17" t="s">
        <v>82</v>
      </c>
      <c r="E207" s="17" t="s">
        <v>31</v>
      </c>
    </row>
    <row r="208" spans="1:5">
      <c r="A208" s="17" t="s">
        <v>642</v>
      </c>
      <c r="B208" s="12" t="s">
        <v>10</v>
      </c>
      <c r="C208" s="6" t="s">
        <v>10</v>
      </c>
      <c r="D208" s="17" t="s">
        <v>600</v>
      </c>
      <c r="E208" s="17" t="s">
        <v>31</v>
      </c>
    </row>
    <row r="209" spans="1:5">
      <c r="A209" s="17" t="s">
        <v>643</v>
      </c>
      <c r="B209" s="12" t="s">
        <v>10</v>
      </c>
      <c r="C209" s="6" t="s">
        <v>10</v>
      </c>
      <c r="D209" s="17" t="s">
        <v>600</v>
      </c>
      <c r="E209" s="17" t="s">
        <v>58</v>
      </c>
    </row>
    <row r="210" spans="1:5">
      <c r="A210" s="17" t="s">
        <v>644</v>
      </c>
      <c r="B210" s="12" t="s">
        <v>9</v>
      </c>
      <c r="C210" s="6" t="s">
        <v>601</v>
      </c>
      <c r="D210" s="14" t="s">
        <v>31</v>
      </c>
      <c r="E210" s="17" t="s">
        <v>31</v>
      </c>
    </row>
    <row r="211" spans="1:5">
      <c r="A211" s="17" t="s">
        <v>645</v>
      </c>
      <c r="B211" s="12" t="s">
        <v>9</v>
      </c>
      <c r="C211" s="6" t="s">
        <v>601</v>
      </c>
      <c r="D211" s="17" t="s">
        <v>31</v>
      </c>
      <c r="E211" s="17" t="s">
        <v>31</v>
      </c>
    </row>
    <row r="212" spans="1:5">
      <c r="A212" s="17" t="s">
        <v>646</v>
      </c>
      <c r="B212" s="12" t="s">
        <v>10</v>
      </c>
      <c r="C212" s="6" t="s">
        <v>10</v>
      </c>
      <c r="D212" s="17" t="s">
        <v>31</v>
      </c>
      <c r="E212" s="17" t="s">
        <v>35</v>
      </c>
    </row>
    <row r="213" spans="1:5">
      <c r="A213" s="17" t="s">
        <v>647</v>
      </c>
      <c r="B213" s="6" t="s">
        <v>37</v>
      </c>
      <c r="C213" s="6" t="s">
        <v>37</v>
      </c>
      <c r="D213" s="17" t="s">
        <v>31</v>
      </c>
      <c r="E213" s="17" t="s">
        <v>39</v>
      </c>
    </row>
    <row r="214" spans="1:5">
      <c r="A214" s="17" t="s">
        <v>648</v>
      </c>
      <c r="B214" s="6" t="s">
        <v>37</v>
      </c>
      <c r="C214" s="6" t="s">
        <v>37</v>
      </c>
      <c r="D214" s="17" t="s">
        <v>31</v>
      </c>
      <c r="E214" s="17" t="s">
        <v>39</v>
      </c>
    </row>
    <row r="215" spans="1:5">
      <c r="A215" s="17" t="s">
        <v>649</v>
      </c>
      <c r="B215" s="6" t="s">
        <v>37</v>
      </c>
      <c r="C215" s="6" t="s">
        <v>37</v>
      </c>
      <c r="D215" s="17" t="s">
        <v>663</v>
      </c>
      <c r="E215" s="17" t="s">
        <v>54</v>
      </c>
    </row>
    <row r="216" spans="1:5">
      <c r="A216" s="17" t="s">
        <v>650</v>
      </c>
      <c r="B216" s="6" t="s">
        <v>37</v>
      </c>
      <c r="C216" s="6" t="s">
        <v>37</v>
      </c>
      <c r="D216" s="17" t="s">
        <v>38</v>
      </c>
      <c r="E216" s="17" t="s">
        <v>39</v>
      </c>
    </row>
    <row r="217" spans="1:5">
      <c r="A217" s="17" t="s">
        <v>651</v>
      </c>
      <c r="B217" s="6" t="s">
        <v>37</v>
      </c>
      <c r="C217" s="6" t="s">
        <v>37</v>
      </c>
      <c r="D217" s="17" t="s">
        <v>31</v>
      </c>
      <c r="E217" s="17" t="s">
        <v>41</v>
      </c>
    </row>
    <row r="218" spans="1:5">
      <c r="A218" s="17" t="s">
        <v>655</v>
      </c>
      <c r="B218" s="6" t="s">
        <v>653</v>
      </c>
      <c r="C218" s="12" t="s">
        <v>653</v>
      </c>
      <c r="D218" s="14" t="s">
        <v>50</v>
      </c>
      <c r="E218" s="17" t="s">
        <v>47</v>
      </c>
    </row>
    <row r="219" spans="1:5">
      <c r="A219" s="17" t="s">
        <v>656</v>
      </c>
      <c r="B219" s="12" t="s">
        <v>10</v>
      </c>
      <c r="C219" s="12" t="s">
        <v>10</v>
      </c>
      <c r="D219" s="17" t="s">
        <v>31</v>
      </c>
      <c r="E219" s="17" t="s">
        <v>52</v>
      </c>
    </row>
    <row r="220" spans="1:5">
      <c r="A220" s="17" t="s">
        <v>657</v>
      </c>
      <c r="B220" s="6" t="s">
        <v>37</v>
      </c>
      <c r="C220" s="12" t="s">
        <v>37</v>
      </c>
      <c r="D220" s="17" t="s">
        <v>663</v>
      </c>
      <c r="E220" s="17" t="s">
        <v>41</v>
      </c>
    </row>
    <row r="221" spans="1:5">
      <c r="A221" s="17" t="s">
        <v>658</v>
      </c>
      <c r="B221" s="6" t="s">
        <v>37</v>
      </c>
      <c r="C221" s="12" t="s">
        <v>37</v>
      </c>
      <c r="D221" s="17" t="s">
        <v>31</v>
      </c>
      <c r="E221" s="17" t="s">
        <v>54</v>
      </c>
    </row>
    <row r="222" spans="1:5">
      <c r="A222" s="17" t="s">
        <v>659</v>
      </c>
      <c r="B222" s="12" t="s">
        <v>10</v>
      </c>
      <c r="C222" s="12" t="s">
        <v>10</v>
      </c>
      <c r="D222" s="17" t="s">
        <v>31</v>
      </c>
      <c r="E222" s="17" t="s">
        <v>625</v>
      </c>
    </row>
    <row r="223" spans="1:5">
      <c r="A223" s="17" t="s">
        <v>666</v>
      </c>
      <c r="B223" s="6" t="s">
        <v>653</v>
      </c>
      <c r="C223" s="12" t="s">
        <v>653</v>
      </c>
      <c r="D223" s="14" t="s">
        <v>50</v>
      </c>
      <c r="E223" s="17" t="s">
        <v>48</v>
      </c>
    </row>
    <row r="224" spans="1:5">
      <c r="A224" s="17" t="s">
        <v>667</v>
      </c>
      <c r="B224" s="6" t="s">
        <v>37</v>
      </c>
      <c r="C224" s="12" t="s">
        <v>37</v>
      </c>
      <c r="D224" s="17" t="s">
        <v>663</v>
      </c>
      <c r="E224" s="17" t="s">
        <v>31</v>
      </c>
    </row>
    <row r="225" spans="1:5">
      <c r="A225" s="17" t="s">
        <v>668</v>
      </c>
      <c r="B225" s="6" t="s">
        <v>37</v>
      </c>
      <c r="C225" s="12" t="s">
        <v>37</v>
      </c>
      <c r="D225" s="17" t="s">
        <v>663</v>
      </c>
      <c r="E225" s="17" t="s">
        <v>31</v>
      </c>
    </row>
    <row r="226" spans="1:5">
      <c r="A226" s="17" t="s">
        <v>669</v>
      </c>
      <c r="B226" s="6" t="s">
        <v>37</v>
      </c>
      <c r="C226" s="12" t="s">
        <v>37</v>
      </c>
      <c r="D226" s="17" t="s">
        <v>663</v>
      </c>
      <c r="E226" s="17" t="s">
        <v>31</v>
      </c>
    </row>
    <row r="227" spans="1:5">
      <c r="A227" s="17" t="s">
        <v>670</v>
      </c>
      <c r="B227" s="6" t="s">
        <v>37</v>
      </c>
      <c r="C227" s="12" t="s">
        <v>37</v>
      </c>
      <c r="D227" s="20" t="s">
        <v>663</v>
      </c>
      <c r="E227" s="17" t="s">
        <v>31</v>
      </c>
    </row>
    <row r="228" spans="1:5">
      <c r="A228" s="17" t="s">
        <v>671</v>
      </c>
      <c r="B228" s="6" t="s">
        <v>653</v>
      </c>
      <c r="C228" s="12" t="s">
        <v>653</v>
      </c>
      <c r="D228" s="14" t="s">
        <v>50</v>
      </c>
      <c r="E228" s="17" t="s">
        <v>31</v>
      </c>
    </row>
    <row r="229" spans="1:5">
      <c r="A229" s="17" t="s">
        <v>672</v>
      </c>
      <c r="B229" s="6" t="s">
        <v>653</v>
      </c>
      <c r="C229" s="12" t="s">
        <v>653</v>
      </c>
      <c r="D229" s="14" t="s">
        <v>50</v>
      </c>
      <c r="E229" s="17" t="s">
        <v>48</v>
      </c>
    </row>
    <row r="230" spans="1:5">
      <c r="A230" s="17" t="s">
        <v>673</v>
      </c>
      <c r="B230" s="6" t="s">
        <v>653</v>
      </c>
      <c r="C230" s="12" t="s">
        <v>653</v>
      </c>
      <c r="D230" s="14" t="s">
        <v>50</v>
      </c>
      <c r="E230" s="17" t="s">
        <v>48</v>
      </c>
    </row>
    <row r="231" spans="1:5">
      <c r="A231" s="17" t="s">
        <v>674</v>
      </c>
      <c r="B231" s="12" t="s">
        <v>10</v>
      </c>
      <c r="C231" s="12" t="s">
        <v>10</v>
      </c>
      <c r="D231" s="17" t="s">
        <v>600</v>
      </c>
      <c r="E231" s="17" t="s">
        <v>39</v>
      </c>
    </row>
    <row r="232" spans="1:5">
      <c r="A232" s="17" t="s">
        <v>675</v>
      </c>
      <c r="B232" s="6" t="s">
        <v>653</v>
      </c>
      <c r="C232" s="12" t="s">
        <v>653</v>
      </c>
      <c r="D232" s="14" t="s">
        <v>50</v>
      </c>
      <c r="E232" s="17" t="s">
        <v>48</v>
      </c>
    </row>
    <row r="233" spans="1:5">
      <c r="A233" s="17" t="s">
        <v>676</v>
      </c>
      <c r="B233" s="12" t="s">
        <v>10</v>
      </c>
      <c r="C233" s="12" t="s">
        <v>10</v>
      </c>
      <c r="D233" s="17" t="s">
        <v>31</v>
      </c>
      <c r="E233" s="17" t="s">
        <v>35</v>
      </c>
    </row>
    <row r="234" spans="1:5">
      <c r="A234" s="17" t="s">
        <v>683</v>
      </c>
      <c r="B234" s="6" t="s">
        <v>37</v>
      </c>
      <c r="C234" s="12" t="s">
        <v>37</v>
      </c>
      <c r="D234" s="17" t="s">
        <v>38</v>
      </c>
      <c r="E234" s="17" t="s">
        <v>31</v>
      </c>
    </row>
    <row r="235" spans="1:5">
      <c r="A235" s="17" t="s">
        <v>679</v>
      </c>
      <c r="B235" s="6" t="s">
        <v>37</v>
      </c>
      <c r="C235" s="12" t="s">
        <v>37</v>
      </c>
      <c r="D235" s="17" t="s">
        <v>31</v>
      </c>
      <c r="E235" s="17" t="s">
        <v>105</v>
      </c>
    </row>
    <row r="236" spans="1:5">
      <c r="A236" s="17" t="s">
        <v>680</v>
      </c>
      <c r="B236" s="6" t="s">
        <v>37</v>
      </c>
      <c r="C236" s="12" t="s">
        <v>37</v>
      </c>
      <c r="D236" s="17" t="s">
        <v>50</v>
      </c>
      <c r="E236" s="17" t="s">
        <v>31</v>
      </c>
    </row>
    <row r="237" spans="1:5">
      <c r="A237" s="17" t="s">
        <v>681</v>
      </c>
      <c r="B237" s="6" t="s">
        <v>37</v>
      </c>
      <c r="C237" s="12" t="s">
        <v>37</v>
      </c>
      <c r="D237" s="17" t="s">
        <v>31</v>
      </c>
      <c r="E237" s="17" t="s">
        <v>112</v>
      </c>
    </row>
    <row r="238" spans="1:5">
      <c r="A238" s="17" t="s">
        <v>682</v>
      </c>
      <c r="B238" s="6" t="s">
        <v>37</v>
      </c>
      <c r="C238" s="12" t="s">
        <v>37</v>
      </c>
      <c r="D238" s="17" t="s">
        <v>38</v>
      </c>
      <c r="E238" s="17" t="s">
        <v>31</v>
      </c>
    </row>
    <row r="239" spans="1:5">
      <c r="A239" t="s">
        <v>685</v>
      </c>
      <c r="B239" s="6" t="s">
        <v>653</v>
      </c>
      <c r="C239" s="10" t="s">
        <v>653</v>
      </c>
      <c r="D239" s="14" t="s">
        <v>50</v>
      </c>
      <c r="E239" s="17" t="s">
        <v>45</v>
      </c>
    </row>
    <row r="240" spans="1:5">
      <c r="A240" t="s">
        <v>691</v>
      </c>
      <c r="B240" s="10" t="s">
        <v>37</v>
      </c>
      <c r="C240" s="10" t="s">
        <v>37</v>
      </c>
      <c r="D240" s="17" t="s">
        <v>663</v>
      </c>
      <c r="E240" s="17" t="s">
        <v>31</v>
      </c>
    </row>
    <row r="241" spans="1:5">
      <c r="A241" t="s">
        <v>692</v>
      </c>
      <c r="B241" s="10" t="s">
        <v>653</v>
      </c>
      <c r="C241" s="10" t="s">
        <v>653</v>
      </c>
      <c r="D241" s="14" t="s">
        <v>50</v>
      </c>
      <c r="E241" s="17" t="s">
        <v>48</v>
      </c>
    </row>
    <row r="242" spans="1:5">
      <c r="A242" t="s">
        <v>693</v>
      </c>
      <c r="B242" s="10" t="s">
        <v>10</v>
      </c>
      <c r="C242" s="10" t="s">
        <v>10</v>
      </c>
      <c r="D242" s="17" t="s">
        <v>31</v>
      </c>
      <c r="E242" s="17" t="s">
        <v>52</v>
      </c>
    </row>
    <row r="243" spans="1:5">
      <c r="A243" t="s">
        <v>694</v>
      </c>
      <c r="B243" s="10" t="s">
        <v>10</v>
      </c>
      <c r="C243" s="10" t="s">
        <v>10</v>
      </c>
      <c r="D243" s="17" t="s">
        <v>31</v>
      </c>
      <c r="E243" s="17" t="s">
        <v>52</v>
      </c>
    </row>
    <row r="244" spans="1:5">
      <c r="A244" t="s">
        <v>695</v>
      </c>
      <c r="B244" s="10" t="s">
        <v>10</v>
      </c>
      <c r="C244" s="10" t="s">
        <v>10</v>
      </c>
      <c r="D244" s="17" t="s">
        <v>600</v>
      </c>
      <c r="E244" s="17" t="s">
        <v>31</v>
      </c>
    </row>
    <row r="245" spans="1:5">
      <c r="A245" t="s">
        <v>696</v>
      </c>
      <c r="B245" s="10" t="s">
        <v>37</v>
      </c>
      <c r="C245" s="10" t="s">
        <v>37</v>
      </c>
      <c r="D245" t="s">
        <v>31</v>
      </c>
      <c r="E245" t="s">
        <v>137</v>
      </c>
    </row>
    <row r="246" spans="1:5">
      <c r="A246" t="s">
        <v>697</v>
      </c>
      <c r="B246" s="10" t="s">
        <v>37</v>
      </c>
      <c r="C246" s="10" t="s">
        <v>37</v>
      </c>
      <c r="D246" t="s">
        <v>31</v>
      </c>
      <c r="E246" t="s">
        <v>137</v>
      </c>
    </row>
    <row r="247" spans="1:5">
      <c r="A247" t="s">
        <v>698</v>
      </c>
      <c r="B247" s="10" t="s">
        <v>37</v>
      </c>
      <c r="C247" s="10" t="s">
        <v>37</v>
      </c>
      <c r="D247" t="s">
        <v>31</v>
      </c>
      <c r="E247" t="s">
        <v>105</v>
      </c>
    </row>
    <row r="248" spans="1:5">
      <c r="A248" t="s">
        <v>703</v>
      </c>
      <c r="B248" s="10" t="s">
        <v>37</v>
      </c>
      <c r="C248" s="10" t="s">
        <v>37</v>
      </c>
      <c r="D248" t="s">
        <v>38</v>
      </c>
      <c r="E248" t="s">
        <v>31</v>
      </c>
    </row>
    <row r="249" spans="1:5">
      <c r="A249" t="s">
        <v>704</v>
      </c>
      <c r="B249" s="10" t="s">
        <v>37</v>
      </c>
      <c r="C249" s="10" t="s">
        <v>37</v>
      </c>
      <c r="D249" t="s">
        <v>31</v>
      </c>
      <c r="E249" t="s">
        <v>112</v>
      </c>
    </row>
    <row r="250" spans="1:5">
      <c r="A250" t="s">
        <v>705</v>
      </c>
      <c r="B250" s="10" t="s">
        <v>653</v>
      </c>
      <c r="C250" s="10" t="s">
        <v>653</v>
      </c>
      <c r="D250" s="14" t="s">
        <v>50</v>
      </c>
      <c r="E250" t="s">
        <v>554</v>
      </c>
    </row>
    <row r="251" spans="1:5">
      <c r="A251" t="s">
        <v>706</v>
      </c>
      <c r="B251" s="10" t="s">
        <v>37</v>
      </c>
      <c r="C251" s="10" t="s">
        <v>37</v>
      </c>
      <c r="D251" t="s">
        <v>663</v>
      </c>
      <c r="E251" t="s">
        <v>31</v>
      </c>
    </row>
    <row r="252" spans="1:5">
      <c r="A252" t="s">
        <v>707</v>
      </c>
      <c r="B252" s="10" t="s">
        <v>653</v>
      </c>
      <c r="C252" s="10" t="s">
        <v>653</v>
      </c>
      <c r="D252" s="14" t="s">
        <v>50</v>
      </c>
      <c r="E252" t="s">
        <v>554</v>
      </c>
    </row>
    <row r="253" spans="1:5">
      <c r="A253" t="s">
        <v>708</v>
      </c>
      <c r="B253" s="10" t="s">
        <v>37</v>
      </c>
      <c r="C253" s="10" t="s">
        <v>37</v>
      </c>
      <c r="D253" t="s">
        <v>31</v>
      </c>
      <c r="E253" t="s">
        <v>927</v>
      </c>
    </row>
    <row r="254" spans="1:5">
      <c r="A254" t="s">
        <v>709</v>
      </c>
      <c r="B254" s="10" t="s">
        <v>37</v>
      </c>
      <c r="C254" s="10" t="s">
        <v>37</v>
      </c>
      <c r="D254" t="s">
        <v>663</v>
      </c>
      <c r="E254" t="s">
        <v>31</v>
      </c>
    </row>
    <row r="255" spans="1:5">
      <c r="A255" t="s">
        <v>710</v>
      </c>
      <c r="B255" s="10" t="s">
        <v>37</v>
      </c>
      <c r="C255" s="10" t="s">
        <v>37</v>
      </c>
      <c r="D255" t="s">
        <v>82</v>
      </c>
      <c r="E255" t="s">
        <v>31</v>
      </c>
    </row>
    <row r="256" spans="1:5">
      <c r="A256" t="s">
        <v>711</v>
      </c>
      <c r="B256" s="10" t="s">
        <v>37</v>
      </c>
      <c r="C256" s="10" t="s">
        <v>37</v>
      </c>
      <c r="D256" t="s">
        <v>31</v>
      </c>
      <c r="E256" t="s">
        <v>105</v>
      </c>
    </row>
    <row r="257" spans="1:5">
      <c r="A257" t="s">
        <v>720</v>
      </c>
      <c r="B257" s="10" t="s">
        <v>9</v>
      </c>
      <c r="C257" s="10" t="s">
        <v>601</v>
      </c>
      <c r="D257" t="s">
        <v>926</v>
      </c>
      <c r="E257" t="s">
        <v>31</v>
      </c>
    </row>
    <row r="258" spans="1:5">
      <c r="A258" t="s">
        <v>725</v>
      </c>
      <c r="B258" s="10" t="s">
        <v>10</v>
      </c>
      <c r="C258" s="10" t="s">
        <v>10</v>
      </c>
      <c r="D258" t="s">
        <v>600</v>
      </c>
      <c r="E258" t="s">
        <v>31</v>
      </c>
    </row>
    <row r="259" spans="1:5">
      <c r="A259" t="s">
        <v>726</v>
      </c>
      <c r="B259" s="10" t="s">
        <v>10</v>
      </c>
      <c r="C259" s="10" t="s">
        <v>10</v>
      </c>
      <c r="D259" t="s">
        <v>600</v>
      </c>
      <c r="E259" t="s">
        <v>31</v>
      </c>
    </row>
    <row r="260" spans="1:5">
      <c r="A260" t="s">
        <v>727</v>
      </c>
      <c r="B260" s="10" t="s">
        <v>10</v>
      </c>
      <c r="C260" s="10" t="s">
        <v>10</v>
      </c>
      <c r="D260" t="s">
        <v>31</v>
      </c>
      <c r="E260" t="s">
        <v>58</v>
      </c>
    </row>
    <row r="261" spans="1:5">
      <c r="A261" t="s">
        <v>728</v>
      </c>
      <c r="B261" s="10" t="s">
        <v>9</v>
      </c>
      <c r="C261" s="10" t="s">
        <v>661</v>
      </c>
      <c r="D261" t="s">
        <v>926</v>
      </c>
      <c r="E261" t="s">
        <v>31</v>
      </c>
    </row>
    <row r="262" spans="1:5">
      <c r="A262" t="s">
        <v>729</v>
      </c>
      <c r="B262" s="10" t="s">
        <v>10</v>
      </c>
      <c r="C262" s="10" t="s">
        <v>10</v>
      </c>
      <c r="D262" t="s">
        <v>30</v>
      </c>
      <c r="E262" t="s">
        <v>58</v>
      </c>
    </row>
    <row r="263" spans="1:5">
      <c r="A263" t="s">
        <v>730</v>
      </c>
      <c r="B263" s="10" t="s">
        <v>653</v>
      </c>
      <c r="C263" s="10" t="s">
        <v>653</v>
      </c>
      <c r="D263" s="14" t="s">
        <v>50</v>
      </c>
      <c r="E263" t="s">
        <v>48</v>
      </c>
    </row>
    <row r="264" spans="1:5">
      <c r="A264" t="s">
        <v>731</v>
      </c>
      <c r="B264" s="10" t="s">
        <v>37</v>
      </c>
      <c r="C264" s="10" t="s">
        <v>37</v>
      </c>
      <c r="D264" t="s">
        <v>31</v>
      </c>
      <c r="E264" t="s">
        <v>105</v>
      </c>
    </row>
    <row r="265" spans="1:5">
      <c r="A265" s="2" t="s">
        <v>147</v>
      </c>
      <c r="B265" s="6" t="s">
        <v>37</v>
      </c>
      <c r="C265" s="6" t="s">
        <v>37</v>
      </c>
      <c r="D265" s="14" t="s">
        <v>662</v>
      </c>
      <c r="E265" s="14" t="s">
        <v>41</v>
      </c>
    </row>
    <row r="266" spans="1:5">
      <c r="A266" t="s">
        <v>741</v>
      </c>
      <c r="B266" s="10" t="s">
        <v>37</v>
      </c>
      <c r="C266" s="10" t="s">
        <v>37</v>
      </c>
      <c r="D266" t="s">
        <v>663</v>
      </c>
      <c r="E266" t="s">
        <v>31</v>
      </c>
    </row>
    <row r="267" spans="1:5">
      <c r="A267" t="s">
        <v>742</v>
      </c>
      <c r="B267" s="10" t="s">
        <v>653</v>
      </c>
      <c r="C267" s="10" t="str">
        <f>B267</f>
        <v>ME</v>
      </c>
      <c r="D267" s="14" t="s">
        <v>50</v>
      </c>
      <c r="E267" t="s">
        <v>31</v>
      </c>
    </row>
    <row r="268" spans="1:5">
      <c r="A268" t="s">
        <v>743</v>
      </c>
      <c r="B268" s="10" t="s">
        <v>653</v>
      </c>
      <c r="C268" s="10" t="str">
        <f t="shared" ref="C268:C295" si="0">B268</f>
        <v>ME</v>
      </c>
      <c r="D268" s="14" t="s">
        <v>50</v>
      </c>
      <c r="E268" t="s">
        <v>31</v>
      </c>
    </row>
    <row r="269" spans="1:5">
      <c r="A269" t="s">
        <v>744</v>
      </c>
      <c r="B269" s="10" t="s">
        <v>541</v>
      </c>
      <c r="C269" s="10" t="str">
        <f t="shared" si="0"/>
        <v>SME</v>
      </c>
      <c r="D269" t="s">
        <v>31</v>
      </c>
      <c r="E269" t="s">
        <v>31</v>
      </c>
    </row>
    <row r="270" spans="1:5">
      <c r="A270" t="s">
        <v>744</v>
      </c>
      <c r="B270" s="10" t="s">
        <v>541</v>
      </c>
      <c r="C270" s="10" t="str">
        <f t="shared" si="0"/>
        <v>SME</v>
      </c>
      <c r="D270" t="s">
        <v>31</v>
      </c>
      <c r="E270" t="s">
        <v>31</v>
      </c>
    </row>
    <row r="271" spans="1:5">
      <c r="A271" t="s">
        <v>745</v>
      </c>
      <c r="B271" s="10" t="s">
        <v>10</v>
      </c>
      <c r="C271" s="10" t="str">
        <f t="shared" si="0"/>
        <v>USA</v>
      </c>
      <c r="D271" t="s">
        <v>600</v>
      </c>
      <c r="E271" t="s">
        <v>31</v>
      </c>
    </row>
    <row r="272" spans="1:5">
      <c r="A272" t="s">
        <v>746</v>
      </c>
      <c r="B272" s="10" t="s">
        <v>9</v>
      </c>
      <c r="C272" s="10" t="str">
        <f t="shared" si="0"/>
        <v>EU/UK</v>
      </c>
      <c r="D272" t="s">
        <v>926</v>
      </c>
      <c r="E272" t="s">
        <v>31</v>
      </c>
    </row>
    <row r="273" spans="1:5">
      <c r="A273" t="s">
        <v>747</v>
      </c>
      <c r="B273" s="10" t="s">
        <v>10</v>
      </c>
      <c r="C273" s="10" t="str">
        <f t="shared" si="0"/>
        <v>USA</v>
      </c>
      <c r="D273" t="s">
        <v>65</v>
      </c>
      <c r="E273" t="s">
        <v>31</v>
      </c>
    </row>
    <row r="274" spans="1:5">
      <c r="A274" t="s">
        <v>748</v>
      </c>
      <c r="B274" s="10" t="s">
        <v>653</v>
      </c>
      <c r="C274" s="10" t="str">
        <f t="shared" si="0"/>
        <v>ME</v>
      </c>
      <c r="D274" s="14" t="s">
        <v>50</v>
      </c>
      <c r="E274" t="s">
        <v>31</v>
      </c>
    </row>
    <row r="275" spans="1:5">
      <c r="A275" t="s">
        <v>749</v>
      </c>
      <c r="B275" s="10" t="s">
        <v>653</v>
      </c>
      <c r="C275" s="10" t="str">
        <f t="shared" si="0"/>
        <v>ME</v>
      </c>
      <c r="D275" s="14" t="s">
        <v>50</v>
      </c>
      <c r="E275" t="s">
        <v>31</v>
      </c>
    </row>
    <row r="276" spans="1:5">
      <c r="A276" t="s">
        <v>750</v>
      </c>
      <c r="B276" s="10" t="s">
        <v>37</v>
      </c>
      <c r="C276" s="10" t="str">
        <f t="shared" si="0"/>
        <v>APAC</v>
      </c>
      <c r="D276" t="s">
        <v>38</v>
      </c>
      <c r="E276" t="s">
        <v>31</v>
      </c>
    </row>
    <row r="277" spans="1:5">
      <c r="A277" t="s">
        <v>751</v>
      </c>
      <c r="B277" s="10" t="s">
        <v>37</v>
      </c>
      <c r="C277" s="10" t="str">
        <f t="shared" si="0"/>
        <v>APAC</v>
      </c>
      <c r="D277" t="s">
        <v>38</v>
      </c>
      <c r="E277" t="s">
        <v>31</v>
      </c>
    </row>
    <row r="278" spans="1:5">
      <c r="A278" t="s">
        <v>752</v>
      </c>
      <c r="B278" s="10" t="s">
        <v>10</v>
      </c>
      <c r="C278" s="10" t="str">
        <f t="shared" si="0"/>
        <v>USA</v>
      </c>
      <c r="D278" t="s">
        <v>600</v>
      </c>
      <c r="E278" t="s">
        <v>31</v>
      </c>
    </row>
    <row r="279" spans="1:5">
      <c r="A279" t="s">
        <v>753</v>
      </c>
      <c r="B279" s="10" t="s">
        <v>37</v>
      </c>
      <c r="C279" s="10" t="str">
        <f t="shared" si="0"/>
        <v>APAC</v>
      </c>
      <c r="D279" t="s">
        <v>31</v>
      </c>
      <c r="E279" t="s">
        <v>31</v>
      </c>
    </row>
    <row r="280" spans="1:5">
      <c r="A280" t="s">
        <v>754</v>
      </c>
      <c r="B280" s="10" t="s">
        <v>37</v>
      </c>
      <c r="C280" s="10" t="str">
        <f t="shared" si="0"/>
        <v>APAC</v>
      </c>
      <c r="D280" t="s">
        <v>38</v>
      </c>
      <c r="E280" t="s">
        <v>31</v>
      </c>
    </row>
    <row r="281" spans="1:5">
      <c r="A281" t="s">
        <v>755</v>
      </c>
      <c r="B281" s="10" t="s">
        <v>37</v>
      </c>
      <c r="C281" s="10" t="str">
        <f t="shared" si="0"/>
        <v>APAC</v>
      </c>
      <c r="D281" t="s">
        <v>663</v>
      </c>
      <c r="E281" t="s">
        <v>31</v>
      </c>
    </row>
    <row r="282" spans="1:5">
      <c r="A282" t="s">
        <v>756</v>
      </c>
      <c r="B282" s="10" t="s">
        <v>37</v>
      </c>
      <c r="C282" s="10" t="str">
        <f t="shared" si="0"/>
        <v>APAC</v>
      </c>
      <c r="D282" t="s">
        <v>663</v>
      </c>
      <c r="E282" t="s">
        <v>31</v>
      </c>
    </row>
    <row r="283" spans="1:5">
      <c r="A283" t="s">
        <v>756</v>
      </c>
      <c r="B283" s="10" t="s">
        <v>37</v>
      </c>
      <c r="C283" s="10" t="str">
        <f t="shared" si="0"/>
        <v>APAC</v>
      </c>
      <c r="D283" t="s">
        <v>663</v>
      </c>
      <c r="E283" t="s">
        <v>31</v>
      </c>
    </row>
    <row r="284" spans="1:5">
      <c r="A284" t="s">
        <v>757</v>
      </c>
      <c r="B284" s="10" t="s">
        <v>653</v>
      </c>
      <c r="C284" s="10" t="str">
        <f t="shared" si="0"/>
        <v>ME</v>
      </c>
      <c r="D284" s="14" t="s">
        <v>50</v>
      </c>
      <c r="E284" t="s">
        <v>554</v>
      </c>
    </row>
    <row r="285" spans="1:5">
      <c r="A285" t="s">
        <v>758</v>
      </c>
      <c r="B285" s="10" t="s">
        <v>37</v>
      </c>
      <c r="C285" s="10" t="str">
        <f t="shared" si="0"/>
        <v>APAC</v>
      </c>
      <c r="D285" t="s">
        <v>31</v>
      </c>
      <c r="E285" t="s">
        <v>39</v>
      </c>
    </row>
    <row r="286" spans="1:5">
      <c r="A286" t="s">
        <v>759</v>
      </c>
      <c r="B286" s="10" t="s">
        <v>10</v>
      </c>
      <c r="C286" s="10" t="str">
        <f t="shared" si="0"/>
        <v>USA</v>
      </c>
      <c r="D286" t="s">
        <v>600</v>
      </c>
      <c r="E286" t="s">
        <v>52</v>
      </c>
    </row>
    <row r="287" spans="1:5">
      <c r="A287" t="s">
        <v>760</v>
      </c>
      <c r="B287" s="10" t="s">
        <v>37</v>
      </c>
      <c r="C287" s="10" t="str">
        <f t="shared" si="0"/>
        <v>APAC</v>
      </c>
      <c r="D287" t="s">
        <v>82</v>
      </c>
      <c r="E287" t="s">
        <v>31</v>
      </c>
    </row>
    <row r="288" spans="1:5">
      <c r="A288" t="s">
        <v>761</v>
      </c>
      <c r="B288" s="10" t="s">
        <v>37</v>
      </c>
      <c r="C288" s="10" t="str">
        <f t="shared" si="0"/>
        <v>APAC</v>
      </c>
      <c r="D288" t="s">
        <v>31</v>
      </c>
      <c r="E288" t="s">
        <v>39</v>
      </c>
    </row>
    <row r="289" spans="1:5">
      <c r="A289" t="s">
        <v>762</v>
      </c>
      <c r="B289" s="10" t="s">
        <v>10</v>
      </c>
      <c r="C289" s="10" t="str">
        <f t="shared" si="0"/>
        <v>USA</v>
      </c>
      <c r="D289" t="s">
        <v>31</v>
      </c>
      <c r="E289" t="s">
        <v>58</v>
      </c>
    </row>
    <row r="290" spans="1:5">
      <c r="A290" t="s">
        <v>763</v>
      </c>
      <c r="B290" s="10" t="s">
        <v>37</v>
      </c>
      <c r="C290" s="10" t="str">
        <f t="shared" si="0"/>
        <v>APAC</v>
      </c>
      <c r="D290" t="s">
        <v>702</v>
      </c>
      <c r="E290" t="s">
        <v>39</v>
      </c>
    </row>
    <row r="291" spans="1:5">
      <c r="A291" t="s">
        <v>764</v>
      </c>
      <c r="B291" s="10" t="s">
        <v>10</v>
      </c>
      <c r="C291" s="10" t="str">
        <f t="shared" si="0"/>
        <v>USA</v>
      </c>
      <c r="D291" t="s">
        <v>31</v>
      </c>
      <c r="E291" t="s">
        <v>58</v>
      </c>
    </row>
    <row r="292" spans="1:5">
      <c r="A292" t="s">
        <v>787</v>
      </c>
      <c r="B292" s="10" t="s">
        <v>37</v>
      </c>
      <c r="C292" s="10" t="str">
        <f t="shared" si="0"/>
        <v>APAC</v>
      </c>
      <c r="D292" t="s">
        <v>31</v>
      </c>
      <c r="E292" t="s">
        <v>137</v>
      </c>
    </row>
    <row r="293" spans="1:5">
      <c r="A293" t="s">
        <v>788</v>
      </c>
      <c r="B293" s="10" t="s">
        <v>653</v>
      </c>
      <c r="C293" s="10" t="str">
        <f t="shared" si="0"/>
        <v>ME</v>
      </c>
      <c r="D293" s="14" t="s">
        <v>50</v>
      </c>
      <c r="E293" t="s">
        <v>554</v>
      </c>
    </row>
    <row r="294" spans="1:5">
      <c r="A294" t="s">
        <v>789</v>
      </c>
      <c r="B294" s="10" t="s">
        <v>10</v>
      </c>
      <c r="C294" s="10" t="str">
        <f t="shared" si="0"/>
        <v>USA</v>
      </c>
      <c r="D294" t="s">
        <v>31</v>
      </c>
      <c r="E294" t="s">
        <v>58</v>
      </c>
    </row>
    <row r="295" spans="1:5">
      <c r="A295" t="s">
        <v>790</v>
      </c>
      <c r="B295" s="10" t="s">
        <v>37</v>
      </c>
      <c r="C295" s="10" t="str">
        <f t="shared" si="0"/>
        <v>APAC</v>
      </c>
      <c r="D295" t="s">
        <v>31</v>
      </c>
      <c r="E295" t="s">
        <v>105</v>
      </c>
    </row>
    <row r="296" spans="1:5">
      <c r="A296" t="s">
        <v>812</v>
      </c>
      <c r="B296" s="10" t="s">
        <v>10</v>
      </c>
      <c r="C296" s="10" t="str">
        <f t="shared" ref="C296:C297" si="1">B296</f>
        <v>USA</v>
      </c>
      <c r="D296" t="s">
        <v>31</v>
      </c>
      <c r="E296" t="s">
        <v>58</v>
      </c>
    </row>
    <row r="297" spans="1:5">
      <c r="A297" s="58" t="s">
        <v>817</v>
      </c>
      <c r="B297" s="10" t="s">
        <v>37</v>
      </c>
      <c r="C297" s="10" t="str">
        <f t="shared" si="1"/>
        <v>APAC</v>
      </c>
      <c r="D297" t="s">
        <v>31</v>
      </c>
      <c r="E297" t="s">
        <v>82</v>
      </c>
    </row>
    <row r="298" spans="1:5">
      <c r="A298" s="58" t="s">
        <v>818</v>
      </c>
      <c r="B298" s="10" t="s">
        <v>37</v>
      </c>
      <c r="C298" s="10" t="str">
        <f t="shared" ref="C298:C307" si="2">B298</f>
        <v>APAC</v>
      </c>
      <c r="D298" t="s">
        <v>31</v>
      </c>
      <c r="E298" t="s">
        <v>82</v>
      </c>
    </row>
    <row r="299" spans="1:5">
      <c r="A299" s="58" t="s">
        <v>819</v>
      </c>
      <c r="B299" s="10" t="s">
        <v>653</v>
      </c>
      <c r="C299" s="10" t="str">
        <f t="shared" si="2"/>
        <v>ME</v>
      </c>
      <c r="D299" s="14" t="s">
        <v>50</v>
      </c>
      <c r="E299" t="s">
        <v>45</v>
      </c>
    </row>
    <row r="300" spans="1:5">
      <c r="A300" s="58" t="s">
        <v>820</v>
      </c>
      <c r="B300" s="10" t="s">
        <v>37</v>
      </c>
      <c r="C300" s="10" t="str">
        <f t="shared" si="2"/>
        <v>APAC</v>
      </c>
      <c r="D300" t="s">
        <v>31</v>
      </c>
      <c r="E300" t="s">
        <v>137</v>
      </c>
    </row>
    <row r="301" spans="1:5">
      <c r="A301" s="58" t="s">
        <v>821</v>
      </c>
      <c r="B301" s="10" t="s">
        <v>10</v>
      </c>
      <c r="C301" s="10" t="str">
        <f t="shared" si="2"/>
        <v>USA</v>
      </c>
      <c r="D301" t="s">
        <v>31</v>
      </c>
      <c r="E301" t="s">
        <v>58</v>
      </c>
    </row>
    <row r="302" spans="1:5">
      <c r="A302" s="8" t="s">
        <v>863</v>
      </c>
      <c r="B302" s="10" t="s">
        <v>37</v>
      </c>
      <c r="C302" s="10" t="str">
        <f t="shared" si="2"/>
        <v>APAC</v>
      </c>
      <c r="D302" t="s">
        <v>31</v>
      </c>
      <c r="E302" t="s">
        <v>137</v>
      </c>
    </row>
    <row r="303" spans="1:5">
      <c r="A303" s="8" t="s">
        <v>864</v>
      </c>
      <c r="B303" s="10" t="s">
        <v>37</v>
      </c>
      <c r="C303" s="10" t="str">
        <f t="shared" si="2"/>
        <v>APAC</v>
      </c>
      <c r="D303" t="s">
        <v>31</v>
      </c>
      <c r="E303" t="s">
        <v>925</v>
      </c>
    </row>
    <row r="304" spans="1:5">
      <c r="A304" s="8" t="s">
        <v>865</v>
      </c>
      <c r="B304" s="10" t="s">
        <v>37</v>
      </c>
      <c r="C304" s="10" t="str">
        <f t="shared" si="2"/>
        <v>APAC</v>
      </c>
      <c r="D304" t="s">
        <v>31</v>
      </c>
      <c r="E304" t="s">
        <v>54</v>
      </c>
    </row>
    <row r="305" spans="1:5">
      <c r="A305" s="8" t="s">
        <v>866</v>
      </c>
      <c r="B305" s="10" t="s">
        <v>10</v>
      </c>
      <c r="C305" s="10" t="str">
        <f t="shared" si="2"/>
        <v>USA</v>
      </c>
      <c r="D305" t="s">
        <v>31</v>
      </c>
      <c r="E305" t="s">
        <v>58</v>
      </c>
    </row>
    <row r="306" spans="1:5">
      <c r="A306" s="8" t="s">
        <v>867</v>
      </c>
      <c r="B306" s="10" t="s">
        <v>10</v>
      </c>
      <c r="C306" s="10" t="str">
        <f t="shared" si="2"/>
        <v>USA</v>
      </c>
      <c r="D306" t="s">
        <v>31</v>
      </c>
      <c r="E306" t="s">
        <v>58</v>
      </c>
    </row>
    <row r="307" spans="1:5">
      <c r="A307" t="s">
        <v>932</v>
      </c>
      <c r="B307" s="10" t="s">
        <v>10</v>
      </c>
      <c r="C307" s="10" t="str">
        <f t="shared" si="2"/>
        <v>USA</v>
      </c>
      <c r="D307" t="s">
        <v>31</v>
      </c>
      <c r="E307" t="s">
        <v>58</v>
      </c>
    </row>
    <row r="308" spans="1:5">
      <c r="A308" s="9"/>
      <c r="B308" s="10"/>
      <c r="C308" s="10"/>
    </row>
    <row r="309" spans="1:5">
      <c r="A309" s="9"/>
      <c r="B309" s="10"/>
      <c r="C309" s="10"/>
    </row>
    <row r="310" spans="1:5">
      <c r="A310" s="9"/>
      <c r="B310" s="10"/>
      <c r="C310" s="10"/>
    </row>
    <row r="311" spans="1:5">
      <c r="A311" s="9"/>
      <c r="B311" s="10"/>
      <c r="C311" s="10"/>
    </row>
    <row r="312" spans="1:5">
      <c r="A312" s="9"/>
      <c r="B312" s="10"/>
      <c r="C312" s="10"/>
    </row>
    <row r="313" spans="1:5">
      <c r="A313" s="9"/>
      <c r="B313" s="10"/>
      <c r="C313" s="10"/>
    </row>
    <row r="314" spans="1:5">
      <c r="A314" s="9"/>
      <c r="B314" s="10"/>
      <c r="C314" s="10"/>
    </row>
    <row r="315" spans="1:5">
      <c r="A315" s="9"/>
      <c r="B315" s="10"/>
      <c r="C315" s="10"/>
    </row>
    <row r="316" spans="1:5">
      <c r="A316" s="9"/>
      <c r="B316" s="10"/>
      <c r="C316" s="10"/>
    </row>
    <row r="317" spans="1:5">
      <c r="A317" s="9"/>
      <c r="B317" s="10"/>
      <c r="C317" s="10"/>
    </row>
    <row r="318" spans="1:5">
      <c r="A318" s="9"/>
      <c r="B318" s="10"/>
      <c r="C318" s="10"/>
    </row>
    <row r="319" spans="1:5">
      <c r="A319" s="9"/>
      <c r="B319" s="10"/>
      <c r="C319" s="10"/>
    </row>
    <row r="320" spans="1:5">
      <c r="A320" s="9"/>
      <c r="B320" s="10"/>
      <c r="C320" s="10"/>
    </row>
    <row r="321" spans="1:3">
      <c r="A321" s="9"/>
      <c r="B321" s="10"/>
      <c r="C321" s="10"/>
    </row>
    <row r="322" spans="1:3">
      <c r="A322" s="9"/>
      <c r="B322" s="10"/>
      <c r="C322" s="10"/>
    </row>
    <row r="323" spans="1:3">
      <c r="A323" s="9"/>
      <c r="B323" s="10"/>
      <c r="C323" s="10"/>
    </row>
    <row r="324" spans="1:3">
      <c r="A324" s="9"/>
      <c r="B324" s="10"/>
      <c r="C324" s="10"/>
    </row>
    <row r="325" spans="1:3">
      <c r="A325" s="9"/>
      <c r="B325" s="10"/>
      <c r="C325" s="10"/>
    </row>
    <row r="326" spans="1:3">
      <c r="A326" s="9"/>
      <c r="B326" s="10"/>
      <c r="C326" s="10"/>
    </row>
    <row r="327" spans="1:3">
      <c r="A327" s="9"/>
      <c r="B327" s="10"/>
      <c r="C327" s="10"/>
    </row>
    <row r="328" spans="1:3">
      <c r="A328" s="9"/>
      <c r="B328" s="10"/>
      <c r="C328" s="10"/>
    </row>
    <row r="329" spans="1:3">
      <c r="A329" s="9"/>
      <c r="B329" s="10"/>
      <c r="C329" s="10"/>
    </row>
    <row r="330" spans="1:3">
      <c r="A330" s="9"/>
      <c r="B330" s="10"/>
      <c r="C330" s="10"/>
    </row>
    <row r="331" spans="1:3">
      <c r="A331" s="9"/>
      <c r="B331" s="10"/>
      <c r="C331" s="10"/>
    </row>
    <row r="332" spans="1:3">
      <c r="A332" s="9"/>
      <c r="B332" s="10"/>
      <c r="C332" s="10"/>
    </row>
    <row r="333" spans="1:3">
      <c r="A333" s="9"/>
      <c r="B333" s="10"/>
      <c r="C333" s="10"/>
    </row>
    <row r="334" spans="1:3">
      <c r="A334" s="9"/>
      <c r="B334" s="10"/>
      <c r="C334" s="10"/>
    </row>
    <row r="335" spans="1:3">
      <c r="A335" s="9"/>
      <c r="B335" s="10"/>
      <c r="C335" s="10"/>
    </row>
    <row r="336" spans="1:3">
      <c r="A336" s="9"/>
      <c r="B336" s="10"/>
      <c r="C336" s="10"/>
    </row>
    <row r="337" spans="1:3">
      <c r="A337" s="9"/>
      <c r="B337" s="10"/>
      <c r="C337" s="10"/>
    </row>
    <row r="338" spans="1:3">
      <c r="A338" s="9"/>
      <c r="B338" s="10"/>
      <c r="C338" s="10"/>
    </row>
    <row r="339" spans="1:3">
      <c r="A339" s="9"/>
      <c r="B339" s="10"/>
      <c r="C339" s="10"/>
    </row>
    <row r="340" spans="1:3">
      <c r="A340" s="9"/>
      <c r="B340" s="10"/>
      <c r="C340" s="10"/>
    </row>
    <row r="341" spans="1:3">
      <c r="A341" s="9"/>
      <c r="B341" s="10"/>
      <c r="C341" s="10"/>
    </row>
    <row r="342" spans="1:3">
      <c r="A342" s="9"/>
      <c r="B342" s="10"/>
      <c r="C342" s="10"/>
    </row>
    <row r="343" spans="1:3">
      <c r="A343" s="9"/>
      <c r="B343" s="10"/>
      <c r="C343" s="10"/>
    </row>
    <row r="344" spans="1:3">
      <c r="A344" s="9"/>
      <c r="B344" s="10"/>
      <c r="C344" s="10"/>
    </row>
    <row r="345" spans="1:3">
      <c r="A345" s="9"/>
      <c r="B345" s="10"/>
      <c r="C345" s="10"/>
    </row>
    <row r="346" spans="1:3">
      <c r="A346" s="9"/>
      <c r="B346" s="10"/>
      <c r="C346" s="10"/>
    </row>
    <row r="347" spans="1:3">
      <c r="A347" s="9"/>
      <c r="B347" s="10"/>
      <c r="C347" s="10"/>
    </row>
    <row r="348" spans="1:3">
      <c r="A348" s="9"/>
      <c r="B348" s="10"/>
      <c r="C348" s="10"/>
    </row>
    <row r="349" spans="1:3">
      <c r="A349" s="9"/>
      <c r="B349" s="10"/>
      <c r="C349" s="10"/>
    </row>
    <row r="350" spans="1:3">
      <c r="A350" s="9"/>
      <c r="B350" s="10"/>
      <c r="C350" s="10"/>
    </row>
    <row r="351" spans="1:3">
      <c r="A351" s="9"/>
      <c r="B351" s="10"/>
      <c r="C351" s="10"/>
    </row>
    <row r="352" spans="1:3">
      <c r="A352" s="9"/>
      <c r="B352" s="10"/>
      <c r="C352" s="10"/>
    </row>
    <row r="353" spans="1:3">
      <c r="A353" s="9"/>
      <c r="B353" s="10"/>
      <c r="C353" s="10"/>
    </row>
    <row r="354" spans="1:3">
      <c r="A354" s="9"/>
      <c r="B354" s="10"/>
      <c r="C354" s="10"/>
    </row>
    <row r="355" spans="1:3">
      <c r="A355" s="9"/>
      <c r="B355" s="10"/>
      <c r="C355" s="10"/>
    </row>
    <row r="356" spans="1:3">
      <c r="A356" s="9"/>
      <c r="B356" s="10"/>
      <c r="C356" s="10"/>
    </row>
    <row r="357" spans="1:3">
      <c r="A357" s="9"/>
      <c r="B357" s="10"/>
      <c r="C357" s="10"/>
    </row>
    <row r="358" spans="1:3">
      <c r="A358" s="9"/>
      <c r="B358" s="10"/>
      <c r="C358" s="10"/>
    </row>
    <row r="359" spans="1:3">
      <c r="A359" s="9"/>
      <c r="B359" s="10"/>
      <c r="C359" s="10"/>
    </row>
    <row r="360" spans="1:3">
      <c r="A360" s="9"/>
      <c r="B360" s="10"/>
      <c r="C360" s="10"/>
    </row>
    <row r="361" spans="1:3">
      <c r="A361" s="9"/>
      <c r="B361" s="10"/>
      <c r="C361" s="10"/>
    </row>
    <row r="362" spans="1:3">
      <c r="A362" s="9"/>
      <c r="B362" s="10"/>
      <c r="C362" s="10"/>
    </row>
    <row r="363" spans="1:3">
      <c r="A363" s="9"/>
      <c r="B363" s="10"/>
      <c r="C363" s="10"/>
    </row>
    <row r="364" spans="1:3">
      <c r="A364" s="9"/>
      <c r="B364" s="10"/>
      <c r="C364" s="10"/>
    </row>
    <row r="365" spans="1:3">
      <c r="A365" s="9"/>
      <c r="B365" s="10"/>
      <c r="C365" s="10"/>
    </row>
    <row r="366" spans="1:3">
      <c r="A366" s="9"/>
      <c r="B366" s="10"/>
      <c r="C366" s="10"/>
    </row>
    <row r="367" spans="1:3">
      <c r="A367" s="9"/>
      <c r="B367" s="10"/>
      <c r="C367" s="10"/>
    </row>
    <row r="368" spans="1:3">
      <c r="A368" s="9"/>
      <c r="B368" s="10"/>
      <c r="C368" s="10"/>
    </row>
    <row r="369" spans="1:3">
      <c r="A369" s="9"/>
      <c r="B369" s="10"/>
      <c r="C369" s="10"/>
    </row>
    <row r="370" spans="1:3">
      <c r="A370" s="9"/>
      <c r="B370" s="10"/>
      <c r="C370" s="10"/>
    </row>
    <row r="371" spans="1:3">
      <c r="A371" s="9"/>
      <c r="B371" s="10"/>
      <c r="C371" s="10"/>
    </row>
    <row r="372" spans="1:3">
      <c r="A372" s="9"/>
      <c r="B372" s="10"/>
      <c r="C372" s="10"/>
    </row>
    <row r="373" spans="1:3">
      <c r="A373" s="9"/>
      <c r="B373" s="10"/>
      <c r="C373" s="10"/>
    </row>
    <row r="374" spans="1:3">
      <c r="A374" s="9"/>
      <c r="B374" s="10"/>
      <c r="C374" s="10"/>
    </row>
    <row r="375" spans="1:3">
      <c r="A375" s="9"/>
      <c r="B375" s="10"/>
      <c r="C375" s="10"/>
    </row>
    <row r="376" spans="1:3">
      <c r="A376" s="9"/>
      <c r="B376" s="10"/>
      <c r="C376" s="10"/>
    </row>
    <row r="377" spans="1:3">
      <c r="A377" s="9"/>
      <c r="B377" s="10"/>
      <c r="C377" s="10"/>
    </row>
    <row r="378" spans="1:3">
      <c r="A378" s="9"/>
      <c r="B378" s="10"/>
      <c r="C378" s="10"/>
    </row>
    <row r="379" spans="1:3">
      <c r="A379" s="9"/>
      <c r="B379" s="10"/>
      <c r="C379" s="10"/>
    </row>
    <row r="380" spans="1:3">
      <c r="A380" s="9"/>
      <c r="B380" s="10"/>
      <c r="C380" s="10"/>
    </row>
    <row r="381" spans="1:3">
      <c r="A381" s="9"/>
      <c r="B381" s="10"/>
      <c r="C381" s="10"/>
    </row>
    <row r="382" spans="1:3">
      <c r="A382" s="9"/>
      <c r="B382" s="10"/>
      <c r="C382" s="10"/>
    </row>
    <row r="383" spans="1:3">
      <c r="A383" s="9"/>
      <c r="B383" s="10"/>
      <c r="C383" s="10"/>
    </row>
    <row r="384" spans="1:3">
      <c r="A384" s="9"/>
      <c r="B384" s="10"/>
      <c r="C384" s="10"/>
    </row>
    <row r="385" spans="1:3">
      <c r="A385" s="9"/>
      <c r="B385" s="10"/>
      <c r="C385" s="10"/>
    </row>
    <row r="386" spans="1:3">
      <c r="A386" s="9"/>
      <c r="B386" s="10"/>
      <c r="C386" s="10"/>
    </row>
    <row r="387" spans="1:3">
      <c r="A387" s="9"/>
      <c r="B387" s="10"/>
      <c r="C387" s="10"/>
    </row>
    <row r="388" spans="1:3">
      <c r="A388" s="9"/>
      <c r="B388" s="10"/>
      <c r="C388" s="10"/>
    </row>
    <row r="389" spans="1:3">
      <c r="A389" s="9"/>
      <c r="B389" s="10"/>
      <c r="C389" s="10"/>
    </row>
    <row r="390" spans="1:3">
      <c r="A390" s="9"/>
      <c r="B390" s="10"/>
      <c r="C390" s="10"/>
    </row>
    <row r="391" spans="1:3">
      <c r="A391" s="9"/>
      <c r="B391" s="10"/>
      <c r="C391" s="10"/>
    </row>
    <row r="392" spans="1:3">
      <c r="A392" s="9"/>
      <c r="B392" s="10"/>
      <c r="C392" s="10"/>
    </row>
    <row r="393" spans="1:3">
      <c r="A393" s="9"/>
      <c r="B393" s="10"/>
      <c r="C393" s="10"/>
    </row>
    <row r="394" spans="1:3">
      <c r="A394" s="9"/>
      <c r="B394" s="10"/>
      <c r="C394" s="10"/>
    </row>
    <row r="395" spans="1:3">
      <c r="A395" s="9"/>
      <c r="B395" s="10"/>
      <c r="C395" s="10"/>
    </row>
    <row r="396" spans="1:3">
      <c r="A396" s="9"/>
      <c r="B396" s="10"/>
      <c r="C396" s="10"/>
    </row>
    <row r="397" spans="1:3">
      <c r="A397" s="9"/>
      <c r="B397" s="10"/>
      <c r="C397" s="10"/>
    </row>
    <row r="398" spans="1:3">
      <c r="A398" s="9"/>
      <c r="B398" s="10"/>
      <c r="C398" s="10"/>
    </row>
    <row r="399" spans="1:3">
      <c r="A399" s="9"/>
      <c r="B399" s="10"/>
      <c r="C399" s="10"/>
    </row>
    <row r="400" spans="1:3">
      <c r="A400" s="9"/>
      <c r="B400" s="10"/>
      <c r="C400" s="10"/>
    </row>
    <row r="401" spans="1:3">
      <c r="A401" s="9"/>
      <c r="B401" s="10"/>
      <c r="C401" s="10"/>
    </row>
    <row r="402" spans="1:3">
      <c r="A402" s="9"/>
      <c r="B402" s="10"/>
      <c r="C402" s="10"/>
    </row>
    <row r="403" spans="1:3">
      <c r="A403" s="9"/>
      <c r="B403" s="10"/>
      <c r="C403" s="10"/>
    </row>
    <row r="404" spans="1:3">
      <c r="A404" s="9"/>
      <c r="B404" s="10"/>
      <c r="C404" s="10"/>
    </row>
    <row r="405" spans="1:3">
      <c r="A405" s="9"/>
      <c r="B405" s="10"/>
      <c r="C405" s="10"/>
    </row>
    <row r="406" spans="1:3">
      <c r="A406" s="9"/>
      <c r="B406" s="10"/>
      <c r="C406" s="10"/>
    </row>
    <row r="407" spans="1:3">
      <c r="A407" s="9"/>
      <c r="B407" s="10"/>
      <c r="C407" s="10"/>
    </row>
    <row r="408" spans="1:3">
      <c r="A408" s="9"/>
      <c r="B408" s="10"/>
      <c r="C408" s="10"/>
    </row>
    <row r="409" spans="1:3">
      <c r="A409" s="9"/>
      <c r="B409" s="10"/>
      <c r="C409" s="10"/>
    </row>
    <row r="410" spans="1:3">
      <c r="A410" s="9"/>
      <c r="B410" s="10"/>
      <c r="C410" s="10"/>
    </row>
    <row r="411" spans="1:3">
      <c r="A411" s="9"/>
      <c r="B411" s="10"/>
      <c r="C411" s="10"/>
    </row>
    <row r="412" spans="1:3">
      <c r="A412" s="9"/>
      <c r="B412" s="10"/>
      <c r="C412" s="10"/>
    </row>
    <row r="413" spans="1:3">
      <c r="A413" s="9"/>
      <c r="B413" s="10"/>
      <c r="C413" s="10"/>
    </row>
    <row r="414" spans="1:3">
      <c r="A414" s="9"/>
      <c r="B414" s="10"/>
      <c r="C414" s="10"/>
    </row>
    <row r="415" spans="1:3">
      <c r="A415" s="9"/>
      <c r="B415" s="10"/>
      <c r="C415" s="10"/>
    </row>
    <row r="416" spans="1:3">
      <c r="A416" s="9"/>
      <c r="B416" s="10"/>
      <c r="C416" s="10"/>
    </row>
    <row r="417" spans="1:3">
      <c r="A417" s="9"/>
      <c r="B417" s="10"/>
      <c r="C417" s="10"/>
    </row>
    <row r="418" spans="1:3">
      <c r="A418" s="9"/>
      <c r="B418" s="10"/>
      <c r="C418" s="10"/>
    </row>
    <row r="419" spans="1:3">
      <c r="A419" s="9"/>
      <c r="B419" s="10"/>
      <c r="C419" s="10"/>
    </row>
    <row r="420" spans="1:3">
      <c r="A420" s="9"/>
      <c r="B420" s="10"/>
      <c r="C420" s="10"/>
    </row>
    <row r="421" spans="1:3">
      <c r="A421" s="9"/>
      <c r="B421" s="10"/>
      <c r="C421" s="10"/>
    </row>
    <row r="422" spans="1:3">
      <c r="A422" s="9"/>
      <c r="B422" s="10"/>
      <c r="C422" s="10"/>
    </row>
    <row r="423" spans="1:3">
      <c r="A423" s="9"/>
      <c r="B423" s="10"/>
      <c r="C423" s="10"/>
    </row>
    <row r="424" spans="1:3">
      <c r="A424" s="9"/>
      <c r="B424" s="10"/>
      <c r="C424" s="10"/>
    </row>
    <row r="425" spans="1:3">
      <c r="A425" s="9"/>
      <c r="B425" s="10"/>
      <c r="C425" s="10"/>
    </row>
    <row r="426" spans="1:3">
      <c r="A426" s="9"/>
      <c r="B426" s="10"/>
      <c r="C426" s="10"/>
    </row>
    <row r="427" spans="1:3">
      <c r="A427" s="9"/>
      <c r="B427" s="10"/>
      <c r="C427" s="10"/>
    </row>
    <row r="428" spans="1:3">
      <c r="A428" s="9"/>
      <c r="B428" s="10"/>
      <c r="C428" s="10"/>
    </row>
    <row r="429" spans="1:3">
      <c r="A429" s="9"/>
      <c r="B429" s="10"/>
      <c r="C429" s="10"/>
    </row>
    <row r="430" spans="1:3">
      <c r="A430" s="9"/>
      <c r="B430" s="10"/>
      <c r="C430" s="10"/>
    </row>
    <row r="431" spans="1:3">
      <c r="A431" s="9"/>
      <c r="B431" s="10"/>
      <c r="C431" s="10"/>
    </row>
    <row r="432" spans="1:3">
      <c r="A432" s="9"/>
      <c r="B432" s="10"/>
      <c r="C432" s="10"/>
    </row>
    <row r="433" spans="1:3">
      <c r="A433" s="9"/>
      <c r="B433" s="10"/>
      <c r="C433" s="10"/>
    </row>
    <row r="434" spans="1:3">
      <c r="A434" s="9"/>
      <c r="B434" s="10"/>
      <c r="C434" s="10"/>
    </row>
    <row r="435" spans="1:3">
      <c r="A435" s="9"/>
      <c r="B435" s="10"/>
      <c r="C435" s="10"/>
    </row>
    <row r="436" spans="1:3">
      <c r="A436" s="9"/>
      <c r="B436" s="10"/>
      <c r="C436" s="10"/>
    </row>
    <row r="437" spans="1:3">
      <c r="A437" s="9"/>
      <c r="B437" s="10"/>
      <c r="C437" s="10"/>
    </row>
    <row r="438" spans="1:3">
      <c r="A438" s="9"/>
      <c r="B438" s="10"/>
      <c r="C438" s="10"/>
    </row>
    <row r="439" spans="1:3">
      <c r="A439" s="9"/>
      <c r="B439" s="10"/>
      <c r="C439" s="10"/>
    </row>
    <row r="440" spans="1:3">
      <c r="A440" s="9"/>
      <c r="B440" s="10"/>
      <c r="C440" s="10"/>
    </row>
    <row r="441" spans="1:3">
      <c r="A441" s="9"/>
      <c r="B441" s="10"/>
      <c r="C441" s="10"/>
    </row>
    <row r="442" spans="1:3">
      <c r="A442" s="9"/>
      <c r="B442" s="10"/>
      <c r="C442" s="10"/>
    </row>
    <row r="443" spans="1:3">
      <c r="A443" s="9"/>
      <c r="B443" s="10"/>
      <c r="C443" s="10"/>
    </row>
    <row r="444" spans="1:3">
      <c r="A444" s="9"/>
      <c r="B444" s="10"/>
      <c r="C444" s="10"/>
    </row>
    <row r="445" spans="1:3">
      <c r="A445" s="9"/>
      <c r="B445" s="10"/>
      <c r="C445" s="10"/>
    </row>
    <row r="446" spans="1:3">
      <c r="A446" s="9"/>
      <c r="B446" s="10"/>
      <c r="C446" s="10"/>
    </row>
    <row r="447" spans="1:3">
      <c r="A447" s="9"/>
      <c r="B447" s="10"/>
      <c r="C447" s="10"/>
    </row>
    <row r="448" spans="1:3">
      <c r="A448" s="9"/>
      <c r="B448" s="10"/>
      <c r="C448" s="10"/>
    </row>
    <row r="449" spans="1:3">
      <c r="A449" s="9"/>
      <c r="B449" s="10"/>
      <c r="C449" s="10"/>
    </row>
    <row r="450" spans="1:3">
      <c r="A450" s="9"/>
      <c r="B450" s="10"/>
      <c r="C450" s="10"/>
    </row>
    <row r="451" spans="1:3">
      <c r="A451" s="9"/>
      <c r="B451" s="10"/>
      <c r="C451" s="10"/>
    </row>
    <row r="452" spans="1:3">
      <c r="A452" s="9"/>
      <c r="B452" s="10"/>
      <c r="C452" s="10"/>
    </row>
    <row r="453" spans="1:3">
      <c r="A453" s="9"/>
      <c r="B453" s="10"/>
      <c r="C453" s="10"/>
    </row>
    <row r="454" spans="1:3">
      <c r="A454" s="9"/>
      <c r="B454" s="10"/>
      <c r="C454" s="10"/>
    </row>
    <row r="455" spans="1:3">
      <c r="A455" s="9"/>
      <c r="B455" s="10"/>
      <c r="C455" s="10"/>
    </row>
    <row r="456" spans="1:3">
      <c r="A456" s="9"/>
      <c r="B456" s="10"/>
      <c r="C456" s="10"/>
    </row>
    <row r="457" spans="1:3">
      <c r="A457" s="9"/>
      <c r="B457" s="10"/>
      <c r="C457" s="10"/>
    </row>
    <row r="458" spans="1:3">
      <c r="A458" s="9"/>
      <c r="B458" s="10"/>
      <c r="C458" s="10"/>
    </row>
    <row r="459" spans="1:3">
      <c r="A459" s="9"/>
      <c r="B459" s="10"/>
      <c r="C459" s="10"/>
    </row>
    <row r="460" spans="1:3">
      <c r="A460" s="9"/>
      <c r="B460" s="10"/>
      <c r="C460" s="10"/>
    </row>
    <row r="461" spans="1:3">
      <c r="A461" s="9"/>
      <c r="B461" s="10"/>
      <c r="C461" s="10"/>
    </row>
    <row r="462" spans="1:3">
      <c r="A462" s="9"/>
      <c r="B462" s="10"/>
      <c r="C462" s="10"/>
    </row>
    <row r="463" spans="1:3">
      <c r="A463" s="9"/>
      <c r="B463" s="10"/>
      <c r="C463" s="10"/>
    </row>
    <row r="464" spans="1:3">
      <c r="A464" s="9"/>
      <c r="B464" s="10"/>
      <c r="C464" s="10"/>
    </row>
    <row r="465" spans="1:3">
      <c r="A465" s="9"/>
      <c r="B465" s="10"/>
      <c r="C465" s="10"/>
    </row>
    <row r="466" spans="1:3">
      <c r="A466" s="9"/>
      <c r="B466" s="10"/>
      <c r="C466" s="10"/>
    </row>
    <row r="467" spans="1:3">
      <c r="A467" s="9"/>
      <c r="B467" s="10"/>
      <c r="C467" s="10"/>
    </row>
    <row r="468" spans="1:3">
      <c r="A468" s="9"/>
      <c r="B468" s="10"/>
      <c r="C468" s="10"/>
    </row>
    <row r="469" spans="1:3">
      <c r="A469" s="9"/>
      <c r="B469" s="10"/>
      <c r="C469" s="10"/>
    </row>
    <row r="470" spans="1:3">
      <c r="A470" s="9"/>
      <c r="B470" s="10"/>
      <c r="C470" s="10"/>
    </row>
    <row r="471" spans="1:3">
      <c r="A471" s="9"/>
      <c r="B471" s="10"/>
      <c r="C471" s="10"/>
    </row>
    <row r="472" spans="1:3">
      <c r="A472" s="9"/>
      <c r="B472" s="10"/>
      <c r="C472" s="10"/>
    </row>
    <row r="473" spans="1:3">
      <c r="A473" s="9"/>
      <c r="B473" s="10"/>
      <c r="C473" s="10"/>
    </row>
    <row r="474" spans="1:3">
      <c r="A474" s="9"/>
      <c r="B474" s="10"/>
      <c r="C474" s="10"/>
    </row>
    <row r="475" spans="1:3">
      <c r="A475" s="9"/>
      <c r="B475" s="10"/>
      <c r="C475" s="10"/>
    </row>
    <row r="476" spans="1:3">
      <c r="A476" s="9"/>
      <c r="B476" s="10"/>
      <c r="C476" s="10"/>
    </row>
    <row r="477" spans="1:3">
      <c r="A477" s="9"/>
      <c r="B477" s="10"/>
      <c r="C477" s="10"/>
    </row>
    <row r="478" spans="1:3">
      <c r="A478" s="9"/>
      <c r="B478" s="10"/>
      <c r="C478" s="10"/>
    </row>
    <row r="479" spans="1:3">
      <c r="A479" s="9"/>
      <c r="B479" s="10"/>
      <c r="C479" s="10"/>
    </row>
    <row r="480" spans="1:3">
      <c r="A480" s="9"/>
      <c r="B480" s="10"/>
      <c r="C480" s="10"/>
    </row>
    <row r="481" spans="1:3">
      <c r="A481" s="9"/>
      <c r="B481" s="10"/>
      <c r="C481" s="10"/>
    </row>
    <row r="482" spans="1:3">
      <c r="A482" s="9"/>
      <c r="B482" s="10"/>
      <c r="C482" s="10"/>
    </row>
    <row r="483" spans="1:3">
      <c r="A483" s="9"/>
      <c r="B483" s="10"/>
      <c r="C483" s="10"/>
    </row>
    <row r="484" spans="1:3">
      <c r="A484" s="9"/>
      <c r="B484" s="10"/>
      <c r="C484" s="10"/>
    </row>
    <row r="485" spans="1:3">
      <c r="A485" s="9"/>
      <c r="B485" s="10"/>
      <c r="C485" s="10"/>
    </row>
    <row r="486" spans="1:3">
      <c r="A486" s="9"/>
      <c r="B486" s="10"/>
      <c r="C486" s="10"/>
    </row>
    <row r="487" spans="1:3">
      <c r="A487" s="9"/>
      <c r="B487" s="10"/>
      <c r="C487" s="10"/>
    </row>
    <row r="488" spans="1:3">
      <c r="A488" s="9"/>
      <c r="B488" s="10"/>
      <c r="C488" s="10"/>
    </row>
    <row r="489" spans="1:3">
      <c r="A489" s="9"/>
      <c r="B489" s="10"/>
      <c r="C489" s="10"/>
    </row>
    <row r="490" spans="1:3">
      <c r="A490" s="9"/>
      <c r="B490" s="10"/>
      <c r="C490" s="10"/>
    </row>
    <row r="491" spans="1:3">
      <c r="A491" s="9"/>
      <c r="B491" s="10"/>
      <c r="C491" s="10"/>
    </row>
    <row r="492" spans="1:3">
      <c r="A492" s="9"/>
      <c r="B492" s="10"/>
      <c r="C492" s="10"/>
    </row>
    <row r="493" spans="1:3">
      <c r="A493" s="9"/>
      <c r="B493" s="10"/>
      <c r="C493" s="10"/>
    </row>
    <row r="494" spans="1:3">
      <c r="A494" s="9"/>
      <c r="B494" s="10"/>
      <c r="C494" s="10"/>
    </row>
    <row r="495" spans="1:3">
      <c r="A495" s="9"/>
      <c r="B495" s="10"/>
      <c r="C495" s="10"/>
    </row>
    <row r="496" spans="1:3">
      <c r="A496" s="9"/>
      <c r="B496" s="10"/>
      <c r="C496" s="10"/>
    </row>
    <row r="497" spans="1:3">
      <c r="A497" s="9"/>
      <c r="B497" s="10"/>
      <c r="C497" s="10"/>
    </row>
    <row r="498" spans="1:3">
      <c r="A498" s="9"/>
      <c r="B498" s="10"/>
      <c r="C498" s="10"/>
    </row>
    <row r="499" spans="1:3">
      <c r="A499" s="9"/>
      <c r="B499" s="10"/>
      <c r="C499" s="10"/>
    </row>
    <row r="500" spans="1:3">
      <c r="A500" s="9"/>
      <c r="B500" s="10"/>
      <c r="C500" s="10"/>
    </row>
    <row r="501" spans="1:3">
      <c r="A501" s="9"/>
      <c r="B501" s="10"/>
      <c r="C501" s="10"/>
    </row>
    <row r="502" spans="1:3">
      <c r="A502" s="9"/>
      <c r="B502" s="10"/>
      <c r="C502" s="10"/>
    </row>
    <row r="503" spans="1:3">
      <c r="A503" s="9"/>
      <c r="B503" s="10"/>
      <c r="C503" s="10"/>
    </row>
    <row r="504" spans="1:3">
      <c r="A504" s="9"/>
      <c r="B504" s="10"/>
      <c r="C504" s="10"/>
    </row>
    <row r="505" spans="1:3">
      <c r="A505" s="9"/>
      <c r="B505" s="10"/>
      <c r="C505" s="10"/>
    </row>
    <row r="506" spans="1:3">
      <c r="A506" s="9"/>
      <c r="B506" s="10"/>
      <c r="C506" s="10"/>
    </row>
    <row r="507" spans="1:3">
      <c r="A507" s="9"/>
      <c r="B507" s="10"/>
      <c r="C507" s="10"/>
    </row>
    <row r="508" spans="1:3">
      <c r="A508" s="9"/>
      <c r="B508" s="10"/>
      <c r="C508" s="10"/>
    </row>
    <row r="509" spans="1:3">
      <c r="A509" s="9"/>
      <c r="B509" s="10"/>
      <c r="C509" s="10"/>
    </row>
    <row r="510" spans="1:3">
      <c r="A510" s="9"/>
      <c r="B510" s="10"/>
      <c r="C510" s="10"/>
    </row>
    <row r="511" spans="1:3">
      <c r="A511" s="9"/>
      <c r="B511" s="10"/>
      <c r="C511" s="10"/>
    </row>
    <row r="512" spans="1:3">
      <c r="A512" s="9"/>
      <c r="B512" s="10"/>
      <c r="C512" s="10"/>
    </row>
    <row r="513" spans="1:3">
      <c r="A513" s="9"/>
      <c r="B513" s="10"/>
      <c r="C513" s="10"/>
    </row>
    <row r="514" spans="1:3">
      <c r="A514" s="9"/>
      <c r="B514" s="10"/>
      <c r="C514" s="10"/>
    </row>
    <row r="515" spans="1:3">
      <c r="A515" s="9"/>
      <c r="B515" s="10"/>
      <c r="C515" s="10"/>
    </row>
    <row r="516" spans="1:3">
      <c r="A516" s="9"/>
      <c r="B516" s="10"/>
      <c r="C516" s="10"/>
    </row>
    <row r="517" spans="1:3">
      <c r="A517" s="9"/>
      <c r="B517" s="10"/>
      <c r="C517" s="10"/>
    </row>
    <row r="518" spans="1:3">
      <c r="A518" s="9"/>
      <c r="B518" s="10"/>
      <c r="C518" s="10"/>
    </row>
    <row r="519" spans="1:3">
      <c r="A519" s="9"/>
      <c r="B519" s="10"/>
      <c r="C519" s="10"/>
    </row>
    <row r="520" spans="1:3">
      <c r="A520" s="9"/>
      <c r="B520" s="10"/>
      <c r="C520" s="10"/>
    </row>
    <row r="521" spans="1:3">
      <c r="A521" s="9"/>
      <c r="B521" s="10"/>
      <c r="C521" s="10"/>
    </row>
    <row r="522" spans="1:3">
      <c r="A522" s="9"/>
      <c r="B522" s="10"/>
      <c r="C522" s="10"/>
    </row>
    <row r="523" spans="1:3">
      <c r="A523" s="9"/>
      <c r="B523" s="10"/>
      <c r="C523" s="10"/>
    </row>
    <row r="524" spans="1:3">
      <c r="A524" s="9"/>
      <c r="B524" s="10"/>
      <c r="C524" s="10"/>
    </row>
    <row r="525" spans="1:3">
      <c r="A525" s="9"/>
      <c r="B525" s="10"/>
      <c r="C525" s="10"/>
    </row>
    <row r="526" spans="1:3">
      <c r="A526" s="9"/>
      <c r="B526" s="10"/>
      <c r="C526" s="10"/>
    </row>
    <row r="527" spans="1:3">
      <c r="A527" s="9"/>
      <c r="B527" s="10"/>
      <c r="C527" s="10"/>
    </row>
    <row r="528" spans="1:3">
      <c r="A528" s="9"/>
      <c r="B528" s="10"/>
      <c r="C528" s="10"/>
    </row>
    <row r="529" spans="1:3">
      <c r="A529" s="9"/>
      <c r="B529" s="10"/>
      <c r="C529" s="10"/>
    </row>
    <row r="530" spans="1:3">
      <c r="A530" s="9"/>
      <c r="B530" s="10"/>
      <c r="C530" s="10"/>
    </row>
    <row r="531" spans="1:3">
      <c r="A531" s="9"/>
      <c r="B531" s="10"/>
      <c r="C531" s="10"/>
    </row>
    <row r="532" spans="1:3">
      <c r="A532" s="9"/>
      <c r="B532" s="10"/>
      <c r="C532" s="10"/>
    </row>
    <row r="533" spans="1:3">
      <c r="A533" s="9"/>
      <c r="B533" s="10"/>
      <c r="C533" s="10"/>
    </row>
    <row r="534" spans="1:3">
      <c r="A534" s="9"/>
      <c r="B534" s="10"/>
      <c r="C534" s="10"/>
    </row>
    <row r="535" spans="1:3">
      <c r="A535" s="9"/>
      <c r="B535" s="10"/>
      <c r="C535" s="10"/>
    </row>
    <row r="536" spans="1:3">
      <c r="A536" s="9"/>
      <c r="B536" s="10"/>
      <c r="C536" s="10"/>
    </row>
    <row r="537" spans="1:3">
      <c r="A537" s="9"/>
      <c r="B537" s="10"/>
      <c r="C537" s="10"/>
    </row>
    <row r="538" spans="1:3">
      <c r="A538" s="9"/>
      <c r="B538" s="10"/>
      <c r="C538" s="10"/>
    </row>
    <row r="539" spans="1:3">
      <c r="A539" s="9"/>
      <c r="B539" s="10"/>
      <c r="C539" s="10"/>
    </row>
    <row r="540" spans="1:3">
      <c r="A540" s="9"/>
      <c r="B540" s="10"/>
      <c r="C540" s="10"/>
    </row>
    <row r="541" spans="1:3">
      <c r="A541" s="9"/>
      <c r="B541" s="10"/>
      <c r="C541" s="10"/>
    </row>
    <row r="542" spans="1:3">
      <c r="A542" s="9"/>
      <c r="B542" s="10"/>
      <c r="C542" s="10"/>
    </row>
    <row r="543" spans="1:3">
      <c r="A543" s="9"/>
      <c r="B543" s="10"/>
      <c r="C543" s="10"/>
    </row>
    <row r="544" spans="1:3">
      <c r="A544" s="9"/>
      <c r="B544" s="10"/>
      <c r="C544" s="10"/>
    </row>
    <row r="545" spans="1:3">
      <c r="A545" s="9"/>
      <c r="B545" s="10"/>
      <c r="C545" s="10"/>
    </row>
    <row r="546" spans="1:3">
      <c r="A546" s="9"/>
      <c r="B546" s="10"/>
      <c r="C546" s="10"/>
    </row>
    <row r="547" spans="1:3">
      <c r="A547" s="9"/>
      <c r="B547" s="10"/>
      <c r="C547" s="10"/>
    </row>
    <row r="548" spans="1:3">
      <c r="A548" s="9"/>
      <c r="B548" s="10"/>
      <c r="C548" s="10"/>
    </row>
    <row r="549" spans="1:3">
      <c r="A549" s="9"/>
      <c r="B549" s="10"/>
      <c r="C549" s="10"/>
    </row>
    <row r="550" spans="1:3">
      <c r="A550" s="9"/>
      <c r="B550" s="10"/>
      <c r="C550" s="10"/>
    </row>
    <row r="551" spans="1:3">
      <c r="A551" s="9"/>
      <c r="B551" s="10"/>
      <c r="C551" s="10"/>
    </row>
    <row r="552" spans="1:3">
      <c r="A552" s="9"/>
      <c r="B552" s="10"/>
      <c r="C552" s="10"/>
    </row>
    <row r="553" spans="1:3">
      <c r="A553" s="9"/>
      <c r="B553" s="10"/>
      <c r="C553" s="10"/>
    </row>
    <row r="554" spans="1:3">
      <c r="A554" s="9"/>
      <c r="B554" s="10"/>
      <c r="C554" s="10"/>
    </row>
    <row r="555" spans="1:3">
      <c r="A555" s="9"/>
      <c r="B555" s="10"/>
      <c r="C555" s="10"/>
    </row>
    <row r="556" spans="1:3">
      <c r="A556" s="9"/>
      <c r="B556" s="10"/>
      <c r="C556" s="10"/>
    </row>
    <row r="557" spans="1:3">
      <c r="A557" s="9"/>
      <c r="B557" s="10"/>
      <c r="C557" s="10"/>
    </row>
    <row r="558" spans="1:3">
      <c r="A558" s="9"/>
      <c r="B558" s="10"/>
      <c r="C558" s="10"/>
    </row>
    <row r="559" spans="1:3">
      <c r="A559" s="9"/>
      <c r="B559" s="10"/>
      <c r="C559" s="10"/>
    </row>
    <row r="560" spans="1:3">
      <c r="A560" s="9"/>
      <c r="B560" s="10"/>
      <c r="C560" s="10"/>
    </row>
    <row r="561" spans="1:3">
      <c r="A561" s="9"/>
      <c r="B561" s="10"/>
      <c r="C561" s="10"/>
    </row>
    <row r="562" spans="1:3">
      <c r="A562" s="9"/>
      <c r="B562" s="10"/>
      <c r="C562" s="10"/>
    </row>
    <row r="563" spans="1:3">
      <c r="A563" s="9"/>
      <c r="B563" s="10"/>
      <c r="C563" s="10"/>
    </row>
    <row r="564" spans="1:3">
      <c r="A564" s="9"/>
      <c r="B564" s="10"/>
      <c r="C564" s="10"/>
    </row>
    <row r="565" spans="1:3">
      <c r="A565" s="9"/>
      <c r="B565" s="10"/>
      <c r="C565" s="10"/>
    </row>
    <row r="566" spans="1:3">
      <c r="A566" s="9"/>
      <c r="B566" s="10"/>
      <c r="C566" s="10"/>
    </row>
    <row r="567" spans="1:3">
      <c r="A567" s="9"/>
      <c r="B567" s="10"/>
      <c r="C567" s="10"/>
    </row>
    <row r="568" spans="1:3">
      <c r="A568" s="9"/>
      <c r="B568" s="10"/>
      <c r="C568" s="10"/>
    </row>
    <row r="569" spans="1:3">
      <c r="A569" s="9"/>
      <c r="B569" s="10"/>
      <c r="C569" s="10"/>
    </row>
    <row r="570" spans="1:3">
      <c r="A570" s="9"/>
      <c r="B570" s="10"/>
      <c r="C570" s="10"/>
    </row>
    <row r="571" spans="1:3">
      <c r="A571" s="9"/>
      <c r="B571" s="10"/>
      <c r="C571" s="10"/>
    </row>
    <row r="572" spans="1:3">
      <c r="A572" s="9"/>
      <c r="B572" s="10"/>
      <c r="C572" s="10"/>
    </row>
    <row r="573" spans="1:3">
      <c r="A573" s="9"/>
      <c r="B573" s="10"/>
      <c r="C573" s="10"/>
    </row>
    <row r="574" spans="1:3">
      <c r="A574" s="9"/>
      <c r="B574" s="10"/>
      <c r="C574" s="10"/>
    </row>
    <row r="575" spans="1:3">
      <c r="A575" s="9"/>
      <c r="B575" s="10"/>
      <c r="C575" s="10"/>
    </row>
    <row r="576" spans="1:3">
      <c r="A576" s="9"/>
      <c r="B576" s="10"/>
      <c r="C576" s="10"/>
    </row>
    <row r="577" spans="1:3">
      <c r="A577" s="9"/>
      <c r="B577" s="10"/>
      <c r="C577" s="10"/>
    </row>
    <row r="578" spans="1:3">
      <c r="A578" s="9"/>
      <c r="B578" s="10"/>
      <c r="C578" s="10"/>
    </row>
    <row r="579" spans="1:3">
      <c r="A579" s="9"/>
      <c r="B579" s="10"/>
      <c r="C579" s="10"/>
    </row>
    <row r="580" spans="1:3">
      <c r="A580" s="9"/>
      <c r="B580" s="10"/>
      <c r="C580" s="10"/>
    </row>
    <row r="581" spans="1:3">
      <c r="A581" s="9"/>
      <c r="B581" s="10"/>
      <c r="C581" s="10"/>
    </row>
    <row r="582" spans="1:3">
      <c r="A582" s="9"/>
      <c r="B582" s="10"/>
      <c r="C582" s="10"/>
    </row>
    <row r="583" spans="1:3">
      <c r="A583" s="9"/>
      <c r="B583" s="10"/>
      <c r="C583" s="10"/>
    </row>
    <row r="584" spans="1:3">
      <c r="A584" s="9"/>
      <c r="B584" s="10"/>
      <c r="C584" s="10"/>
    </row>
    <row r="585" spans="1:3">
      <c r="A585" s="9"/>
      <c r="B585" s="10"/>
      <c r="C585" s="10"/>
    </row>
    <row r="586" spans="1:3">
      <c r="A586" s="9"/>
      <c r="B586" s="10"/>
      <c r="C586" s="10"/>
    </row>
    <row r="587" spans="1:3">
      <c r="A587" s="9"/>
      <c r="B587" s="10"/>
      <c r="C587" s="10"/>
    </row>
    <row r="588" spans="1:3">
      <c r="A588" s="9"/>
      <c r="B588" s="10"/>
      <c r="C588" s="10"/>
    </row>
    <row r="589" spans="1:3">
      <c r="A589" s="9"/>
      <c r="B589" s="10"/>
      <c r="C589" s="10"/>
    </row>
    <row r="590" spans="1:3">
      <c r="A590" s="9"/>
      <c r="B590" s="10"/>
      <c r="C590" s="10"/>
    </row>
    <row r="591" spans="1:3">
      <c r="A591" s="9"/>
      <c r="B591" s="10"/>
      <c r="C591" s="10"/>
    </row>
    <row r="592" spans="1:3">
      <c r="A592" s="9"/>
      <c r="B592" s="10"/>
      <c r="C592" s="10"/>
    </row>
    <row r="593" spans="1:3">
      <c r="A593" s="9"/>
      <c r="B593" s="10"/>
      <c r="C593" s="10"/>
    </row>
    <row r="594" spans="1:3">
      <c r="A594" s="9"/>
      <c r="B594" s="10"/>
      <c r="C594" s="10"/>
    </row>
    <row r="595" spans="1:3">
      <c r="A595" s="9"/>
      <c r="B595" s="10"/>
      <c r="C595" s="10"/>
    </row>
    <row r="596" spans="1:3">
      <c r="A596" s="9"/>
      <c r="B596" s="10"/>
      <c r="C596" s="10"/>
    </row>
    <row r="597" spans="1:3">
      <c r="A597" s="9"/>
      <c r="B597" s="10"/>
      <c r="C597" s="10"/>
    </row>
    <row r="598" spans="1:3">
      <c r="A598" s="9"/>
      <c r="B598" s="10"/>
      <c r="C598" s="10"/>
    </row>
    <row r="599" spans="1:3">
      <c r="A599" s="9"/>
      <c r="B599" s="10"/>
      <c r="C599" s="10"/>
    </row>
    <row r="600" spans="1:3">
      <c r="A600" s="9"/>
      <c r="B600" s="10"/>
      <c r="C600" s="10"/>
    </row>
    <row r="601" spans="1:3">
      <c r="A601" s="9"/>
      <c r="B601" s="10"/>
      <c r="C601" s="10"/>
    </row>
    <row r="602" spans="1:3">
      <c r="A602" s="9"/>
      <c r="B602" s="10"/>
      <c r="C602" s="10"/>
    </row>
    <row r="603" spans="1:3">
      <c r="A603" s="9"/>
      <c r="B603" s="10"/>
      <c r="C603" s="10"/>
    </row>
    <row r="604" spans="1:3">
      <c r="A604" s="9"/>
      <c r="B604" s="10"/>
      <c r="C604" s="10"/>
    </row>
    <row r="605" spans="1:3">
      <c r="A605" s="9"/>
      <c r="B605" s="10"/>
      <c r="C605" s="10"/>
    </row>
    <row r="606" spans="1:3">
      <c r="A606" s="9"/>
      <c r="B606" s="10"/>
      <c r="C606" s="10"/>
    </row>
    <row r="607" spans="1:3">
      <c r="A607" s="9"/>
      <c r="B607" s="10"/>
      <c r="C607" s="10"/>
    </row>
    <row r="608" spans="1:3">
      <c r="A608" s="9"/>
      <c r="B608" s="10"/>
      <c r="C608" s="10"/>
    </row>
    <row r="609" spans="1:3">
      <c r="A609" s="9"/>
      <c r="B609" s="10"/>
      <c r="C609" s="10"/>
    </row>
    <row r="610" spans="1:3">
      <c r="A610" s="9"/>
      <c r="B610" s="10"/>
      <c r="C610" s="10"/>
    </row>
    <row r="611" spans="1:3">
      <c r="A611" s="9"/>
      <c r="B611" s="10"/>
      <c r="C611" s="10"/>
    </row>
    <row r="612" spans="1:3">
      <c r="A612" s="9"/>
      <c r="B612" s="10"/>
      <c r="C612" s="10"/>
    </row>
    <row r="613" spans="1:3">
      <c r="A613" s="9"/>
      <c r="B613" s="10"/>
      <c r="C613" s="10"/>
    </row>
    <row r="614" spans="1:3">
      <c r="A614" s="9"/>
      <c r="B614" s="10"/>
      <c r="C614" s="10"/>
    </row>
    <row r="615" spans="1:3">
      <c r="A615" s="9"/>
      <c r="B615" s="10"/>
      <c r="C615" s="10"/>
    </row>
    <row r="616" spans="1:3">
      <c r="A616" s="9"/>
      <c r="B616" s="10"/>
      <c r="C616" s="10"/>
    </row>
    <row r="617" spans="1:3">
      <c r="A617" s="9"/>
      <c r="B617" s="10"/>
      <c r="C617" s="10"/>
    </row>
    <row r="618" spans="1:3">
      <c r="A618" s="9"/>
      <c r="B618" s="10"/>
      <c r="C618" s="10"/>
    </row>
    <row r="619" spans="1:3">
      <c r="A619" s="9"/>
      <c r="B619" s="10"/>
      <c r="C619" s="10"/>
    </row>
    <row r="620" spans="1:3">
      <c r="A620" s="9"/>
      <c r="B620" s="10"/>
      <c r="C620" s="10"/>
    </row>
    <row r="621" spans="1:3">
      <c r="A621" s="9"/>
      <c r="B621" s="10"/>
      <c r="C621" s="10"/>
    </row>
    <row r="622" spans="1:3">
      <c r="A622" s="9"/>
      <c r="B622" s="10"/>
      <c r="C622" s="10"/>
    </row>
    <row r="623" spans="1:3">
      <c r="A623" s="9"/>
      <c r="B623" s="10"/>
      <c r="C623" s="10"/>
    </row>
    <row r="624" spans="1:3">
      <c r="A624" s="9"/>
      <c r="B624" s="10"/>
      <c r="C624" s="10"/>
    </row>
    <row r="625" spans="1:3">
      <c r="A625" s="9"/>
      <c r="B625" s="10"/>
      <c r="C625" s="10"/>
    </row>
    <row r="626" spans="1:3">
      <c r="A626" s="9"/>
      <c r="B626" s="10"/>
      <c r="C626" s="10"/>
    </row>
    <row r="627" spans="1:3">
      <c r="A627" s="9"/>
      <c r="B627" s="10"/>
      <c r="C627" s="10"/>
    </row>
    <row r="628" spans="1:3">
      <c r="A628" s="9"/>
      <c r="B628" s="10"/>
      <c r="C628" s="10"/>
    </row>
    <row r="629" spans="1:3">
      <c r="A629" s="9"/>
      <c r="B629" s="10"/>
      <c r="C629" s="10"/>
    </row>
    <row r="630" spans="1:3">
      <c r="A630" s="9"/>
      <c r="B630" s="10"/>
      <c r="C630" s="10"/>
    </row>
    <row r="631" spans="1:3">
      <c r="A631" s="9"/>
      <c r="B631" s="10"/>
      <c r="C631" s="10"/>
    </row>
    <row r="632" spans="1:3">
      <c r="A632" s="9"/>
      <c r="B632" s="10"/>
      <c r="C632" s="10"/>
    </row>
    <row r="633" spans="1:3">
      <c r="A633" s="9"/>
      <c r="B633" s="10"/>
      <c r="C633" s="10"/>
    </row>
    <row r="634" spans="1:3">
      <c r="A634" s="9"/>
      <c r="B634" s="10"/>
      <c r="C634" s="10"/>
    </row>
    <row r="635" spans="1:3">
      <c r="A635" s="9"/>
      <c r="B635" s="10"/>
      <c r="C635" s="10"/>
    </row>
    <row r="636" spans="1:3">
      <c r="A636" s="9"/>
      <c r="B636" s="10"/>
      <c r="C636" s="10"/>
    </row>
    <row r="637" spans="1:3">
      <c r="A637" s="9"/>
      <c r="B637" s="10"/>
      <c r="C637" s="10"/>
    </row>
    <row r="638" spans="1:3">
      <c r="A638" s="9"/>
      <c r="B638" s="10"/>
      <c r="C638" s="10"/>
    </row>
    <row r="639" spans="1:3">
      <c r="A639" s="9"/>
      <c r="B639" s="10"/>
      <c r="C639" s="10"/>
    </row>
    <row r="640" spans="1:3">
      <c r="A640" s="9"/>
      <c r="B640" s="10"/>
      <c r="C640" s="10"/>
    </row>
    <row r="641" spans="1:3">
      <c r="A641" s="9"/>
      <c r="B641" s="10"/>
      <c r="C641" s="10"/>
    </row>
    <row r="642" spans="1:3">
      <c r="A642" s="9"/>
      <c r="B642" s="10"/>
      <c r="C642" s="10"/>
    </row>
    <row r="643" spans="1:3">
      <c r="A643" s="9"/>
      <c r="B643" s="10"/>
      <c r="C643" s="10"/>
    </row>
    <row r="644" spans="1:3">
      <c r="A644" s="9"/>
      <c r="B644" s="10"/>
      <c r="C644" s="10"/>
    </row>
    <row r="645" spans="1:3">
      <c r="A645" s="9"/>
      <c r="B645" s="10"/>
      <c r="C645" s="10"/>
    </row>
    <row r="646" spans="1:3">
      <c r="A646" s="9"/>
      <c r="B646" s="10"/>
      <c r="C646" s="10"/>
    </row>
    <row r="647" spans="1:3">
      <c r="A647" s="9"/>
      <c r="B647" s="10"/>
      <c r="C647" s="10"/>
    </row>
    <row r="648" spans="1:3">
      <c r="A648" s="9"/>
      <c r="B648" s="10"/>
      <c r="C648" s="10"/>
    </row>
    <row r="649" spans="1:3">
      <c r="A649" s="9"/>
      <c r="B649" s="10"/>
      <c r="C649" s="10"/>
    </row>
    <row r="650" spans="1:3">
      <c r="A650" s="9"/>
      <c r="B650" s="10"/>
      <c r="C650" s="10"/>
    </row>
    <row r="651" spans="1:3">
      <c r="A651" s="9"/>
      <c r="B651" s="10"/>
      <c r="C651" s="10"/>
    </row>
    <row r="652" spans="1:3">
      <c r="A652" s="9"/>
      <c r="B652" s="10"/>
      <c r="C652" s="10"/>
    </row>
    <row r="653" spans="1:3">
      <c r="A653" s="9"/>
      <c r="B653" s="10"/>
      <c r="C653" s="10"/>
    </row>
    <row r="654" spans="1:3">
      <c r="A654" s="9"/>
      <c r="B654" s="10"/>
      <c r="C654" s="10"/>
    </row>
    <row r="655" spans="1:3">
      <c r="A655" s="9"/>
      <c r="B655" s="10"/>
      <c r="C655" s="10"/>
    </row>
    <row r="656" spans="1:3">
      <c r="A656" s="9"/>
      <c r="B656" s="10"/>
      <c r="C656" s="10"/>
    </row>
    <row r="657" spans="1:3">
      <c r="A657" s="9"/>
      <c r="B657" s="10"/>
      <c r="C657" s="10"/>
    </row>
    <row r="658" spans="1:3">
      <c r="A658" s="9"/>
      <c r="B658" s="10"/>
      <c r="C658" s="10"/>
    </row>
    <row r="659" spans="1:3">
      <c r="A659" s="9"/>
      <c r="B659" s="10"/>
      <c r="C659" s="10"/>
    </row>
    <row r="660" spans="1:3">
      <c r="A660" s="9"/>
      <c r="B660" s="10"/>
      <c r="C660" s="10"/>
    </row>
    <row r="661" spans="1:3">
      <c r="A661" s="9"/>
      <c r="B661" s="10"/>
      <c r="C661" s="10"/>
    </row>
    <row r="662" spans="1:3">
      <c r="A662" s="9"/>
      <c r="B662" s="10"/>
      <c r="C662" s="10"/>
    </row>
    <row r="663" spans="1:3">
      <c r="A663" s="9"/>
      <c r="B663" s="10"/>
      <c r="C663" s="10"/>
    </row>
    <row r="664" spans="1:3">
      <c r="A664" s="9"/>
      <c r="B664" s="10"/>
      <c r="C664" s="10"/>
    </row>
    <row r="665" spans="1:3">
      <c r="A665" s="9"/>
      <c r="B665" s="10"/>
      <c r="C665" s="10"/>
    </row>
    <row r="666" spans="1:3">
      <c r="A666" s="9"/>
      <c r="B666" s="10"/>
      <c r="C666" s="10"/>
    </row>
    <row r="667" spans="1:3">
      <c r="A667" s="9"/>
      <c r="B667" s="10"/>
      <c r="C667" s="10"/>
    </row>
    <row r="668" spans="1:3">
      <c r="A668" s="9"/>
      <c r="B668" s="10"/>
      <c r="C668" s="10"/>
    </row>
    <row r="669" spans="1:3">
      <c r="A669" s="9"/>
      <c r="B669" s="10"/>
      <c r="C669" s="10"/>
    </row>
    <row r="670" spans="1:3">
      <c r="A670" s="9"/>
      <c r="B670" s="10"/>
      <c r="C670" s="10"/>
    </row>
    <row r="671" spans="1:3">
      <c r="A671" s="9"/>
      <c r="B671" s="10"/>
      <c r="C671" s="10"/>
    </row>
    <row r="672" spans="1:3">
      <c r="A672" s="9"/>
      <c r="B672" s="10"/>
      <c r="C672" s="10"/>
    </row>
    <row r="673" spans="1:3">
      <c r="A673" s="9"/>
      <c r="B673" s="10"/>
      <c r="C673" s="10"/>
    </row>
    <row r="674" spans="1:3">
      <c r="A674" s="9"/>
      <c r="B674" s="10"/>
      <c r="C674" s="10"/>
    </row>
    <row r="675" spans="1:3">
      <c r="A675" s="9"/>
      <c r="B675" s="10"/>
      <c r="C675" s="10"/>
    </row>
    <row r="676" spans="1:3">
      <c r="A676" s="9"/>
      <c r="B676" s="10"/>
      <c r="C676" s="10"/>
    </row>
    <row r="677" spans="1:3">
      <c r="A677" s="9"/>
      <c r="B677" s="10"/>
      <c r="C677" s="10"/>
    </row>
    <row r="678" spans="1:3">
      <c r="A678" s="9"/>
      <c r="B678" s="10"/>
      <c r="C678" s="10"/>
    </row>
    <row r="679" spans="1:3">
      <c r="A679" s="9"/>
      <c r="B679" s="10"/>
      <c r="C679" s="10"/>
    </row>
    <row r="680" spans="1:3">
      <c r="A680" s="9"/>
      <c r="B680" s="10"/>
      <c r="C680" s="10"/>
    </row>
    <row r="681" spans="1:3">
      <c r="A681" s="9"/>
      <c r="B681" s="10"/>
      <c r="C681" s="10"/>
    </row>
    <row r="682" spans="1:3">
      <c r="A682" s="9"/>
      <c r="B682" s="10"/>
      <c r="C682" s="10"/>
    </row>
    <row r="683" spans="1:3">
      <c r="A683" s="9"/>
      <c r="B683" s="10"/>
      <c r="C683" s="10"/>
    </row>
    <row r="684" spans="1:3">
      <c r="A684" s="9"/>
      <c r="B684" s="10"/>
      <c r="C684" s="10"/>
    </row>
    <row r="685" spans="1:3">
      <c r="A685" s="9"/>
      <c r="B685" s="10"/>
      <c r="C685" s="10"/>
    </row>
    <row r="686" spans="1:3">
      <c r="A686" s="9"/>
      <c r="B686" s="10"/>
      <c r="C686" s="10"/>
    </row>
    <row r="687" spans="1:3">
      <c r="A687" s="9"/>
      <c r="B687" s="10"/>
      <c r="C687" s="10"/>
    </row>
    <row r="688" spans="1:3">
      <c r="A688" s="9"/>
      <c r="B688" s="10"/>
      <c r="C688" s="10"/>
    </row>
    <row r="689" spans="1:3">
      <c r="A689" s="9"/>
      <c r="B689" s="10"/>
      <c r="C689" s="10"/>
    </row>
    <row r="690" spans="1:3">
      <c r="A690" s="9"/>
      <c r="B690" s="10"/>
      <c r="C690" s="10"/>
    </row>
    <row r="691" spans="1:3">
      <c r="A691" s="9"/>
      <c r="B691" s="10"/>
      <c r="C691" s="10"/>
    </row>
    <row r="692" spans="1:3">
      <c r="A692" s="9"/>
      <c r="B692" s="10"/>
      <c r="C692" s="10"/>
    </row>
    <row r="693" spans="1:3">
      <c r="A693" s="9"/>
      <c r="B693" s="10"/>
      <c r="C693" s="10"/>
    </row>
    <row r="694" spans="1:3">
      <c r="A694" s="9"/>
      <c r="B694" s="10"/>
      <c r="C694" s="10"/>
    </row>
    <row r="695" spans="1:3">
      <c r="A695" s="9"/>
      <c r="B695" s="10"/>
      <c r="C695" s="10"/>
    </row>
    <row r="696" spans="1:3">
      <c r="A696" s="9"/>
      <c r="B696" s="10"/>
      <c r="C696" s="10"/>
    </row>
    <row r="697" spans="1:3">
      <c r="A697" s="9"/>
      <c r="B697" s="10"/>
      <c r="C697" s="10"/>
    </row>
    <row r="698" spans="1:3">
      <c r="A698" s="9"/>
      <c r="B698" s="10"/>
      <c r="C698" s="10"/>
    </row>
    <row r="699" spans="1:3">
      <c r="A699" s="9"/>
      <c r="B699" s="10"/>
      <c r="C699" s="10"/>
    </row>
    <row r="700" spans="1:3">
      <c r="A700" s="9"/>
      <c r="B700" s="10"/>
      <c r="C700" s="10"/>
    </row>
    <row r="701" spans="1:3">
      <c r="A701" s="9"/>
      <c r="B701" s="10"/>
      <c r="C701" s="10"/>
    </row>
    <row r="702" spans="1:3">
      <c r="A702" s="9"/>
      <c r="B702" s="10"/>
      <c r="C702" s="10"/>
    </row>
    <row r="703" spans="1:3">
      <c r="A703" s="9"/>
      <c r="B703" s="10"/>
      <c r="C703" s="10"/>
    </row>
    <row r="704" spans="1:3">
      <c r="A704" s="9"/>
      <c r="B704" s="10"/>
      <c r="C704" s="10"/>
    </row>
    <row r="705" spans="1:3">
      <c r="A705" s="9"/>
      <c r="B705" s="10"/>
      <c r="C705" s="10"/>
    </row>
    <row r="706" spans="1:3">
      <c r="A706" s="9"/>
      <c r="B706" s="10"/>
      <c r="C706" s="10"/>
    </row>
    <row r="707" spans="1:3">
      <c r="A707" s="9"/>
      <c r="B707" s="10"/>
      <c r="C707" s="10"/>
    </row>
    <row r="708" spans="1:3">
      <c r="A708" s="9"/>
      <c r="B708" s="10"/>
      <c r="C708" s="10"/>
    </row>
    <row r="709" spans="1:3">
      <c r="A709" s="9"/>
      <c r="B709" s="10"/>
      <c r="C709" s="10"/>
    </row>
    <row r="710" spans="1:3">
      <c r="A710" s="9"/>
      <c r="B710" s="10"/>
      <c r="C710" s="10"/>
    </row>
    <row r="711" spans="1:3">
      <c r="A711" s="9"/>
      <c r="B711" s="10"/>
      <c r="C711" s="10"/>
    </row>
    <row r="712" spans="1:3">
      <c r="A712" s="9"/>
      <c r="B712" s="10"/>
      <c r="C712" s="10"/>
    </row>
    <row r="713" spans="1:3">
      <c r="A713" s="9"/>
      <c r="B713" s="10"/>
      <c r="C713" s="10"/>
    </row>
    <row r="714" spans="1:3">
      <c r="A714" s="9"/>
      <c r="B714" s="10"/>
      <c r="C714" s="10"/>
    </row>
    <row r="715" spans="1:3">
      <c r="A715" s="9"/>
      <c r="B715" s="10"/>
      <c r="C715" s="10"/>
    </row>
    <row r="716" spans="1:3">
      <c r="A716" s="9"/>
      <c r="B716" s="10"/>
      <c r="C716" s="10"/>
    </row>
    <row r="717" spans="1:3">
      <c r="A717" s="9"/>
      <c r="B717" s="10"/>
      <c r="C717" s="10"/>
    </row>
    <row r="718" spans="1:3">
      <c r="A718" s="9"/>
      <c r="B718" s="10"/>
      <c r="C718" s="10"/>
    </row>
    <row r="719" spans="1:3">
      <c r="A719" s="9"/>
      <c r="B719" s="10"/>
      <c r="C719" s="10"/>
    </row>
    <row r="720" spans="1:3">
      <c r="A720" s="9"/>
      <c r="B720" s="10"/>
      <c r="C720" s="10"/>
    </row>
    <row r="721" spans="1:3">
      <c r="A721" s="9"/>
      <c r="B721" s="10"/>
      <c r="C721" s="10"/>
    </row>
    <row r="722" spans="1:3">
      <c r="A722" s="9"/>
      <c r="B722" s="10"/>
      <c r="C722" s="10"/>
    </row>
    <row r="723" spans="1:3">
      <c r="A723" s="9"/>
      <c r="B723" s="10"/>
      <c r="C723" s="10"/>
    </row>
    <row r="724" spans="1:3">
      <c r="A724" s="9"/>
      <c r="B724" s="10"/>
      <c r="C724" s="10"/>
    </row>
    <row r="725" spans="1:3">
      <c r="A725" s="9"/>
      <c r="B725" s="10"/>
      <c r="C725" s="10"/>
    </row>
    <row r="726" spans="1:3">
      <c r="A726" s="9"/>
      <c r="B726" s="10"/>
      <c r="C726" s="10"/>
    </row>
    <row r="727" spans="1:3">
      <c r="A727" s="9"/>
      <c r="B727" s="10"/>
      <c r="C727" s="10"/>
    </row>
    <row r="728" spans="1:3">
      <c r="A728" s="9"/>
      <c r="B728" s="10"/>
      <c r="C728" s="10"/>
    </row>
    <row r="729" spans="1:3">
      <c r="A729" s="9"/>
      <c r="B729" s="10"/>
      <c r="C729" s="10"/>
    </row>
    <row r="730" spans="1:3">
      <c r="A730" s="9"/>
      <c r="B730" s="10"/>
      <c r="C730" s="10"/>
    </row>
    <row r="731" spans="1:3">
      <c r="A731" s="9"/>
      <c r="B731" s="10"/>
      <c r="C731" s="10"/>
    </row>
    <row r="732" spans="1:3">
      <c r="A732" s="9"/>
      <c r="B732" s="10"/>
      <c r="C732" s="10"/>
    </row>
    <row r="733" spans="1:3">
      <c r="A733" s="9"/>
      <c r="B733" s="10"/>
      <c r="C733" s="10"/>
    </row>
    <row r="734" spans="1:3">
      <c r="A734" s="9"/>
      <c r="B734" s="10"/>
      <c r="C734" s="10"/>
    </row>
    <row r="735" spans="1:3">
      <c r="A735" s="9"/>
      <c r="B735" s="10"/>
      <c r="C735" s="10"/>
    </row>
    <row r="736" spans="1:3">
      <c r="A736" s="9"/>
      <c r="B736" s="10"/>
      <c r="C736" s="10"/>
    </row>
    <row r="737" spans="1:3">
      <c r="A737" s="9"/>
      <c r="B737" s="10"/>
      <c r="C737" s="10"/>
    </row>
    <row r="738" spans="1:3">
      <c r="A738" s="9"/>
      <c r="B738" s="10"/>
      <c r="C738" s="10"/>
    </row>
    <row r="739" spans="1:3">
      <c r="A739" s="9"/>
      <c r="B739" s="10"/>
      <c r="C739" s="10"/>
    </row>
    <row r="740" spans="1:3">
      <c r="A740" s="9"/>
      <c r="B740" s="10"/>
      <c r="C740" s="10"/>
    </row>
    <row r="741" spans="1:3">
      <c r="A741" s="9"/>
      <c r="B741" s="10"/>
      <c r="C741" s="10"/>
    </row>
    <row r="742" spans="1:3">
      <c r="A742" s="9"/>
      <c r="B742" s="10"/>
      <c r="C742" s="10"/>
    </row>
    <row r="743" spans="1:3">
      <c r="A743" s="9"/>
      <c r="B743" s="10"/>
      <c r="C743" s="10"/>
    </row>
    <row r="744" spans="1:3">
      <c r="A744" s="9"/>
      <c r="B744" s="10"/>
      <c r="C744" s="10"/>
    </row>
    <row r="745" spans="1:3">
      <c r="A745" s="9"/>
      <c r="B745" s="10"/>
      <c r="C745" s="10"/>
    </row>
    <row r="746" spans="1:3">
      <c r="A746" s="9"/>
      <c r="B746" s="10"/>
      <c r="C746" s="10"/>
    </row>
    <row r="747" spans="1:3">
      <c r="A747" s="9"/>
      <c r="B747" s="10"/>
      <c r="C747" s="10"/>
    </row>
    <row r="748" spans="1:3">
      <c r="A748" s="9"/>
      <c r="B748" s="10"/>
      <c r="C748" s="10"/>
    </row>
    <row r="749" spans="1:3">
      <c r="A749" s="9"/>
      <c r="B749" s="10"/>
      <c r="C749" s="10"/>
    </row>
    <row r="750" spans="1:3">
      <c r="A750" s="9"/>
      <c r="B750" s="10"/>
      <c r="C750" s="10"/>
    </row>
    <row r="751" spans="1:3">
      <c r="A751" s="9"/>
      <c r="B751" s="10"/>
      <c r="C751" s="10"/>
    </row>
    <row r="752" spans="1:3">
      <c r="A752" s="9"/>
      <c r="B752" s="10"/>
      <c r="C752" s="10"/>
    </row>
    <row r="753" spans="1:3">
      <c r="A753" s="9"/>
      <c r="B753" s="10"/>
      <c r="C753" s="10"/>
    </row>
    <row r="754" spans="1:3">
      <c r="A754" s="9"/>
      <c r="B754" s="10"/>
      <c r="C754" s="10"/>
    </row>
    <row r="755" spans="1:3">
      <c r="A755" s="9"/>
      <c r="B755" s="10"/>
      <c r="C755" s="10"/>
    </row>
    <row r="756" spans="1:3">
      <c r="A756" s="9"/>
      <c r="B756" s="10"/>
      <c r="C756" s="10"/>
    </row>
    <row r="757" spans="1:3">
      <c r="A757" s="9"/>
      <c r="B757" s="10"/>
      <c r="C757" s="10"/>
    </row>
    <row r="758" spans="1:3">
      <c r="A758" s="9"/>
      <c r="B758" s="10"/>
      <c r="C758" s="10"/>
    </row>
    <row r="759" spans="1:3">
      <c r="A759" s="9"/>
      <c r="B759" s="10"/>
      <c r="C759" s="10"/>
    </row>
    <row r="760" spans="1:3">
      <c r="A760" s="9"/>
      <c r="B760" s="10"/>
      <c r="C760" s="10"/>
    </row>
    <row r="761" spans="1:3">
      <c r="A761" s="9"/>
      <c r="B761" s="10"/>
      <c r="C761" s="10"/>
    </row>
    <row r="762" spans="1:3">
      <c r="A762" s="9"/>
      <c r="B762" s="10"/>
      <c r="C762" s="10"/>
    </row>
    <row r="763" spans="1:3">
      <c r="A763" s="9"/>
      <c r="B763" s="10"/>
      <c r="C763" s="10"/>
    </row>
    <row r="764" spans="1:3">
      <c r="A764" s="9"/>
      <c r="B764" s="10"/>
      <c r="C764" s="10"/>
    </row>
    <row r="765" spans="1:3">
      <c r="A765" s="9"/>
      <c r="B765" s="10"/>
      <c r="C765" s="10"/>
    </row>
    <row r="766" spans="1:3">
      <c r="A766" s="9"/>
      <c r="B766" s="10"/>
      <c r="C766" s="10"/>
    </row>
    <row r="767" spans="1:3">
      <c r="A767" s="9"/>
      <c r="B767" s="10"/>
      <c r="C767" s="10"/>
    </row>
    <row r="768" spans="1:3">
      <c r="A768" s="9"/>
      <c r="B768" s="10"/>
      <c r="C768" s="10"/>
    </row>
    <row r="769" spans="1:3">
      <c r="A769" s="9"/>
      <c r="B769" s="10"/>
      <c r="C769" s="10"/>
    </row>
    <row r="770" spans="1:3">
      <c r="A770" s="9"/>
      <c r="B770" s="10"/>
      <c r="C770" s="10"/>
    </row>
    <row r="771" spans="1:3">
      <c r="A771" s="9"/>
      <c r="B771" s="10"/>
      <c r="C771" s="10"/>
    </row>
    <row r="772" spans="1:3">
      <c r="A772" s="9"/>
      <c r="B772" s="10"/>
      <c r="C772" s="10"/>
    </row>
    <row r="773" spans="1:3">
      <c r="A773" s="9"/>
      <c r="B773" s="10"/>
      <c r="C773" s="10"/>
    </row>
    <row r="774" spans="1:3">
      <c r="A774" s="9"/>
      <c r="B774" s="10"/>
      <c r="C774" s="10"/>
    </row>
    <row r="775" spans="1:3">
      <c r="A775" s="9"/>
      <c r="B775" s="10"/>
      <c r="C775" s="10"/>
    </row>
    <row r="776" spans="1:3">
      <c r="A776" s="9"/>
      <c r="B776" s="10"/>
      <c r="C776" s="10"/>
    </row>
    <row r="777" spans="1:3">
      <c r="A777" s="9"/>
      <c r="B777" s="10"/>
      <c r="C777" s="10"/>
    </row>
    <row r="778" spans="1:3">
      <c r="A778" s="9"/>
      <c r="B778" s="10"/>
      <c r="C778" s="10"/>
    </row>
    <row r="779" spans="1:3">
      <c r="A779" s="9"/>
      <c r="B779" s="10"/>
      <c r="C779" s="10"/>
    </row>
    <row r="780" spans="1:3">
      <c r="A780" s="9"/>
      <c r="B780" s="10"/>
      <c r="C780" s="10"/>
    </row>
    <row r="781" spans="1:3">
      <c r="A781" s="9"/>
      <c r="B781" s="10"/>
      <c r="C781" s="10"/>
    </row>
    <row r="782" spans="1:3">
      <c r="A782" s="9"/>
      <c r="B782" s="10"/>
      <c r="C782" s="10"/>
    </row>
    <row r="783" spans="1:3">
      <c r="A783" s="9"/>
      <c r="B783" s="10"/>
      <c r="C783" s="10"/>
    </row>
    <row r="784" spans="1:3">
      <c r="A784" s="9"/>
      <c r="B784" s="10"/>
      <c r="C784" s="10"/>
    </row>
    <row r="785" spans="1:3">
      <c r="A785" s="9"/>
      <c r="B785" s="10"/>
      <c r="C785" s="10"/>
    </row>
    <row r="786" spans="1:3">
      <c r="A786" s="9"/>
      <c r="B786" s="10"/>
      <c r="C786" s="10"/>
    </row>
    <row r="787" spans="1:3">
      <c r="A787" s="9"/>
      <c r="B787" s="10"/>
      <c r="C787" s="10"/>
    </row>
    <row r="788" spans="1:3">
      <c r="A788" s="9"/>
      <c r="B788" s="10"/>
      <c r="C788" s="10"/>
    </row>
    <row r="789" spans="1:3">
      <c r="A789" s="9"/>
      <c r="B789" s="10"/>
      <c r="C789" s="10"/>
    </row>
    <row r="790" spans="1:3">
      <c r="A790" s="9"/>
      <c r="B790" s="10"/>
      <c r="C790" s="10"/>
    </row>
    <row r="791" spans="1:3">
      <c r="A791" s="9"/>
      <c r="B791" s="10"/>
      <c r="C791" s="10"/>
    </row>
    <row r="792" spans="1:3">
      <c r="A792" s="9"/>
      <c r="B792" s="10"/>
      <c r="C792" s="10"/>
    </row>
    <row r="793" spans="1:3">
      <c r="A793" s="9"/>
      <c r="B793" s="10"/>
      <c r="C793" s="10"/>
    </row>
    <row r="794" spans="1:3">
      <c r="A794" s="9"/>
      <c r="B794" s="10"/>
      <c r="C794" s="10"/>
    </row>
    <row r="795" spans="1:3">
      <c r="A795" s="9"/>
      <c r="B795" s="10"/>
      <c r="C795" s="10"/>
    </row>
    <row r="796" spans="1:3">
      <c r="A796" s="9"/>
      <c r="B796" s="10"/>
      <c r="C796" s="10"/>
    </row>
    <row r="797" spans="1:3">
      <c r="A797" s="9"/>
      <c r="B797" s="10"/>
      <c r="C797" s="10"/>
    </row>
    <row r="798" spans="1:3">
      <c r="A798" s="9"/>
      <c r="B798" s="10"/>
      <c r="C798" s="10"/>
    </row>
    <row r="799" spans="1:3">
      <c r="A799" s="9"/>
      <c r="B799" s="10"/>
      <c r="C799" s="10"/>
    </row>
    <row r="800" spans="1:3">
      <c r="A800" s="9"/>
      <c r="B800" s="10"/>
      <c r="C800" s="10"/>
    </row>
    <row r="801" spans="1:3">
      <c r="A801" s="9"/>
      <c r="B801" s="10"/>
      <c r="C801" s="10"/>
    </row>
    <row r="802" spans="1:3">
      <c r="A802" s="9"/>
      <c r="B802" s="10"/>
      <c r="C802" s="10"/>
    </row>
    <row r="803" spans="1:3">
      <c r="A803" s="9"/>
      <c r="B803" s="10"/>
      <c r="C803" s="10"/>
    </row>
    <row r="804" spans="1:3">
      <c r="A804" s="9"/>
      <c r="B804" s="10"/>
      <c r="C804" s="10"/>
    </row>
    <row r="805" spans="1:3">
      <c r="A805" s="9"/>
      <c r="B805" s="10"/>
      <c r="C805" s="10"/>
    </row>
    <row r="806" spans="1:3">
      <c r="A806" s="9"/>
      <c r="B806" s="10"/>
      <c r="C806" s="10"/>
    </row>
    <row r="807" spans="1:3">
      <c r="A807" s="9"/>
      <c r="B807" s="10"/>
      <c r="C807" s="10"/>
    </row>
    <row r="808" spans="1:3">
      <c r="A808" s="9"/>
      <c r="B808" s="10"/>
      <c r="C808" s="10"/>
    </row>
    <row r="809" spans="1:3">
      <c r="A809" s="9"/>
      <c r="B809" s="10"/>
      <c r="C809" s="10"/>
    </row>
    <row r="810" spans="1:3">
      <c r="A810" s="9"/>
      <c r="B810" s="10"/>
      <c r="C810" s="10"/>
    </row>
    <row r="811" spans="1:3">
      <c r="A811" s="9"/>
      <c r="B811" s="10"/>
      <c r="C811" s="10"/>
    </row>
    <row r="812" spans="1:3">
      <c r="A812" s="9"/>
      <c r="B812" s="10"/>
      <c r="C812" s="10"/>
    </row>
    <row r="813" spans="1:3">
      <c r="A813" s="9"/>
      <c r="B813" s="10"/>
      <c r="C813" s="10"/>
    </row>
    <row r="814" spans="1:3">
      <c r="A814" s="9"/>
      <c r="B814" s="10"/>
      <c r="C814" s="10"/>
    </row>
    <row r="815" spans="1:3">
      <c r="A815" s="9"/>
      <c r="B815" s="10"/>
      <c r="C815" s="10"/>
    </row>
    <row r="816" spans="1:3">
      <c r="A816" s="9"/>
      <c r="B816" s="10"/>
      <c r="C816" s="10"/>
    </row>
    <row r="817" spans="1:3">
      <c r="A817" s="9"/>
      <c r="B817" s="10"/>
      <c r="C817" s="10"/>
    </row>
    <row r="818" spans="1:3">
      <c r="A818" s="9"/>
      <c r="B818" s="10"/>
      <c r="C818" s="10"/>
    </row>
    <row r="819" spans="1:3">
      <c r="A819" s="9"/>
      <c r="B819" s="10"/>
      <c r="C819" s="10"/>
    </row>
    <row r="820" spans="1:3">
      <c r="A820" s="9"/>
      <c r="B820" s="10"/>
      <c r="C820" s="10"/>
    </row>
    <row r="821" spans="1:3">
      <c r="A821" s="9"/>
      <c r="B821" s="10"/>
      <c r="C821" s="10"/>
    </row>
    <row r="822" spans="1:3">
      <c r="A822" s="9"/>
      <c r="B822" s="10"/>
      <c r="C822" s="10"/>
    </row>
    <row r="823" spans="1:3">
      <c r="A823" s="9"/>
      <c r="B823" s="10"/>
      <c r="C823" s="10"/>
    </row>
    <row r="824" spans="1:3">
      <c r="A824" s="9"/>
      <c r="B824" s="10"/>
      <c r="C824" s="10"/>
    </row>
    <row r="825" spans="1:3">
      <c r="A825" s="9"/>
      <c r="B825" s="10"/>
      <c r="C825" s="10"/>
    </row>
    <row r="826" spans="1:3">
      <c r="A826" s="9"/>
      <c r="B826" s="10"/>
      <c r="C826" s="10"/>
    </row>
    <row r="827" spans="1:3">
      <c r="A827" s="9"/>
      <c r="B827" s="10"/>
      <c r="C827" s="10"/>
    </row>
    <row r="828" spans="1:3">
      <c r="A828" s="9"/>
      <c r="B828" s="10"/>
      <c r="C828" s="10"/>
    </row>
    <row r="829" spans="1:3">
      <c r="A829" s="9"/>
      <c r="B829" s="10"/>
      <c r="C829" s="10"/>
    </row>
    <row r="830" spans="1:3">
      <c r="A830" s="9"/>
      <c r="B830" s="10"/>
      <c r="C830" s="10"/>
    </row>
    <row r="831" spans="1:3">
      <c r="A831" s="9"/>
      <c r="B831" s="10"/>
      <c r="C831" s="10"/>
    </row>
    <row r="832" spans="1:3">
      <c r="A832" s="9"/>
      <c r="B832" s="10"/>
      <c r="C832" s="10"/>
    </row>
    <row r="833" spans="1:3">
      <c r="A833" s="9"/>
      <c r="B833" s="10"/>
      <c r="C833" s="10"/>
    </row>
    <row r="834" spans="1:3">
      <c r="A834" s="9"/>
      <c r="B834" s="10"/>
      <c r="C834" s="10"/>
    </row>
    <row r="835" spans="1:3">
      <c r="A835" s="9"/>
      <c r="B835" s="10"/>
      <c r="C835" s="10"/>
    </row>
    <row r="836" spans="1:3">
      <c r="A836" s="9"/>
      <c r="B836" s="10"/>
      <c r="C836" s="10"/>
    </row>
    <row r="837" spans="1:3">
      <c r="A837" s="9"/>
      <c r="B837" s="10"/>
      <c r="C837" s="10"/>
    </row>
    <row r="838" spans="1:3">
      <c r="A838" s="9"/>
      <c r="B838" s="10"/>
      <c r="C838" s="10"/>
    </row>
    <row r="839" spans="1:3">
      <c r="A839" s="9"/>
      <c r="B839" s="10"/>
      <c r="C839" s="10"/>
    </row>
    <row r="840" spans="1:3">
      <c r="A840" s="9"/>
      <c r="B840" s="10"/>
      <c r="C840" s="10"/>
    </row>
    <row r="841" spans="1:3">
      <c r="A841" s="9"/>
      <c r="B841" s="10"/>
      <c r="C841" s="10"/>
    </row>
    <row r="842" spans="1:3">
      <c r="A842" s="9"/>
      <c r="B842" s="10"/>
      <c r="C842" s="10"/>
    </row>
    <row r="843" spans="1:3">
      <c r="A843" s="9"/>
      <c r="B843" s="10"/>
      <c r="C843" s="10"/>
    </row>
    <row r="844" spans="1:3">
      <c r="A844" s="9"/>
      <c r="B844" s="10"/>
      <c r="C844" s="10"/>
    </row>
    <row r="845" spans="1:3">
      <c r="A845" s="9"/>
      <c r="B845" s="10"/>
      <c r="C845" s="10"/>
    </row>
    <row r="846" spans="1:3">
      <c r="A846" s="9"/>
      <c r="B846" s="10"/>
      <c r="C846" s="10"/>
    </row>
    <row r="847" spans="1:3">
      <c r="A847" s="9"/>
      <c r="B847" s="10"/>
      <c r="C847" s="10"/>
    </row>
    <row r="848" spans="1:3">
      <c r="A848" s="9"/>
      <c r="B848" s="10"/>
      <c r="C848" s="10"/>
    </row>
    <row r="849" spans="1:3">
      <c r="A849" s="9"/>
      <c r="B849" s="10"/>
      <c r="C849" s="10"/>
    </row>
    <row r="850" spans="1:3">
      <c r="A850" s="9"/>
      <c r="B850" s="10"/>
      <c r="C850" s="10"/>
    </row>
    <row r="851" spans="1:3">
      <c r="A851" s="9"/>
      <c r="B851" s="10"/>
      <c r="C851" s="10"/>
    </row>
    <row r="852" spans="1:3">
      <c r="A852" s="9"/>
      <c r="B852" s="10"/>
      <c r="C852" s="10"/>
    </row>
    <row r="853" spans="1:3">
      <c r="A853" s="9"/>
      <c r="B853" s="10"/>
      <c r="C853" s="10"/>
    </row>
    <row r="854" spans="1:3">
      <c r="A854" s="9"/>
      <c r="B854" s="10"/>
      <c r="C854" s="10"/>
    </row>
    <row r="855" spans="1:3">
      <c r="A855" s="9"/>
      <c r="B855" s="10"/>
      <c r="C855" s="10"/>
    </row>
    <row r="856" spans="1:3">
      <c r="A856" s="9"/>
      <c r="B856" s="10"/>
      <c r="C856" s="10"/>
    </row>
    <row r="857" spans="1:3">
      <c r="A857" s="9"/>
      <c r="B857" s="10"/>
      <c r="C857" s="10"/>
    </row>
    <row r="858" spans="1:3">
      <c r="A858" s="9"/>
      <c r="B858" s="10"/>
      <c r="C858" s="10"/>
    </row>
    <row r="859" spans="1:3">
      <c r="A859" s="9"/>
      <c r="B859" s="10"/>
      <c r="C859" s="10"/>
    </row>
    <row r="860" spans="1:3">
      <c r="A860" s="9"/>
      <c r="B860" s="10"/>
      <c r="C860" s="10"/>
    </row>
    <row r="861" spans="1:3">
      <c r="A861" s="9"/>
      <c r="B861" s="10"/>
      <c r="C861" s="10"/>
    </row>
    <row r="862" spans="1:3">
      <c r="A862" s="9"/>
      <c r="B862" s="10"/>
      <c r="C862" s="10"/>
    </row>
    <row r="863" spans="1:3">
      <c r="A863" s="9"/>
      <c r="B863" s="10"/>
      <c r="C863" s="10"/>
    </row>
    <row r="864" spans="1:3">
      <c r="A864" s="9"/>
      <c r="B864" s="10"/>
      <c r="C864" s="10"/>
    </row>
    <row r="865" spans="1:3">
      <c r="A865" s="9"/>
      <c r="B865" s="10"/>
      <c r="C865" s="10"/>
    </row>
    <row r="866" spans="1:3">
      <c r="A866" s="9"/>
      <c r="B866" s="10"/>
      <c r="C866" s="10"/>
    </row>
    <row r="867" spans="1:3">
      <c r="A867" s="9"/>
      <c r="B867" s="10"/>
      <c r="C867" s="10"/>
    </row>
    <row r="868" spans="1:3">
      <c r="A868" s="9"/>
      <c r="B868" s="10"/>
      <c r="C868" s="10"/>
    </row>
    <row r="869" spans="1:3">
      <c r="A869" s="9"/>
      <c r="B869" s="10"/>
      <c r="C869" s="10"/>
    </row>
    <row r="870" spans="1:3">
      <c r="A870" s="9"/>
      <c r="B870" s="10"/>
      <c r="C870" s="10"/>
    </row>
    <row r="871" spans="1:3">
      <c r="A871" s="9"/>
      <c r="B871" s="10"/>
      <c r="C871" s="10"/>
    </row>
    <row r="872" spans="1:3">
      <c r="A872" s="9"/>
      <c r="B872" s="10"/>
      <c r="C872" s="10"/>
    </row>
    <row r="873" spans="1:3">
      <c r="A873" s="9"/>
      <c r="B873" s="10"/>
      <c r="C873" s="10"/>
    </row>
    <row r="874" spans="1:3">
      <c r="A874" s="9"/>
      <c r="B874" s="10"/>
      <c r="C874" s="10"/>
    </row>
    <row r="875" spans="1:3">
      <c r="A875" s="9"/>
      <c r="B875" s="10"/>
      <c r="C875" s="10"/>
    </row>
    <row r="876" spans="1:3">
      <c r="A876" s="9"/>
      <c r="B876" s="10"/>
      <c r="C876" s="10"/>
    </row>
    <row r="877" spans="1:3">
      <c r="A877" s="9"/>
      <c r="B877" s="10"/>
      <c r="C877" s="10"/>
    </row>
    <row r="878" spans="1:3">
      <c r="A878" s="9"/>
      <c r="B878" s="10"/>
      <c r="C878" s="10"/>
    </row>
    <row r="879" spans="1:3">
      <c r="A879" s="9"/>
      <c r="B879" s="10"/>
      <c r="C879" s="10"/>
    </row>
    <row r="880" spans="1:3">
      <c r="A880" s="9"/>
      <c r="B880" s="10"/>
      <c r="C880" s="10"/>
    </row>
    <row r="881" spans="1:3">
      <c r="A881" s="9"/>
      <c r="B881" s="10"/>
      <c r="C881" s="10"/>
    </row>
    <row r="882" spans="1:3">
      <c r="A882" s="9"/>
      <c r="B882" s="10"/>
      <c r="C882" s="10"/>
    </row>
    <row r="883" spans="1:3">
      <c r="A883" s="9"/>
      <c r="B883" s="10"/>
      <c r="C883" s="10"/>
    </row>
    <row r="884" spans="1:3">
      <c r="A884" s="9"/>
      <c r="B884" s="10"/>
      <c r="C884" s="10"/>
    </row>
    <row r="885" spans="1:3">
      <c r="A885" s="9"/>
      <c r="B885" s="10"/>
      <c r="C885" s="10"/>
    </row>
    <row r="886" spans="1:3">
      <c r="A886" s="9"/>
      <c r="B886" s="10"/>
      <c r="C886" s="10"/>
    </row>
    <row r="887" spans="1:3">
      <c r="A887" s="9"/>
      <c r="B887" s="10"/>
      <c r="C887" s="10"/>
    </row>
    <row r="888" spans="1:3">
      <c r="A888" s="9"/>
      <c r="B888" s="10"/>
      <c r="C888" s="10"/>
    </row>
    <row r="889" spans="1:3">
      <c r="A889" s="9"/>
      <c r="B889" s="10"/>
      <c r="C889" s="10"/>
    </row>
    <row r="890" spans="1:3">
      <c r="A890" s="9"/>
      <c r="B890" s="10"/>
      <c r="C890" s="10"/>
    </row>
    <row r="891" spans="1:3">
      <c r="A891" s="9"/>
      <c r="B891" s="10"/>
      <c r="C891" s="10"/>
    </row>
    <row r="892" spans="1:3">
      <c r="A892" s="9"/>
      <c r="B892" s="10"/>
      <c r="C892" s="10"/>
    </row>
    <row r="893" spans="1:3">
      <c r="A893" s="9"/>
      <c r="B893" s="10"/>
      <c r="C893" s="10"/>
    </row>
    <row r="894" spans="1:3">
      <c r="A894" s="9"/>
      <c r="B894" s="10"/>
      <c r="C894" s="10"/>
    </row>
    <row r="895" spans="1:3">
      <c r="A895" s="9"/>
      <c r="B895" s="10"/>
      <c r="C895" s="10"/>
    </row>
    <row r="896" spans="1:3">
      <c r="A896" s="9"/>
      <c r="B896" s="10"/>
      <c r="C896" s="10"/>
    </row>
    <row r="897" spans="1:3">
      <c r="A897" s="9"/>
      <c r="B897" s="10"/>
      <c r="C897" s="10"/>
    </row>
    <row r="898" spans="1:3">
      <c r="A898" s="9"/>
      <c r="B898" s="10"/>
      <c r="C898" s="10"/>
    </row>
    <row r="899" spans="1:3">
      <c r="A899" s="9"/>
      <c r="B899" s="10"/>
      <c r="C899" s="10"/>
    </row>
    <row r="900" spans="1:3">
      <c r="A900" s="9"/>
      <c r="B900" s="10"/>
      <c r="C900" s="10"/>
    </row>
    <row r="901" spans="1:3">
      <c r="A901" s="9"/>
      <c r="B901" s="10"/>
      <c r="C901" s="10"/>
    </row>
    <row r="902" spans="1:3">
      <c r="A902" s="9"/>
      <c r="B902" s="10"/>
      <c r="C902" s="10"/>
    </row>
    <row r="903" spans="1:3">
      <c r="A903" s="9"/>
      <c r="B903" s="10"/>
      <c r="C903" s="10"/>
    </row>
    <row r="904" spans="1:3">
      <c r="A904" s="9"/>
      <c r="B904" s="10"/>
      <c r="C904" s="10"/>
    </row>
    <row r="905" spans="1:3">
      <c r="A905" s="9"/>
      <c r="B905" s="10"/>
      <c r="C905" s="10"/>
    </row>
    <row r="906" spans="1:3">
      <c r="A906" s="9"/>
      <c r="B906" s="10"/>
      <c r="C906" s="10"/>
    </row>
    <row r="907" spans="1:3">
      <c r="A907" s="9"/>
      <c r="B907" s="10"/>
      <c r="C907" s="10"/>
    </row>
    <row r="908" spans="1:3">
      <c r="A908" s="9"/>
      <c r="B908" s="10"/>
      <c r="C908" s="10"/>
    </row>
    <row r="909" spans="1:3">
      <c r="A909" s="9"/>
      <c r="B909" s="10"/>
      <c r="C909" s="10"/>
    </row>
    <row r="910" spans="1:3">
      <c r="A910" s="9"/>
      <c r="B910" s="10"/>
      <c r="C910" s="10"/>
    </row>
    <row r="911" spans="1:3">
      <c r="A911" s="9"/>
      <c r="B911" s="10"/>
      <c r="C911" s="10"/>
    </row>
    <row r="912" spans="1:3">
      <c r="A912" s="9"/>
      <c r="B912" s="10"/>
      <c r="C912" s="10"/>
    </row>
    <row r="913" spans="1:3">
      <c r="A913" s="9"/>
      <c r="B913" s="10"/>
      <c r="C913" s="10"/>
    </row>
    <row r="914" spans="1:3">
      <c r="A914" s="9"/>
      <c r="B914" s="10"/>
      <c r="C914" s="10"/>
    </row>
    <row r="915" spans="1:3">
      <c r="A915" s="9"/>
      <c r="B915" s="10"/>
      <c r="C915" s="10"/>
    </row>
    <row r="916" spans="1:3">
      <c r="A916" s="9"/>
      <c r="B916" s="10"/>
      <c r="C916" s="10"/>
    </row>
    <row r="917" spans="1:3">
      <c r="A917" s="9"/>
      <c r="B917" s="10"/>
      <c r="C917" s="10"/>
    </row>
    <row r="918" spans="1:3">
      <c r="A918" s="9"/>
      <c r="B918" s="10"/>
      <c r="C918" s="10"/>
    </row>
    <row r="919" spans="1:3">
      <c r="A919" s="9"/>
      <c r="B919" s="10"/>
      <c r="C919" s="10"/>
    </row>
    <row r="920" spans="1:3">
      <c r="A920" s="9"/>
      <c r="B920" s="10"/>
      <c r="C920" s="10"/>
    </row>
    <row r="921" spans="1:3">
      <c r="A921" s="9"/>
      <c r="B921" s="10"/>
      <c r="C921" s="10"/>
    </row>
    <row r="922" spans="1:3">
      <c r="A922" s="9"/>
      <c r="B922" s="10"/>
      <c r="C922" s="10"/>
    </row>
    <row r="923" spans="1:3">
      <c r="A923" s="9"/>
      <c r="B923" s="10"/>
      <c r="C923" s="10"/>
    </row>
    <row r="924" spans="1:3">
      <c r="A924" s="9"/>
      <c r="B924" s="10"/>
      <c r="C924" s="10"/>
    </row>
    <row r="925" spans="1:3">
      <c r="A925" s="9"/>
      <c r="B925" s="10"/>
      <c r="C925" s="10"/>
    </row>
    <row r="926" spans="1:3">
      <c r="A926" s="9"/>
      <c r="B926" s="10"/>
      <c r="C926" s="10"/>
    </row>
    <row r="927" spans="1:3">
      <c r="A927" s="9"/>
      <c r="B927" s="10"/>
      <c r="C927" s="10"/>
    </row>
    <row r="928" spans="1:3">
      <c r="A928" s="9"/>
      <c r="B928" s="10"/>
      <c r="C928" s="10"/>
    </row>
    <row r="929" spans="1:3">
      <c r="A929" s="9"/>
      <c r="B929" s="10"/>
      <c r="C929" s="10"/>
    </row>
    <row r="930" spans="1:3">
      <c r="A930" s="9"/>
      <c r="B930" s="10"/>
      <c r="C930" s="10"/>
    </row>
    <row r="931" spans="1:3">
      <c r="A931" s="9"/>
      <c r="B931" s="10"/>
      <c r="C931" s="10"/>
    </row>
    <row r="932" spans="1:3">
      <c r="A932" s="9"/>
      <c r="B932" s="10"/>
      <c r="C932" s="10"/>
    </row>
    <row r="933" spans="1:3">
      <c r="A933" s="9"/>
      <c r="B933" s="10"/>
      <c r="C933" s="10"/>
    </row>
    <row r="934" spans="1:3">
      <c r="A934" s="9"/>
      <c r="B934" s="10"/>
      <c r="C934" s="10"/>
    </row>
    <row r="935" spans="1:3">
      <c r="A935" s="9"/>
      <c r="B935" s="10"/>
      <c r="C935" s="10"/>
    </row>
    <row r="936" spans="1:3">
      <c r="A936" s="9"/>
      <c r="B936" s="10"/>
      <c r="C936" s="10"/>
    </row>
    <row r="937" spans="1:3">
      <c r="A937" s="9"/>
      <c r="B937" s="10"/>
      <c r="C937" s="10"/>
    </row>
    <row r="938" spans="1:3">
      <c r="A938" s="9"/>
      <c r="B938" s="10"/>
      <c r="C938" s="10"/>
    </row>
    <row r="939" spans="1:3">
      <c r="A939" s="9"/>
      <c r="B939" s="10"/>
      <c r="C939" s="10"/>
    </row>
    <row r="940" spans="1:3">
      <c r="A940" s="9"/>
      <c r="B940" s="10"/>
      <c r="C940" s="10"/>
    </row>
    <row r="941" spans="1:3">
      <c r="A941" s="9"/>
      <c r="B941" s="10"/>
      <c r="C941" s="10"/>
    </row>
    <row r="942" spans="1:3">
      <c r="A942" s="9"/>
      <c r="B942" s="10"/>
      <c r="C942" s="10"/>
    </row>
    <row r="943" spans="1:3">
      <c r="A943" s="9"/>
      <c r="B943" s="10"/>
      <c r="C943" s="10"/>
    </row>
    <row r="944" spans="1:3">
      <c r="A944" s="9"/>
      <c r="B944" s="10"/>
      <c r="C944" s="10"/>
    </row>
    <row r="945" spans="1:3">
      <c r="A945" s="9"/>
      <c r="B945" s="10"/>
      <c r="C945" s="10"/>
    </row>
    <row r="946" spans="1:3">
      <c r="A946" s="9"/>
      <c r="B946" s="10"/>
      <c r="C946" s="10"/>
    </row>
    <row r="947" spans="1:3">
      <c r="A947" s="9"/>
      <c r="B947" s="10"/>
      <c r="C947" s="10"/>
    </row>
    <row r="948" spans="1:3">
      <c r="A948" s="9"/>
      <c r="B948" s="10"/>
      <c r="C948" s="10"/>
    </row>
    <row r="949" spans="1:3">
      <c r="A949" s="9"/>
      <c r="B949" s="10"/>
      <c r="C949" s="10"/>
    </row>
    <row r="950" spans="1:3">
      <c r="A950" s="9"/>
      <c r="B950" s="10"/>
      <c r="C950" s="10"/>
    </row>
    <row r="951" spans="1:3">
      <c r="A951" s="9"/>
      <c r="B951" s="10"/>
      <c r="C951" s="10"/>
    </row>
    <row r="952" spans="1:3">
      <c r="A952" s="9"/>
      <c r="B952" s="10"/>
      <c r="C952" s="10"/>
    </row>
    <row r="953" spans="1:3">
      <c r="A953" s="9"/>
      <c r="B953" s="10"/>
      <c r="C953" s="10"/>
    </row>
    <row r="954" spans="1:3">
      <c r="A954" s="9"/>
      <c r="B954" s="10"/>
      <c r="C954" s="10"/>
    </row>
    <row r="955" spans="1:3">
      <c r="A955" s="9"/>
      <c r="B955" s="10"/>
      <c r="C955" s="10"/>
    </row>
    <row r="956" spans="1:3">
      <c r="A956" s="9"/>
      <c r="B956" s="10"/>
      <c r="C956" s="10"/>
    </row>
    <row r="957" spans="1:3">
      <c r="A957" s="9"/>
      <c r="B957" s="10"/>
      <c r="C957" s="10"/>
    </row>
    <row r="958" spans="1:3">
      <c r="A958" s="9"/>
      <c r="B958" s="10"/>
      <c r="C958" s="10"/>
    </row>
    <row r="959" spans="1:3">
      <c r="A959" s="9"/>
      <c r="B959" s="10"/>
      <c r="C959" s="10"/>
    </row>
    <row r="960" spans="1:3">
      <c r="A960" s="9"/>
      <c r="B960" s="10"/>
      <c r="C960" s="10"/>
    </row>
    <row r="961" spans="1:3">
      <c r="A961" s="9"/>
      <c r="B961" s="10"/>
      <c r="C961" s="10"/>
    </row>
    <row r="962" spans="1:3">
      <c r="A962" s="9"/>
      <c r="B962" s="10"/>
      <c r="C962" s="10"/>
    </row>
    <row r="963" spans="1:3">
      <c r="A963" s="9"/>
      <c r="B963" s="10"/>
      <c r="C963" s="10"/>
    </row>
    <row r="964" spans="1:3">
      <c r="A964" s="9"/>
      <c r="B964" s="10"/>
      <c r="C964" s="10"/>
    </row>
    <row r="965" spans="1:3">
      <c r="A965" s="9"/>
      <c r="B965" s="10"/>
      <c r="C965" s="10"/>
    </row>
    <row r="966" spans="1:3">
      <c r="A966" s="9"/>
      <c r="B966" s="10"/>
      <c r="C966" s="10"/>
    </row>
    <row r="967" spans="1:3">
      <c r="A967" s="9"/>
      <c r="B967" s="10"/>
      <c r="C967" s="10"/>
    </row>
    <row r="968" spans="1:3">
      <c r="A968" s="9"/>
      <c r="B968" s="10"/>
      <c r="C968" s="10"/>
    </row>
    <row r="969" spans="1:3">
      <c r="A969" s="9"/>
      <c r="B969" s="10"/>
      <c r="C969" s="10"/>
    </row>
    <row r="970" spans="1:3">
      <c r="A970" s="9"/>
      <c r="B970" s="10"/>
      <c r="C970" s="10"/>
    </row>
    <row r="971" spans="1:3">
      <c r="A971" s="9"/>
      <c r="B971" s="10"/>
      <c r="C971" s="10"/>
    </row>
    <row r="972" spans="1:3">
      <c r="A972" s="9"/>
      <c r="B972" s="10"/>
      <c r="C972" s="10"/>
    </row>
    <row r="973" spans="1:3">
      <c r="A973" s="9"/>
      <c r="B973" s="10"/>
      <c r="C973" s="10"/>
    </row>
    <row r="974" spans="1:3">
      <c r="A974" s="9"/>
      <c r="B974" s="10"/>
      <c r="C974" s="10"/>
    </row>
    <row r="975" spans="1:3">
      <c r="A975" s="9"/>
      <c r="B975" s="10"/>
      <c r="C975" s="10"/>
    </row>
    <row r="976" spans="1:3">
      <c r="A976" s="9"/>
      <c r="B976" s="10"/>
      <c r="C976" s="10"/>
    </row>
    <row r="977" spans="1:3">
      <c r="A977" s="9"/>
      <c r="B977" s="10"/>
      <c r="C977" s="10"/>
    </row>
    <row r="978" spans="1:3">
      <c r="A978" s="9"/>
      <c r="B978" s="10"/>
      <c r="C978" s="10"/>
    </row>
    <row r="979" spans="1:3">
      <c r="A979" s="9"/>
      <c r="B979" s="10"/>
      <c r="C979" s="10"/>
    </row>
    <row r="980" spans="1:3">
      <c r="A980" s="9"/>
      <c r="B980" s="10"/>
      <c r="C980" s="10"/>
    </row>
    <row r="981" spans="1:3">
      <c r="A981" s="9"/>
      <c r="B981" s="10"/>
      <c r="C981" s="10"/>
    </row>
    <row r="982" spans="1:3">
      <c r="A982" s="9"/>
      <c r="B982" s="10"/>
      <c r="C982" s="10"/>
    </row>
    <row r="983" spans="1:3">
      <c r="A983" s="9"/>
      <c r="B983" s="10"/>
      <c r="C983" s="10"/>
    </row>
    <row r="984" spans="1:3">
      <c r="A984" s="9"/>
      <c r="B984" s="10"/>
      <c r="C984" s="10"/>
    </row>
    <row r="985" spans="1:3">
      <c r="A985" s="9"/>
      <c r="B985" s="10"/>
      <c r="C985" s="10"/>
    </row>
    <row r="986" spans="1:3">
      <c r="A986" s="9"/>
      <c r="B986" s="10"/>
      <c r="C986" s="10"/>
    </row>
    <row r="987" spans="1:3">
      <c r="A987" s="9"/>
      <c r="B987" s="10"/>
      <c r="C987" s="10"/>
    </row>
    <row r="988" spans="1:3">
      <c r="A988" s="9"/>
      <c r="B988" s="10"/>
      <c r="C988" s="10"/>
    </row>
    <row r="989" spans="1:3">
      <c r="A989" s="9"/>
      <c r="B989" s="10"/>
      <c r="C989" s="10"/>
    </row>
    <row r="990" spans="1:3">
      <c r="A990" s="9"/>
      <c r="B990" s="10"/>
      <c r="C990" s="10"/>
    </row>
    <row r="991" spans="1:3">
      <c r="A991" s="9"/>
      <c r="B991" s="10"/>
      <c r="C991" s="10"/>
    </row>
    <row r="992" spans="1:3">
      <c r="A992" s="9"/>
      <c r="B992" s="10"/>
      <c r="C992" s="10"/>
    </row>
    <row r="993" spans="1:3">
      <c r="A993" s="9"/>
      <c r="B993" s="10"/>
      <c r="C993" s="10"/>
    </row>
    <row r="994" spans="1:3">
      <c r="A994" s="9"/>
      <c r="B994" s="10"/>
      <c r="C994" s="10"/>
    </row>
    <row r="995" spans="1:3">
      <c r="A995" s="9"/>
      <c r="B995" s="10"/>
      <c r="C995" s="10"/>
    </row>
    <row r="996" spans="1:3">
      <c r="A996" s="9"/>
      <c r="B996" s="10"/>
      <c r="C996" s="10"/>
    </row>
    <row r="997" spans="1:3">
      <c r="A997" s="9"/>
      <c r="B997" s="10"/>
      <c r="C997" s="10"/>
    </row>
    <row r="998" spans="1:3">
      <c r="A998" s="9"/>
      <c r="B998" s="10"/>
      <c r="C998" s="10"/>
    </row>
    <row r="999" spans="1:3">
      <c r="A999" s="9"/>
      <c r="B999" s="10"/>
      <c r="C999" s="10"/>
    </row>
    <row r="1000" spans="1:3">
      <c r="A1000" s="9"/>
      <c r="B1000" s="10"/>
      <c r="C1000" s="10"/>
    </row>
    <row r="1001" spans="1:3">
      <c r="A1001" s="9"/>
      <c r="B1001" s="10"/>
      <c r="C1001" s="10"/>
    </row>
    <row r="1002" spans="1:3">
      <c r="A1002" s="9"/>
      <c r="B1002" s="10"/>
      <c r="C1002" s="10"/>
    </row>
    <row r="1003" spans="1:3">
      <c r="A1003" s="9"/>
      <c r="B1003" s="10"/>
      <c r="C1003" s="10"/>
    </row>
    <row r="1004" spans="1:3">
      <c r="A1004" s="9"/>
      <c r="B1004" s="10"/>
      <c r="C1004" s="10"/>
    </row>
    <row r="1005" spans="1:3">
      <c r="A1005" s="9"/>
      <c r="B1005" s="10"/>
      <c r="C1005" s="10"/>
    </row>
    <row r="1006" spans="1:3">
      <c r="A1006" s="9"/>
      <c r="B1006" s="10"/>
      <c r="C1006" s="10"/>
    </row>
    <row r="1007" spans="1:3">
      <c r="A1007" s="9"/>
      <c r="B1007" s="10"/>
      <c r="C1007" s="10"/>
    </row>
    <row r="1008" spans="1:3">
      <c r="A1008" s="9"/>
      <c r="B1008" s="10"/>
      <c r="C1008" s="10"/>
    </row>
    <row r="1009" spans="1:3">
      <c r="A1009" s="9"/>
      <c r="B1009" s="10"/>
      <c r="C1009" s="10"/>
    </row>
    <row r="1010" spans="1:3">
      <c r="A1010" s="9"/>
      <c r="B1010" s="10"/>
      <c r="C1010" s="10"/>
    </row>
    <row r="1011" spans="1:3">
      <c r="A1011" s="9"/>
      <c r="B1011" s="10"/>
      <c r="C1011" s="10"/>
    </row>
    <row r="1012" spans="1:3">
      <c r="A1012" s="9"/>
      <c r="B1012" s="10"/>
      <c r="C1012" s="10"/>
    </row>
    <row r="1013" spans="1:3">
      <c r="A1013" s="9"/>
      <c r="B1013" s="10"/>
      <c r="C1013" s="10"/>
    </row>
    <row r="1014" spans="1:3">
      <c r="A1014" s="9"/>
      <c r="B1014" s="10"/>
      <c r="C1014" s="10"/>
    </row>
    <row r="1015" spans="1:3">
      <c r="A1015" s="9"/>
      <c r="B1015" s="10"/>
      <c r="C1015" s="10"/>
    </row>
    <row r="1016" spans="1:3">
      <c r="A1016" s="9"/>
      <c r="B1016" s="10"/>
      <c r="C1016" s="10"/>
    </row>
    <row r="1017" spans="1:3">
      <c r="A1017" s="9"/>
      <c r="B1017" s="10"/>
      <c r="C1017" s="10"/>
    </row>
    <row r="1018" spans="1:3">
      <c r="A1018" s="9"/>
      <c r="B1018" s="10"/>
      <c r="C1018" s="10"/>
    </row>
    <row r="1019" spans="1:3">
      <c r="A1019" s="9"/>
      <c r="B1019" s="10"/>
      <c r="C1019" s="10"/>
    </row>
    <row r="1020" spans="1:3">
      <c r="A1020" s="9"/>
      <c r="B1020" s="10"/>
      <c r="C1020" s="10"/>
    </row>
    <row r="1021" spans="1:3">
      <c r="A1021" s="9"/>
      <c r="B1021" s="10"/>
      <c r="C1021" s="10"/>
    </row>
    <row r="1022" spans="1:3">
      <c r="A1022" s="9"/>
      <c r="B1022" s="10"/>
      <c r="C1022" s="10"/>
    </row>
    <row r="1023" spans="1:3">
      <c r="A1023" s="9"/>
      <c r="B1023" s="10"/>
      <c r="C1023" s="10"/>
    </row>
    <row r="1024" spans="1:3">
      <c r="A1024" s="9"/>
      <c r="B1024" s="10"/>
      <c r="C1024" s="10"/>
    </row>
    <row r="1025" spans="1:3">
      <c r="A1025" s="9"/>
      <c r="B1025" s="10"/>
      <c r="C1025" s="10"/>
    </row>
    <row r="1026" spans="1:3">
      <c r="A1026" s="9"/>
      <c r="B1026" s="10"/>
      <c r="C1026" s="10"/>
    </row>
    <row r="1027" spans="1:3">
      <c r="A1027" s="9"/>
      <c r="B1027" s="10"/>
      <c r="C1027" s="10"/>
    </row>
    <row r="1028" spans="1:3">
      <c r="A1028" s="9"/>
      <c r="B1028" s="10"/>
      <c r="C1028" s="10"/>
    </row>
    <row r="1029" spans="1:3">
      <c r="A1029" s="9"/>
      <c r="B1029" s="10"/>
      <c r="C1029" s="10"/>
    </row>
    <row r="1030" spans="1:3">
      <c r="A1030" s="9"/>
      <c r="B1030" s="10"/>
      <c r="C1030" s="10"/>
    </row>
    <row r="1031" spans="1:3">
      <c r="A1031" s="9"/>
      <c r="B1031" s="10"/>
      <c r="C1031" s="10"/>
    </row>
    <row r="1032" spans="1:3">
      <c r="A1032" s="9"/>
      <c r="B1032" s="10"/>
      <c r="C1032" s="10"/>
    </row>
    <row r="1033" spans="1:3">
      <c r="A1033" s="9"/>
      <c r="B1033" s="10"/>
      <c r="C1033" s="10"/>
    </row>
    <row r="1034" spans="1:3">
      <c r="A1034" s="9"/>
      <c r="B1034" s="10"/>
      <c r="C1034" s="10"/>
    </row>
    <row r="1035" spans="1:3">
      <c r="A1035" s="9"/>
      <c r="B1035" s="10"/>
      <c r="C1035" s="10"/>
    </row>
    <row r="1036" spans="1:3">
      <c r="A1036" s="9"/>
      <c r="B1036" s="10"/>
      <c r="C1036" s="10"/>
    </row>
    <row r="1037" spans="1:3">
      <c r="A1037" s="9"/>
      <c r="B1037" s="10"/>
      <c r="C1037" s="10"/>
    </row>
    <row r="1038" spans="1:3">
      <c r="A1038" s="9"/>
      <c r="B1038" s="10"/>
      <c r="C1038" s="10"/>
    </row>
    <row r="1039" spans="1:3">
      <c r="A1039" s="9"/>
      <c r="B1039" s="10"/>
      <c r="C1039" s="10"/>
    </row>
    <row r="1040" spans="1:3">
      <c r="A1040" s="9"/>
      <c r="B1040" s="10"/>
      <c r="C1040" s="10"/>
    </row>
    <row r="1041" spans="1:3">
      <c r="A1041" s="9"/>
      <c r="B1041" s="10"/>
      <c r="C1041" s="10"/>
    </row>
    <row r="1042" spans="1:3">
      <c r="A1042" s="9"/>
      <c r="B1042" s="10"/>
      <c r="C1042" s="10"/>
    </row>
    <row r="1043" spans="1:3">
      <c r="A1043" s="9"/>
      <c r="B1043" s="10"/>
      <c r="C1043" s="10"/>
    </row>
    <row r="1044" spans="1:3">
      <c r="A1044" s="9"/>
      <c r="B1044" s="10"/>
      <c r="C1044" s="10"/>
    </row>
    <row r="1045" spans="1:3">
      <c r="A1045" s="9"/>
      <c r="B1045" s="10"/>
      <c r="C1045" s="10"/>
    </row>
    <row r="1046" spans="1:3">
      <c r="A1046" s="9"/>
      <c r="B1046" s="10"/>
      <c r="C1046" s="10"/>
    </row>
    <row r="1047" spans="1:3">
      <c r="A1047" s="9"/>
      <c r="B1047" s="10"/>
      <c r="C1047" s="10"/>
    </row>
    <row r="1048" spans="1:3">
      <c r="A1048" s="9"/>
      <c r="B1048" s="10"/>
      <c r="C1048" s="10"/>
    </row>
    <row r="1049" spans="1:3">
      <c r="A1049" s="9"/>
      <c r="B1049" s="10"/>
      <c r="C1049" s="10"/>
    </row>
    <row r="1050" spans="1:3">
      <c r="A1050" s="9"/>
      <c r="B1050" s="10"/>
      <c r="C1050" s="10"/>
    </row>
    <row r="1051" spans="1:3">
      <c r="A1051" s="9"/>
      <c r="B1051" s="10"/>
      <c r="C1051" s="10"/>
    </row>
    <row r="1052" spans="1:3">
      <c r="A1052" s="9"/>
      <c r="B1052" s="10"/>
      <c r="C1052" s="10"/>
    </row>
    <row r="1053" spans="1:3">
      <c r="A1053" s="9"/>
      <c r="B1053" s="10"/>
      <c r="C1053" s="10"/>
    </row>
    <row r="1054" spans="1:3">
      <c r="A1054" s="9"/>
      <c r="B1054" s="10"/>
      <c r="C1054" s="10"/>
    </row>
    <row r="1055" spans="1:3">
      <c r="A1055" s="9"/>
      <c r="B1055" s="10"/>
      <c r="C1055" s="10"/>
    </row>
    <row r="1056" spans="1:3">
      <c r="A1056" s="9"/>
      <c r="B1056" s="10"/>
      <c r="C1056" s="10"/>
    </row>
    <row r="1057" spans="1:3">
      <c r="A1057" s="9"/>
      <c r="B1057" s="10"/>
      <c r="C1057" s="10"/>
    </row>
    <row r="1058" spans="1:3">
      <c r="A1058" s="9"/>
      <c r="B1058" s="10"/>
      <c r="C1058" s="10"/>
    </row>
    <row r="1059" spans="1:3">
      <c r="A1059" s="9"/>
      <c r="B1059" s="10"/>
      <c r="C1059" s="10"/>
    </row>
    <row r="1060" spans="1:3">
      <c r="A1060" s="9"/>
      <c r="B1060" s="10"/>
      <c r="C1060" s="10"/>
    </row>
    <row r="1061" spans="1:3">
      <c r="A1061" s="9"/>
      <c r="B1061" s="10"/>
      <c r="C1061" s="10"/>
    </row>
    <row r="1062" spans="1:3">
      <c r="A1062" s="9"/>
      <c r="B1062" s="10"/>
      <c r="C1062" s="10"/>
    </row>
    <row r="1063" spans="1:3">
      <c r="A1063" s="9"/>
      <c r="B1063" s="10"/>
      <c r="C1063" s="10"/>
    </row>
    <row r="1064" spans="1:3">
      <c r="A1064" s="9"/>
      <c r="B1064" s="10"/>
      <c r="C1064" s="10"/>
    </row>
    <row r="1065" spans="1:3">
      <c r="A1065" s="9"/>
      <c r="B1065" s="10"/>
      <c r="C1065" s="10"/>
    </row>
    <row r="1066" spans="1:3">
      <c r="A1066" s="9"/>
      <c r="B1066" s="10"/>
      <c r="C1066" s="10"/>
    </row>
    <row r="1067" spans="1:3">
      <c r="A1067" s="9"/>
      <c r="B1067" s="10"/>
      <c r="C1067" s="10"/>
    </row>
    <row r="1068" spans="1:3">
      <c r="A1068" s="9"/>
      <c r="B1068" s="10"/>
      <c r="C1068" s="10"/>
    </row>
    <row r="1069" spans="1:3">
      <c r="A1069" s="9"/>
      <c r="B1069" s="10"/>
      <c r="C1069" s="10"/>
    </row>
    <row r="1070" spans="1:3">
      <c r="A1070" s="9"/>
      <c r="B1070" s="10"/>
      <c r="C1070" s="10"/>
    </row>
    <row r="1071" spans="1:3">
      <c r="A1071" s="9"/>
      <c r="B1071" s="10"/>
      <c r="C1071" s="10"/>
    </row>
    <row r="1072" spans="1:3">
      <c r="A1072" s="9"/>
      <c r="B1072" s="10"/>
      <c r="C1072" s="10"/>
    </row>
    <row r="1073" spans="1:3">
      <c r="A1073" s="9"/>
      <c r="B1073" s="10"/>
      <c r="C1073" s="10"/>
    </row>
    <row r="1074" spans="1:3">
      <c r="A1074" s="9"/>
      <c r="B1074" s="10"/>
      <c r="C1074" s="10"/>
    </row>
    <row r="1075" spans="1:3">
      <c r="A1075" s="9"/>
      <c r="B1075" s="10"/>
      <c r="C1075" s="10"/>
    </row>
    <row r="1076" spans="1:3">
      <c r="A1076" s="9"/>
      <c r="B1076" s="10"/>
      <c r="C1076" s="10"/>
    </row>
    <row r="1077" spans="1:3">
      <c r="A1077" s="9"/>
      <c r="B1077" s="10"/>
      <c r="C1077" s="10"/>
    </row>
    <row r="1078" spans="1:3">
      <c r="A1078" s="9"/>
      <c r="B1078" s="10"/>
      <c r="C1078" s="10"/>
    </row>
    <row r="1079" spans="1:3">
      <c r="A1079" s="9"/>
      <c r="B1079" s="10"/>
      <c r="C1079" s="10"/>
    </row>
    <row r="1080" spans="1:3">
      <c r="A1080" s="9"/>
      <c r="B1080" s="10"/>
      <c r="C1080" s="10"/>
    </row>
    <row r="1081" spans="1:3">
      <c r="A1081" s="9"/>
      <c r="B1081" s="10"/>
      <c r="C1081" s="10"/>
    </row>
    <row r="1082" spans="1:3">
      <c r="A1082" s="9"/>
      <c r="B1082" s="10"/>
      <c r="C1082" s="10"/>
    </row>
    <row r="1083" spans="1:3">
      <c r="A1083" s="9"/>
      <c r="B1083" s="10"/>
      <c r="C1083" s="10"/>
    </row>
    <row r="1084" spans="1:3">
      <c r="A1084" s="9"/>
      <c r="B1084" s="10"/>
      <c r="C1084" s="10"/>
    </row>
    <row r="1085" spans="1:3">
      <c r="A1085" s="9"/>
      <c r="B1085" s="10"/>
      <c r="C1085" s="10"/>
    </row>
    <row r="1086" spans="1:3">
      <c r="A1086" s="9"/>
      <c r="B1086" s="10"/>
      <c r="C1086" s="10"/>
    </row>
    <row r="1087" spans="1:3">
      <c r="A1087" s="9"/>
      <c r="B1087" s="10"/>
      <c r="C1087" s="10"/>
    </row>
    <row r="1088" spans="1:3">
      <c r="A1088" s="9"/>
      <c r="B1088" s="10"/>
      <c r="C1088" s="10"/>
    </row>
    <row r="1089" spans="1:3">
      <c r="A1089" s="9"/>
      <c r="B1089" s="10"/>
      <c r="C1089" s="10"/>
    </row>
    <row r="1090" spans="1:3">
      <c r="A1090" s="9"/>
      <c r="B1090" s="10"/>
      <c r="C1090" s="10"/>
    </row>
    <row r="1091" spans="1:3">
      <c r="A1091" s="9"/>
      <c r="B1091" s="10"/>
      <c r="C1091" s="10"/>
    </row>
    <row r="1092" spans="1:3">
      <c r="A1092" s="9"/>
      <c r="B1092" s="10"/>
      <c r="C1092" s="10"/>
    </row>
    <row r="1093" spans="1:3">
      <c r="A1093" s="9"/>
      <c r="B1093" s="10"/>
      <c r="C1093" s="10"/>
    </row>
    <row r="1094" spans="1:3">
      <c r="A1094" s="9"/>
      <c r="B1094" s="10"/>
      <c r="C1094" s="10"/>
    </row>
    <row r="1095" spans="1:3">
      <c r="A1095" s="9"/>
      <c r="B1095" s="10"/>
      <c r="C1095" s="10"/>
    </row>
    <row r="1096" spans="1:3">
      <c r="A1096" s="9"/>
      <c r="B1096" s="10"/>
      <c r="C1096" s="10"/>
    </row>
    <row r="1097" spans="1:3">
      <c r="A1097" s="9"/>
      <c r="B1097" s="10"/>
      <c r="C1097" s="10"/>
    </row>
    <row r="1098" spans="1:3">
      <c r="A1098" s="9"/>
      <c r="B1098" s="10"/>
      <c r="C1098" s="10"/>
    </row>
    <row r="1099" spans="1:3">
      <c r="A1099" s="9"/>
      <c r="B1099" s="10"/>
      <c r="C1099" s="10"/>
    </row>
    <row r="1100" spans="1:3">
      <c r="A1100" s="9"/>
      <c r="B1100" s="10"/>
      <c r="C1100" s="10"/>
    </row>
    <row r="1101" spans="1:3">
      <c r="A1101" s="9"/>
      <c r="B1101" s="10"/>
      <c r="C1101" s="10"/>
    </row>
    <row r="1102" spans="1:3">
      <c r="A1102" s="9"/>
      <c r="B1102" s="10"/>
      <c r="C1102" s="10"/>
    </row>
    <row r="1103" spans="1:3">
      <c r="A1103" s="9"/>
      <c r="B1103" s="10"/>
      <c r="C1103" s="10"/>
    </row>
    <row r="1104" spans="1:3">
      <c r="A1104" s="9"/>
      <c r="B1104" s="10"/>
      <c r="C1104" s="10"/>
    </row>
    <row r="1105" spans="1:3">
      <c r="A1105" s="9"/>
      <c r="B1105" s="10"/>
      <c r="C1105" s="10"/>
    </row>
    <row r="1106" spans="1:3">
      <c r="A1106" s="9"/>
      <c r="B1106" s="10"/>
      <c r="C1106" s="10"/>
    </row>
    <row r="1107" spans="1:3">
      <c r="A1107" s="9"/>
      <c r="B1107" s="10"/>
      <c r="C1107" s="10"/>
    </row>
    <row r="1108" spans="1:3">
      <c r="A1108" s="9"/>
      <c r="B1108" s="10"/>
      <c r="C1108" s="10"/>
    </row>
    <row r="1109" spans="1:3">
      <c r="A1109" s="9"/>
      <c r="B1109" s="10"/>
      <c r="C1109" s="10"/>
    </row>
    <row r="1110" spans="1:3">
      <c r="A1110" s="9"/>
      <c r="B1110" s="10"/>
      <c r="C1110" s="10"/>
    </row>
    <row r="1111" spans="1:3">
      <c r="A1111" s="9"/>
      <c r="B1111" s="10"/>
      <c r="C1111" s="10"/>
    </row>
    <row r="1112" spans="1:3">
      <c r="A1112" s="9"/>
      <c r="B1112" s="10"/>
      <c r="C1112" s="10"/>
    </row>
    <row r="1113" spans="1:3">
      <c r="A1113" s="9"/>
      <c r="B1113" s="10"/>
      <c r="C1113" s="10"/>
    </row>
    <row r="1114" spans="1:3">
      <c r="A1114" s="9"/>
      <c r="B1114" s="10"/>
      <c r="C1114" s="10"/>
    </row>
    <row r="1115" spans="1:3">
      <c r="A1115" s="9"/>
      <c r="B1115" s="10"/>
      <c r="C1115" s="10"/>
    </row>
    <row r="1116" spans="1:3">
      <c r="A1116" s="9"/>
      <c r="B1116" s="10"/>
      <c r="C1116" s="10"/>
    </row>
    <row r="1117" spans="1:3">
      <c r="A1117" s="9"/>
      <c r="B1117" s="10"/>
      <c r="C1117" s="10"/>
    </row>
    <row r="1118" spans="1:3">
      <c r="A1118" s="9"/>
      <c r="B1118" s="10"/>
      <c r="C1118" s="10"/>
    </row>
    <row r="1119" spans="1:3">
      <c r="A1119" s="9"/>
      <c r="B1119" s="10"/>
      <c r="C1119" s="10"/>
    </row>
    <row r="1120" spans="1:3">
      <c r="A1120" s="9"/>
      <c r="B1120" s="10"/>
      <c r="C1120" s="10"/>
    </row>
    <row r="1121" spans="1:3">
      <c r="A1121" s="9"/>
      <c r="B1121" s="10"/>
      <c r="C1121" s="10"/>
    </row>
    <row r="1122" spans="1:3">
      <c r="A1122" s="9"/>
      <c r="B1122" s="10"/>
      <c r="C1122" s="10"/>
    </row>
    <row r="1123" spans="1:3">
      <c r="A1123" s="9"/>
      <c r="B1123" s="10"/>
      <c r="C1123" s="10"/>
    </row>
    <row r="1124" spans="1:3">
      <c r="A1124" s="9"/>
      <c r="B1124" s="10"/>
      <c r="C1124" s="10"/>
    </row>
    <row r="1125" spans="1:3">
      <c r="A1125" s="9"/>
      <c r="B1125" s="10"/>
      <c r="C1125" s="10"/>
    </row>
    <row r="1126" spans="1:3">
      <c r="A1126" s="9"/>
      <c r="B1126" s="10"/>
      <c r="C1126" s="10"/>
    </row>
    <row r="1127" spans="1:3">
      <c r="A1127" s="9"/>
      <c r="B1127" s="10"/>
      <c r="C1127" s="10"/>
    </row>
    <row r="1128" spans="1:3">
      <c r="A1128" s="9"/>
      <c r="B1128" s="10"/>
      <c r="C1128" s="10"/>
    </row>
    <row r="1129" spans="1:3">
      <c r="A1129" s="9"/>
      <c r="B1129" s="10"/>
      <c r="C1129" s="10"/>
    </row>
    <row r="1130" spans="1:3">
      <c r="A1130" s="9"/>
      <c r="B1130" s="10"/>
      <c r="C1130" s="10"/>
    </row>
    <row r="1131" spans="1:3">
      <c r="A1131" s="9"/>
      <c r="B1131" s="10"/>
      <c r="C1131" s="10"/>
    </row>
    <row r="1132" spans="1:3">
      <c r="A1132" s="9"/>
      <c r="B1132" s="10"/>
      <c r="C1132" s="10"/>
    </row>
    <row r="1133" spans="1:3">
      <c r="A1133" s="9"/>
      <c r="B1133" s="10"/>
      <c r="C1133" s="10"/>
    </row>
    <row r="1134" spans="1:3">
      <c r="A1134" s="9"/>
      <c r="B1134" s="10"/>
      <c r="C1134" s="10"/>
    </row>
    <row r="1135" spans="1:3">
      <c r="A1135" s="9"/>
      <c r="B1135" s="10"/>
      <c r="C1135" s="10"/>
    </row>
    <row r="1136" spans="1:3">
      <c r="A1136" s="9"/>
      <c r="B1136" s="10"/>
      <c r="C1136" s="10"/>
    </row>
    <row r="1137" spans="1:3">
      <c r="A1137" s="9"/>
      <c r="B1137" s="10"/>
      <c r="C1137" s="10"/>
    </row>
    <row r="1138" spans="1:3">
      <c r="A1138" s="9"/>
      <c r="B1138" s="10"/>
      <c r="C1138" s="10"/>
    </row>
    <row r="1139" spans="1:3">
      <c r="A1139" s="9"/>
      <c r="B1139" s="10"/>
      <c r="C1139" s="10"/>
    </row>
    <row r="1140" spans="1:3">
      <c r="A1140" s="9"/>
      <c r="B1140" s="10"/>
      <c r="C1140" s="10"/>
    </row>
    <row r="1141" spans="1:3">
      <c r="A1141" s="9"/>
      <c r="B1141" s="10"/>
      <c r="C1141" s="10"/>
    </row>
    <row r="1142" spans="1:3">
      <c r="A1142" s="9"/>
      <c r="B1142" s="10"/>
      <c r="C1142" s="10"/>
    </row>
    <row r="1143" spans="1:3">
      <c r="A1143" s="9"/>
      <c r="B1143" s="10"/>
      <c r="C1143" s="10"/>
    </row>
    <row r="1144" spans="1:3">
      <c r="A1144" s="9"/>
      <c r="B1144" s="10"/>
      <c r="C1144" s="10"/>
    </row>
    <row r="1145" spans="1:3">
      <c r="A1145" s="9"/>
      <c r="B1145" s="10"/>
      <c r="C1145" s="10"/>
    </row>
    <row r="1146" spans="1:3">
      <c r="A1146" s="9"/>
      <c r="B1146" s="10"/>
      <c r="C1146" s="10"/>
    </row>
    <row r="1147" spans="1:3">
      <c r="A1147" s="9"/>
      <c r="B1147" s="10"/>
      <c r="C1147" s="10"/>
    </row>
    <row r="1148" spans="1:3">
      <c r="A1148" s="9"/>
      <c r="B1148" s="10"/>
      <c r="C1148" s="10"/>
    </row>
    <row r="1149" spans="1:3">
      <c r="A1149" s="9"/>
      <c r="B1149" s="10"/>
      <c r="C1149" s="10"/>
    </row>
    <row r="1150" spans="1:3">
      <c r="A1150" s="9"/>
      <c r="B1150" s="10"/>
      <c r="C1150" s="10"/>
    </row>
    <row r="1151" spans="1:3">
      <c r="A1151" s="9"/>
      <c r="B1151" s="10"/>
      <c r="C1151" s="10"/>
    </row>
    <row r="1152" spans="1:3">
      <c r="A1152" s="9"/>
      <c r="B1152" s="10"/>
      <c r="C1152" s="10"/>
    </row>
    <row r="1153" spans="1:3">
      <c r="A1153" s="9"/>
      <c r="B1153" s="10"/>
      <c r="C1153" s="10"/>
    </row>
    <row r="1154" spans="1:3">
      <c r="A1154" s="9"/>
      <c r="B1154" s="10"/>
      <c r="C1154" s="10"/>
    </row>
    <row r="1155" spans="1:3">
      <c r="A1155" s="9"/>
      <c r="B1155" s="10"/>
      <c r="C1155" s="10"/>
    </row>
    <row r="1156" spans="1:3">
      <c r="A1156" s="9"/>
      <c r="B1156" s="10"/>
      <c r="C1156" s="10"/>
    </row>
    <row r="1157" spans="1:3">
      <c r="A1157" s="9"/>
      <c r="B1157" s="10"/>
      <c r="C1157" s="10"/>
    </row>
    <row r="1158" spans="1:3">
      <c r="A1158" s="9"/>
      <c r="B1158" s="10"/>
      <c r="C1158" s="10"/>
    </row>
    <row r="1159" spans="1:3">
      <c r="A1159" s="9"/>
      <c r="B1159" s="10"/>
      <c r="C1159" s="10"/>
    </row>
    <row r="1160" spans="1:3">
      <c r="A1160" s="9"/>
      <c r="B1160" s="10"/>
      <c r="C1160" s="10"/>
    </row>
    <row r="1161" spans="1:3">
      <c r="A1161" s="9"/>
      <c r="B1161" s="10"/>
      <c r="C1161" s="10"/>
    </row>
    <row r="1162" spans="1:3">
      <c r="A1162" s="9"/>
      <c r="B1162" s="10"/>
      <c r="C1162" s="10"/>
    </row>
    <row r="1163" spans="1:3">
      <c r="A1163" s="9"/>
      <c r="B1163" s="10"/>
      <c r="C1163" s="10"/>
    </row>
    <row r="1164" spans="1:3">
      <c r="A1164" s="9"/>
      <c r="B1164" s="10"/>
      <c r="C1164" s="10"/>
    </row>
    <row r="1165" spans="1:3">
      <c r="A1165" s="9"/>
      <c r="B1165" s="10"/>
      <c r="C1165" s="10"/>
    </row>
    <row r="1166" spans="1:3">
      <c r="A1166" s="9"/>
      <c r="B1166" s="10"/>
      <c r="C1166" s="10"/>
    </row>
    <row r="1167" spans="1:3">
      <c r="A1167" s="9"/>
      <c r="B1167" s="10"/>
      <c r="C1167" s="10"/>
    </row>
    <row r="1168" spans="1:3">
      <c r="A1168" s="9"/>
      <c r="B1168" s="10"/>
      <c r="C1168" s="10"/>
    </row>
    <row r="1169" spans="1:3">
      <c r="A1169" s="9"/>
      <c r="B1169" s="10"/>
      <c r="C1169" s="10"/>
    </row>
    <row r="1170" spans="1:3">
      <c r="A1170" s="9"/>
      <c r="B1170" s="10"/>
      <c r="C1170" s="10"/>
    </row>
    <row r="1171" spans="1:3">
      <c r="A1171" s="9"/>
      <c r="B1171" s="10"/>
      <c r="C1171" s="10"/>
    </row>
    <row r="1172" spans="1:3">
      <c r="A1172" s="9"/>
      <c r="B1172" s="10"/>
      <c r="C1172" s="10"/>
    </row>
    <row r="1173" spans="1:3">
      <c r="A1173" s="9"/>
      <c r="B1173" s="10"/>
      <c r="C1173" s="10"/>
    </row>
    <row r="1174" spans="1:3">
      <c r="A1174" s="9"/>
      <c r="B1174" s="10"/>
      <c r="C1174" s="10"/>
    </row>
    <row r="1175" spans="1:3">
      <c r="A1175" s="9"/>
      <c r="B1175" s="10"/>
      <c r="C1175" s="10"/>
    </row>
    <row r="1176" spans="1:3">
      <c r="A1176" s="9"/>
      <c r="B1176" s="10"/>
      <c r="C1176" s="10"/>
    </row>
    <row r="1177" spans="1:3">
      <c r="A1177" s="9"/>
      <c r="B1177" s="10"/>
      <c r="C1177" s="10"/>
    </row>
    <row r="1178" spans="1:3">
      <c r="A1178" s="9"/>
      <c r="B1178" s="10"/>
      <c r="C1178" s="10"/>
    </row>
    <row r="1179" spans="1:3">
      <c r="A1179" s="9"/>
      <c r="B1179" s="10"/>
      <c r="C1179" s="10"/>
    </row>
    <row r="1180" spans="1:3">
      <c r="A1180" s="9"/>
      <c r="B1180" s="10"/>
      <c r="C1180" s="10"/>
    </row>
    <row r="1181" spans="1:3">
      <c r="A1181" s="9"/>
      <c r="B1181" s="10"/>
      <c r="C1181" s="10"/>
    </row>
    <row r="1182" spans="1:3">
      <c r="A1182" s="9"/>
      <c r="B1182" s="10"/>
      <c r="C1182" s="10"/>
    </row>
    <row r="1183" spans="1:3">
      <c r="A1183" s="9"/>
      <c r="B1183" s="10"/>
      <c r="C1183" s="10"/>
    </row>
    <row r="1184" spans="1:3">
      <c r="A1184" s="9"/>
      <c r="B1184" s="10"/>
      <c r="C1184" s="10"/>
    </row>
    <row r="1185" spans="1:3">
      <c r="A1185" s="9"/>
      <c r="B1185" s="10"/>
      <c r="C1185" s="10"/>
    </row>
    <row r="1186" spans="1:3">
      <c r="A1186" s="9"/>
      <c r="B1186" s="10"/>
      <c r="C1186" s="10"/>
    </row>
    <row r="1187" spans="1:3">
      <c r="A1187" s="9"/>
      <c r="B1187" s="10"/>
      <c r="C1187" s="10"/>
    </row>
    <row r="1188" spans="1:3">
      <c r="A1188" s="9"/>
      <c r="B1188" s="10"/>
      <c r="C1188" s="10"/>
    </row>
    <row r="1189" spans="1:3">
      <c r="A1189" s="9"/>
      <c r="B1189" s="10"/>
      <c r="C1189" s="10"/>
    </row>
    <row r="1190" spans="1:3">
      <c r="A1190" s="9"/>
      <c r="B1190" s="10"/>
      <c r="C1190" s="10"/>
    </row>
    <row r="1191" spans="1:3">
      <c r="A1191" s="9"/>
      <c r="B1191" s="10"/>
      <c r="C1191" s="10"/>
    </row>
    <row r="1192" spans="1:3">
      <c r="A1192" s="9"/>
      <c r="B1192" s="10"/>
      <c r="C1192" s="10"/>
    </row>
    <row r="1193" spans="1:3">
      <c r="A1193" s="9"/>
      <c r="B1193" s="10"/>
      <c r="C1193" s="10"/>
    </row>
    <row r="1194" spans="1:3">
      <c r="A1194" s="9"/>
      <c r="B1194" s="10"/>
      <c r="C1194" s="10"/>
    </row>
    <row r="1195" spans="1:3">
      <c r="A1195" s="9"/>
      <c r="B1195" s="10"/>
      <c r="C1195" s="10"/>
    </row>
    <row r="1196" spans="1:3">
      <c r="A1196" s="9"/>
      <c r="B1196" s="10"/>
      <c r="C1196" s="10"/>
    </row>
    <row r="1197" spans="1:3">
      <c r="A1197" s="9"/>
      <c r="B1197" s="10"/>
      <c r="C1197" s="10"/>
    </row>
    <row r="1198" spans="1:3">
      <c r="A1198" s="9"/>
      <c r="B1198" s="10"/>
      <c r="C1198" s="10"/>
    </row>
    <row r="1199" spans="1:3">
      <c r="A1199" s="9"/>
      <c r="B1199" s="10"/>
      <c r="C1199" s="10"/>
    </row>
    <row r="1200" spans="1:3">
      <c r="A1200" s="9"/>
      <c r="B1200" s="10"/>
      <c r="C1200" s="10"/>
    </row>
    <row r="1201" spans="1:3">
      <c r="A1201" s="9"/>
      <c r="B1201" s="10"/>
      <c r="C1201" s="10"/>
    </row>
    <row r="1202" spans="1:3">
      <c r="A1202" s="9"/>
      <c r="B1202" s="10"/>
      <c r="C1202" s="10"/>
    </row>
    <row r="1203" spans="1:3">
      <c r="A1203" s="9"/>
      <c r="B1203" s="10"/>
      <c r="C1203" s="10"/>
    </row>
    <row r="1204" spans="1:3">
      <c r="A1204" s="9"/>
      <c r="B1204" s="10"/>
      <c r="C1204" s="10"/>
    </row>
    <row r="1205" spans="1:3">
      <c r="A1205" s="9"/>
      <c r="B1205" s="10"/>
      <c r="C1205" s="10"/>
    </row>
    <row r="1206" spans="1:3">
      <c r="A1206" s="9"/>
      <c r="B1206" s="10"/>
      <c r="C1206" s="10"/>
    </row>
    <row r="1207" spans="1:3">
      <c r="A1207" s="9"/>
      <c r="B1207" s="10"/>
      <c r="C1207" s="10"/>
    </row>
    <row r="1208" spans="1:3">
      <c r="A1208" s="9"/>
      <c r="B1208" s="10"/>
      <c r="C1208" s="10"/>
    </row>
    <row r="1209" spans="1:3">
      <c r="A1209" s="9"/>
      <c r="B1209" s="10"/>
      <c r="C1209" s="10"/>
    </row>
    <row r="1210" spans="1:3">
      <c r="A1210" s="9"/>
      <c r="B1210" s="10"/>
      <c r="C1210" s="10"/>
    </row>
    <row r="1211" spans="1:3">
      <c r="A1211" s="9"/>
      <c r="B1211" s="10"/>
      <c r="C1211" s="10"/>
    </row>
    <row r="1212" spans="1:3">
      <c r="A1212" s="9"/>
      <c r="B1212" s="10"/>
      <c r="C1212" s="10"/>
    </row>
    <row r="1213" spans="1:3">
      <c r="A1213" s="9"/>
      <c r="B1213" s="10"/>
      <c r="C1213" s="10"/>
    </row>
    <row r="1214" spans="1:3">
      <c r="A1214" s="9"/>
      <c r="B1214" s="10"/>
      <c r="C1214" s="10"/>
    </row>
    <row r="1215" spans="1:3">
      <c r="A1215" s="9"/>
      <c r="B1215" s="10"/>
      <c r="C1215" s="10"/>
    </row>
    <row r="1216" spans="1:3">
      <c r="A1216" s="9"/>
      <c r="B1216" s="10"/>
      <c r="C1216" s="10"/>
    </row>
    <row r="1217" spans="1:3">
      <c r="A1217" s="9"/>
      <c r="B1217" s="10"/>
      <c r="C1217" s="10"/>
    </row>
    <row r="1218" spans="1:3">
      <c r="A1218" s="9"/>
      <c r="B1218" s="10"/>
      <c r="C1218" s="10"/>
    </row>
    <row r="1219" spans="1:3">
      <c r="A1219" s="9"/>
      <c r="B1219" s="10"/>
      <c r="C1219" s="10"/>
    </row>
    <row r="1220" spans="1:3">
      <c r="A1220" s="9"/>
      <c r="B1220" s="10"/>
      <c r="C1220" s="10"/>
    </row>
    <row r="1221" spans="1:3">
      <c r="A1221" s="9"/>
      <c r="B1221" s="10"/>
      <c r="C1221" s="10"/>
    </row>
    <row r="1222" spans="1:3">
      <c r="A1222" s="9"/>
      <c r="B1222" s="10"/>
      <c r="C1222" s="10"/>
    </row>
    <row r="1223" spans="1:3">
      <c r="A1223" s="9"/>
      <c r="B1223" s="10"/>
      <c r="C1223" s="10"/>
    </row>
    <row r="1224" spans="1:3">
      <c r="A1224" s="9"/>
      <c r="B1224" s="10"/>
      <c r="C1224" s="10"/>
    </row>
    <row r="1225" spans="1:3">
      <c r="A1225" s="9"/>
      <c r="B1225" s="10"/>
      <c r="C1225" s="10"/>
    </row>
    <row r="1226" spans="1:3">
      <c r="A1226" s="9"/>
      <c r="B1226" s="10"/>
      <c r="C1226" s="10"/>
    </row>
    <row r="1227" spans="1:3">
      <c r="A1227" s="9"/>
      <c r="B1227" s="10"/>
      <c r="C1227" s="10"/>
    </row>
    <row r="1228" spans="1:3">
      <c r="A1228" s="9"/>
      <c r="B1228" s="10"/>
      <c r="C1228" s="10"/>
    </row>
    <row r="1229" spans="1:3">
      <c r="A1229" s="9"/>
      <c r="B1229" s="10"/>
      <c r="C1229" s="10"/>
    </row>
    <row r="1230" spans="1:3">
      <c r="A1230" s="9"/>
      <c r="B1230" s="10"/>
      <c r="C1230" s="10"/>
    </row>
    <row r="1231" spans="1:3">
      <c r="A1231" s="9"/>
      <c r="B1231" s="10"/>
      <c r="C1231" s="10"/>
    </row>
    <row r="1232" spans="1:3">
      <c r="A1232" s="9"/>
      <c r="B1232" s="10"/>
      <c r="C1232" s="10"/>
    </row>
    <row r="1233" spans="1:3">
      <c r="A1233" s="9"/>
      <c r="B1233" s="10"/>
      <c r="C1233" s="10"/>
    </row>
    <row r="1234" spans="1:3">
      <c r="A1234" s="9"/>
      <c r="B1234" s="10"/>
      <c r="C1234" s="10"/>
    </row>
    <row r="1235" spans="1:3">
      <c r="A1235" s="9"/>
      <c r="B1235" s="10"/>
      <c r="C1235" s="10"/>
    </row>
    <row r="1236" spans="1:3">
      <c r="A1236" s="9"/>
      <c r="B1236" s="10"/>
      <c r="C1236" s="10"/>
    </row>
    <row r="1237" spans="1:3">
      <c r="A1237" s="9"/>
      <c r="B1237" s="10"/>
      <c r="C1237" s="10"/>
    </row>
    <row r="1238" spans="1:3">
      <c r="A1238" s="9"/>
      <c r="B1238" s="10"/>
      <c r="C1238" s="10"/>
    </row>
    <row r="1239" spans="1:3">
      <c r="A1239" s="9"/>
      <c r="B1239" s="10"/>
      <c r="C1239" s="10"/>
    </row>
    <row r="1240" spans="1:3">
      <c r="A1240" s="9"/>
      <c r="B1240" s="10"/>
      <c r="C1240" s="10"/>
    </row>
    <row r="1241" spans="1:3">
      <c r="A1241" s="9"/>
      <c r="B1241" s="10"/>
      <c r="C1241" s="10"/>
    </row>
    <row r="1242" spans="1:3">
      <c r="A1242" s="9"/>
      <c r="B1242" s="10"/>
      <c r="C1242" s="10"/>
    </row>
    <row r="1243" spans="1:3">
      <c r="A1243" s="9"/>
      <c r="B1243" s="10"/>
      <c r="C1243" s="10"/>
    </row>
    <row r="1244" spans="1:3">
      <c r="A1244" s="9"/>
      <c r="B1244" s="10"/>
      <c r="C1244" s="10"/>
    </row>
    <row r="1245" spans="1:3">
      <c r="A1245" s="9"/>
      <c r="B1245" s="10"/>
      <c r="C1245" s="10"/>
    </row>
    <row r="1246" spans="1:3">
      <c r="A1246" s="9"/>
      <c r="B1246" s="10"/>
      <c r="C1246" s="10"/>
    </row>
    <row r="1247" spans="1:3">
      <c r="A1247" s="9"/>
      <c r="B1247" s="10"/>
      <c r="C1247" s="10"/>
    </row>
    <row r="1248" spans="1:3">
      <c r="A1248" s="9"/>
      <c r="B1248" s="10"/>
      <c r="C1248" s="10"/>
    </row>
    <row r="1249" spans="1:3">
      <c r="A1249" s="9"/>
      <c r="B1249" s="10"/>
      <c r="C1249" s="10"/>
    </row>
    <row r="1250" spans="1:3">
      <c r="A1250" s="9"/>
      <c r="B1250" s="10"/>
      <c r="C1250" s="10"/>
    </row>
    <row r="1251" spans="1:3">
      <c r="A1251" s="9"/>
      <c r="B1251" s="10"/>
      <c r="C1251" s="10"/>
    </row>
    <row r="1252" spans="1:3">
      <c r="A1252" s="9"/>
      <c r="B1252" s="10"/>
      <c r="C1252" s="10"/>
    </row>
    <row r="1253" spans="1:3">
      <c r="A1253" s="9"/>
      <c r="B1253" s="10"/>
      <c r="C1253" s="10"/>
    </row>
    <row r="1254" spans="1:3">
      <c r="A1254" s="9"/>
      <c r="B1254" s="10"/>
      <c r="C1254" s="10"/>
    </row>
    <row r="1255" spans="1:3">
      <c r="A1255" s="9"/>
      <c r="B1255" s="10"/>
      <c r="C1255" s="10"/>
    </row>
    <row r="1256" spans="1:3">
      <c r="A1256" s="9"/>
      <c r="B1256" s="10"/>
      <c r="C1256" s="10"/>
    </row>
    <row r="1257" spans="1:3">
      <c r="A1257" s="9"/>
      <c r="B1257" s="10"/>
      <c r="C1257" s="10"/>
    </row>
    <row r="1258" spans="1:3">
      <c r="A1258" s="9"/>
      <c r="B1258" s="10"/>
      <c r="C1258" s="10"/>
    </row>
    <row r="1259" spans="1:3">
      <c r="A1259" s="9"/>
      <c r="B1259" s="10"/>
      <c r="C1259" s="10"/>
    </row>
    <row r="1260" spans="1:3">
      <c r="A1260" s="9"/>
      <c r="B1260" s="10"/>
      <c r="C1260" s="10"/>
    </row>
    <row r="1261" spans="1:3">
      <c r="A1261" s="9"/>
      <c r="B1261" s="10"/>
      <c r="C1261" s="10"/>
    </row>
    <row r="1262" spans="1:3">
      <c r="A1262" s="9"/>
      <c r="B1262" s="10"/>
      <c r="C1262" s="10"/>
    </row>
    <row r="1263" spans="1:3">
      <c r="A1263" s="9"/>
      <c r="B1263" s="10"/>
      <c r="C1263" s="10"/>
    </row>
    <row r="1264" spans="1:3">
      <c r="A1264" s="9"/>
      <c r="B1264" s="10"/>
      <c r="C1264" s="10"/>
    </row>
    <row r="1265" spans="1:3">
      <c r="A1265" s="9"/>
      <c r="B1265" s="10"/>
      <c r="C1265" s="10"/>
    </row>
    <row r="1266" spans="1:3">
      <c r="A1266" s="9"/>
      <c r="B1266" s="10"/>
      <c r="C1266" s="10"/>
    </row>
    <row r="1267" spans="1:3">
      <c r="A1267" s="9"/>
      <c r="B1267" s="10"/>
      <c r="C1267" s="10"/>
    </row>
    <row r="1268" spans="1:3">
      <c r="A1268" s="9"/>
      <c r="B1268" s="10"/>
      <c r="C1268" s="10"/>
    </row>
    <row r="1269" spans="1:3">
      <c r="A1269" s="9"/>
      <c r="B1269" s="10"/>
      <c r="C1269" s="10"/>
    </row>
    <row r="1270" spans="1:3">
      <c r="A1270" s="9"/>
      <c r="B1270" s="10"/>
      <c r="C1270" s="10"/>
    </row>
    <row r="1271" spans="1:3">
      <c r="A1271" s="9"/>
      <c r="B1271" s="10"/>
      <c r="C1271" s="10"/>
    </row>
    <row r="1272" spans="1:3">
      <c r="A1272" s="9"/>
      <c r="B1272" s="10"/>
      <c r="C1272" s="10"/>
    </row>
    <row r="1273" spans="1:3">
      <c r="A1273" s="9"/>
      <c r="B1273" s="10"/>
      <c r="C1273" s="10"/>
    </row>
    <row r="1274" spans="1:3">
      <c r="A1274" s="9"/>
      <c r="B1274" s="10"/>
      <c r="C1274" s="10"/>
    </row>
    <row r="1275" spans="1:3">
      <c r="A1275" s="9"/>
      <c r="B1275" s="10"/>
      <c r="C1275" s="10"/>
    </row>
    <row r="1276" spans="1:3">
      <c r="A1276" s="9"/>
      <c r="B1276" s="10"/>
      <c r="C1276" s="10"/>
    </row>
    <row r="1277" spans="1:3">
      <c r="A1277" s="9"/>
      <c r="B1277" s="10"/>
      <c r="C1277" s="10"/>
    </row>
    <row r="1278" spans="1:3">
      <c r="A1278" s="9"/>
      <c r="B1278" s="10"/>
      <c r="C1278" s="10"/>
    </row>
    <row r="1279" spans="1:3">
      <c r="A1279" s="9"/>
      <c r="B1279" s="10"/>
      <c r="C1279" s="10"/>
    </row>
    <row r="1280" spans="1:3">
      <c r="A1280" s="9"/>
      <c r="B1280" s="10"/>
      <c r="C1280" s="10"/>
    </row>
    <row r="1281" spans="1:3">
      <c r="A1281" s="9"/>
      <c r="B1281" s="10"/>
      <c r="C1281" s="10"/>
    </row>
    <row r="1282" spans="1:3">
      <c r="A1282" s="9"/>
      <c r="B1282" s="10"/>
      <c r="C1282" s="10"/>
    </row>
    <row r="1283" spans="1:3">
      <c r="A1283" s="9"/>
      <c r="B1283" s="10"/>
      <c r="C1283" s="10"/>
    </row>
    <row r="1284" spans="1:3">
      <c r="A1284" s="9"/>
      <c r="B1284" s="10"/>
      <c r="C1284" s="10"/>
    </row>
    <row r="1285" spans="1:3">
      <c r="A1285" s="9"/>
      <c r="B1285" s="10"/>
      <c r="C1285" s="10"/>
    </row>
    <row r="1286" spans="1:3">
      <c r="A1286" s="9"/>
      <c r="B1286" s="10"/>
      <c r="C1286" s="10"/>
    </row>
    <row r="1287" spans="1:3">
      <c r="A1287" s="9"/>
      <c r="B1287" s="10"/>
      <c r="C1287" s="10"/>
    </row>
    <row r="1288" spans="1:3">
      <c r="A1288" s="9"/>
      <c r="B1288" s="10"/>
      <c r="C1288" s="10"/>
    </row>
    <row r="1289" spans="1:3">
      <c r="A1289" s="9"/>
      <c r="B1289" s="10"/>
      <c r="C1289" s="10"/>
    </row>
    <row r="1290" spans="1:3">
      <c r="A1290" s="9"/>
      <c r="B1290" s="10"/>
      <c r="C1290" s="10"/>
    </row>
    <row r="1291" spans="1:3">
      <c r="A1291" s="9"/>
      <c r="B1291" s="10"/>
      <c r="C1291" s="10"/>
    </row>
    <row r="1292" spans="1:3">
      <c r="A1292" s="9"/>
      <c r="B1292" s="10"/>
      <c r="C1292" s="10"/>
    </row>
    <row r="1293" spans="1:3">
      <c r="A1293" s="9"/>
      <c r="B1293" s="10"/>
      <c r="C1293" s="10"/>
    </row>
    <row r="1294" spans="1:3">
      <c r="A1294" s="9"/>
      <c r="B1294" s="10"/>
      <c r="C1294" s="10"/>
    </row>
    <row r="1295" spans="1:3">
      <c r="A1295" s="9"/>
      <c r="B1295" s="10"/>
      <c r="C1295" s="10"/>
    </row>
    <row r="1296" spans="1:3">
      <c r="A1296" s="9"/>
      <c r="B1296" s="10"/>
      <c r="C1296" s="10"/>
    </row>
    <row r="1297" spans="1:3">
      <c r="A1297" s="9"/>
      <c r="B1297" s="10"/>
      <c r="C1297" s="10"/>
    </row>
    <row r="1298" spans="1:3">
      <c r="A1298" s="9"/>
      <c r="B1298" s="10"/>
      <c r="C1298" s="10"/>
    </row>
    <row r="1299" spans="1:3">
      <c r="A1299" s="9"/>
      <c r="B1299" s="10"/>
      <c r="C1299" s="10"/>
    </row>
    <row r="1300" spans="1:3">
      <c r="A1300" s="9"/>
      <c r="B1300" s="10"/>
      <c r="C1300" s="10"/>
    </row>
    <row r="1301" spans="1:3">
      <c r="A1301" s="9"/>
      <c r="B1301" s="10"/>
      <c r="C1301" s="10"/>
    </row>
    <row r="1302" spans="1:3">
      <c r="A1302" s="9"/>
      <c r="B1302" s="10"/>
      <c r="C1302" s="10"/>
    </row>
    <row r="1303" spans="1:3">
      <c r="A1303" s="9"/>
      <c r="B1303" s="10"/>
      <c r="C1303" s="10"/>
    </row>
    <row r="1304" spans="1:3">
      <c r="A1304" s="9"/>
      <c r="B1304" s="10"/>
      <c r="C1304" s="10"/>
    </row>
    <row r="1305" spans="1:3">
      <c r="A1305" s="9"/>
      <c r="B1305" s="10"/>
      <c r="C1305" s="10"/>
    </row>
    <row r="1306" spans="1:3">
      <c r="A1306" s="9"/>
      <c r="B1306" s="10"/>
      <c r="C1306" s="10"/>
    </row>
    <row r="1307" spans="1:3">
      <c r="A1307" s="9"/>
      <c r="B1307" s="10"/>
      <c r="C1307" s="10"/>
    </row>
    <row r="1308" spans="1:3">
      <c r="A1308" s="9"/>
      <c r="B1308" s="10"/>
      <c r="C1308" s="10"/>
    </row>
    <row r="1309" spans="1:3">
      <c r="A1309" s="9"/>
      <c r="B1309" s="10"/>
      <c r="C1309" s="10"/>
    </row>
    <row r="1310" spans="1:3">
      <c r="A1310" s="9"/>
      <c r="B1310" s="10"/>
      <c r="C1310" s="10"/>
    </row>
    <row r="1311" spans="1:3">
      <c r="A1311" s="9"/>
      <c r="B1311" s="10"/>
      <c r="C1311" s="10"/>
    </row>
    <row r="1312" spans="1:3">
      <c r="A1312" s="9"/>
      <c r="B1312" s="10"/>
      <c r="C1312" s="10"/>
    </row>
    <row r="1313" spans="1:3">
      <c r="A1313" s="9"/>
      <c r="B1313" s="10"/>
      <c r="C1313" s="10"/>
    </row>
    <row r="1314" spans="1:3">
      <c r="A1314" s="9"/>
      <c r="B1314" s="10"/>
      <c r="C1314" s="10"/>
    </row>
    <row r="1315" spans="1:3">
      <c r="A1315" s="9"/>
      <c r="B1315" s="10"/>
      <c r="C1315" s="10"/>
    </row>
    <row r="1316" spans="1:3">
      <c r="A1316" s="9"/>
      <c r="B1316" s="10"/>
      <c r="C1316" s="10"/>
    </row>
    <row r="1317" spans="1:3">
      <c r="A1317" s="9"/>
      <c r="B1317" s="10"/>
      <c r="C1317" s="10"/>
    </row>
    <row r="1318" spans="1:3">
      <c r="A1318" s="9"/>
      <c r="B1318" s="10"/>
      <c r="C1318" s="10"/>
    </row>
    <row r="1319" spans="1:3">
      <c r="A1319" s="9"/>
      <c r="B1319" s="10"/>
      <c r="C1319" s="10"/>
    </row>
    <row r="1320" spans="1:3">
      <c r="A1320" s="9"/>
      <c r="B1320" s="10"/>
      <c r="C1320" s="10"/>
    </row>
    <row r="1321" spans="1:3">
      <c r="A1321" s="9"/>
      <c r="B1321" s="10"/>
      <c r="C1321" s="10"/>
    </row>
    <row r="1322" spans="1:3">
      <c r="A1322" s="9"/>
      <c r="B1322" s="10"/>
      <c r="C1322" s="10"/>
    </row>
    <row r="1323" spans="1:3">
      <c r="A1323" s="9"/>
      <c r="B1323" s="10"/>
      <c r="C1323" s="10"/>
    </row>
    <row r="1324" spans="1:3">
      <c r="A1324" s="9"/>
      <c r="B1324" s="10"/>
      <c r="C1324" s="10"/>
    </row>
    <row r="1325" spans="1:3">
      <c r="A1325" s="9"/>
      <c r="B1325" s="10"/>
      <c r="C1325" s="10"/>
    </row>
    <row r="1326" spans="1:3">
      <c r="A1326" s="9"/>
      <c r="B1326" s="10"/>
      <c r="C1326" s="10"/>
    </row>
    <row r="1327" spans="1:3">
      <c r="A1327" s="9"/>
      <c r="B1327" s="10"/>
      <c r="C1327" s="10"/>
    </row>
    <row r="1328" spans="1:3">
      <c r="A1328" s="9"/>
      <c r="B1328" s="10"/>
      <c r="C1328" s="10"/>
    </row>
    <row r="1329" spans="1:3">
      <c r="A1329" s="9"/>
      <c r="B1329" s="10"/>
      <c r="C1329" s="10"/>
    </row>
    <row r="1330" spans="1:3">
      <c r="A1330" s="9"/>
      <c r="B1330" s="10"/>
      <c r="C1330" s="10"/>
    </row>
    <row r="1331" spans="1:3">
      <c r="A1331" s="9"/>
      <c r="B1331" s="10"/>
      <c r="C1331" s="10"/>
    </row>
    <row r="1332" spans="1:3">
      <c r="A1332" s="9"/>
      <c r="B1332" s="10"/>
      <c r="C1332" s="10"/>
    </row>
    <row r="1333" spans="1:3">
      <c r="A1333" s="9"/>
      <c r="B1333" s="10"/>
      <c r="C1333" s="10"/>
    </row>
    <row r="1334" spans="1:3">
      <c r="A1334" s="9"/>
      <c r="B1334" s="10"/>
      <c r="C1334" s="10"/>
    </row>
    <row r="1335" spans="1:3">
      <c r="A1335" s="9"/>
      <c r="B1335" s="10"/>
      <c r="C1335" s="10"/>
    </row>
    <row r="1336" spans="1:3">
      <c r="A1336" s="9"/>
      <c r="B1336" s="10"/>
      <c r="C1336" s="10"/>
    </row>
    <row r="1337" spans="1:3">
      <c r="A1337" s="9"/>
      <c r="B1337" s="10"/>
      <c r="C1337" s="10"/>
    </row>
    <row r="1338" spans="1:3">
      <c r="A1338" s="9"/>
      <c r="B1338" s="10"/>
      <c r="C1338" s="10"/>
    </row>
    <row r="1339" spans="1:3">
      <c r="A1339" s="9"/>
      <c r="B1339" s="10"/>
      <c r="C1339" s="10"/>
    </row>
    <row r="1340" spans="1:3">
      <c r="A1340" s="9"/>
      <c r="B1340" s="10"/>
      <c r="C1340" s="10"/>
    </row>
    <row r="1341" spans="1:3">
      <c r="A1341" s="9"/>
      <c r="B1341" s="10"/>
      <c r="C1341" s="10"/>
    </row>
    <row r="1342" spans="1:3">
      <c r="A1342" s="9"/>
      <c r="B1342" s="10"/>
      <c r="C1342" s="10"/>
    </row>
    <row r="1343" spans="1:3">
      <c r="A1343" s="9"/>
      <c r="B1343" s="10"/>
      <c r="C1343" s="10"/>
    </row>
    <row r="1344" spans="1:3">
      <c r="A1344" s="9"/>
      <c r="B1344" s="10"/>
      <c r="C1344" s="10"/>
    </row>
    <row r="1345" spans="1:3">
      <c r="A1345" s="9"/>
      <c r="B1345" s="10"/>
      <c r="C1345" s="10"/>
    </row>
    <row r="1346" spans="1:3">
      <c r="A1346" s="9"/>
      <c r="B1346" s="10"/>
      <c r="C1346" s="10"/>
    </row>
    <row r="1347" spans="1:3">
      <c r="A1347" s="9"/>
      <c r="B1347" s="10"/>
      <c r="C1347" s="10"/>
    </row>
    <row r="1348" spans="1:3">
      <c r="A1348" s="9"/>
      <c r="B1348" s="10"/>
      <c r="C1348" s="10"/>
    </row>
    <row r="1349" spans="1:3">
      <c r="A1349" s="9"/>
      <c r="B1349" s="10"/>
      <c r="C1349" s="10"/>
    </row>
    <row r="1350" spans="1:3">
      <c r="A1350" s="9"/>
      <c r="B1350" s="10"/>
      <c r="C1350" s="10"/>
    </row>
    <row r="1351" spans="1:3">
      <c r="A1351" s="9"/>
      <c r="B1351" s="10"/>
      <c r="C1351" s="10"/>
    </row>
    <row r="1352" spans="1:3">
      <c r="A1352" s="9"/>
      <c r="B1352" s="10"/>
      <c r="C1352" s="10"/>
    </row>
    <row r="1353" spans="1:3">
      <c r="A1353" s="9"/>
      <c r="B1353" s="10"/>
      <c r="C1353" s="10"/>
    </row>
    <row r="1354" spans="1:3">
      <c r="A1354" s="9"/>
      <c r="B1354" s="10"/>
      <c r="C1354" s="10"/>
    </row>
    <row r="1355" spans="1:3">
      <c r="A1355" s="9"/>
      <c r="B1355" s="10"/>
      <c r="C1355" s="10"/>
    </row>
    <row r="1356" spans="1:3">
      <c r="A1356" s="9"/>
      <c r="B1356" s="10"/>
      <c r="C1356" s="10"/>
    </row>
    <row r="1357" spans="1:3">
      <c r="A1357" s="9"/>
      <c r="B1357" s="10"/>
      <c r="C1357" s="10"/>
    </row>
    <row r="1358" spans="1:3">
      <c r="A1358" s="9"/>
      <c r="B1358" s="10"/>
      <c r="C1358" s="10"/>
    </row>
    <row r="1359" spans="1:3">
      <c r="A1359" s="9"/>
      <c r="B1359" s="10"/>
      <c r="C1359" s="10"/>
    </row>
    <row r="1360" spans="1:3">
      <c r="A1360" s="9"/>
      <c r="B1360" s="10"/>
      <c r="C1360" s="10"/>
    </row>
    <row r="1361" spans="1:3">
      <c r="A1361" s="9"/>
      <c r="B1361" s="10"/>
      <c r="C1361" s="10"/>
    </row>
    <row r="1362" spans="1:3">
      <c r="A1362" s="9"/>
      <c r="B1362" s="10"/>
      <c r="C1362" s="10"/>
    </row>
    <row r="1363" spans="1:3">
      <c r="A1363" s="9"/>
      <c r="B1363" s="10"/>
      <c r="C1363" s="10"/>
    </row>
    <row r="1364" spans="1:3">
      <c r="A1364" s="9"/>
      <c r="B1364" s="10"/>
      <c r="C1364" s="10"/>
    </row>
    <row r="1365" spans="1:3">
      <c r="A1365" s="9"/>
      <c r="B1365" s="10"/>
      <c r="C1365" s="10"/>
    </row>
    <row r="1366" spans="1:3">
      <c r="A1366" s="9"/>
      <c r="B1366" s="10"/>
      <c r="C1366" s="10"/>
    </row>
    <row r="1367" spans="1:3">
      <c r="A1367" s="9"/>
      <c r="B1367" s="10"/>
      <c r="C1367" s="10"/>
    </row>
    <row r="1368" spans="1:3">
      <c r="A1368" s="9"/>
      <c r="B1368" s="10"/>
      <c r="C1368" s="10"/>
    </row>
    <row r="1369" spans="1:3">
      <c r="A1369" s="9"/>
      <c r="B1369" s="10"/>
      <c r="C1369" s="10"/>
    </row>
    <row r="1370" spans="1:3">
      <c r="A1370" s="9"/>
      <c r="B1370" s="10"/>
      <c r="C1370" s="10"/>
    </row>
    <row r="1371" spans="1:3">
      <c r="A1371" s="9"/>
      <c r="B1371" s="10"/>
      <c r="C1371" s="10"/>
    </row>
    <row r="1372" spans="1:3">
      <c r="A1372" s="9"/>
      <c r="B1372" s="10"/>
      <c r="C1372" s="10"/>
    </row>
    <row r="1373" spans="1:3">
      <c r="A1373" s="9"/>
      <c r="B1373" s="10"/>
      <c r="C1373" s="10"/>
    </row>
    <row r="1374" spans="1:3">
      <c r="A1374" s="9"/>
      <c r="B1374" s="10"/>
      <c r="C1374" s="10"/>
    </row>
    <row r="1375" spans="1:3">
      <c r="A1375" s="9"/>
      <c r="B1375" s="10"/>
      <c r="C1375" s="10"/>
    </row>
    <row r="1376" spans="1:3">
      <c r="A1376" s="9"/>
      <c r="B1376" s="10"/>
      <c r="C1376" s="10"/>
    </row>
    <row r="1377" spans="1:3">
      <c r="A1377" s="9"/>
      <c r="B1377" s="10"/>
      <c r="C1377" s="10"/>
    </row>
    <row r="1378" spans="1:3">
      <c r="A1378" s="9"/>
      <c r="B1378" s="10"/>
      <c r="C1378" s="10"/>
    </row>
    <row r="1379" spans="1:3">
      <c r="A1379" s="9"/>
      <c r="B1379" s="10"/>
      <c r="C1379" s="10"/>
    </row>
    <row r="1380" spans="1:3">
      <c r="A1380" s="9"/>
      <c r="B1380" s="10"/>
      <c r="C1380" s="10"/>
    </row>
    <row r="1381" spans="1:3">
      <c r="A1381" s="9"/>
      <c r="B1381" s="10"/>
      <c r="C1381" s="10"/>
    </row>
    <row r="1382" spans="1:3">
      <c r="A1382" s="9"/>
      <c r="B1382" s="10"/>
      <c r="C1382" s="10"/>
    </row>
    <row r="1383" spans="1:3">
      <c r="A1383" s="9"/>
      <c r="B1383" s="10"/>
      <c r="C1383" s="10"/>
    </row>
    <row r="1384" spans="1:3">
      <c r="A1384" s="9"/>
      <c r="B1384" s="10"/>
      <c r="C1384" s="10"/>
    </row>
    <row r="1385" spans="1:3">
      <c r="A1385" s="9"/>
      <c r="B1385" s="10"/>
      <c r="C1385" s="10"/>
    </row>
    <row r="1386" spans="1:3">
      <c r="A1386" s="9"/>
      <c r="B1386" s="10"/>
      <c r="C1386" s="10"/>
    </row>
    <row r="1387" spans="1:3">
      <c r="A1387" s="9"/>
      <c r="B1387" s="10"/>
      <c r="C1387" s="10"/>
    </row>
    <row r="1388" spans="1:3">
      <c r="A1388" s="9"/>
      <c r="B1388" s="10"/>
      <c r="C1388" s="10"/>
    </row>
    <row r="1389" spans="1:3">
      <c r="A1389" s="9"/>
      <c r="B1389" s="10"/>
      <c r="C1389" s="10"/>
    </row>
    <row r="1390" spans="1:3">
      <c r="A1390" s="9"/>
      <c r="B1390" s="10"/>
      <c r="C1390" s="10"/>
    </row>
    <row r="1391" spans="1:3">
      <c r="A1391" s="9"/>
      <c r="B1391" s="10"/>
      <c r="C1391" s="10"/>
    </row>
    <row r="1392" spans="1:3">
      <c r="A1392" s="9"/>
      <c r="B1392" s="10"/>
      <c r="C1392" s="10"/>
    </row>
    <row r="1393" spans="1:3">
      <c r="A1393" s="9"/>
      <c r="B1393" s="10"/>
      <c r="C1393" s="10"/>
    </row>
    <row r="1394" spans="1:3">
      <c r="A1394" s="9"/>
      <c r="B1394" s="10"/>
      <c r="C1394" s="10"/>
    </row>
    <row r="1395" spans="1:3">
      <c r="A1395" s="9"/>
      <c r="B1395" s="10"/>
      <c r="C1395" s="10"/>
    </row>
    <row r="1396" spans="1:3">
      <c r="A1396" s="9"/>
      <c r="B1396" s="10"/>
      <c r="C1396" s="10"/>
    </row>
    <row r="1397" spans="1:3">
      <c r="A1397" s="9"/>
      <c r="B1397" s="10"/>
      <c r="C1397" s="10"/>
    </row>
    <row r="1398" spans="1:3">
      <c r="A1398" s="9"/>
      <c r="B1398" s="10"/>
      <c r="C1398" s="10"/>
    </row>
    <row r="1399" spans="1:3">
      <c r="A1399" s="9"/>
      <c r="B1399" s="10"/>
      <c r="C1399" s="10"/>
    </row>
    <row r="1400" spans="1:3">
      <c r="A1400" s="9"/>
      <c r="B1400" s="10"/>
      <c r="C1400" s="10"/>
    </row>
    <row r="1401" spans="1:3">
      <c r="A1401" s="9"/>
      <c r="B1401" s="10"/>
      <c r="C1401" s="10"/>
    </row>
    <row r="1402" spans="1:3">
      <c r="A1402" s="9"/>
      <c r="B1402" s="10"/>
      <c r="C1402" s="10"/>
    </row>
    <row r="1403" spans="1:3">
      <c r="A1403" s="9"/>
      <c r="B1403" s="10"/>
      <c r="C1403" s="10"/>
    </row>
    <row r="1404" spans="1:3">
      <c r="A1404" s="9"/>
      <c r="B1404" s="10"/>
      <c r="C1404" s="10"/>
    </row>
    <row r="1405" spans="1:3">
      <c r="A1405" s="9"/>
      <c r="B1405" s="10"/>
      <c r="C1405" s="10"/>
    </row>
    <row r="1406" spans="1:3">
      <c r="A1406" s="9"/>
      <c r="B1406" s="10"/>
      <c r="C1406" s="10"/>
    </row>
    <row r="1407" spans="1:3">
      <c r="A1407" s="9"/>
      <c r="B1407" s="10"/>
      <c r="C1407" s="10"/>
    </row>
    <row r="1408" spans="1:3">
      <c r="A1408" s="9"/>
      <c r="B1408" s="10"/>
      <c r="C1408" s="10"/>
    </row>
    <row r="1409" spans="1:3">
      <c r="A1409" s="9"/>
      <c r="B1409" s="10"/>
      <c r="C1409" s="10"/>
    </row>
    <row r="1410" spans="1:3">
      <c r="A1410" s="9"/>
      <c r="B1410" s="10"/>
      <c r="C1410" s="10"/>
    </row>
    <row r="1411" spans="1:3">
      <c r="A1411" s="9"/>
      <c r="B1411" s="10"/>
      <c r="C1411" s="10"/>
    </row>
    <row r="1412" spans="1:3">
      <c r="A1412" s="9"/>
      <c r="B1412" s="10"/>
      <c r="C1412" s="10"/>
    </row>
    <row r="1413" spans="1:3">
      <c r="A1413" s="9"/>
      <c r="B1413" s="10"/>
      <c r="C1413" s="10"/>
    </row>
    <row r="1414" spans="1:3">
      <c r="A1414" s="9"/>
      <c r="B1414" s="10"/>
      <c r="C1414" s="10"/>
    </row>
    <row r="1415" spans="1:3">
      <c r="A1415" s="9"/>
      <c r="B1415" s="10"/>
      <c r="C1415" s="10"/>
    </row>
    <row r="1416" spans="1:3">
      <c r="A1416" s="9"/>
      <c r="B1416" s="10"/>
      <c r="C1416" s="10"/>
    </row>
    <row r="1417" spans="1:3">
      <c r="A1417" s="9"/>
      <c r="B1417" s="10"/>
      <c r="C1417" s="10"/>
    </row>
    <row r="1418" spans="1:3">
      <c r="A1418" s="9"/>
      <c r="B1418" s="10"/>
      <c r="C1418" s="10"/>
    </row>
    <row r="1419" spans="1:3">
      <c r="A1419" s="9"/>
      <c r="B1419" s="10"/>
      <c r="C1419" s="10"/>
    </row>
    <row r="1420" spans="1:3">
      <c r="A1420" s="9"/>
      <c r="B1420" s="10"/>
      <c r="C1420" s="10"/>
    </row>
    <row r="1421" spans="1:3">
      <c r="A1421" s="9"/>
      <c r="B1421" s="10"/>
      <c r="C1421" s="10"/>
    </row>
    <row r="1422" spans="1:3">
      <c r="A1422" s="9"/>
      <c r="B1422" s="10"/>
      <c r="C1422" s="10"/>
    </row>
    <row r="1423" spans="1:3">
      <c r="A1423" s="9"/>
      <c r="B1423" s="10"/>
      <c r="C1423" s="10"/>
    </row>
    <row r="1424" spans="1:3">
      <c r="A1424" s="9"/>
      <c r="B1424" s="10"/>
      <c r="C1424" s="10"/>
    </row>
    <row r="1425" spans="1:3">
      <c r="A1425" s="9"/>
      <c r="B1425" s="10"/>
      <c r="C1425" s="10"/>
    </row>
    <row r="1426" spans="1:3">
      <c r="A1426" s="9"/>
      <c r="B1426" s="10"/>
      <c r="C1426" s="10"/>
    </row>
    <row r="1427" spans="1:3">
      <c r="A1427" s="9"/>
      <c r="B1427" s="10"/>
      <c r="C1427" s="10"/>
    </row>
    <row r="1428" spans="1:3">
      <c r="A1428" s="9"/>
      <c r="B1428" s="10"/>
      <c r="C1428" s="10"/>
    </row>
    <row r="1429" spans="1:3">
      <c r="A1429" s="9"/>
      <c r="B1429" s="10"/>
      <c r="C1429" s="10"/>
    </row>
    <row r="1430" spans="1:3">
      <c r="A1430" s="9"/>
      <c r="B1430" s="10"/>
      <c r="C1430" s="10"/>
    </row>
    <row r="1431" spans="1:3">
      <c r="A1431" s="9"/>
      <c r="B1431" s="10"/>
      <c r="C1431" s="10"/>
    </row>
    <row r="1432" spans="1:3">
      <c r="A1432" s="9"/>
      <c r="B1432" s="10"/>
      <c r="C1432" s="10"/>
    </row>
    <row r="1433" spans="1:3">
      <c r="A1433" s="9"/>
      <c r="B1433" s="10"/>
      <c r="C1433" s="10"/>
    </row>
    <row r="1434" spans="1:3">
      <c r="A1434" s="9"/>
      <c r="B1434" s="10"/>
      <c r="C1434" s="10"/>
    </row>
    <row r="1435" spans="1:3">
      <c r="A1435" s="9"/>
      <c r="B1435" s="10"/>
      <c r="C1435" s="10"/>
    </row>
    <row r="1436" spans="1:3">
      <c r="A1436" s="9"/>
      <c r="B1436" s="10"/>
      <c r="C1436" s="10"/>
    </row>
    <row r="1437" spans="1:3">
      <c r="A1437" s="9"/>
      <c r="B1437" s="10"/>
      <c r="C1437" s="10"/>
    </row>
    <row r="1438" spans="1:3">
      <c r="A1438" s="9"/>
      <c r="B1438" s="10"/>
      <c r="C1438" s="10"/>
    </row>
    <row r="1439" spans="1:3">
      <c r="A1439" s="9"/>
      <c r="B1439" s="10"/>
      <c r="C1439" s="10"/>
    </row>
    <row r="1440" spans="1:3">
      <c r="A1440" s="9"/>
      <c r="B1440" s="10"/>
      <c r="C1440" s="10"/>
    </row>
    <row r="1441" spans="1:3">
      <c r="A1441" s="9"/>
      <c r="B1441" s="10"/>
      <c r="C1441" s="10"/>
    </row>
    <row r="1442" spans="1:3">
      <c r="A1442" s="9"/>
      <c r="B1442" s="10"/>
      <c r="C1442" s="10"/>
    </row>
    <row r="1443" spans="1:3">
      <c r="A1443" s="9"/>
      <c r="B1443" s="10"/>
      <c r="C1443" s="10"/>
    </row>
    <row r="1444" spans="1:3">
      <c r="A1444" s="9"/>
      <c r="B1444" s="10"/>
      <c r="C1444" s="10"/>
    </row>
    <row r="1445" spans="1:3">
      <c r="A1445" s="9"/>
      <c r="B1445" s="10"/>
      <c r="C1445" s="10"/>
    </row>
    <row r="1446" spans="1:3">
      <c r="A1446" s="9"/>
      <c r="B1446" s="10"/>
      <c r="C1446" s="10"/>
    </row>
    <row r="1447" spans="1:3">
      <c r="A1447" s="9"/>
      <c r="B1447" s="10"/>
      <c r="C1447" s="10"/>
    </row>
    <row r="1448" spans="1:3">
      <c r="A1448" s="9"/>
      <c r="B1448" s="10"/>
      <c r="C1448" s="10"/>
    </row>
    <row r="1449" spans="1:3">
      <c r="A1449" s="9"/>
      <c r="B1449" s="10"/>
      <c r="C1449" s="10"/>
    </row>
    <row r="1450" spans="1:3">
      <c r="A1450" s="9"/>
      <c r="B1450" s="10"/>
      <c r="C1450" s="10"/>
    </row>
    <row r="1451" spans="1:3">
      <c r="A1451" s="9"/>
      <c r="B1451" s="10"/>
      <c r="C1451" s="10"/>
    </row>
    <row r="1452" spans="1:3">
      <c r="A1452" s="9"/>
      <c r="B1452" s="10"/>
      <c r="C1452" s="10"/>
    </row>
    <row r="1453" spans="1:3">
      <c r="A1453" s="9"/>
      <c r="B1453" s="10"/>
      <c r="C1453" s="10"/>
    </row>
    <row r="1454" spans="1:3">
      <c r="A1454" s="9"/>
      <c r="B1454" s="10"/>
      <c r="C1454" s="10"/>
    </row>
    <row r="1455" spans="1:3">
      <c r="A1455" s="9"/>
      <c r="B1455" s="10"/>
      <c r="C1455" s="10"/>
    </row>
    <row r="1456" spans="1:3">
      <c r="A1456" s="9"/>
      <c r="B1456" s="10"/>
      <c r="C1456" s="10"/>
    </row>
    <row r="1457" spans="1:3">
      <c r="A1457" s="9"/>
      <c r="B1457" s="10"/>
      <c r="C1457" s="10"/>
    </row>
    <row r="1458" spans="1:3">
      <c r="A1458" s="9"/>
      <c r="B1458" s="10"/>
      <c r="C1458" s="10"/>
    </row>
    <row r="1459" spans="1:3">
      <c r="A1459" s="9"/>
      <c r="B1459" s="10"/>
      <c r="C1459" s="10"/>
    </row>
    <row r="1460" spans="1:3">
      <c r="A1460" s="9"/>
      <c r="B1460" s="10"/>
      <c r="C1460" s="10"/>
    </row>
    <row r="1461" spans="1:3">
      <c r="A1461" s="9"/>
      <c r="B1461" s="10"/>
      <c r="C1461" s="10"/>
    </row>
    <row r="1462" spans="1:3">
      <c r="A1462" s="9"/>
      <c r="B1462" s="10"/>
      <c r="C1462" s="10"/>
    </row>
    <row r="1463" spans="1:3">
      <c r="A1463" s="9"/>
      <c r="B1463" s="10"/>
      <c r="C1463" s="10"/>
    </row>
    <row r="1464" spans="1:3">
      <c r="A1464" s="9"/>
      <c r="B1464" s="10"/>
      <c r="C1464" s="10"/>
    </row>
    <row r="1465" spans="1:3">
      <c r="A1465" s="9"/>
      <c r="B1465" s="10"/>
      <c r="C1465" s="10"/>
    </row>
    <row r="1466" spans="1:3">
      <c r="A1466" s="9"/>
      <c r="B1466" s="10"/>
      <c r="C1466" s="10"/>
    </row>
    <row r="1467" spans="1:3">
      <c r="A1467" s="9"/>
      <c r="B1467" s="10"/>
      <c r="C1467" s="10"/>
    </row>
    <row r="1468" spans="1:3">
      <c r="A1468" s="9"/>
      <c r="B1468" s="10"/>
      <c r="C1468" s="10"/>
    </row>
    <row r="1469" spans="1:3">
      <c r="A1469" s="9"/>
      <c r="B1469" s="10"/>
      <c r="C1469" s="10"/>
    </row>
    <row r="1470" spans="1:3">
      <c r="A1470" s="9"/>
      <c r="B1470" s="10"/>
      <c r="C1470" s="10"/>
    </row>
    <row r="1471" spans="1:3">
      <c r="A1471" s="9"/>
      <c r="B1471" s="10"/>
      <c r="C1471" s="10"/>
    </row>
    <row r="1472" spans="1:3">
      <c r="A1472" s="9"/>
      <c r="B1472" s="10"/>
      <c r="C1472" s="10"/>
    </row>
    <row r="1473" spans="1:3">
      <c r="A1473" s="9"/>
      <c r="B1473" s="10"/>
      <c r="C1473" s="10"/>
    </row>
    <row r="1474" spans="1:3">
      <c r="A1474" s="9"/>
      <c r="B1474" s="10"/>
      <c r="C1474" s="10"/>
    </row>
    <row r="1475" spans="1:3">
      <c r="A1475" s="9"/>
      <c r="B1475" s="10"/>
      <c r="C1475" s="10"/>
    </row>
    <row r="1476" spans="1:3">
      <c r="A1476" s="9"/>
      <c r="B1476" s="10"/>
      <c r="C1476" s="10"/>
    </row>
    <row r="1477" spans="1:3">
      <c r="A1477" s="9"/>
      <c r="B1477" s="10"/>
      <c r="C1477" s="10"/>
    </row>
    <row r="1478" spans="1:3">
      <c r="A1478" s="9"/>
      <c r="B1478" s="10"/>
      <c r="C1478" s="10"/>
    </row>
    <row r="1479" spans="1:3">
      <c r="A1479" s="9"/>
      <c r="B1479" s="10"/>
      <c r="C1479" s="10"/>
    </row>
    <row r="1480" spans="1:3">
      <c r="A1480" s="9"/>
      <c r="B1480" s="10"/>
      <c r="C1480" s="10"/>
    </row>
    <row r="1481" spans="1:3">
      <c r="A1481" s="9"/>
      <c r="B1481" s="10"/>
      <c r="C1481" s="10"/>
    </row>
    <row r="1482" spans="1:3">
      <c r="A1482" s="9"/>
      <c r="B1482" s="10"/>
      <c r="C1482" s="10"/>
    </row>
    <row r="1483" spans="1:3">
      <c r="A1483" s="9"/>
      <c r="B1483" s="10"/>
      <c r="C1483" s="10"/>
    </row>
    <row r="1484" spans="1:3">
      <c r="A1484" s="9"/>
      <c r="B1484" s="10"/>
      <c r="C1484" s="10"/>
    </row>
    <row r="1485" spans="1:3">
      <c r="A1485" s="9"/>
      <c r="B1485" s="10"/>
      <c r="C1485" s="10"/>
    </row>
    <row r="1486" spans="1:3">
      <c r="A1486" s="9"/>
      <c r="B1486" s="10"/>
      <c r="C1486" s="10"/>
    </row>
    <row r="1487" spans="1:3">
      <c r="A1487" s="9"/>
      <c r="B1487" s="10"/>
      <c r="C1487" s="10"/>
    </row>
    <row r="1488" spans="1:3">
      <c r="A1488" s="9"/>
      <c r="B1488" s="10"/>
      <c r="C1488" s="10"/>
    </row>
    <row r="1489" spans="1:3">
      <c r="A1489" s="9"/>
      <c r="B1489" s="10"/>
      <c r="C1489" s="10"/>
    </row>
    <row r="1490" spans="1:3">
      <c r="A1490" s="9"/>
      <c r="B1490" s="10"/>
      <c r="C1490" s="10"/>
    </row>
    <row r="1491" spans="1:3">
      <c r="A1491" s="9"/>
      <c r="B1491" s="10"/>
      <c r="C1491" s="10"/>
    </row>
    <row r="1492" spans="1:3">
      <c r="A1492" s="9"/>
      <c r="B1492" s="10"/>
      <c r="C1492" s="10"/>
    </row>
    <row r="1493" spans="1:3">
      <c r="A1493" s="9"/>
      <c r="B1493" s="10"/>
      <c r="C1493" s="10"/>
    </row>
    <row r="1494" spans="1:3">
      <c r="A1494" s="9"/>
      <c r="B1494" s="10"/>
      <c r="C1494" s="10"/>
    </row>
    <row r="1495" spans="1:3">
      <c r="A1495" s="9"/>
      <c r="B1495" s="10"/>
      <c r="C1495" s="10"/>
    </row>
    <row r="1496" spans="1:3">
      <c r="A1496" s="9"/>
      <c r="B1496" s="10"/>
      <c r="C1496" s="10"/>
    </row>
    <row r="1497" spans="1:3">
      <c r="A1497" s="9"/>
      <c r="B1497" s="10"/>
      <c r="C1497" s="10"/>
    </row>
    <row r="1498" spans="1:3">
      <c r="A1498" s="9"/>
      <c r="B1498" s="10"/>
      <c r="C1498" s="10"/>
    </row>
    <row r="1499" spans="1:3">
      <c r="A1499" s="9"/>
      <c r="B1499" s="10"/>
      <c r="C1499" s="10"/>
    </row>
    <row r="1500" spans="1:3">
      <c r="A1500" s="9"/>
      <c r="B1500" s="10"/>
      <c r="C1500" s="10"/>
    </row>
    <row r="1501" spans="1:3">
      <c r="A1501" s="9"/>
      <c r="B1501" s="10"/>
      <c r="C1501" s="10"/>
    </row>
    <row r="1502" spans="1:3">
      <c r="A1502" s="9"/>
      <c r="B1502" s="10"/>
      <c r="C1502" s="10"/>
    </row>
    <row r="1503" spans="1:3">
      <c r="A1503" s="9"/>
      <c r="B1503" s="10"/>
      <c r="C1503" s="10"/>
    </row>
    <row r="1504" spans="1:3">
      <c r="A1504" s="9"/>
      <c r="B1504" s="10"/>
      <c r="C1504" s="10"/>
    </row>
    <row r="1505" spans="1:3">
      <c r="A1505" s="9"/>
      <c r="B1505" s="10"/>
      <c r="C1505" s="10"/>
    </row>
    <row r="1506" spans="1:3">
      <c r="A1506" s="9"/>
      <c r="B1506" s="10"/>
      <c r="C1506" s="10"/>
    </row>
    <row r="1507" spans="1:3">
      <c r="A1507" s="9"/>
      <c r="B1507" s="10"/>
      <c r="C1507" s="10"/>
    </row>
    <row r="1508" spans="1:3">
      <c r="A1508" s="9"/>
      <c r="B1508" s="10"/>
      <c r="C1508" s="10"/>
    </row>
    <row r="1509" spans="1:3">
      <c r="A1509" s="9"/>
      <c r="B1509" s="10"/>
      <c r="C1509" s="10"/>
    </row>
    <row r="1510" spans="1:3">
      <c r="A1510" s="9"/>
      <c r="B1510" s="10"/>
      <c r="C1510" s="10"/>
    </row>
    <row r="1511" spans="1:3">
      <c r="A1511" s="9"/>
      <c r="B1511" s="10"/>
      <c r="C1511" s="10"/>
    </row>
    <row r="1512" spans="1:3">
      <c r="A1512" s="9"/>
      <c r="B1512" s="10"/>
      <c r="C1512" s="10"/>
    </row>
    <row r="1513" spans="1:3">
      <c r="A1513" s="9"/>
      <c r="B1513" s="10"/>
      <c r="C1513" s="10"/>
    </row>
    <row r="1514" spans="1:3">
      <c r="A1514" s="9"/>
      <c r="B1514" s="10"/>
      <c r="C1514" s="10"/>
    </row>
    <row r="1515" spans="1:3">
      <c r="A1515" s="9"/>
      <c r="B1515" s="10"/>
      <c r="C1515" s="10"/>
    </row>
    <row r="1516" spans="1:3">
      <c r="A1516" s="9"/>
      <c r="B1516" s="10"/>
      <c r="C1516" s="10"/>
    </row>
    <row r="1517" spans="1:3">
      <c r="A1517" s="9"/>
      <c r="B1517" s="10"/>
      <c r="C1517" s="10"/>
    </row>
    <row r="1518" spans="1:3">
      <c r="A1518" s="9"/>
      <c r="B1518" s="10"/>
      <c r="C1518" s="10"/>
    </row>
    <row r="1519" spans="1:3">
      <c r="A1519" s="9"/>
      <c r="B1519" s="10"/>
      <c r="C1519" s="10"/>
    </row>
    <row r="1520" spans="1:3">
      <c r="A1520" s="9"/>
      <c r="B1520" s="10"/>
      <c r="C1520" s="10"/>
    </row>
    <row r="1521" spans="1:3">
      <c r="A1521" s="9"/>
      <c r="B1521" s="10"/>
      <c r="C1521" s="10"/>
    </row>
    <row r="1522" spans="1:3">
      <c r="A1522" s="9"/>
      <c r="B1522" s="10"/>
      <c r="C1522" s="10"/>
    </row>
    <row r="1523" spans="1:3">
      <c r="A1523" s="9"/>
      <c r="B1523" s="10"/>
      <c r="C1523" s="10"/>
    </row>
    <row r="1524" spans="1:3">
      <c r="A1524" s="9"/>
      <c r="B1524" s="10"/>
      <c r="C1524" s="10"/>
    </row>
    <row r="1525" spans="1:3">
      <c r="A1525" s="9"/>
      <c r="B1525" s="10"/>
      <c r="C1525" s="10"/>
    </row>
    <row r="1526" spans="1:3">
      <c r="A1526" s="9"/>
      <c r="B1526" s="10"/>
      <c r="C1526" s="10"/>
    </row>
    <row r="1527" spans="1:3">
      <c r="A1527" s="9"/>
      <c r="B1527" s="10"/>
      <c r="C1527" s="10"/>
    </row>
    <row r="1528" spans="1:3">
      <c r="A1528" s="9"/>
      <c r="B1528" s="10"/>
      <c r="C1528" s="10"/>
    </row>
    <row r="1529" spans="1:3">
      <c r="A1529" s="9"/>
      <c r="B1529" s="10"/>
      <c r="C1529" s="10"/>
    </row>
    <row r="1530" spans="1:3">
      <c r="A1530" s="9"/>
      <c r="B1530" s="10"/>
      <c r="C1530" s="10"/>
    </row>
    <row r="1531" spans="1:3">
      <c r="A1531" s="9"/>
      <c r="B1531" s="10"/>
      <c r="C1531" s="10"/>
    </row>
    <row r="1532" spans="1:3">
      <c r="A1532" s="9"/>
      <c r="B1532" s="10"/>
      <c r="C1532" s="10"/>
    </row>
    <row r="1533" spans="1:3">
      <c r="A1533" s="9"/>
      <c r="B1533" s="10"/>
      <c r="C1533" s="10"/>
    </row>
    <row r="1534" spans="1:3">
      <c r="A1534" s="9"/>
      <c r="B1534" s="10"/>
      <c r="C1534" s="10"/>
    </row>
    <row r="1535" spans="1:3">
      <c r="A1535" s="9"/>
      <c r="B1535" s="10"/>
      <c r="C1535" s="10"/>
    </row>
    <row r="1536" spans="1:3">
      <c r="A1536" s="9"/>
      <c r="B1536" s="10"/>
      <c r="C1536" s="10"/>
    </row>
    <row r="1537" spans="1:3">
      <c r="A1537" s="9"/>
      <c r="B1537" s="10"/>
      <c r="C1537" s="10"/>
    </row>
    <row r="1538" spans="1:3">
      <c r="A1538" s="9"/>
      <c r="B1538" s="10"/>
      <c r="C1538" s="10"/>
    </row>
    <row r="1539" spans="1:3">
      <c r="A1539" s="9"/>
      <c r="B1539" s="10"/>
      <c r="C1539" s="10"/>
    </row>
    <row r="1540" spans="1:3">
      <c r="A1540" s="9"/>
      <c r="B1540" s="10"/>
      <c r="C1540" s="10"/>
    </row>
    <row r="1541" spans="1:3">
      <c r="A1541" s="9"/>
      <c r="B1541" s="10"/>
      <c r="C1541" s="10"/>
    </row>
    <row r="1542" spans="1:3">
      <c r="A1542" s="9"/>
      <c r="B1542" s="10"/>
      <c r="C1542" s="10"/>
    </row>
    <row r="1543" spans="1:3">
      <c r="A1543" s="9"/>
      <c r="B1543" s="10"/>
      <c r="C1543" s="10"/>
    </row>
    <row r="1544" spans="1:3">
      <c r="A1544" s="9"/>
      <c r="B1544" s="10"/>
      <c r="C1544" s="10"/>
    </row>
    <row r="1545" spans="1:3">
      <c r="A1545" s="9"/>
      <c r="B1545" s="10"/>
      <c r="C1545" s="10"/>
    </row>
    <row r="1546" spans="1:3">
      <c r="A1546" s="9"/>
      <c r="B1546" s="10"/>
      <c r="C1546" s="10"/>
    </row>
    <row r="1547" spans="1:3">
      <c r="A1547" s="9"/>
      <c r="B1547" s="10"/>
      <c r="C1547" s="10"/>
    </row>
    <row r="1548" spans="1:3">
      <c r="A1548" s="9"/>
      <c r="B1548" s="10"/>
      <c r="C1548" s="10"/>
    </row>
    <row r="1549" spans="1:3">
      <c r="A1549" s="9"/>
      <c r="B1549" s="10"/>
      <c r="C1549" s="10"/>
    </row>
    <row r="1550" spans="1:3">
      <c r="A1550" s="9"/>
      <c r="B1550" s="10"/>
      <c r="C1550" s="10"/>
    </row>
    <row r="1551" spans="1:3">
      <c r="A1551" s="9"/>
      <c r="B1551" s="10"/>
      <c r="C1551" s="10"/>
    </row>
    <row r="1552" spans="1:3">
      <c r="A1552" s="9"/>
      <c r="B1552" s="10"/>
      <c r="C1552" s="10"/>
    </row>
    <row r="1553" spans="1:3">
      <c r="A1553" s="9"/>
      <c r="B1553" s="10"/>
      <c r="C1553" s="10"/>
    </row>
    <row r="1554" spans="1:3">
      <c r="A1554" s="9"/>
      <c r="B1554" s="10"/>
      <c r="C1554" s="10"/>
    </row>
    <row r="1555" spans="1:3">
      <c r="A1555" s="9"/>
      <c r="B1555" s="10"/>
      <c r="C1555" s="10"/>
    </row>
    <row r="1556" spans="1:3">
      <c r="A1556" s="9"/>
      <c r="B1556" s="10"/>
      <c r="C1556" s="10"/>
    </row>
    <row r="1557" spans="1:3">
      <c r="A1557" s="9"/>
      <c r="B1557" s="10"/>
      <c r="C1557" s="10"/>
    </row>
    <row r="1558" spans="1:3">
      <c r="A1558" s="9"/>
      <c r="B1558" s="10"/>
      <c r="C1558" s="10"/>
    </row>
    <row r="1559" spans="1:3">
      <c r="A1559" s="9"/>
      <c r="B1559" s="10"/>
      <c r="C1559" s="10"/>
    </row>
    <row r="1560" spans="1:3">
      <c r="A1560" s="9"/>
      <c r="B1560" s="10"/>
      <c r="C1560" s="10"/>
    </row>
    <row r="1561" spans="1:3">
      <c r="A1561" s="9"/>
      <c r="B1561" s="10"/>
      <c r="C1561" s="10"/>
    </row>
    <row r="1562" spans="1:3">
      <c r="A1562" s="9"/>
      <c r="B1562" s="10"/>
      <c r="C1562" s="10"/>
    </row>
    <row r="1563" spans="1:3">
      <c r="A1563" s="9"/>
      <c r="B1563" s="10"/>
      <c r="C1563" s="10"/>
    </row>
    <row r="1564" spans="1:3">
      <c r="A1564" s="9"/>
      <c r="B1564" s="10"/>
      <c r="C1564" s="10"/>
    </row>
    <row r="1565" spans="1:3">
      <c r="A1565" s="9"/>
      <c r="B1565" s="10"/>
      <c r="C1565" s="10"/>
    </row>
    <row r="1566" spans="1:3">
      <c r="A1566" s="9"/>
      <c r="B1566" s="10"/>
      <c r="C1566" s="10"/>
    </row>
    <row r="1567" spans="1:3">
      <c r="A1567" s="9"/>
      <c r="B1567" s="10"/>
      <c r="C1567" s="10"/>
    </row>
    <row r="1568" spans="1:3">
      <c r="A1568" s="9"/>
      <c r="B1568" s="10"/>
      <c r="C1568" s="10"/>
    </row>
    <row r="1569" spans="1:3">
      <c r="A1569" s="9"/>
      <c r="B1569" s="10"/>
      <c r="C1569" s="10"/>
    </row>
    <row r="1570" spans="1:3">
      <c r="A1570" s="9"/>
      <c r="B1570" s="10"/>
      <c r="C1570" s="10"/>
    </row>
    <row r="1571" spans="1:3">
      <c r="A1571" s="9"/>
      <c r="B1571" s="10"/>
      <c r="C1571" s="10"/>
    </row>
    <row r="1572" spans="1:3">
      <c r="A1572" s="9"/>
      <c r="B1572" s="10"/>
      <c r="C1572" s="10"/>
    </row>
    <row r="1573" spans="1:3">
      <c r="A1573" s="9"/>
      <c r="B1573" s="10"/>
      <c r="C1573" s="10"/>
    </row>
    <row r="1574" spans="1:3">
      <c r="A1574" s="9"/>
      <c r="B1574" s="10"/>
      <c r="C1574" s="10"/>
    </row>
    <row r="1575" spans="1:3">
      <c r="A1575" s="9"/>
      <c r="B1575" s="10"/>
      <c r="C1575" s="10"/>
    </row>
    <row r="1576" spans="1:3">
      <c r="A1576" s="9"/>
      <c r="B1576" s="10"/>
      <c r="C1576" s="10"/>
    </row>
    <row r="1577" spans="1:3">
      <c r="A1577" s="9"/>
      <c r="B1577" s="10"/>
      <c r="C1577" s="10"/>
    </row>
    <row r="1578" spans="1:3">
      <c r="A1578" s="9"/>
      <c r="B1578" s="10"/>
      <c r="C1578" s="10"/>
    </row>
    <row r="1579" spans="1:3">
      <c r="A1579" s="9"/>
      <c r="B1579" s="10"/>
      <c r="C1579" s="10"/>
    </row>
    <row r="1580" spans="1:3">
      <c r="A1580" s="9"/>
      <c r="B1580" s="10"/>
      <c r="C1580" s="10"/>
    </row>
    <row r="1581" spans="1:3">
      <c r="A1581" s="9"/>
      <c r="B1581" s="10"/>
      <c r="C1581" s="10"/>
    </row>
    <row r="1582" spans="1:3">
      <c r="A1582" s="9"/>
      <c r="B1582" s="10"/>
      <c r="C1582" s="10"/>
    </row>
    <row r="1583" spans="1:3">
      <c r="A1583" s="9"/>
      <c r="B1583" s="10"/>
      <c r="C1583" s="10"/>
    </row>
    <row r="1584" spans="1:3">
      <c r="A1584" s="9"/>
      <c r="B1584" s="10"/>
      <c r="C1584" s="10"/>
    </row>
    <row r="1585" spans="1:3">
      <c r="A1585" s="9"/>
      <c r="B1585" s="10"/>
      <c r="C1585" s="10"/>
    </row>
    <row r="1586" spans="1:3">
      <c r="A1586" s="9"/>
      <c r="B1586" s="10"/>
      <c r="C1586" s="10"/>
    </row>
    <row r="1587" spans="1:3">
      <c r="A1587" s="9"/>
      <c r="B1587" s="10"/>
      <c r="C1587" s="10"/>
    </row>
    <row r="1588" spans="1:3">
      <c r="A1588" s="9"/>
      <c r="B1588" s="10"/>
      <c r="C1588" s="10"/>
    </row>
    <row r="1589" spans="1:3">
      <c r="A1589" s="9"/>
      <c r="B1589" s="10"/>
      <c r="C1589" s="10"/>
    </row>
    <row r="1590" spans="1:3">
      <c r="A1590" s="9"/>
      <c r="B1590" s="10"/>
      <c r="C1590" s="10"/>
    </row>
    <row r="1591" spans="1:3">
      <c r="A1591" s="9"/>
      <c r="B1591" s="10"/>
      <c r="C1591" s="10"/>
    </row>
    <row r="1592" spans="1:3">
      <c r="A1592" s="9"/>
      <c r="B1592" s="10"/>
      <c r="C1592" s="10"/>
    </row>
    <row r="1593" spans="1:3">
      <c r="A1593" s="9"/>
      <c r="B1593" s="10"/>
      <c r="C1593" s="10"/>
    </row>
    <row r="1594" spans="1:3">
      <c r="A1594" s="9"/>
      <c r="B1594" s="10"/>
      <c r="C1594" s="10"/>
    </row>
    <row r="1595" spans="1:3">
      <c r="A1595" s="9"/>
      <c r="B1595" s="10"/>
      <c r="C1595" s="10"/>
    </row>
    <row r="1596" spans="1:3">
      <c r="A1596" s="9"/>
      <c r="B1596" s="10"/>
      <c r="C1596" s="10"/>
    </row>
    <row r="1597" spans="1:3">
      <c r="A1597" s="9"/>
      <c r="B1597" s="10"/>
      <c r="C1597" s="10"/>
    </row>
    <row r="1598" spans="1:3">
      <c r="A1598" s="9"/>
      <c r="B1598" s="10"/>
      <c r="C1598" s="10"/>
    </row>
    <row r="1599" spans="1:3">
      <c r="A1599" s="9"/>
      <c r="B1599" s="10"/>
      <c r="C1599" s="10"/>
    </row>
    <row r="1600" spans="1:3">
      <c r="A1600" s="9"/>
      <c r="B1600" s="10"/>
      <c r="C1600" s="10"/>
    </row>
    <row r="1601" spans="1:3">
      <c r="A1601" s="9"/>
      <c r="B1601" s="10"/>
      <c r="C1601" s="10"/>
    </row>
    <row r="1602" spans="1:3">
      <c r="A1602" s="9"/>
      <c r="B1602" s="10"/>
      <c r="C1602" s="10"/>
    </row>
    <row r="1603" spans="1:3">
      <c r="A1603" s="9"/>
      <c r="B1603" s="10"/>
      <c r="C1603" s="10"/>
    </row>
    <row r="1604" spans="1:3">
      <c r="A1604" s="9"/>
      <c r="B1604" s="10"/>
      <c r="C1604" s="10"/>
    </row>
    <row r="1605" spans="1:3">
      <c r="A1605" s="9"/>
      <c r="B1605" s="10"/>
      <c r="C1605" s="10"/>
    </row>
    <row r="1606" spans="1:3">
      <c r="A1606" s="9"/>
      <c r="B1606" s="10"/>
      <c r="C1606" s="10"/>
    </row>
    <row r="1607" spans="1:3">
      <c r="A1607" s="9"/>
      <c r="B1607" s="10"/>
      <c r="C1607" s="10"/>
    </row>
    <row r="1608" spans="1:3">
      <c r="A1608" s="9"/>
      <c r="B1608" s="10"/>
      <c r="C1608" s="10"/>
    </row>
    <row r="1609" spans="1:3">
      <c r="A1609" s="9"/>
      <c r="B1609" s="10"/>
      <c r="C1609" s="10"/>
    </row>
    <row r="1610" spans="1:3">
      <c r="A1610" s="9"/>
      <c r="B1610" s="10"/>
      <c r="C1610" s="10"/>
    </row>
    <row r="1611" spans="1:3">
      <c r="A1611" s="9"/>
      <c r="B1611" s="10"/>
      <c r="C1611" s="10"/>
    </row>
    <row r="1612" spans="1:3">
      <c r="A1612" s="9"/>
      <c r="B1612" s="10"/>
      <c r="C1612" s="10"/>
    </row>
    <row r="1613" spans="1:3">
      <c r="A1613" s="9"/>
      <c r="B1613" s="10"/>
      <c r="C1613" s="10"/>
    </row>
    <row r="1614" spans="1:3">
      <c r="A1614" s="9"/>
      <c r="B1614" s="10"/>
      <c r="C1614" s="10"/>
    </row>
    <row r="1615" spans="1:3">
      <c r="A1615" s="9"/>
      <c r="B1615" s="10"/>
      <c r="C1615" s="10"/>
    </row>
    <row r="1616" spans="1:3">
      <c r="A1616" s="9"/>
      <c r="B1616" s="10"/>
      <c r="C1616" s="10"/>
    </row>
    <row r="1617" spans="1:3">
      <c r="A1617" s="9"/>
      <c r="B1617" s="10"/>
      <c r="C1617" s="10"/>
    </row>
    <row r="1618" spans="1:3">
      <c r="A1618" s="9"/>
      <c r="B1618" s="10"/>
      <c r="C1618" s="10"/>
    </row>
    <row r="1619" spans="1:3">
      <c r="A1619" s="9"/>
      <c r="B1619" s="10"/>
      <c r="C1619" s="10"/>
    </row>
    <row r="1620" spans="1:3">
      <c r="A1620" s="9"/>
      <c r="B1620" s="10"/>
      <c r="C1620" s="10"/>
    </row>
    <row r="1621" spans="1:3">
      <c r="A1621" s="9"/>
      <c r="B1621" s="10"/>
      <c r="C1621" s="10"/>
    </row>
    <row r="1622" spans="1:3">
      <c r="A1622" s="9"/>
      <c r="B1622" s="10"/>
      <c r="C1622" s="10"/>
    </row>
    <row r="1623" spans="1:3">
      <c r="A1623" s="9"/>
      <c r="B1623" s="10"/>
      <c r="C1623" s="10"/>
    </row>
    <row r="1624" spans="1:3">
      <c r="A1624" s="9"/>
      <c r="B1624" s="10"/>
      <c r="C1624" s="10"/>
    </row>
    <row r="1625" spans="1:3">
      <c r="A1625" s="9"/>
      <c r="B1625" s="10"/>
      <c r="C1625" s="10"/>
    </row>
    <row r="1626" spans="1:3">
      <c r="A1626" s="9"/>
      <c r="B1626" s="10"/>
      <c r="C1626" s="10"/>
    </row>
    <row r="1627" spans="1:3">
      <c r="A1627" s="9"/>
      <c r="B1627" s="10"/>
      <c r="C1627" s="10"/>
    </row>
    <row r="1628" spans="1:3">
      <c r="A1628" s="9"/>
      <c r="B1628" s="10"/>
      <c r="C1628" s="10"/>
    </row>
    <row r="1629" spans="1:3">
      <c r="A1629" s="9"/>
      <c r="B1629" s="10"/>
      <c r="C1629" s="10"/>
    </row>
    <row r="1630" spans="1:3">
      <c r="A1630" s="9"/>
      <c r="B1630" s="10"/>
      <c r="C1630" s="10"/>
    </row>
    <row r="1631" spans="1:3">
      <c r="A1631" s="9"/>
      <c r="B1631" s="10"/>
      <c r="C1631" s="10"/>
    </row>
    <row r="1632" spans="1:3">
      <c r="A1632" s="9"/>
      <c r="B1632" s="10"/>
      <c r="C1632" s="10"/>
    </row>
    <row r="1633" spans="1:3">
      <c r="A1633" s="9"/>
      <c r="B1633" s="10"/>
      <c r="C1633" s="10"/>
    </row>
    <row r="1634" spans="1:3">
      <c r="A1634" s="9"/>
      <c r="B1634" s="10"/>
      <c r="C1634" s="10"/>
    </row>
    <row r="1635" spans="1:3">
      <c r="A1635" s="9"/>
      <c r="B1635" s="10"/>
      <c r="C1635" s="10"/>
    </row>
    <row r="1636" spans="1:3">
      <c r="A1636" s="9"/>
      <c r="B1636" s="10"/>
      <c r="C1636" s="10"/>
    </row>
    <row r="1637" spans="1:3">
      <c r="A1637" s="9"/>
      <c r="B1637" s="10"/>
      <c r="C1637" s="10"/>
    </row>
    <row r="1638" spans="1:3">
      <c r="A1638" s="9"/>
      <c r="B1638" s="10"/>
      <c r="C1638" s="10"/>
    </row>
    <row r="1639" spans="1:3">
      <c r="A1639" s="9"/>
      <c r="B1639" s="10"/>
      <c r="C1639" s="10"/>
    </row>
    <row r="1640" spans="1:3">
      <c r="A1640" s="9"/>
      <c r="B1640" s="10"/>
      <c r="C1640" s="10"/>
    </row>
    <row r="1641" spans="1:3">
      <c r="A1641" s="9"/>
      <c r="B1641" s="10"/>
      <c r="C1641" s="10"/>
    </row>
    <row r="1642" spans="1:3">
      <c r="A1642" s="9"/>
      <c r="B1642" s="10"/>
      <c r="C1642" s="10"/>
    </row>
    <row r="1643" spans="1:3">
      <c r="A1643" s="9"/>
      <c r="B1643" s="10"/>
      <c r="C1643" s="10"/>
    </row>
    <row r="1644" spans="1:3">
      <c r="A1644" s="9"/>
      <c r="B1644" s="10"/>
      <c r="C1644" s="10"/>
    </row>
    <row r="1645" spans="1:3">
      <c r="A1645" s="9"/>
      <c r="B1645" s="10"/>
      <c r="C1645" s="10"/>
    </row>
    <row r="1646" spans="1:3">
      <c r="A1646" s="9"/>
      <c r="B1646" s="10"/>
      <c r="C1646" s="10"/>
    </row>
    <row r="1647" spans="1:3">
      <c r="A1647" s="9"/>
      <c r="B1647" s="10"/>
      <c r="C1647" s="10"/>
    </row>
    <row r="1648" spans="1:3">
      <c r="A1648" s="9"/>
      <c r="B1648" s="10"/>
      <c r="C1648" s="10"/>
    </row>
    <row r="1649" spans="1:3">
      <c r="A1649" s="9"/>
      <c r="B1649" s="10"/>
      <c r="C1649" s="10"/>
    </row>
    <row r="1650" spans="1:3">
      <c r="A1650" s="9"/>
      <c r="B1650" s="10"/>
      <c r="C1650" s="10"/>
    </row>
    <row r="1651" spans="1:3">
      <c r="A1651" s="9"/>
      <c r="B1651" s="10"/>
      <c r="C1651" s="10"/>
    </row>
    <row r="1652" spans="1:3">
      <c r="A1652" s="9"/>
      <c r="B1652" s="10"/>
      <c r="C1652" s="10"/>
    </row>
    <row r="1653" spans="1:3">
      <c r="A1653" s="9"/>
      <c r="B1653" s="10"/>
      <c r="C1653" s="10"/>
    </row>
    <row r="1654" spans="1:3">
      <c r="A1654" s="9"/>
      <c r="B1654" s="10"/>
      <c r="C1654" s="10"/>
    </row>
    <row r="1655" spans="1:3">
      <c r="A1655" s="9"/>
      <c r="B1655" s="10"/>
      <c r="C1655" s="10"/>
    </row>
    <row r="1656" spans="1:3">
      <c r="A1656" s="9"/>
      <c r="B1656" s="10"/>
      <c r="C1656" s="10"/>
    </row>
    <row r="1657" spans="1:3">
      <c r="A1657" s="9"/>
      <c r="B1657" s="10"/>
      <c r="C1657" s="10"/>
    </row>
    <row r="1658" spans="1:3">
      <c r="A1658" s="9"/>
      <c r="B1658" s="10"/>
      <c r="C1658" s="10"/>
    </row>
    <row r="1659" spans="1:3">
      <c r="A1659" s="9"/>
      <c r="B1659" s="10"/>
      <c r="C1659" s="10"/>
    </row>
    <row r="1660" spans="1:3">
      <c r="A1660" s="9"/>
      <c r="B1660" s="10"/>
      <c r="C1660" s="10"/>
    </row>
    <row r="1661" spans="1:3">
      <c r="A1661" s="9"/>
      <c r="B1661" s="10"/>
      <c r="C1661" s="10"/>
    </row>
    <row r="1662" spans="1:3">
      <c r="A1662" s="9"/>
      <c r="B1662" s="10"/>
      <c r="C1662" s="10"/>
    </row>
    <row r="1663" spans="1:3">
      <c r="A1663" s="9"/>
      <c r="B1663" s="10"/>
      <c r="C1663" s="10"/>
    </row>
    <row r="1664" spans="1:3">
      <c r="A1664" s="9"/>
      <c r="B1664" s="10"/>
      <c r="C1664" s="10"/>
    </row>
    <row r="1665" spans="1:3">
      <c r="A1665" s="9"/>
      <c r="B1665" s="10"/>
      <c r="C1665" s="10"/>
    </row>
    <row r="1666" spans="1:3">
      <c r="A1666" s="9"/>
      <c r="B1666" s="10"/>
      <c r="C1666" s="10"/>
    </row>
    <row r="1667" spans="1:3">
      <c r="A1667" s="9"/>
      <c r="B1667" s="10"/>
      <c r="C1667" s="10"/>
    </row>
    <row r="1668" spans="1:3">
      <c r="A1668" s="9"/>
      <c r="B1668" s="10"/>
      <c r="C1668" s="10"/>
    </row>
    <row r="1669" spans="1:3">
      <c r="A1669" s="9"/>
      <c r="B1669" s="10"/>
      <c r="C1669" s="10"/>
    </row>
    <row r="1670" spans="1:3">
      <c r="A1670" s="9"/>
      <c r="B1670" s="10"/>
      <c r="C1670" s="10"/>
    </row>
    <row r="1671" spans="1:3">
      <c r="A1671" s="9"/>
      <c r="B1671" s="10"/>
      <c r="C1671" s="10"/>
    </row>
    <row r="1672" spans="1:3">
      <c r="A1672" s="9"/>
      <c r="B1672" s="10"/>
      <c r="C1672" s="10"/>
    </row>
    <row r="1673" spans="1:3">
      <c r="A1673" s="9"/>
      <c r="B1673" s="10"/>
      <c r="C1673" s="10"/>
    </row>
    <row r="1674" spans="1:3">
      <c r="A1674" s="9"/>
      <c r="B1674" s="10"/>
      <c r="C1674" s="10"/>
    </row>
    <row r="1675" spans="1:3">
      <c r="A1675" s="9"/>
      <c r="B1675" s="10"/>
      <c r="C1675" s="10"/>
    </row>
    <row r="1676" spans="1:3">
      <c r="A1676" s="9"/>
      <c r="B1676" s="10"/>
      <c r="C1676" s="10"/>
    </row>
    <row r="1677" spans="1:3">
      <c r="A1677" s="9"/>
      <c r="B1677" s="10"/>
      <c r="C1677" s="10"/>
    </row>
    <row r="1678" spans="1:3">
      <c r="A1678" s="9"/>
      <c r="B1678" s="10"/>
      <c r="C1678" s="10"/>
    </row>
    <row r="1679" spans="1:3">
      <c r="A1679" s="9"/>
      <c r="B1679" s="10"/>
      <c r="C1679" s="10"/>
    </row>
    <row r="1680" spans="1:3">
      <c r="A1680" s="9"/>
      <c r="B1680" s="10"/>
      <c r="C1680" s="10"/>
    </row>
    <row r="1681" spans="1:3">
      <c r="A1681" s="9"/>
      <c r="B1681" s="10"/>
      <c r="C1681" s="10"/>
    </row>
    <row r="1682" spans="1:3">
      <c r="A1682" s="9"/>
      <c r="B1682" s="10"/>
      <c r="C1682" s="10"/>
    </row>
    <row r="1683" spans="1:3">
      <c r="A1683" s="9"/>
      <c r="B1683" s="10"/>
      <c r="C1683" s="10"/>
    </row>
    <row r="1684" spans="1:3">
      <c r="A1684" s="9"/>
      <c r="B1684" s="10"/>
      <c r="C1684" s="10"/>
    </row>
    <row r="1685" spans="1:3">
      <c r="A1685" s="9"/>
      <c r="B1685" s="10"/>
      <c r="C1685" s="10"/>
    </row>
    <row r="1686" spans="1:3">
      <c r="A1686" s="9"/>
      <c r="B1686" s="10"/>
      <c r="C1686" s="10"/>
    </row>
    <row r="1687" spans="1:3">
      <c r="A1687" s="9"/>
      <c r="B1687" s="10"/>
      <c r="C1687" s="10"/>
    </row>
    <row r="1688" spans="1:3">
      <c r="A1688" s="9"/>
      <c r="B1688" s="10"/>
      <c r="C1688" s="10"/>
    </row>
    <row r="1689" spans="1:3">
      <c r="A1689" s="9"/>
      <c r="B1689" s="10"/>
      <c r="C1689" s="10"/>
    </row>
    <row r="1690" spans="1:3">
      <c r="A1690" s="9"/>
      <c r="B1690" s="10"/>
      <c r="C1690" s="10"/>
    </row>
    <row r="1691" spans="1:3">
      <c r="A1691" s="9"/>
      <c r="B1691" s="10"/>
      <c r="C1691" s="10"/>
    </row>
    <row r="1692" spans="1:3">
      <c r="A1692" s="9"/>
      <c r="B1692" s="10"/>
      <c r="C1692" s="10"/>
    </row>
    <row r="1693" spans="1:3">
      <c r="A1693" s="9"/>
      <c r="B1693" s="10"/>
      <c r="C1693" s="10"/>
    </row>
    <row r="1694" spans="1:3">
      <c r="A1694" s="9"/>
      <c r="B1694" s="10"/>
      <c r="C1694" s="10"/>
    </row>
    <row r="1695" spans="1:3">
      <c r="A1695" s="9"/>
      <c r="B1695" s="10"/>
      <c r="C1695" s="10"/>
    </row>
    <row r="1696" spans="1:3">
      <c r="A1696" s="9"/>
      <c r="B1696" s="10"/>
      <c r="C1696" s="10"/>
    </row>
    <row r="1697" spans="1:3">
      <c r="A1697" s="9"/>
      <c r="B1697" s="10"/>
      <c r="C1697" s="10"/>
    </row>
    <row r="1698" spans="1:3">
      <c r="A1698" s="9"/>
      <c r="B1698" s="10"/>
      <c r="C1698" s="10"/>
    </row>
    <row r="1699" spans="1:3">
      <c r="A1699" s="9"/>
      <c r="B1699" s="10"/>
      <c r="C1699" s="10"/>
    </row>
    <row r="1700" spans="1:3">
      <c r="A1700" s="9"/>
      <c r="B1700" s="10"/>
      <c r="C1700" s="10"/>
    </row>
    <row r="1701" spans="1:3">
      <c r="A1701" s="9"/>
      <c r="B1701" s="10"/>
      <c r="C1701" s="10"/>
    </row>
    <row r="1702" spans="1:3">
      <c r="A1702" s="9"/>
      <c r="B1702" s="10"/>
      <c r="C1702" s="10"/>
    </row>
    <row r="1703" spans="1:3">
      <c r="A1703" s="9"/>
      <c r="B1703" s="10"/>
      <c r="C1703" s="10"/>
    </row>
    <row r="1704" spans="1:3">
      <c r="A1704" s="9"/>
      <c r="B1704" s="10"/>
      <c r="C1704" s="10"/>
    </row>
    <row r="1705" spans="1:3">
      <c r="A1705" s="9"/>
      <c r="B1705" s="10"/>
      <c r="C1705" s="10"/>
    </row>
    <row r="1706" spans="1:3">
      <c r="A1706" s="9"/>
      <c r="B1706" s="10"/>
      <c r="C1706" s="10"/>
    </row>
    <row r="1707" spans="1:3">
      <c r="A1707" s="9"/>
      <c r="B1707" s="10"/>
      <c r="C1707" s="10"/>
    </row>
    <row r="1708" spans="1:3">
      <c r="A1708" s="9"/>
      <c r="B1708" s="10"/>
      <c r="C1708" s="10"/>
    </row>
    <row r="1709" spans="1:3">
      <c r="A1709" s="9"/>
      <c r="B1709" s="10"/>
      <c r="C1709" s="10"/>
    </row>
    <row r="1710" spans="1:3">
      <c r="A1710" s="9"/>
      <c r="B1710" s="10"/>
      <c r="C1710" s="10"/>
    </row>
    <row r="1711" spans="1:3">
      <c r="A1711" s="9"/>
      <c r="B1711" s="10"/>
      <c r="C1711" s="10"/>
    </row>
    <row r="1712" spans="1:3">
      <c r="A1712" s="9"/>
      <c r="B1712" s="10"/>
      <c r="C1712" s="10"/>
    </row>
    <row r="1713" spans="1:3">
      <c r="A1713" s="9"/>
      <c r="B1713" s="10"/>
      <c r="C1713" s="10"/>
    </row>
    <row r="1714" spans="1:3">
      <c r="A1714" s="9"/>
      <c r="B1714" s="10"/>
      <c r="C1714" s="10"/>
    </row>
    <row r="1715" spans="1:3">
      <c r="A1715" s="9"/>
      <c r="B1715" s="10"/>
      <c r="C1715" s="10"/>
    </row>
    <row r="1716" spans="1:3">
      <c r="A1716" s="9"/>
      <c r="B1716" s="10"/>
      <c r="C1716" s="10"/>
    </row>
    <row r="1717" spans="1:3">
      <c r="A1717" s="9"/>
      <c r="B1717" s="10"/>
      <c r="C1717" s="10"/>
    </row>
    <row r="1718" spans="1:3">
      <c r="A1718" s="9"/>
      <c r="B1718" s="10"/>
      <c r="C1718" s="10"/>
    </row>
    <row r="1719" spans="1:3">
      <c r="A1719" s="9"/>
      <c r="B1719" s="10"/>
      <c r="C1719" s="10"/>
    </row>
    <row r="1720" spans="1:3">
      <c r="A1720" s="9"/>
      <c r="B1720" s="10"/>
      <c r="C1720" s="10"/>
    </row>
    <row r="1721" spans="1:3">
      <c r="A1721" s="9"/>
      <c r="B1721" s="10"/>
      <c r="C1721" s="10"/>
    </row>
    <row r="1722" spans="1:3">
      <c r="A1722" s="9"/>
      <c r="B1722" s="10"/>
      <c r="C1722" s="10"/>
    </row>
    <row r="1723" spans="1:3">
      <c r="A1723" s="9"/>
      <c r="B1723" s="10"/>
      <c r="C1723" s="10"/>
    </row>
    <row r="1724" spans="1:3">
      <c r="A1724" s="9"/>
      <c r="B1724" s="10"/>
      <c r="C1724" s="10"/>
    </row>
    <row r="1725" spans="1:3">
      <c r="A1725" s="9"/>
      <c r="B1725" s="10"/>
      <c r="C1725" s="10"/>
    </row>
    <row r="1726" spans="1:3">
      <c r="A1726" s="9"/>
      <c r="B1726" s="10"/>
      <c r="C1726" s="10"/>
    </row>
    <row r="1727" spans="1:3">
      <c r="A1727" s="9"/>
      <c r="B1727" s="10"/>
      <c r="C1727" s="10"/>
    </row>
    <row r="1728" spans="1:3">
      <c r="A1728" s="9"/>
      <c r="B1728" s="10"/>
      <c r="C1728" s="10"/>
    </row>
    <row r="1729" spans="1:3">
      <c r="A1729" s="9"/>
      <c r="B1729" s="10"/>
      <c r="C1729" s="10"/>
    </row>
    <row r="1730" spans="1:3">
      <c r="A1730" s="9"/>
      <c r="B1730" s="10"/>
      <c r="C1730" s="10"/>
    </row>
    <row r="1731" spans="1:3">
      <c r="A1731" s="9"/>
      <c r="B1731" s="10"/>
      <c r="C1731" s="10"/>
    </row>
    <row r="1732" spans="1:3">
      <c r="A1732" s="9"/>
      <c r="B1732" s="10"/>
      <c r="C1732" s="10"/>
    </row>
    <row r="1733" spans="1:3">
      <c r="A1733" s="9"/>
      <c r="B1733" s="10"/>
      <c r="C1733" s="10"/>
    </row>
    <row r="1734" spans="1:3">
      <c r="A1734" s="9"/>
      <c r="B1734" s="10"/>
      <c r="C1734" s="10"/>
    </row>
    <row r="1735" spans="1:3">
      <c r="A1735" s="9"/>
      <c r="B1735" s="10"/>
      <c r="C1735" s="10"/>
    </row>
    <row r="1736" spans="1:3">
      <c r="A1736" s="9"/>
      <c r="B1736" s="10"/>
      <c r="C1736" s="10"/>
    </row>
    <row r="1737" spans="1:3">
      <c r="A1737" s="9"/>
      <c r="B1737" s="10"/>
      <c r="C1737" s="10"/>
    </row>
    <row r="1738" spans="1:3">
      <c r="A1738" s="9"/>
      <c r="B1738" s="10"/>
      <c r="C1738" s="10"/>
    </row>
    <row r="1739" spans="1:3">
      <c r="A1739" s="9"/>
      <c r="B1739" s="10"/>
      <c r="C1739" s="10"/>
    </row>
    <row r="1740" spans="1:3">
      <c r="A1740" s="9"/>
      <c r="B1740" s="10"/>
      <c r="C1740" s="10"/>
    </row>
    <row r="1741" spans="1:3">
      <c r="A1741" s="9"/>
      <c r="B1741" s="10"/>
      <c r="C1741" s="10"/>
    </row>
    <row r="1742" spans="1:3">
      <c r="A1742" s="9"/>
      <c r="B1742" s="10"/>
      <c r="C1742" s="10"/>
    </row>
    <row r="1743" spans="1:3">
      <c r="A1743" s="9"/>
      <c r="B1743" s="10"/>
      <c r="C1743" s="10"/>
    </row>
    <row r="1744" spans="1:3">
      <c r="A1744" s="9"/>
      <c r="B1744" s="10"/>
      <c r="C1744" s="10"/>
    </row>
    <row r="1745" spans="1:3">
      <c r="A1745" s="9"/>
      <c r="B1745" s="10"/>
      <c r="C1745" s="10"/>
    </row>
    <row r="1746" spans="1:3">
      <c r="A1746" s="9"/>
      <c r="B1746" s="10"/>
      <c r="C1746" s="10"/>
    </row>
    <row r="1747" spans="1:3">
      <c r="A1747" s="9"/>
      <c r="B1747" s="10"/>
      <c r="C1747" s="10"/>
    </row>
    <row r="1748" spans="1:3">
      <c r="A1748" s="9"/>
      <c r="B1748" s="10"/>
      <c r="C1748" s="10"/>
    </row>
    <row r="1749" spans="1:3">
      <c r="A1749" s="9"/>
      <c r="B1749" s="10"/>
      <c r="C1749" s="10"/>
    </row>
    <row r="1750" spans="1:3">
      <c r="A1750" s="9"/>
      <c r="B1750" s="10"/>
      <c r="C1750" s="10"/>
    </row>
    <row r="1751" spans="1:3">
      <c r="A1751" s="9"/>
      <c r="B1751" s="10"/>
      <c r="C1751" s="10"/>
    </row>
    <row r="1752" spans="1:3">
      <c r="A1752" s="9"/>
      <c r="B1752" s="10"/>
      <c r="C1752" s="10"/>
    </row>
    <row r="1753" spans="1:3">
      <c r="A1753" s="9"/>
      <c r="B1753" s="10"/>
      <c r="C1753" s="10"/>
    </row>
    <row r="1754" spans="1:3">
      <c r="A1754" s="9"/>
      <c r="B1754" s="10"/>
      <c r="C1754" s="10"/>
    </row>
    <row r="1755" spans="1:3">
      <c r="A1755" s="9"/>
      <c r="B1755" s="10"/>
      <c r="C1755" s="10"/>
    </row>
    <row r="1756" spans="1:3">
      <c r="A1756" s="9"/>
      <c r="B1756" s="10"/>
      <c r="C1756" s="10"/>
    </row>
    <row r="1757" spans="1:3">
      <c r="A1757" s="9"/>
      <c r="B1757" s="10"/>
      <c r="C1757" s="10"/>
    </row>
    <row r="1758" spans="1:3">
      <c r="A1758" s="9"/>
      <c r="B1758" s="10"/>
      <c r="C1758" s="10"/>
    </row>
    <row r="1759" spans="1:3">
      <c r="A1759" s="9"/>
      <c r="B1759" s="10"/>
      <c r="C1759" s="10"/>
    </row>
    <row r="1760" spans="1:3">
      <c r="A1760" s="9"/>
      <c r="B1760" s="10"/>
      <c r="C1760" s="10"/>
    </row>
    <row r="1761" spans="1:3">
      <c r="A1761" s="9"/>
      <c r="B1761" s="10"/>
      <c r="C1761" s="10"/>
    </row>
    <row r="1762" spans="1:3">
      <c r="A1762" s="9"/>
      <c r="B1762" s="10"/>
      <c r="C1762" s="10"/>
    </row>
    <row r="1763" spans="1:3">
      <c r="A1763" s="9"/>
      <c r="B1763" s="10"/>
      <c r="C1763" s="10"/>
    </row>
    <row r="1764" spans="1:3">
      <c r="A1764" s="9"/>
      <c r="B1764" s="10"/>
      <c r="C1764" s="10"/>
    </row>
    <row r="1765" spans="1:3">
      <c r="A1765" s="9"/>
      <c r="B1765" s="10"/>
      <c r="C1765" s="10"/>
    </row>
    <row r="1766" spans="1:3">
      <c r="A1766" s="9"/>
      <c r="B1766" s="10"/>
      <c r="C1766" s="10"/>
    </row>
    <row r="1767" spans="1:3">
      <c r="A1767" s="9"/>
      <c r="B1767" s="10"/>
      <c r="C1767" s="10"/>
    </row>
    <row r="1768" spans="1:3">
      <c r="A1768" s="9"/>
      <c r="B1768" s="10"/>
      <c r="C1768" s="10"/>
    </row>
    <row r="1769" spans="1:3">
      <c r="A1769" s="9"/>
      <c r="B1769" s="10"/>
      <c r="C1769" s="10"/>
    </row>
    <row r="1770" spans="1:3">
      <c r="A1770" s="9"/>
      <c r="B1770" s="10"/>
      <c r="C1770" s="10"/>
    </row>
    <row r="1771" spans="1:3">
      <c r="A1771" s="9"/>
      <c r="B1771" s="10"/>
      <c r="C1771" s="10"/>
    </row>
    <row r="1772" spans="1:3">
      <c r="A1772" s="9"/>
      <c r="B1772" s="10"/>
      <c r="C1772" s="10"/>
    </row>
    <row r="1773" spans="1:3">
      <c r="A1773" s="9"/>
      <c r="B1773" s="10"/>
      <c r="C1773" s="10"/>
    </row>
    <row r="1774" spans="1:3">
      <c r="A1774" s="9"/>
      <c r="B1774" s="10"/>
      <c r="C1774" s="10"/>
    </row>
    <row r="1775" spans="1:3">
      <c r="A1775" s="9"/>
      <c r="B1775" s="10"/>
      <c r="C1775" s="10"/>
    </row>
    <row r="1776" spans="1:3">
      <c r="A1776" s="9"/>
      <c r="B1776" s="10"/>
      <c r="C1776" s="10"/>
    </row>
    <row r="1777" spans="1:3">
      <c r="A1777" s="9"/>
      <c r="B1777" s="10"/>
      <c r="C1777" s="10"/>
    </row>
    <row r="1778" spans="1:3">
      <c r="A1778" s="9"/>
      <c r="B1778" s="10"/>
      <c r="C1778" s="10"/>
    </row>
    <row r="1779" spans="1:3">
      <c r="A1779" s="9"/>
      <c r="B1779" s="10"/>
      <c r="C1779" s="10"/>
    </row>
    <row r="1780" spans="1:3">
      <c r="A1780" s="9"/>
      <c r="B1780" s="10"/>
      <c r="C1780" s="10"/>
    </row>
    <row r="1781" spans="1:3">
      <c r="A1781" s="9"/>
      <c r="B1781" s="10"/>
      <c r="C1781" s="10"/>
    </row>
    <row r="1782" spans="1:3">
      <c r="A1782" s="9"/>
      <c r="B1782" s="10"/>
      <c r="C1782" s="10"/>
    </row>
    <row r="1783" spans="1:3">
      <c r="A1783" s="9"/>
      <c r="B1783" s="10"/>
      <c r="C1783" s="10"/>
    </row>
    <row r="1784" spans="1:3">
      <c r="A1784" s="9"/>
      <c r="B1784" s="10"/>
      <c r="C1784" s="10"/>
    </row>
    <row r="1785" spans="1:3">
      <c r="A1785" s="9"/>
      <c r="B1785" s="10"/>
      <c r="C1785" s="10"/>
    </row>
    <row r="1786" spans="1:3">
      <c r="A1786" s="9"/>
      <c r="B1786" s="10"/>
      <c r="C1786" s="10"/>
    </row>
    <row r="1787" spans="1:3">
      <c r="A1787" s="9"/>
      <c r="B1787" s="10"/>
      <c r="C1787" s="10"/>
    </row>
    <row r="1788" spans="1:3">
      <c r="A1788" s="9"/>
      <c r="B1788" s="10"/>
      <c r="C1788" s="10"/>
    </row>
    <row r="1789" spans="1:3">
      <c r="A1789" s="9"/>
      <c r="B1789" s="10"/>
      <c r="C1789" s="10"/>
    </row>
    <row r="1790" spans="1:3">
      <c r="A1790" s="9"/>
      <c r="B1790" s="10"/>
      <c r="C1790" s="10"/>
    </row>
    <row r="1791" spans="1:3">
      <c r="A1791" s="9"/>
      <c r="B1791" s="10"/>
      <c r="C1791" s="10"/>
    </row>
    <row r="1792" spans="1:3">
      <c r="A1792" s="9"/>
      <c r="B1792" s="10"/>
      <c r="C1792" s="10"/>
    </row>
    <row r="1793" spans="1:3">
      <c r="A1793" s="9"/>
      <c r="B1793" s="10"/>
      <c r="C1793" s="10"/>
    </row>
    <row r="1794" spans="1:3">
      <c r="A1794" s="9"/>
      <c r="B1794" s="10"/>
      <c r="C1794" s="10"/>
    </row>
    <row r="1795" spans="1:3">
      <c r="A1795" s="9"/>
      <c r="B1795" s="10"/>
      <c r="C1795" s="10"/>
    </row>
    <row r="1796" spans="1:3">
      <c r="A1796" s="9"/>
      <c r="B1796" s="10"/>
      <c r="C1796" s="10"/>
    </row>
    <row r="1797" spans="1:3">
      <c r="A1797" s="9"/>
      <c r="B1797" s="10"/>
      <c r="C1797" s="10"/>
    </row>
    <row r="1798" spans="1:3">
      <c r="A1798" s="9"/>
      <c r="B1798" s="10"/>
      <c r="C1798" s="10"/>
    </row>
    <row r="1799" spans="1:3">
      <c r="A1799" s="9"/>
      <c r="B1799" s="10"/>
      <c r="C1799" s="10"/>
    </row>
    <row r="1800" spans="1:3">
      <c r="A1800" s="9"/>
      <c r="B1800" s="10"/>
      <c r="C1800" s="10"/>
    </row>
    <row r="1801" spans="1:3">
      <c r="A1801" s="9"/>
      <c r="B1801" s="10"/>
      <c r="C1801" s="10"/>
    </row>
    <row r="1802" spans="1:3">
      <c r="A1802" s="9"/>
      <c r="B1802" s="10"/>
      <c r="C1802" s="10"/>
    </row>
    <row r="1803" spans="1:3">
      <c r="A1803" s="9"/>
      <c r="B1803" s="10"/>
      <c r="C1803" s="10"/>
    </row>
    <row r="1804" spans="1:3">
      <c r="A1804" s="9"/>
      <c r="B1804" s="10"/>
      <c r="C1804" s="10"/>
    </row>
    <row r="1805" spans="1:3">
      <c r="A1805" s="9"/>
      <c r="B1805" s="10"/>
      <c r="C1805" s="10"/>
    </row>
    <row r="1806" spans="1:3">
      <c r="A1806" s="9"/>
      <c r="B1806" s="10"/>
      <c r="C1806" s="10"/>
    </row>
    <row r="1807" spans="1:3">
      <c r="A1807" s="9"/>
      <c r="B1807" s="10"/>
      <c r="C1807" s="10"/>
    </row>
    <row r="1808" spans="1:3">
      <c r="A1808" s="9"/>
      <c r="B1808" s="10"/>
      <c r="C1808" s="10"/>
    </row>
    <row r="1809" spans="1:3">
      <c r="A1809" s="9"/>
      <c r="B1809" s="10"/>
      <c r="C1809" s="10"/>
    </row>
    <row r="1810" spans="1:3">
      <c r="A1810" s="9"/>
      <c r="B1810" s="10"/>
      <c r="C1810" s="10"/>
    </row>
    <row r="1811" spans="1:3">
      <c r="A1811" s="9"/>
      <c r="B1811" s="10"/>
      <c r="C1811" s="10"/>
    </row>
    <row r="1812" spans="1:3">
      <c r="A1812" s="9"/>
      <c r="B1812" s="10"/>
      <c r="C1812" s="10"/>
    </row>
    <row r="1813" spans="1:3">
      <c r="A1813" s="9"/>
      <c r="B1813" s="10"/>
      <c r="C1813" s="10"/>
    </row>
    <row r="1814" spans="1:3">
      <c r="A1814" s="9"/>
      <c r="B1814" s="10"/>
      <c r="C1814" s="10"/>
    </row>
    <row r="1815" spans="1:3">
      <c r="A1815" s="9"/>
      <c r="B1815" s="10"/>
      <c r="C1815" s="10"/>
    </row>
    <row r="1816" spans="1:3">
      <c r="A1816" s="9"/>
      <c r="B1816" s="10"/>
      <c r="C1816" s="10"/>
    </row>
    <row r="1817" spans="1:3">
      <c r="A1817" s="9"/>
      <c r="B1817" s="10"/>
      <c r="C1817" s="10"/>
    </row>
    <row r="1818" spans="1:3">
      <c r="A1818" s="9"/>
      <c r="B1818" s="10"/>
      <c r="C1818" s="10"/>
    </row>
    <row r="1819" spans="1:3">
      <c r="A1819" s="9"/>
      <c r="B1819" s="10"/>
      <c r="C1819" s="10"/>
    </row>
    <row r="1820" spans="1:3">
      <c r="A1820" s="9"/>
      <c r="B1820" s="10"/>
      <c r="C1820" s="10"/>
    </row>
    <row r="1821" spans="1:3">
      <c r="A1821" s="9"/>
      <c r="B1821" s="10"/>
      <c r="C1821" s="10"/>
    </row>
    <row r="1822" spans="1:3">
      <c r="A1822" s="9"/>
      <c r="B1822" s="10"/>
      <c r="C1822" s="10"/>
    </row>
    <row r="1823" spans="1:3">
      <c r="A1823" s="9"/>
      <c r="B1823" s="10"/>
      <c r="C1823" s="10"/>
    </row>
    <row r="1824" spans="1:3">
      <c r="A1824" s="9"/>
      <c r="B1824" s="10"/>
      <c r="C1824" s="10"/>
    </row>
    <row r="1825" spans="1:3">
      <c r="A1825" s="9"/>
      <c r="B1825" s="10"/>
      <c r="C1825" s="10"/>
    </row>
    <row r="1826" spans="1:3">
      <c r="A1826" s="9"/>
      <c r="B1826" s="10"/>
      <c r="C1826" s="10"/>
    </row>
    <row r="1827" spans="1:3">
      <c r="A1827" s="9"/>
      <c r="B1827" s="10"/>
      <c r="C1827" s="10"/>
    </row>
    <row r="1828" spans="1:3">
      <c r="A1828" s="9"/>
      <c r="B1828" s="10"/>
      <c r="C1828" s="10"/>
    </row>
    <row r="1829" spans="1:3">
      <c r="A1829" s="9"/>
      <c r="B1829" s="10"/>
      <c r="C1829" s="10"/>
    </row>
    <row r="1830" spans="1:3">
      <c r="A1830" s="9"/>
      <c r="B1830" s="10"/>
      <c r="C1830" s="10"/>
    </row>
    <row r="1831" spans="1:3">
      <c r="A1831" s="9"/>
      <c r="B1831" s="10"/>
      <c r="C1831" s="10"/>
    </row>
    <row r="1832" spans="1:3">
      <c r="A1832" s="9"/>
      <c r="B1832" s="10"/>
      <c r="C1832" s="10"/>
    </row>
    <row r="1833" spans="1:3">
      <c r="A1833" s="9"/>
      <c r="B1833" s="10"/>
      <c r="C1833" s="10"/>
    </row>
    <row r="1834" spans="1:3">
      <c r="A1834" s="9"/>
      <c r="B1834" s="10"/>
      <c r="C1834" s="10"/>
    </row>
    <row r="1835" spans="1:3">
      <c r="A1835" s="9"/>
      <c r="B1835" s="10"/>
      <c r="C1835" s="10"/>
    </row>
    <row r="1836" spans="1:3">
      <c r="A1836" s="9"/>
      <c r="B1836" s="10"/>
      <c r="C1836" s="10"/>
    </row>
    <row r="1837" spans="1:3">
      <c r="A1837" s="9"/>
      <c r="B1837" s="10"/>
      <c r="C1837" s="10"/>
    </row>
    <row r="1838" spans="1:3">
      <c r="A1838" s="9"/>
      <c r="B1838" s="10"/>
      <c r="C1838" s="10"/>
    </row>
    <row r="1839" spans="1:3">
      <c r="A1839" s="9"/>
      <c r="B1839" s="10"/>
      <c r="C1839" s="10"/>
    </row>
    <row r="1840" spans="1:3">
      <c r="A1840" s="9"/>
      <c r="B1840" s="10"/>
      <c r="C1840" s="10"/>
    </row>
    <row r="1841" spans="1:3">
      <c r="A1841" s="9"/>
      <c r="B1841" s="10"/>
      <c r="C1841" s="10"/>
    </row>
    <row r="1842" spans="1:3">
      <c r="A1842" s="9"/>
      <c r="B1842" s="10"/>
      <c r="C1842" s="10"/>
    </row>
    <row r="1843" spans="1:3">
      <c r="A1843" s="9"/>
      <c r="B1843" s="10"/>
      <c r="C1843" s="10"/>
    </row>
    <row r="1844" spans="1:3">
      <c r="A1844" s="9"/>
      <c r="B1844" s="10"/>
      <c r="C1844" s="10"/>
    </row>
    <row r="1845" spans="1:3">
      <c r="A1845" s="9"/>
      <c r="B1845" s="10"/>
      <c r="C1845" s="10"/>
    </row>
    <row r="1846" spans="1:3">
      <c r="A1846" s="9"/>
      <c r="B1846" s="10"/>
      <c r="C1846" s="10"/>
    </row>
    <row r="1847" spans="1:3">
      <c r="A1847" s="9"/>
      <c r="B1847" s="10"/>
      <c r="C1847" s="10"/>
    </row>
    <row r="1848" spans="1:3">
      <c r="A1848" s="9"/>
      <c r="B1848" s="10"/>
      <c r="C1848" s="10"/>
    </row>
    <row r="1849" spans="1:3">
      <c r="A1849" s="9"/>
      <c r="B1849" s="10"/>
      <c r="C1849" s="10"/>
    </row>
    <row r="1850" spans="1:3">
      <c r="A1850" s="9"/>
      <c r="B1850" s="10"/>
      <c r="C1850" s="10"/>
    </row>
    <row r="1851" spans="1:3">
      <c r="A1851" s="9"/>
      <c r="B1851" s="10"/>
      <c r="C1851" s="10"/>
    </row>
    <row r="1852" spans="1:3">
      <c r="A1852" s="9"/>
      <c r="B1852" s="10"/>
      <c r="C1852" s="10"/>
    </row>
    <row r="1853" spans="1:3">
      <c r="A1853" s="9"/>
      <c r="B1853" s="10"/>
      <c r="C1853" s="10"/>
    </row>
    <row r="1854" spans="1:3">
      <c r="A1854" s="9"/>
      <c r="B1854" s="10"/>
      <c r="C1854" s="10"/>
    </row>
    <row r="1855" spans="1:3">
      <c r="A1855" s="9"/>
      <c r="B1855" s="10"/>
      <c r="C1855" s="10"/>
    </row>
    <row r="1856" spans="1:3">
      <c r="A1856" s="9"/>
      <c r="B1856" s="10"/>
      <c r="C1856" s="10"/>
    </row>
    <row r="1857" spans="1:3">
      <c r="A1857" s="9"/>
      <c r="B1857" s="10"/>
      <c r="C1857" s="10"/>
    </row>
    <row r="1858" spans="1:3">
      <c r="A1858" s="9"/>
      <c r="B1858" s="10"/>
      <c r="C1858" s="10"/>
    </row>
    <row r="1859" spans="1:3">
      <c r="A1859" s="9"/>
      <c r="B1859" s="10"/>
      <c r="C1859" s="10"/>
    </row>
    <row r="1860" spans="1:3">
      <c r="A1860" s="9"/>
      <c r="B1860" s="10"/>
      <c r="C1860" s="10"/>
    </row>
    <row r="1861" spans="1:3">
      <c r="A1861" s="9"/>
      <c r="B1861" s="10"/>
      <c r="C1861" s="10"/>
    </row>
    <row r="1862" spans="1:3">
      <c r="A1862" s="9"/>
      <c r="B1862" s="10"/>
      <c r="C1862" s="10"/>
    </row>
    <row r="1863" spans="1:3">
      <c r="A1863" s="9"/>
      <c r="B1863" s="10"/>
      <c r="C1863" s="10"/>
    </row>
    <row r="1864" spans="1:3">
      <c r="A1864" s="9"/>
      <c r="B1864" s="10"/>
      <c r="C1864" s="10"/>
    </row>
    <row r="1865" spans="1:3">
      <c r="A1865" s="9"/>
      <c r="B1865" s="10"/>
      <c r="C1865" s="10"/>
    </row>
    <row r="1866" spans="1:3">
      <c r="A1866" s="9"/>
      <c r="B1866" s="10"/>
      <c r="C1866" s="10"/>
    </row>
    <row r="1867" spans="1:3">
      <c r="A1867" s="9"/>
      <c r="B1867" s="10"/>
      <c r="C1867" s="10"/>
    </row>
    <row r="1868" spans="1:3">
      <c r="A1868" s="9"/>
      <c r="B1868" s="10"/>
      <c r="C1868" s="10"/>
    </row>
    <row r="1869" spans="1:3">
      <c r="A1869" s="9"/>
      <c r="B1869" s="10"/>
      <c r="C1869" s="10"/>
    </row>
    <row r="1870" spans="1:3">
      <c r="A1870" s="9"/>
      <c r="B1870" s="10"/>
      <c r="C1870" s="10"/>
    </row>
    <row r="1871" spans="1:3">
      <c r="A1871" s="9"/>
      <c r="B1871" s="10"/>
      <c r="C1871" s="10"/>
    </row>
    <row r="1872" spans="1:3">
      <c r="A1872" s="9"/>
      <c r="B1872" s="10"/>
      <c r="C1872" s="10"/>
    </row>
    <row r="1873" spans="1:3">
      <c r="A1873" s="9"/>
      <c r="B1873" s="10"/>
      <c r="C1873" s="10"/>
    </row>
    <row r="1874" spans="1:3">
      <c r="A1874" s="9"/>
      <c r="B1874" s="10"/>
      <c r="C1874" s="10"/>
    </row>
    <row r="1875" spans="1:3">
      <c r="A1875" s="9"/>
      <c r="B1875" s="10"/>
      <c r="C1875" s="10"/>
    </row>
    <row r="1876" spans="1:3">
      <c r="A1876" s="9"/>
      <c r="B1876" s="10"/>
      <c r="C1876" s="10"/>
    </row>
    <row r="1877" spans="1:3">
      <c r="A1877" s="9"/>
      <c r="B1877" s="10"/>
      <c r="C1877" s="10"/>
    </row>
    <row r="1878" spans="1:3">
      <c r="A1878" s="9"/>
      <c r="B1878" s="10"/>
      <c r="C1878" s="10"/>
    </row>
    <row r="1879" spans="1:3">
      <c r="A1879" s="9"/>
      <c r="B1879" s="10"/>
      <c r="C1879" s="10"/>
    </row>
    <row r="1880" spans="1:3">
      <c r="A1880" s="9"/>
      <c r="B1880" s="10"/>
      <c r="C1880" s="10"/>
    </row>
    <row r="1881" spans="1:3">
      <c r="A1881" s="9"/>
      <c r="B1881" s="10"/>
      <c r="C1881" s="10"/>
    </row>
    <row r="1882" spans="1:3">
      <c r="A1882" s="9"/>
      <c r="B1882" s="10"/>
      <c r="C1882" s="10"/>
    </row>
    <row r="1883" spans="1:3">
      <c r="A1883" s="9"/>
      <c r="B1883" s="10"/>
      <c r="C1883" s="10"/>
    </row>
    <row r="1884" spans="1:3">
      <c r="A1884" s="9"/>
      <c r="B1884" s="10"/>
      <c r="C1884" s="10"/>
    </row>
    <row r="1885" spans="1:3">
      <c r="A1885" s="9"/>
      <c r="B1885" s="10"/>
      <c r="C1885" s="10"/>
    </row>
    <row r="1886" spans="1:3">
      <c r="A1886" s="9"/>
      <c r="B1886" s="10"/>
      <c r="C1886" s="10"/>
    </row>
    <row r="1887" spans="1:3">
      <c r="A1887" s="9"/>
      <c r="B1887" s="10"/>
      <c r="C1887" s="10"/>
    </row>
    <row r="1888" spans="1:3">
      <c r="A1888" s="9"/>
      <c r="B1888" s="10"/>
      <c r="C1888" s="10"/>
    </row>
    <row r="1889" spans="1:3">
      <c r="A1889" s="9"/>
      <c r="B1889" s="10"/>
      <c r="C1889" s="10"/>
    </row>
    <row r="1890" spans="1:3">
      <c r="A1890" s="9"/>
      <c r="B1890" s="10"/>
      <c r="C1890" s="10"/>
    </row>
    <row r="1891" spans="1:3">
      <c r="A1891" s="9"/>
      <c r="B1891" s="10"/>
      <c r="C1891" s="10"/>
    </row>
    <row r="1892" spans="1:3">
      <c r="A1892" s="9"/>
      <c r="B1892" s="10"/>
      <c r="C1892" s="10"/>
    </row>
    <row r="1893" spans="1:3">
      <c r="A1893" s="9"/>
      <c r="B1893" s="10"/>
      <c r="C1893" s="10"/>
    </row>
    <row r="1894" spans="1:3">
      <c r="A1894" s="9"/>
      <c r="B1894" s="10"/>
      <c r="C1894" s="10"/>
    </row>
    <row r="1895" spans="1:3">
      <c r="A1895" s="9"/>
      <c r="B1895" s="10"/>
      <c r="C1895" s="10"/>
    </row>
    <row r="1896" spans="1:3">
      <c r="A1896" s="9"/>
      <c r="B1896" s="10"/>
      <c r="C1896" s="10"/>
    </row>
    <row r="1897" spans="1:3">
      <c r="A1897" s="9"/>
      <c r="B1897" s="10"/>
      <c r="C1897" s="10"/>
    </row>
    <row r="1898" spans="1:3">
      <c r="A1898" s="9"/>
      <c r="B1898" s="10"/>
      <c r="C1898" s="10"/>
    </row>
    <row r="1899" spans="1:3">
      <c r="A1899" s="9"/>
      <c r="B1899" s="10"/>
      <c r="C1899" s="10"/>
    </row>
    <row r="1900" spans="1:3">
      <c r="A1900" s="9"/>
      <c r="B1900" s="10"/>
      <c r="C1900" s="10"/>
    </row>
    <row r="1901" spans="1:3">
      <c r="A1901" s="9"/>
      <c r="B1901" s="10"/>
      <c r="C1901" s="10"/>
    </row>
    <row r="1902" spans="1:3">
      <c r="A1902" s="9"/>
      <c r="B1902" s="10"/>
      <c r="C1902" s="10"/>
    </row>
    <row r="1903" spans="1:3">
      <c r="A1903" s="9"/>
      <c r="B1903" s="10"/>
      <c r="C1903" s="10"/>
    </row>
    <row r="1904" spans="1:3">
      <c r="A1904" s="9"/>
      <c r="B1904" s="10"/>
      <c r="C1904" s="10"/>
    </row>
    <row r="1905" spans="1:3">
      <c r="A1905" s="9"/>
      <c r="B1905" s="10"/>
      <c r="C1905" s="10"/>
    </row>
    <row r="1906" spans="1:3">
      <c r="A1906" s="9"/>
      <c r="B1906" s="10"/>
      <c r="C1906" s="10"/>
    </row>
    <row r="1907" spans="1:3">
      <c r="A1907" s="9"/>
      <c r="B1907" s="10"/>
      <c r="C1907" s="10"/>
    </row>
    <row r="1908" spans="1:3">
      <c r="A1908" s="9"/>
      <c r="B1908" s="10"/>
      <c r="C1908" s="10"/>
    </row>
    <row r="1909" spans="1:3">
      <c r="A1909" s="9"/>
      <c r="B1909" s="10"/>
      <c r="C1909" s="10"/>
    </row>
    <row r="1910" spans="1:3">
      <c r="A1910" s="9"/>
      <c r="B1910" s="10"/>
      <c r="C1910" s="10"/>
    </row>
    <row r="1911" spans="1:3">
      <c r="A1911" s="9"/>
      <c r="B1911" s="10"/>
      <c r="C1911" s="10"/>
    </row>
    <row r="1912" spans="1:3">
      <c r="A1912" s="9"/>
      <c r="B1912" s="10"/>
      <c r="C1912" s="10"/>
    </row>
    <row r="1913" spans="1:3">
      <c r="A1913" s="9"/>
      <c r="B1913" s="10"/>
      <c r="C1913" s="10"/>
    </row>
    <row r="1914" spans="1:3">
      <c r="A1914" s="9"/>
      <c r="B1914" s="10"/>
      <c r="C1914" s="10"/>
    </row>
    <row r="1915" spans="1:3">
      <c r="A1915" s="9"/>
      <c r="B1915" s="10"/>
      <c r="C1915" s="10"/>
    </row>
    <row r="1916" spans="1:3">
      <c r="A1916" s="9"/>
      <c r="B1916" s="10"/>
      <c r="C1916" s="10"/>
    </row>
    <row r="1917" spans="1:3">
      <c r="A1917" s="9"/>
      <c r="B1917" s="10"/>
      <c r="C1917" s="10"/>
    </row>
    <row r="1918" spans="1:3">
      <c r="A1918" s="9"/>
      <c r="B1918" s="10"/>
      <c r="C1918" s="10"/>
    </row>
    <row r="1919" spans="1:3">
      <c r="A1919" s="9"/>
      <c r="B1919" s="10"/>
      <c r="C1919" s="10"/>
    </row>
    <row r="1920" spans="1:3">
      <c r="A1920" s="9"/>
      <c r="B1920" s="10"/>
      <c r="C1920" s="10"/>
    </row>
    <row r="1921" spans="1:3">
      <c r="A1921" s="9"/>
      <c r="B1921" s="10"/>
      <c r="C1921" s="10"/>
    </row>
    <row r="1922" spans="1:3">
      <c r="A1922" s="9"/>
      <c r="B1922" s="10"/>
      <c r="C1922" s="10"/>
    </row>
    <row r="1923" spans="1:3">
      <c r="A1923" s="9"/>
      <c r="B1923" s="10"/>
      <c r="C1923" s="10"/>
    </row>
    <row r="1924" spans="1:3">
      <c r="A1924" s="9"/>
      <c r="B1924" s="10"/>
      <c r="C1924" s="10"/>
    </row>
    <row r="1925" spans="1:3">
      <c r="A1925" s="9"/>
      <c r="B1925" s="10"/>
      <c r="C1925" s="10"/>
    </row>
    <row r="1926" spans="1:3">
      <c r="A1926" s="9"/>
      <c r="B1926" s="10"/>
      <c r="C1926" s="10"/>
    </row>
    <row r="1927" spans="1:3">
      <c r="A1927" s="9"/>
      <c r="B1927" s="10"/>
      <c r="C1927" s="10"/>
    </row>
    <row r="1928" spans="1:3">
      <c r="A1928" s="9"/>
      <c r="B1928" s="10"/>
      <c r="C1928" s="10"/>
    </row>
    <row r="1929" spans="1:3">
      <c r="A1929" s="9"/>
      <c r="B1929" s="10"/>
      <c r="C1929" s="10"/>
    </row>
    <row r="1930" spans="1:3">
      <c r="A1930" s="9"/>
      <c r="B1930" s="10"/>
      <c r="C1930" s="10"/>
    </row>
    <row r="1931" spans="1:3">
      <c r="A1931" s="9"/>
      <c r="B1931" s="10"/>
      <c r="C1931" s="10"/>
    </row>
    <row r="1932" spans="1:3">
      <c r="A1932" s="9"/>
      <c r="B1932" s="10"/>
      <c r="C1932" s="10"/>
    </row>
    <row r="1933" spans="1:3">
      <c r="A1933" s="9"/>
      <c r="B1933" s="10"/>
      <c r="C1933" s="10"/>
    </row>
    <row r="1934" spans="1:3">
      <c r="A1934" s="9"/>
      <c r="B1934" s="10"/>
      <c r="C1934" s="10"/>
    </row>
    <row r="1935" spans="1:3">
      <c r="A1935" s="9"/>
      <c r="B1935" s="10"/>
      <c r="C1935" s="10"/>
    </row>
    <row r="1936" spans="1:3">
      <c r="A1936" s="9"/>
      <c r="B1936" s="10"/>
      <c r="C1936" s="10"/>
    </row>
    <row r="1937" spans="1:3">
      <c r="A1937" s="9"/>
      <c r="B1937" s="10"/>
      <c r="C1937" s="10"/>
    </row>
    <row r="1938" spans="1:3">
      <c r="A1938" s="9"/>
      <c r="B1938" s="10"/>
      <c r="C1938" s="10"/>
    </row>
    <row r="1939" spans="1:3">
      <c r="A1939" s="9"/>
      <c r="B1939" s="10"/>
      <c r="C1939" s="10"/>
    </row>
    <row r="1940" spans="1:3">
      <c r="A1940" s="9"/>
      <c r="B1940" s="10"/>
      <c r="C1940" s="10"/>
    </row>
    <row r="1941" spans="1:3">
      <c r="A1941" s="9"/>
      <c r="B1941" s="10"/>
      <c r="C1941" s="10"/>
    </row>
    <row r="1942" spans="1:3">
      <c r="A1942" s="9"/>
      <c r="B1942" s="10"/>
      <c r="C1942" s="10"/>
    </row>
    <row r="1943" spans="1:3">
      <c r="A1943" s="9"/>
      <c r="B1943" s="10"/>
      <c r="C1943" s="10"/>
    </row>
    <row r="1944" spans="1:3">
      <c r="A1944" s="9"/>
      <c r="B1944" s="10"/>
      <c r="C1944" s="10"/>
    </row>
    <row r="1945" spans="1:3">
      <c r="A1945" s="9"/>
      <c r="B1945" s="10"/>
      <c r="C1945" s="10"/>
    </row>
    <row r="1946" spans="1:3">
      <c r="A1946" s="9"/>
      <c r="B1946" s="10"/>
      <c r="C1946" s="10"/>
    </row>
    <row r="1947" spans="1:3">
      <c r="A1947" s="9"/>
      <c r="B1947" s="10"/>
      <c r="C1947" s="10"/>
    </row>
    <row r="1948" spans="1:3">
      <c r="A1948" s="9"/>
      <c r="B1948" s="10"/>
      <c r="C1948" s="10"/>
    </row>
    <row r="1949" spans="1:3">
      <c r="A1949" s="9"/>
      <c r="B1949" s="10"/>
      <c r="C1949" s="10"/>
    </row>
    <row r="1950" spans="1:3">
      <c r="A1950" s="9"/>
      <c r="B1950" s="10"/>
      <c r="C1950" s="10"/>
    </row>
    <row r="1951" spans="1:3">
      <c r="A1951" s="9"/>
      <c r="B1951" s="10"/>
      <c r="C1951" s="10"/>
    </row>
    <row r="1952" spans="1:3">
      <c r="A1952" s="9"/>
      <c r="B1952" s="10"/>
      <c r="C1952" s="10"/>
    </row>
    <row r="1953" spans="1:3">
      <c r="A1953" s="9"/>
      <c r="B1953" s="10"/>
      <c r="C1953" s="10"/>
    </row>
    <row r="1954" spans="1:3">
      <c r="A1954" s="9"/>
      <c r="B1954" s="10"/>
      <c r="C1954" s="10"/>
    </row>
    <row r="1955" spans="1:3">
      <c r="A1955" s="9"/>
      <c r="B1955" s="10"/>
      <c r="C1955" s="10"/>
    </row>
    <row r="1956" spans="1:3">
      <c r="A1956" s="9"/>
      <c r="B1956" s="10"/>
      <c r="C1956" s="10"/>
    </row>
    <row r="1957" spans="1:3">
      <c r="A1957" s="9"/>
      <c r="B1957" s="10"/>
      <c r="C1957" s="10"/>
    </row>
    <row r="1958" spans="1:3">
      <c r="A1958" s="9"/>
      <c r="B1958" s="10"/>
      <c r="C1958" s="10"/>
    </row>
    <row r="1959" spans="1:3">
      <c r="A1959" s="9"/>
      <c r="B1959" s="10"/>
      <c r="C1959" s="10"/>
    </row>
    <row r="1960" spans="1:3">
      <c r="A1960" s="9"/>
      <c r="B1960" s="10"/>
      <c r="C1960" s="10"/>
    </row>
    <row r="1961" spans="1:3">
      <c r="A1961" s="9"/>
      <c r="B1961" s="10"/>
      <c r="C1961" s="10"/>
    </row>
    <row r="1962" spans="1:3">
      <c r="A1962" s="9"/>
      <c r="B1962" s="10"/>
      <c r="C1962" s="10"/>
    </row>
    <row r="1963" spans="1:3">
      <c r="A1963" s="9"/>
      <c r="B1963" s="10"/>
      <c r="C1963" s="10"/>
    </row>
    <row r="1964" spans="1:3">
      <c r="A1964" s="9"/>
      <c r="B1964" s="10"/>
      <c r="C1964" s="10"/>
    </row>
    <row r="1965" spans="1:3">
      <c r="A1965" s="9"/>
      <c r="B1965" s="10"/>
      <c r="C1965" s="10"/>
    </row>
    <row r="1966" spans="1:3">
      <c r="A1966" s="9"/>
      <c r="B1966" s="10"/>
      <c r="C1966" s="10"/>
    </row>
    <row r="1967" spans="1:3">
      <c r="A1967" s="9"/>
      <c r="B1967" s="10"/>
      <c r="C1967" s="10"/>
    </row>
    <row r="1968" spans="1:3">
      <c r="A1968" s="9"/>
      <c r="B1968" s="10"/>
      <c r="C1968" s="10"/>
    </row>
    <row r="1969" spans="1:3">
      <c r="A1969" s="9"/>
      <c r="B1969" s="10"/>
      <c r="C1969" s="10"/>
    </row>
    <row r="1970" spans="1:3">
      <c r="A1970" s="9"/>
      <c r="B1970" s="10"/>
      <c r="C1970" s="10"/>
    </row>
    <row r="1971" spans="1:3">
      <c r="A1971" s="9"/>
      <c r="B1971" s="10"/>
      <c r="C1971" s="10"/>
    </row>
    <row r="1972" spans="1:3">
      <c r="A1972" s="9"/>
      <c r="B1972" s="10"/>
      <c r="C1972" s="10"/>
    </row>
    <row r="1973" spans="1:3">
      <c r="A1973" s="9"/>
      <c r="B1973" s="10"/>
      <c r="C1973" s="10"/>
    </row>
    <row r="1974" spans="1:3">
      <c r="A1974" s="9"/>
      <c r="B1974" s="10"/>
      <c r="C1974" s="10"/>
    </row>
    <row r="1975" spans="1:3">
      <c r="A1975" s="9"/>
      <c r="B1975" s="10"/>
      <c r="C1975" s="10"/>
    </row>
    <row r="1976" spans="1:3">
      <c r="A1976" s="9"/>
      <c r="B1976" s="10"/>
      <c r="C1976" s="10"/>
    </row>
    <row r="1977" spans="1:3">
      <c r="A1977" s="9"/>
      <c r="B1977" s="10"/>
      <c r="C1977" s="10"/>
    </row>
    <row r="1978" spans="1:3">
      <c r="A1978" s="9"/>
      <c r="B1978" s="10"/>
      <c r="C1978" s="10"/>
    </row>
    <row r="1979" spans="1:3">
      <c r="A1979" s="9"/>
      <c r="B1979" s="10"/>
      <c r="C1979" s="10"/>
    </row>
    <row r="1980" spans="1:3">
      <c r="A1980" s="9"/>
      <c r="B1980" s="10"/>
      <c r="C1980" s="10"/>
    </row>
    <row r="1981" spans="1:3">
      <c r="A1981" s="9"/>
      <c r="B1981" s="10"/>
      <c r="C1981" s="10"/>
    </row>
    <row r="1982" spans="1:3">
      <c r="A1982" s="9"/>
      <c r="B1982" s="10"/>
      <c r="C1982" s="10"/>
    </row>
    <row r="1983" spans="1:3">
      <c r="A1983" s="9"/>
      <c r="B1983" s="10"/>
      <c r="C1983" s="10"/>
    </row>
    <row r="1984" spans="1:3">
      <c r="A1984" s="9"/>
      <c r="B1984" s="10"/>
      <c r="C1984" s="10"/>
    </row>
    <row r="1985" spans="1:3">
      <c r="A1985" s="9"/>
      <c r="B1985" s="10"/>
      <c r="C1985" s="10"/>
    </row>
    <row r="1986" spans="1:3">
      <c r="A1986" s="9"/>
      <c r="B1986" s="10"/>
      <c r="C1986" s="10"/>
    </row>
    <row r="1987" spans="1:3">
      <c r="A1987" s="9"/>
      <c r="B1987" s="10"/>
      <c r="C1987" s="10"/>
    </row>
    <row r="1988" spans="1:3">
      <c r="A1988" s="9"/>
      <c r="B1988" s="10"/>
      <c r="C1988" s="10"/>
    </row>
    <row r="1989" spans="1:3">
      <c r="A1989" s="9"/>
      <c r="B1989" s="10"/>
      <c r="C1989" s="10"/>
    </row>
    <row r="1990" spans="1:3">
      <c r="A1990" s="9"/>
      <c r="B1990" s="10"/>
      <c r="C1990" s="10"/>
    </row>
    <row r="1991" spans="1:3">
      <c r="A1991" s="9"/>
      <c r="B1991" s="10"/>
      <c r="C1991" s="10"/>
    </row>
    <row r="1992" spans="1:3">
      <c r="A1992" s="9"/>
      <c r="B1992" s="10"/>
      <c r="C1992" s="10"/>
    </row>
    <row r="1993" spans="1:3">
      <c r="A1993" s="9"/>
      <c r="B1993" s="10"/>
      <c r="C1993" s="10"/>
    </row>
    <row r="1994" spans="1:3">
      <c r="A1994" s="9"/>
      <c r="B1994" s="10"/>
      <c r="C1994" s="10"/>
    </row>
    <row r="1995" spans="1:3">
      <c r="A1995" s="9"/>
      <c r="B1995" s="10"/>
      <c r="C1995" s="10"/>
    </row>
    <row r="1996" spans="1:3">
      <c r="A1996" s="9"/>
      <c r="B1996" s="10"/>
      <c r="C1996" s="10"/>
    </row>
    <row r="1997" spans="1:3">
      <c r="A1997" s="9"/>
      <c r="B1997" s="10"/>
      <c r="C1997" s="10"/>
    </row>
    <row r="1998" spans="1:3">
      <c r="A1998" s="9"/>
      <c r="B1998" s="10"/>
      <c r="C1998" s="10"/>
    </row>
    <row r="1999" spans="1:3">
      <c r="A1999" s="9"/>
      <c r="B1999" s="10"/>
      <c r="C1999" s="10"/>
    </row>
    <row r="2000" spans="1:3">
      <c r="A2000" s="9"/>
      <c r="B2000" s="10"/>
      <c r="C2000" s="10"/>
    </row>
    <row r="2001" spans="1:3">
      <c r="A2001" s="9"/>
      <c r="B2001" s="10"/>
      <c r="C2001" s="10"/>
    </row>
    <row r="2002" spans="1:3">
      <c r="A2002" s="9"/>
      <c r="B2002" s="10"/>
      <c r="C2002" s="10"/>
    </row>
    <row r="2003" spans="1:3">
      <c r="A2003" s="9"/>
      <c r="B2003" s="10"/>
      <c r="C2003" s="10"/>
    </row>
    <row r="2004" spans="1:3">
      <c r="A2004" s="9"/>
      <c r="B2004" s="10"/>
      <c r="C2004" s="10"/>
    </row>
    <row r="2005" spans="1:3">
      <c r="A2005" s="9"/>
      <c r="B2005" s="10"/>
      <c r="C2005" s="10"/>
    </row>
    <row r="2006" spans="1:3">
      <c r="A2006" s="9"/>
      <c r="B2006" s="10"/>
      <c r="C2006" s="10"/>
    </row>
    <row r="2007" spans="1:3">
      <c r="A2007" s="9"/>
      <c r="B2007" s="10"/>
      <c r="C2007" s="10"/>
    </row>
    <row r="2008" spans="1:3">
      <c r="A2008" s="9"/>
      <c r="B2008" s="10"/>
      <c r="C2008" s="10"/>
    </row>
    <row r="2009" spans="1:3">
      <c r="A2009" s="9"/>
      <c r="B2009" s="10"/>
      <c r="C2009" s="10"/>
    </row>
    <row r="2010" spans="1:3">
      <c r="A2010" s="9"/>
      <c r="B2010" s="10"/>
      <c r="C2010" s="10"/>
    </row>
    <row r="2011" spans="1:3">
      <c r="A2011" s="9"/>
      <c r="B2011" s="10"/>
      <c r="C2011" s="10"/>
    </row>
    <row r="2012" spans="1:3">
      <c r="A2012" s="9"/>
      <c r="B2012" s="10"/>
      <c r="C2012" s="10"/>
    </row>
    <row r="2013" spans="1:3">
      <c r="A2013" s="9"/>
      <c r="B2013" s="10"/>
      <c r="C2013" s="10"/>
    </row>
    <row r="2014" spans="1:3">
      <c r="A2014" s="9"/>
      <c r="B2014" s="10"/>
      <c r="C2014" s="10"/>
    </row>
    <row r="2015" spans="1:3">
      <c r="A2015" s="9"/>
      <c r="B2015" s="10"/>
      <c r="C2015" s="10"/>
    </row>
    <row r="2016" spans="1:3">
      <c r="A2016" s="9"/>
      <c r="B2016" s="10"/>
      <c r="C2016" s="10"/>
    </row>
    <row r="2017" spans="1:3">
      <c r="A2017" s="9"/>
      <c r="B2017" s="10"/>
      <c r="C2017" s="10"/>
    </row>
    <row r="2018" spans="1:3">
      <c r="A2018" s="9"/>
      <c r="B2018" s="10"/>
      <c r="C2018" s="10"/>
    </row>
    <row r="2019" spans="1:3">
      <c r="A2019" s="9"/>
      <c r="B2019" s="10"/>
      <c r="C2019" s="10"/>
    </row>
    <row r="2020" spans="1:3">
      <c r="A2020" s="9"/>
      <c r="B2020" s="10"/>
      <c r="C2020" s="10"/>
    </row>
    <row r="2021" spans="1:3">
      <c r="A2021" s="9"/>
      <c r="B2021" s="10"/>
      <c r="C2021" s="10"/>
    </row>
    <row r="2022" spans="1:3">
      <c r="A2022" s="9"/>
      <c r="B2022" s="10"/>
      <c r="C2022" s="10"/>
    </row>
    <row r="2023" spans="1:3">
      <c r="A2023" s="9"/>
      <c r="B2023" s="10"/>
      <c r="C2023" s="10"/>
    </row>
    <row r="2024" spans="1:3">
      <c r="A2024" s="9"/>
      <c r="B2024" s="10"/>
      <c r="C2024" s="10"/>
    </row>
    <row r="2025" spans="1:3">
      <c r="A2025" s="9"/>
      <c r="B2025" s="10"/>
      <c r="C2025" s="10"/>
    </row>
    <row r="2026" spans="1:3">
      <c r="A2026" s="9"/>
      <c r="B2026" s="10"/>
      <c r="C2026" s="10"/>
    </row>
    <row r="2027" spans="1:3">
      <c r="A2027" s="9"/>
      <c r="B2027" s="10"/>
      <c r="C2027" s="10"/>
    </row>
    <row r="2028" spans="1:3">
      <c r="A2028" s="9"/>
      <c r="B2028" s="10"/>
      <c r="C2028" s="10"/>
    </row>
    <row r="2029" spans="1:3">
      <c r="A2029" s="9"/>
      <c r="B2029" s="10"/>
      <c r="C2029" s="10"/>
    </row>
    <row r="2030" spans="1:3">
      <c r="A2030" s="9"/>
      <c r="B2030" s="10"/>
      <c r="C2030" s="10"/>
    </row>
    <row r="2031" spans="1:3">
      <c r="A2031" s="9"/>
      <c r="B2031" s="10"/>
      <c r="C2031" s="10"/>
    </row>
    <row r="2032" spans="1:3">
      <c r="A2032" s="9"/>
      <c r="B2032" s="10"/>
      <c r="C2032" s="10"/>
    </row>
    <row r="2033" spans="1:3">
      <c r="A2033" s="9"/>
      <c r="B2033" s="10"/>
      <c r="C2033" s="10"/>
    </row>
    <row r="2034" spans="1:3">
      <c r="A2034" s="9"/>
      <c r="B2034" s="10"/>
      <c r="C2034" s="10"/>
    </row>
    <row r="2035" spans="1:3">
      <c r="A2035" s="9"/>
      <c r="B2035" s="10"/>
      <c r="C2035" s="10"/>
    </row>
    <row r="2036" spans="1:3">
      <c r="A2036" s="9"/>
      <c r="B2036" s="10"/>
      <c r="C2036" s="10"/>
    </row>
    <row r="2037" spans="1:3">
      <c r="A2037" s="9"/>
      <c r="B2037" s="10"/>
      <c r="C2037" s="10"/>
    </row>
    <row r="2038" spans="1:3">
      <c r="A2038" s="9"/>
      <c r="B2038" s="10"/>
      <c r="C2038" s="10"/>
    </row>
    <row r="2039" spans="1:3">
      <c r="A2039" s="9"/>
      <c r="B2039" s="10"/>
      <c r="C2039" s="10"/>
    </row>
    <row r="2040" spans="1:3">
      <c r="A2040" s="9"/>
      <c r="B2040" s="10"/>
      <c r="C2040" s="10"/>
    </row>
    <row r="2041" spans="1:3">
      <c r="A2041" s="9"/>
      <c r="B2041" s="10"/>
      <c r="C2041" s="10"/>
    </row>
    <row r="2042" spans="1:3">
      <c r="A2042" s="9"/>
      <c r="B2042" s="10"/>
      <c r="C2042" s="10"/>
    </row>
    <row r="2043" spans="1:3">
      <c r="A2043" s="9"/>
      <c r="B2043" s="10"/>
      <c r="C2043" s="10"/>
    </row>
    <row r="2044" spans="1:3">
      <c r="A2044" s="9"/>
      <c r="B2044" s="10"/>
      <c r="C2044" s="10"/>
    </row>
    <row r="2045" spans="1:3">
      <c r="A2045" s="9"/>
      <c r="B2045" s="10"/>
      <c r="C2045" s="10"/>
    </row>
    <row r="2046" spans="1:3">
      <c r="A2046" s="9"/>
      <c r="B2046" s="10"/>
      <c r="C2046" s="10"/>
    </row>
    <row r="2047" spans="1:3">
      <c r="A2047" s="9"/>
      <c r="B2047" s="10"/>
      <c r="C2047" s="10"/>
    </row>
    <row r="2048" spans="1:3">
      <c r="A2048" s="9"/>
      <c r="B2048" s="10"/>
      <c r="C2048" s="10"/>
    </row>
    <row r="2049" spans="1:3">
      <c r="A2049" s="9"/>
      <c r="B2049" s="10"/>
      <c r="C2049" s="10"/>
    </row>
    <row r="2050" spans="1:3">
      <c r="A2050" s="9"/>
      <c r="B2050" s="10"/>
      <c r="C2050" s="10"/>
    </row>
    <row r="2051" spans="1:3">
      <c r="A2051" s="9"/>
      <c r="B2051" s="10"/>
      <c r="C2051" s="10"/>
    </row>
    <row r="2052" spans="1:3">
      <c r="A2052" s="9"/>
      <c r="B2052" s="10"/>
      <c r="C2052" s="10"/>
    </row>
    <row r="2053" spans="1:3">
      <c r="A2053" s="9"/>
      <c r="B2053" s="10"/>
      <c r="C2053" s="10"/>
    </row>
    <row r="2054" spans="1:3">
      <c r="A2054" s="9"/>
      <c r="B2054" s="10"/>
      <c r="C2054" s="10"/>
    </row>
    <row r="2055" spans="1:3">
      <c r="A2055" s="9"/>
      <c r="B2055" s="10"/>
      <c r="C2055" s="10"/>
    </row>
    <row r="2056" spans="1:3">
      <c r="A2056" s="9"/>
      <c r="B2056" s="10"/>
      <c r="C2056" s="10"/>
    </row>
    <row r="2057" spans="1:3">
      <c r="A2057" s="9"/>
      <c r="B2057" s="10"/>
      <c r="C2057" s="10"/>
    </row>
    <row r="2058" spans="1:3">
      <c r="A2058" s="9"/>
      <c r="B2058" s="10"/>
      <c r="C2058" s="10"/>
    </row>
    <row r="2059" spans="1:3">
      <c r="A2059" s="9"/>
      <c r="B2059" s="10"/>
      <c r="C2059" s="10"/>
    </row>
    <row r="2060" spans="1:3">
      <c r="A2060" s="9"/>
      <c r="B2060" s="10"/>
      <c r="C2060" s="10"/>
    </row>
    <row r="2061" spans="1:3">
      <c r="A2061" s="9"/>
      <c r="B2061" s="10"/>
      <c r="C2061" s="10"/>
    </row>
    <row r="2062" spans="1:3">
      <c r="A2062" s="9"/>
      <c r="B2062" s="10"/>
      <c r="C2062" s="10"/>
    </row>
    <row r="2063" spans="1:3">
      <c r="A2063" s="9"/>
      <c r="B2063" s="10"/>
      <c r="C2063" s="10"/>
    </row>
    <row r="2064" spans="1:3">
      <c r="A2064" s="9"/>
      <c r="B2064" s="10"/>
      <c r="C2064" s="10"/>
    </row>
    <row r="2065" spans="1:3">
      <c r="A2065" s="9"/>
      <c r="B2065" s="10"/>
      <c r="C2065" s="10"/>
    </row>
    <row r="2066" spans="1:3">
      <c r="A2066" s="9"/>
      <c r="B2066" s="10"/>
      <c r="C2066" s="10"/>
    </row>
    <row r="2067" spans="1:3">
      <c r="A2067" s="9"/>
      <c r="B2067" s="10"/>
      <c r="C2067" s="10"/>
    </row>
    <row r="2068" spans="1:3">
      <c r="A2068" s="9"/>
      <c r="B2068" s="10"/>
      <c r="C2068" s="10"/>
    </row>
    <row r="2069" spans="1:3">
      <c r="A2069" s="9"/>
      <c r="B2069" s="10"/>
      <c r="C2069" s="10"/>
    </row>
    <row r="2070" spans="1:3">
      <c r="A2070" s="9"/>
      <c r="B2070" s="10"/>
      <c r="C2070" s="10"/>
    </row>
    <row r="2071" spans="1:3">
      <c r="A2071" s="9"/>
      <c r="B2071" s="10"/>
      <c r="C2071" s="10"/>
    </row>
    <row r="2072" spans="1:3">
      <c r="A2072" s="9"/>
      <c r="B2072" s="10"/>
      <c r="C2072" s="10"/>
    </row>
    <row r="2073" spans="1:3">
      <c r="A2073" s="9"/>
      <c r="B2073" s="10"/>
      <c r="C2073" s="10"/>
    </row>
    <row r="2074" spans="1:3">
      <c r="A2074" s="9"/>
      <c r="B2074" s="10"/>
      <c r="C2074" s="10"/>
    </row>
    <row r="2075" spans="1:3">
      <c r="A2075" s="9"/>
      <c r="B2075" s="10"/>
      <c r="C2075" s="10"/>
    </row>
    <row r="2076" spans="1:3">
      <c r="A2076" s="9"/>
      <c r="B2076" s="10"/>
      <c r="C2076" s="10"/>
    </row>
    <row r="2077" spans="1:3">
      <c r="A2077" s="9"/>
      <c r="B2077" s="10"/>
      <c r="C2077" s="10"/>
    </row>
    <row r="2078" spans="1:3">
      <c r="A2078" s="9"/>
      <c r="B2078" s="10"/>
      <c r="C2078" s="10"/>
    </row>
    <row r="2079" spans="1:3">
      <c r="A2079" s="9"/>
      <c r="B2079" s="10"/>
      <c r="C2079" s="10"/>
    </row>
    <row r="2080" spans="1:3">
      <c r="A2080" s="9"/>
      <c r="B2080" s="10"/>
      <c r="C2080" s="10"/>
    </row>
    <row r="2081" spans="1:3">
      <c r="A2081" s="9"/>
      <c r="B2081" s="10"/>
      <c r="C2081" s="10"/>
    </row>
    <row r="2082" spans="1:3">
      <c r="A2082" s="9"/>
      <c r="B2082" s="10"/>
      <c r="C2082" s="10"/>
    </row>
    <row r="2083" spans="1:3">
      <c r="A2083" s="9"/>
      <c r="B2083" s="10"/>
      <c r="C2083" s="10"/>
    </row>
    <row r="2084" spans="1:3">
      <c r="A2084" s="9"/>
      <c r="B2084" s="10"/>
      <c r="C2084" s="10"/>
    </row>
    <row r="2085" spans="1:3">
      <c r="A2085" s="9"/>
      <c r="B2085" s="10"/>
      <c r="C2085" s="10"/>
    </row>
    <row r="2086" spans="1:3">
      <c r="A2086" s="9"/>
      <c r="B2086" s="10"/>
      <c r="C2086" s="10"/>
    </row>
    <row r="2087" spans="1:3">
      <c r="A2087" s="9"/>
      <c r="B2087" s="10"/>
      <c r="C2087" s="10"/>
    </row>
    <row r="2088" spans="1:3">
      <c r="A2088" s="9"/>
      <c r="B2088" s="10"/>
      <c r="C2088" s="10"/>
    </row>
    <row r="2089" spans="1:3">
      <c r="A2089" s="9"/>
      <c r="B2089" s="10"/>
      <c r="C2089" s="10"/>
    </row>
    <row r="2090" spans="1:3">
      <c r="A2090" s="9"/>
      <c r="B2090" s="10"/>
      <c r="C2090" s="10"/>
    </row>
    <row r="2091" spans="1:3">
      <c r="A2091" s="9"/>
      <c r="B2091" s="10"/>
      <c r="C2091" s="10"/>
    </row>
    <row r="2092" spans="1:3">
      <c r="A2092" s="9"/>
      <c r="B2092" s="10"/>
      <c r="C2092" s="10"/>
    </row>
    <row r="2093" spans="1:3">
      <c r="A2093" s="9"/>
      <c r="B2093" s="10"/>
      <c r="C2093" s="10"/>
    </row>
    <row r="2094" spans="1:3">
      <c r="A2094" s="9"/>
      <c r="B2094" s="10"/>
      <c r="C2094" s="10"/>
    </row>
    <row r="2095" spans="1:3">
      <c r="A2095" s="9"/>
      <c r="B2095" s="10"/>
      <c r="C2095" s="10"/>
    </row>
    <row r="2096" spans="1:3">
      <c r="A2096" s="9"/>
      <c r="B2096" s="10"/>
      <c r="C2096" s="10"/>
    </row>
    <row r="2097" spans="1:3">
      <c r="A2097" s="9"/>
      <c r="B2097" s="10"/>
      <c r="C2097" s="10"/>
    </row>
    <row r="2098" spans="1:3">
      <c r="A2098" s="9"/>
      <c r="B2098" s="10"/>
      <c r="C2098" s="10"/>
    </row>
    <row r="2099" spans="1:3">
      <c r="A2099" s="9"/>
      <c r="B2099" s="10"/>
      <c r="C2099" s="10"/>
    </row>
    <row r="2100" spans="1:3">
      <c r="A2100" s="9"/>
      <c r="B2100" s="10"/>
      <c r="C2100" s="10"/>
    </row>
    <row r="2101" spans="1:3">
      <c r="A2101" s="9"/>
      <c r="B2101" s="10"/>
      <c r="C2101" s="10"/>
    </row>
    <row r="2102" spans="1:3">
      <c r="A2102" s="9"/>
      <c r="B2102" s="10"/>
      <c r="C2102" s="10"/>
    </row>
    <row r="2103" spans="1:3">
      <c r="A2103" s="9"/>
      <c r="B2103" s="10"/>
      <c r="C2103" s="10"/>
    </row>
    <row r="2104" spans="1:3">
      <c r="A2104" s="9"/>
      <c r="B2104" s="10"/>
      <c r="C2104" s="10"/>
    </row>
    <row r="2105" spans="1:3">
      <c r="A2105" s="9"/>
      <c r="B2105" s="10"/>
      <c r="C2105" s="10"/>
    </row>
    <row r="2106" spans="1:3">
      <c r="A2106" s="9"/>
      <c r="B2106" s="10"/>
      <c r="C2106" s="10"/>
    </row>
    <row r="2107" spans="1:3">
      <c r="A2107" s="9"/>
      <c r="B2107" s="10"/>
      <c r="C2107" s="10"/>
    </row>
    <row r="2108" spans="1:3">
      <c r="A2108" s="9"/>
      <c r="B2108" s="10"/>
      <c r="C2108" s="10"/>
    </row>
    <row r="2109" spans="1:3">
      <c r="A2109" s="9"/>
      <c r="B2109" s="10"/>
      <c r="C2109" s="10"/>
    </row>
    <row r="2110" spans="1:3">
      <c r="A2110" s="9"/>
      <c r="B2110" s="10"/>
      <c r="C2110" s="10"/>
    </row>
    <row r="2111" spans="1:3">
      <c r="A2111" s="9"/>
      <c r="B2111" s="10"/>
      <c r="C2111" s="10"/>
    </row>
    <row r="2112" spans="1:3">
      <c r="A2112" s="9"/>
      <c r="B2112" s="10"/>
      <c r="C2112" s="10"/>
    </row>
    <row r="2113" spans="1:3">
      <c r="A2113" s="9"/>
      <c r="B2113" s="10"/>
      <c r="C2113" s="10"/>
    </row>
    <row r="2114" spans="1:3">
      <c r="A2114" s="9"/>
      <c r="B2114" s="10"/>
      <c r="C2114" s="10"/>
    </row>
    <row r="2115" spans="1:3">
      <c r="A2115" s="9"/>
      <c r="B2115" s="10"/>
      <c r="C2115" s="10"/>
    </row>
    <row r="2116" spans="1:3">
      <c r="A2116" s="9"/>
      <c r="B2116" s="10"/>
      <c r="C2116" s="10"/>
    </row>
    <row r="2117" spans="1:3">
      <c r="A2117" s="9"/>
      <c r="B2117" s="10"/>
      <c r="C2117" s="10"/>
    </row>
    <row r="2118" spans="1:3">
      <c r="A2118" s="9"/>
      <c r="B2118" s="10"/>
      <c r="C2118" s="10"/>
    </row>
    <row r="2119" spans="1:3">
      <c r="A2119" s="9"/>
      <c r="B2119" s="10"/>
      <c r="C2119" s="10"/>
    </row>
    <row r="2120" spans="1:3">
      <c r="A2120" s="9"/>
      <c r="B2120" s="10"/>
      <c r="C2120" s="10"/>
    </row>
    <row r="2121" spans="1:3">
      <c r="A2121" s="9"/>
      <c r="B2121" s="10"/>
      <c r="C2121" s="10"/>
    </row>
    <row r="2122" spans="1:3">
      <c r="A2122" s="9"/>
      <c r="B2122" s="10"/>
      <c r="C2122" s="10"/>
    </row>
    <row r="2123" spans="1:3">
      <c r="A2123" s="9"/>
      <c r="B2123" s="10"/>
      <c r="C2123" s="10"/>
    </row>
    <row r="2124" spans="1:3">
      <c r="A2124" s="9"/>
      <c r="B2124" s="10"/>
      <c r="C2124" s="10"/>
    </row>
    <row r="2125" spans="1:3">
      <c r="A2125" s="9"/>
      <c r="B2125" s="10"/>
      <c r="C2125" s="10"/>
    </row>
    <row r="2126" spans="1:3">
      <c r="A2126" s="9"/>
      <c r="B2126" s="10"/>
      <c r="C2126" s="10"/>
    </row>
    <row r="2127" spans="1:3">
      <c r="A2127" s="9"/>
      <c r="B2127" s="10"/>
      <c r="C2127" s="10"/>
    </row>
    <row r="2128" spans="1:3">
      <c r="A2128" s="9"/>
      <c r="B2128" s="10"/>
      <c r="C2128" s="10"/>
    </row>
    <row r="2129" spans="1:3">
      <c r="A2129" s="9"/>
      <c r="B2129" s="10"/>
      <c r="C2129" s="10"/>
    </row>
    <row r="2130" spans="1:3">
      <c r="A2130" s="9"/>
      <c r="B2130" s="10"/>
      <c r="C2130" s="10"/>
    </row>
    <row r="2131" spans="1:3">
      <c r="A2131" s="9"/>
      <c r="B2131" s="10"/>
      <c r="C2131" s="10"/>
    </row>
    <row r="2132" spans="1:3">
      <c r="A2132" s="9"/>
      <c r="B2132" s="10"/>
      <c r="C2132" s="10"/>
    </row>
    <row r="2133" spans="1:3">
      <c r="A2133" s="9"/>
      <c r="B2133" s="10"/>
      <c r="C2133" s="10"/>
    </row>
    <row r="2134" spans="1:3">
      <c r="A2134" s="9"/>
      <c r="B2134" s="10"/>
      <c r="C2134" s="10"/>
    </row>
    <row r="2135" spans="1:3">
      <c r="A2135" s="9"/>
      <c r="B2135" s="10"/>
      <c r="C2135" s="10"/>
    </row>
    <row r="2136" spans="1:3">
      <c r="A2136" s="9"/>
      <c r="B2136" s="10"/>
      <c r="C2136" s="10"/>
    </row>
    <row r="2137" spans="1:3">
      <c r="A2137" s="9"/>
      <c r="B2137" s="10"/>
      <c r="C2137" s="10"/>
    </row>
    <row r="2138" spans="1:3">
      <c r="A2138" s="9"/>
      <c r="B2138" s="10"/>
      <c r="C2138" s="10"/>
    </row>
    <row r="2139" spans="1:3">
      <c r="A2139" s="9"/>
      <c r="B2139" s="10"/>
      <c r="C2139" s="10"/>
    </row>
    <row r="2140" spans="1:3">
      <c r="A2140" s="9"/>
      <c r="B2140" s="10"/>
      <c r="C2140" s="10"/>
    </row>
    <row r="2141" spans="1:3">
      <c r="A2141" s="9"/>
      <c r="B2141" s="10"/>
      <c r="C2141" s="10"/>
    </row>
    <row r="2142" spans="1:3">
      <c r="A2142" s="9"/>
      <c r="B2142" s="10"/>
      <c r="C2142" s="10"/>
    </row>
    <row r="2143" spans="1:3">
      <c r="A2143" s="9"/>
      <c r="B2143" s="10"/>
      <c r="C2143" s="10"/>
    </row>
    <row r="2144" spans="1:3">
      <c r="A2144" s="9"/>
      <c r="B2144" s="10"/>
      <c r="C2144" s="10"/>
    </row>
    <row r="2145" spans="1:3">
      <c r="A2145" s="9"/>
      <c r="B2145" s="10"/>
      <c r="C2145" s="10"/>
    </row>
    <row r="2146" spans="1:3">
      <c r="A2146" s="9"/>
      <c r="B2146" s="10"/>
      <c r="C2146" s="10"/>
    </row>
    <row r="2147" spans="1:3">
      <c r="A2147" s="9"/>
      <c r="B2147" s="10"/>
      <c r="C2147" s="10"/>
    </row>
    <row r="2148" spans="1:3">
      <c r="A2148" s="9"/>
      <c r="B2148" s="10"/>
      <c r="C2148" s="10"/>
    </row>
    <row r="2149" spans="1:3">
      <c r="A2149" s="9"/>
      <c r="B2149" s="10"/>
      <c r="C2149" s="10"/>
    </row>
    <row r="2150" spans="1:3">
      <c r="A2150" s="9"/>
      <c r="B2150" s="10"/>
      <c r="C2150" s="10"/>
    </row>
    <row r="2151" spans="1:3">
      <c r="A2151" s="9"/>
      <c r="B2151" s="10"/>
      <c r="C2151" s="10"/>
    </row>
    <row r="2152" spans="1:3">
      <c r="A2152" s="9"/>
      <c r="B2152" s="10"/>
      <c r="C2152" s="10"/>
    </row>
    <row r="2153" spans="1:3">
      <c r="A2153" s="9"/>
      <c r="B2153" s="10"/>
      <c r="C2153" s="10"/>
    </row>
    <row r="2154" spans="1:3">
      <c r="A2154" s="9"/>
      <c r="B2154" s="10"/>
      <c r="C2154" s="10"/>
    </row>
    <row r="2155" spans="1:3">
      <c r="A2155" s="9"/>
      <c r="B2155" s="10"/>
      <c r="C2155" s="10"/>
    </row>
    <row r="2156" spans="1:3">
      <c r="A2156" s="9"/>
      <c r="B2156" s="10"/>
      <c r="C2156" s="10"/>
    </row>
    <row r="2157" spans="1:3">
      <c r="A2157" s="9"/>
      <c r="B2157" s="10"/>
      <c r="C2157" s="10"/>
    </row>
    <row r="2158" spans="1:3">
      <c r="A2158" s="9"/>
      <c r="B2158" s="10"/>
      <c r="C2158" s="10"/>
    </row>
    <row r="2159" spans="1:3">
      <c r="A2159" s="9"/>
      <c r="B2159" s="10"/>
      <c r="C2159" s="10"/>
    </row>
    <row r="2160" spans="1:3">
      <c r="A2160" s="9"/>
      <c r="B2160" s="10"/>
      <c r="C2160" s="10"/>
    </row>
    <row r="2161" spans="1:3">
      <c r="A2161" s="9"/>
      <c r="B2161" s="10"/>
      <c r="C2161" s="10"/>
    </row>
    <row r="2162" spans="1:3">
      <c r="A2162" s="9"/>
      <c r="B2162" s="10"/>
      <c r="C2162" s="10"/>
    </row>
    <row r="2163" spans="1:3">
      <c r="A2163" s="9"/>
      <c r="B2163" s="10"/>
      <c r="C2163" s="10"/>
    </row>
    <row r="2164" spans="1:3">
      <c r="A2164" s="9"/>
      <c r="B2164" s="10"/>
      <c r="C2164" s="10"/>
    </row>
    <row r="2165" spans="1:3">
      <c r="A2165" s="9"/>
      <c r="B2165" s="10"/>
      <c r="C2165" s="10"/>
    </row>
    <row r="2166" spans="1:3">
      <c r="A2166" s="9"/>
      <c r="B2166" s="10"/>
      <c r="C2166" s="10"/>
    </row>
    <row r="2167" spans="1:3">
      <c r="A2167" s="9"/>
      <c r="B2167" s="10"/>
      <c r="C2167" s="10"/>
    </row>
    <row r="2168" spans="1:3">
      <c r="A2168" s="9"/>
      <c r="B2168" s="10"/>
      <c r="C2168" s="10"/>
    </row>
    <row r="2169" spans="1:3">
      <c r="A2169" s="9"/>
      <c r="B2169" s="10"/>
      <c r="C2169" s="10"/>
    </row>
    <row r="2170" spans="1:3">
      <c r="A2170" s="9"/>
      <c r="B2170" s="10"/>
      <c r="C2170" s="10"/>
    </row>
    <row r="2171" spans="1:3">
      <c r="A2171" s="9"/>
      <c r="B2171" s="10"/>
      <c r="C2171" s="10"/>
    </row>
    <row r="2172" spans="1:3">
      <c r="A2172" s="9"/>
      <c r="B2172" s="10"/>
      <c r="C2172" s="10"/>
    </row>
    <row r="2173" spans="1:3">
      <c r="A2173" s="9"/>
      <c r="B2173" s="10"/>
      <c r="C2173" s="10"/>
    </row>
    <row r="2174" spans="1:3">
      <c r="A2174" s="9"/>
      <c r="B2174" s="10"/>
      <c r="C2174" s="10"/>
    </row>
    <row r="2175" spans="1:3">
      <c r="A2175" s="9"/>
      <c r="B2175" s="10"/>
      <c r="C2175" s="10"/>
    </row>
    <row r="2176" spans="1:3">
      <c r="A2176" s="9"/>
      <c r="B2176" s="10"/>
      <c r="C2176" s="10"/>
    </row>
    <row r="2177" spans="1:3">
      <c r="A2177" s="9"/>
      <c r="B2177" s="10"/>
      <c r="C2177" s="10"/>
    </row>
    <row r="2178" spans="1:3">
      <c r="A2178" s="9"/>
      <c r="B2178" s="10"/>
      <c r="C2178" s="10"/>
    </row>
    <row r="2179" spans="1:3">
      <c r="A2179" s="9"/>
      <c r="B2179" s="10"/>
      <c r="C2179" s="10"/>
    </row>
    <row r="2180" spans="1:3">
      <c r="A2180" s="9"/>
      <c r="B2180" s="10"/>
      <c r="C2180" s="10"/>
    </row>
    <row r="2181" spans="1:3">
      <c r="A2181" s="9"/>
      <c r="B2181" s="10"/>
      <c r="C2181" s="10"/>
    </row>
    <row r="2182" spans="1:3">
      <c r="A2182" s="9"/>
      <c r="B2182" s="10"/>
      <c r="C2182" s="10"/>
    </row>
    <row r="2183" spans="1:3">
      <c r="A2183" s="9"/>
      <c r="B2183" s="10"/>
      <c r="C2183" s="10"/>
    </row>
    <row r="2184" spans="1:3">
      <c r="A2184" s="9"/>
      <c r="B2184" s="10"/>
      <c r="C2184" s="10"/>
    </row>
    <row r="2185" spans="1:3">
      <c r="A2185" s="9"/>
      <c r="B2185" s="10"/>
      <c r="C2185" s="10"/>
    </row>
    <row r="2186" spans="1:3">
      <c r="A2186" s="9"/>
      <c r="B2186" s="10"/>
      <c r="C2186" s="10"/>
    </row>
    <row r="2187" spans="1:3">
      <c r="A2187" s="9"/>
      <c r="B2187" s="10"/>
      <c r="C2187" s="10"/>
    </row>
    <row r="2188" spans="1:3">
      <c r="A2188" s="9"/>
      <c r="B2188" s="10"/>
      <c r="C2188" s="10"/>
    </row>
    <row r="2189" spans="1:3">
      <c r="A2189" s="9"/>
      <c r="B2189" s="10"/>
      <c r="C2189" s="10"/>
    </row>
    <row r="2190" spans="1:3">
      <c r="A2190" s="9"/>
      <c r="B2190" s="10"/>
      <c r="C2190" s="10"/>
    </row>
    <row r="2191" spans="1:3">
      <c r="A2191" s="9"/>
      <c r="B2191" s="10"/>
      <c r="C2191" s="10"/>
    </row>
    <row r="2192" spans="1:3">
      <c r="A2192" s="9"/>
      <c r="B2192" s="10"/>
      <c r="C2192" s="10"/>
    </row>
    <row r="2193" spans="1:3">
      <c r="A2193" s="9"/>
      <c r="B2193" s="10"/>
      <c r="C2193" s="10"/>
    </row>
    <row r="2194" spans="1:3">
      <c r="A2194" s="9"/>
      <c r="B2194" s="10"/>
      <c r="C2194" s="10"/>
    </row>
    <row r="2195" spans="1:3">
      <c r="A2195" s="9"/>
      <c r="B2195" s="10"/>
      <c r="C2195" s="10"/>
    </row>
    <row r="2196" spans="1:3">
      <c r="A2196" s="9"/>
      <c r="B2196" s="10"/>
      <c r="C2196" s="10"/>
    </row>
    <row r="2197" spans="1:3">
      <c r="A2197" s="9"/>
      <c r="B2197" s="10"/>
      <c r="C2197" s="10"/>
    </row>
    <row r="2198" spans="1:3">
      <c r="A2198" s="9"/>
      <c r="B2198" s="10"/>
      <c r="C2198" s="10"/>
    </row>
    <row r="2199" spans="1:3">
      <c r="A2199" s="9"/>
      <c r="B2199" s="10"/>
      <c r="C2199" s="10"/>
    </row>
    <row r="2200" spans="1:3">
      <c r="A2200" s="9"/>
      <c r="B2200" s="10"/>
      <c r="C2200" s="10"/>
    </row>
    <row r="2201" spans="1:3">
      <c r="A2201" s="9"/>
      <c r="B2201" s="10"/>
      <c r="C2201" s="10"/>
    </row>
    <row r="2202" spans="1:3">
      <c r="A2202" s="9"/>
      <c r="B2202" s="10"/>
      <c r="C2202" s="10"/>
    </row>
    <row r="2203" spans="1:3">
      <c r="A2203" s="9"/>
      <c r="B2203" s="10"/>
      <c r="C2203" s="10"/>
    </row>
    <row r="2204" spans="1:3">
      <c r="A2204" s="9"/>
      <c r="B2204" s="10"/>
      <c r="C2204" s="10"/>
    </row>
    <row r="2205" spans="1:3">
      <c r="A2205" s="9"/>
      <c r="B2205" s="10"/>
      <c r="C2205" s="10"/>
    </row>
    <row r="2206" spans="1:3">
      <c r="A2206" s="9"/>
      <c r="B2206" s="10"/>
      <c r="C2206" s="10"/>
    </row>
    <row r="2207" spans="1:3">
      <c r="A2207" s="9"/>
      <c r="B2207" s="10"/>
      <c r="C2207" s="10"/>
    </row>
    <row r="2208" spans="1:3">
      <c r="A2208" s="9"/>
      <c r="B2208" s="10"/>
      <c r="C2208" s="10"/>
    </row>
    <row r="2209" spans="1:3">
      <c r="A2209" s="9"/>
      <c r="B2209" s="10"/>
      <c r="C2209" s="10"/>
    </row>
    <row r="2210" spans="1:3">
      <c r="A2210" s="9"/>
      <c r="B2210" s="10"/>
      <c r="C2210" s="10"/>
    </row>
    <row r="2211" spans="1:3">
      <c r="A2211" s="9"/>
      <c r="B2211" s="10"/>
      <c r="C2211" s="10"/>
    </row>
    <row r="2212" spans="1:3">
      <c r="A2212" s="9"/>
      <c r="B2212" s="10"/>
      <c r="C2212" s="10"/>
    </row>
    <row r="2213" spans="1:3">
      <c r="A2213" s="9"/>
      <c r="B2213" s="10"/>
      <c r="C2213" s="10"/>
    </row>
    <row r="2214" spans="1:3">
      <c r="A2214" s="9"/>
      <c r="B2214" s="10"/>
      <c r="C2214" s="10"/>
    </row>
    <row r="2215" spans="1:3">
      <c r="A2215" s="9"/>
      <c r="B2215" s="10"/>
      <c r="C2215" s="10"/>
    </row>
    <row r="2216" spans="1:3">
      <c r="A2216" s="9"/>
      <c r="B2216" s="10"/>
      <c r="C2216" s="10"/>
    </row>
    <row r="2217" spans="1:3">
      <c r="A2217" s="9"/>
      <c r="B2217" s="10"/>
      <c r="C2217" s="10"/>
    </row>
    <row r="2218" spans="1:3">
      <c r="A2218" s="9"/>
      <c r="B2218" s="10"/>
      <c r="C2218" s="10"/>
    </row>
    <row r="2219" spans="1:3">
      <c r="A2219" s="9"/>
      <c r="B2219" s="10"/>
      <c r="C2219" s="10"/>
    </row>
    <row r="2220" spans="1:3">
      <c r="A2220" s="9"/>
      <c r="B2220" s="10"/>
      <c r="C2220" s="10"/>
    </row>
    <row r="2221" spans="1:3">
      <c r="A2221" s="9"/>
      <c r="B2221" s="10"/>
      <c r="C2221" s="10"/>
    </row>
    <row r="2222" spans="1:3">
      <c r="A2222" s="9"/>
      <c r="B2222" s="10"/>
      <c r="C2222" s="10"/>
    </row>
    <row r="2223" spans="1:3">
      <c r="A2223" s="9"/>
      <c r="B2223" s="10"/>
      <c r="C2223" s="10"/>
    </row>
    <row r="2224" spans="1:3">
      <c r="A2224" s="9"/>
      <c r="B2224" s="10"/>
      <c r="C2224" s="10"/>
    </row>
    <row r="2225" spans="1:3">
      <c r="A2225" s="9"/>
      <c r="B2225" s="10"/>
      <c r="C2225" s="10"/>
    </row>
    <row r="2226" spans="1:3">
      <c r="A2226" s="9"/>
      <c r="B2226" s="10"/>
      <c r="C2226" s="10"/>
    </row>
    <row r="2227" spans="1:3">
      <c r="A2227" s="9"/>
      <c r="B2227" s="10"/>
      <c r="C2227" s="10"/>
    </row>
    <row r="2228" spans="1:3">
      <c r="A2228" s="9"/>
      <c r="B2228" s="10"/>
      <c r="C2228" s="10"/>
    </row>
    <row r="2229" spans="1:3">
      <c r="A2229" s="9"/>
      <c r="B2229" s="10"/>
      <c r="C2229" s="10"/>
    </row>
    <row r="2230" spans="1:3">
      <c r="A2230" s="9"/>
      <c r="B2230" s="10"/>
      <c r="C2230" s="10"/>
    </row>
    <row r="2231" spans="1:3">
      <c r="A2231" s="9"/>
      <c r="B2231" s="10"/>
      <c r="C2231" s="10"/>
    </row>
    <row r="2232" spans="1:3">
      <c r="A2232" s="9"/>
      <c r="B2232" s="10"/>
      <c r="C2232" s="10"/>
    </row>
    <row r="2233" spans="1:3">
      <c r="A2233" s="9"/>
      <c r="B2233" s="10"/>
      <c r="C2233" s="10"/>
    </row>
    <row r="2234" spans="1:3">
      <c r="A2234" s="9"/>
      <c r="B2234" s="10"/>
      <c r="C2234" s="10"/>
    </row>
    <row r="2235" spans="1:3">
      <c r="A2235" s="9"/>
      <c r="B2235" s="10"/>
      <c r="C2235" s="10"/>
    </row>
    <row r="2236" spans="1:3">
      <c r="A2236" s="9"/>
      <c r="B2236" s="10"/>
      <c r="C2236" s="10"/>
    </row>
    <row r="2237" spans="1:3">
      <c r="A2237" s="9"/>
      <c r="B2237" s="10"/>
      <c r="C2237" s="10"/>
    </row>
    <row r="2238" spans="1:3">
      <c r="A2238" s="9"/>
      <c r="B2238" s="10"/>
      <c r="C2238" s="10"/>
    </row>
    <row r="2239" spans="1:3">
      <c r="A2239" s="9"/>
      <c r="B2239" s="10"/>
      <c r="C2239" s="10"/>
    </row>
    <row r="2240" spans="1:3">
      <c r="A2240" s="9"/>
      <c r="B2240" s="10"/>
      <c r="C2240" s="10"/>
    </row>
    <row r="2241" spans="1:3">
      <c r="A2241" s="9"/>
      <c r="B2241" s="10"/>
      <c r="C2241" s="10"/>
    </row>
    <row r="2242" spans="1:3">
      <c r="A2242" s="9"/>
      <c r="B2242" s="10"/>
      <c r="C2242" s="10"/>
    </row>
    <row r="2243" spans="1:3">
      <c r="A2243" s="9"/>
      <c r="B2243" s="10"/>
      <c r="C2243" s="10"/>
    </row>
    <row r="2244" spans="1:3">
      <c r="A2244" s="9"/>
      <c r="B2244" s="10"/>
      <c r="C2244" s="10"/>
    </row>
    <row r="2245" spans="1:3">
      <c r="A2245" s="9"/>
      <c r="B2245" s="10"/>
      <c r="C2245" s="10"/>
    </row>
    <row r="2246" spans="1:3">
      <c r="A2246" s="9"/>
      <c r="B2246" s="10"/>
      <c r="C2246" s="10"/>
    </row>
    <row r="2247" spans="1:3">
      <c r="A2247" s="9"/>
      <c r="B2247" s="10"/>
      <c r="C2247" s="10"/>
    </row>
    <row r="2248" spans="1:3">
      <c r="A2248" s="9"/>
      <c r="B2248" s="10"/>
      <c r="C2248" s="10"/>
    </row>
    <row r="2249" spans="1:3">
      <c r="A2249" s="9"/>
      <c r="B2249" s="10"/>
      <c r="C2249" s="10"/>
    </row>
    <row r="2250" spans="1:3">
      <c r="A2250" s="9"/>
      <c r="B2250" s="10"/>
      <c r="C2250" s="10"/>
    </row>
    <row r="2251" spans="1:3">
      <c r="A2251" s="9"/>
      <c r="B2251" s="10"/>
      <c r="C2251" s="10"/>
    </row>
    <row r="2252" spans="1:3">
      <c r="A2252" s="9"/>
      <c r="B2252" s="10"/>
      <c r="C2252" s="10"/>
    </row>
    <row r="2253" spans="1:3">
      <c r="A2253" s="9"/>
      <c r="B2253" s="10"/>
      <c r="C2253" s="10"/>
    </row>
    <row r="2254" spans="1:3">
      <c r="A2254" s="9"/>
      <c r="B2254" s="10"/>
      <c r="C2254" s="10"/>
    </row>
    <row r="2255" spans="1:3">
      <c r="A2255" s="9"/>
      <c r="B2255" s="10"/>
      <c r="C2255" s="10"/>
    </row>
    <row r="2256" spans="1:3">
      <c r="A2256" s="9"/>
      <c r="B2256" s="10"/>
      <c r="C2256" s="10"/>
    </row>
    <row r="2257" spans="1:3">
      <c r="A2257" s="9"/>
      <c r="B2257" s="10"/>
      <c r="C2257" s="10"/>
    </row>
    <row r="2258" spans="1:3">
      <c r="A2258" s="9"/>
      <c r="B2258" s="10"/>
      <c r="C2258" s="10"/>
    </row>
    <row r="2259" spans="1:3">
      <c r="A2259" s="9"/>
      <c r="B2259" s="10"/>
      <c r="C2259" s="10"/>
    </row>
    <row r="2260" spans="1:3">
      <c r="A2260" s="9"/>
      <c r="B2260" s="10"/>
      <c r="C2260" s="10"/>
    </row>
    <row r="2261" spans="1:3">
      <c r="A2261" s="9"/>
      <c r="B2261" s="10"/>
      <c r="C2261" s="10"/>
    </row>
    <row r="2262" spans="1:3">
      <c r="A2262" s="9"/>
      <c r="B2262" s="10"/>
      <c r="C2262" s="10"/>
    </row>
    <row r="2263" spans="1:3">
      <c r="A2263" s="9"/>
      <c r="B2263" s="10"/>
      <c r="C2263" s="10"/>
    </row>
    <row r="2264" spans="1:3">
      <c r="A2264" s="9"/>
      <c r="B2264" s="10"/>
      <c r="C2264" s="10"/>
    </row>
    <row r="2265" spans="1:3">
      <c r="A2265" s="9"/>
      <c r="B2265" s="10"/>
      <c r="C2265" s="10"/>
    </row>
    <row r="2266" spans="1:3">
      <c r="A2266" s="9"/>
      <c r="B2266" s="10"/>
      <c r="C2266" s="10"/>
    </row>
    <row r="2267" spans="1:3">
      <c r="A2267" s="9"/>
      <c r="B2267" s="10"/>
      <c r="C2267" s="10"/>
    </row>
    <row r="2268" spans="1:3">
      <c r="A2268" s="9"/>
      <c r="B2268" s="10"/>
      <c r="C2268" s="10"/>
    </row>
    <row r="2269" spans="1:3">
      <c r="A2269" s="9"/>
      <c r="B2269" s="10"/>
      <c r="C2269" s="10"/>
    </row>
    <row r="2270" spans="1:3">
      <c r="A2270" s="9"/>
      <c r="B2270" s="10"/>
      <c r="C2270" s="10"/>
    </row>
    <row r="2271" spans="1:3">
      <c r="A2271" s="9"/>
      <c r="B2271" s="10"/>
      <c r="C2271" s="10"/>
    </row>
    <row r="2272" spans="1:3">
      <c r="A2272" s="9"/>
      <c r="B2272" s="10"/>
      <c r="C2272" s="10"/>
    </row>
    <row r="2273" spans="1:3">
      <c r="A2273" s="9"/>
      <c r="B2273" s="10"/>
      <c r="C2273" s="10"/>
    </row>
    <row r="2274" spans="1:3">
      <c r="A2274" s="9"/>
      <c r="B2274" s="10"/>
      <c r="C2274" s="10"/>
    </row>
    <row r="2275" spans="1:3">
      <c r="A2275" s="9"/>
      <c r="B2275" s="10"/>
      <c r="C2275" s="10"/>
    </row>
    <row r="2276" spans="1:3">
      <c r="A2276" s="9"/>
      <c r="B2276" s="10"/>
      <c r="C2276" s="10"/>
    </row>
    <row r="2277" spans="1:3">
      <c r="A2277" s="9"/>
      <c r="B2277" s="10"/>
      <c r="C2277" s="10"/>
    </row>
    <row r="2278" spans="1:3">
      <c r="A2278" s="9"/>
      <c r="B2278" s="10"/>
      <c r="C2278" s="10"/>
    </row>
    <row r="2279" spans="1:3">
      <c r="A2279" s="9"/>
      <c r="B2279" s="10"/>
      <c r="C2279" s="10"/>
    </row>
    <row r="2280" spans="1:3">
      <c r="A2280" s="9"/>
      <c r="B2280" s="10"/>
      <c r="C2280" s="10"/>
    </row>
    <row r="2281" spans="1:3">
      <c r="A2281" s="9"/>
      <c r="B2281" s="10"/>
      <c r="C2281" s="10"/>
    </row>
    <row r="2282" spans="1:3">
      <c r="A2282" s="9"/>
      <c r="B2282" s="10"/>
      <c r="C2282" s="10"/>
    </row>
    <row r="2283" spans="1:3">
      <c r="A2283" s="9"/>
      <c r="B2283" s="10"/>
      <c r="C2283" s="10"/>
    </row>
    <row r="2284" spans="1:3">
      <c r="A2284" s="9"/>
      <c r="B2284" s="10"/>
      <c r="C2284" s="10"/>
    </row>
    <row r="2285" spans="1:3">
      <c r="A2285" s="9"/>
      <c r="B2285" s="10"/>
      <c r="C2285" s="10"/>
    </row>
    <row r="2286" spans="1:3">
      <c r="A2286" s="9"/>
      <c r="B2286" s="10"/>
      <c r="C2286" s="10"/>
    </row>
    <row r="2287" spans="1:3">
      <c r="A2287" s="9"/>
      <c r="B2287" s="10"/>
      <c r="C2287" s="10"/>
    </row>
    <row r="2288" spans="1:3">
      <c r="A2288" s="9"/>
      <c r="B2288" s="10"/>
      <c r="C2288" s="10"/>
    </row>
    <row r="2289" spans="1:3">
      <c r="A2289" s="9"/>
      <c r="B2289" s="10"/>
      <c r="C2289" s="10"/>
    </row>
    <row r="2290" spans="1:3">
      <c r="A2290" s="9"/>
      <c r="B2290" s="10"/>
      <c r="C2290" s="10"/>
    </row>
    <row r="2291" spans="1:3">
      <c r="A2291" s="9"/>
      <c r="B2291" s="10"/>
      <c r="C2291" s="10"/>
    </row>
    <row r="2292" spans="1:3">
      <c r="A2292" s="9"/>
      <c r="B2292" s="10"/>
      <c r="C2292" s="10"/>
    </row>
    <row r="2293" spans="1:3">
      <c r="A2293" s="9"/>
      <c r="B2293" s="10"/>
      <c r="C2293" s="10"/>
    </row>
    <row r="2294" spans="1:3">
      <c r="A2294" s="9"/>
      <c r="B2294" s="10"/>
      <c r="C2294" s="10"/>
    </row>
    <row r="2295" spans="1:3">
      <c r="A2295" s="9"/>
      <c r="B2295" s="10"/>
      <c r="C2295" s="10"/>
    </row>
    <row r="2296" spans="1:3">
      <c r="A2296" s="9"/>
      <c r="B2296" s="10"/>
      <c r="C2296" s="10"/>
    </row>
    <row r="2297" spans="1:3">
      <c r="A2297" s="9"/>
      <c r="B2297" s="10"/>
      <c r="C2297" s="10"/>
    </row>
    <row r="2298" spans="1:3">
      <c r="A2298" s="9"/>
      <c r="B2298" s="10"/>
      <c r="C2298" s="10"/>
    </row>
    <row r="2299" spans="1:3">
      <c r="A2299" s="9"/>
      <c r="B2299" s="10"/>
      <c r="C2299" s="10"/>
    </row>
    <row r="2300" spans="1:3">
      <c r="A2300" s="9"/>
      <c r="B2300" s="10"/>
      <c r="C2300" s="10"/>
    </row>
    <row r="2301" spans="1:3">
      <c r="A2301" s="9"/>
      <c r="B2301" s="10"/>
      <c r="C2301" s="10"/>
    </row>
    <row r="2302" spans="1:3">
      <c r="A2302" s="9"/>
      <c r="B2302" s="10"/>
      <c r="C2302" s="10"/>
    </row>
    <row r="2303" spans="1:3">
      <c r="A2303" s="9"/>
      <c r="B2303" s="10"/>
      <c r="C2303" s="10"/>
    </row>
    <row r="2304" spans="1:3">
      <c r="A2304" s="9"/>
      <c r="B2304" s="10"/>
      <c r="C2304" s="10"/>
    </row>
    <row r="2305" spans="1:3">
      <c r="A2305" s="9"/>
      <c r="B2305" s="10"/>
      <c r="C2305" s="10"/>
    </row>
    <row r="2306" spans="1:3">
      <c r="A2306" s="9"/>
      <c r="B2306" s="10"/>
      <c r="C2306" s="10"/>
    </row>
    <row r="2307" spans="1:3">
      <c r="A2307" s="9"/>
      <c r="B2307" s="10"/>
      <c r="C2307" s="10"/>
    </row>
    <row r="2308" spans="1:3">
      <c r="A2308" s="9"/>
      <c r="B2308" s="10"/>
      <c r="C2308" s="10"/>
    </row>
    <row r="2309" spans="1:3">
      <c r="A2309" s="9"/>
      <c r="B2309" s="10"/>
      <c r="C2309" s="10"/>
    </row>
    <row r="2310" spans="1:3">
      <c r="A2310" s="9"/>
      <c r="B2310" s="10"/>
      <c r="C2310" s="10"/>
    </row>
    <row r="2311" spans="1:3">
      <c r="A2311" s="9"/>
      <c r="B2311" s="10"/>
      <c r="C2311" s="10"/>
    </row>
    <row r="2312" spans="1:3">
      <c r="A2312" s="9"/>
      <c r="B2312" s="10"/>
      <c r="C2312" s="10"/>
    </row>
    <row r="2313" spans="1:3">
      <c r="A2313" s="9"/>
      <c r="B2313" s="10"/>
      <c r="C2313" s="10"/>
    </row>
    <row r="2314" spans="1:3">
      <c r="A2314" s="9"/>
      <c r="B2314" s="10"/>
      <c r="C2314" s="10"/>
    </row>
    <row r="2315" spans="1:3">
      <c r="A2315" s="9"/>
      <c r="B2315" s="10"/>
      <c r="C2315" s="10"/>
    </row>
    <row r="2316" spans="1:3">
      <c r="A2316" s="9"/>
      <c r="B2316" s="10"/>
      <c r="C2316" s="10"/>
    </row>
    <row r="2317" spans="1:3">
      <c r="A2317" s="9"/>
      <c r="B2317" s="10"/>
      <c r="C2317" s="10"/>
    </row>
    <row r="2318" spans="1:3">
      <c r="A2318" s="9"/>
      <c r="B2318" s="10"/>
      <c r="C2318" s="10"/>
    </row>
    <row r="2319" spans="1:3">
      <c r="A2319" s="9"/>
      <c r="B2319" s="10"/>
      <c r="C2319" s="10"/>
    </row>
    <row r="2320" spans="1:3">
      <c r="A2320" s="9"/>
      <c r="B2320" s="10"/>
      <c r="C2320" s="10"/>
    </row>
    <row r="2321" spans="1:3">
      <c r="A2321" s="9"/>
      <c r="B2321" s="10"/>
      <c r="C2321" s="10"/>
    </row>
    <row r="2322" spans="1:3">
      <c r="A2322" s="9"/>
      <c r="B2322" s="10"/>
      <c r="C2322" s="10"/>
    </row>
    <row r="2323" spans="1:3">
      <c r="A2323" s="9"/>
      <c r="B2323" s="10"/>
      <c r="C2323" s="10"/>
    </row>
    <row r="2324" spans="1:3">
      <c r="A2324" s="9"/>
      <c r="B2324" s="10"/>
      <c r="C2324" s="10"/>
    </row>
    <row r="2325" spans="1:3">
      <c r="A2325" s="9"/>
      <c r="B2325" s="10"/>
      <c r="C2325" s="10"/>
    </row>
    <row r="2326" spans="1:3">
      <c r="A2326" s="9"/>
      <c r="B2326" s="10"/>
      <c r="C2326" s="10"/>
    </row>
    <row r="2327" spans="1:3">
      <c r="A2327" s="9"/>
      <c r="B2327" s="10"/>
      <c r="C2327" s="10"/>
    </row>
    <row r="2328" spans="1:3">
      <c r="A2328" s="9"/>
      <c r="B2328" s="10"/>
      <c r="C2328" s="10"/>
    </row>
    <row r="2329" spans="1:3">
      <c r="A2329" s="9"/>
      <c r="B2329" s="10"/>
      <c r="C2329" s="10"/>
    </row>
    <row r="2330" spans="1:3">
      <c r="A2330" s="9"/>
      <c r="B2330" s="10"/>
      <c r="C2330" s="10"/>
    </row>
    <row r="2331" spans="1:3">
      <c r="A2331" s="9"/>
      <c r="B2331" s="10"/>
      <c r="C2331" s="10"/>
    </row>
    <row r="2332" spans="1:3">
      <c r="A2332" s="9"/>
      <c r="B2332" s="10"/>
      <c r="C2332" s="10"/>
    </row>
    <row r="2333" spans="1:3">
      <c r="A2333" s="9"/>
      <c r="B2333" s="10"/>
      <c r="C2333" s="10"/>
    </row>
    <row r="2334" spans="1:3">
      <c r="A2334" s="9"/>
      <c r="B2334" s="10"/>
      <c r="C2334" s="10"/>
    </row>
    <row r="2335" spans="1:3">
      <c r="A2335" s="9"/>
      <c r="B2335" s="10"/>
      <c r="C2335" s="10"/>
    </row>
    <row r="2336" spans="1:3">
      <c r="A2336" s="9"/>
      <c r="B2336" s="10"/>
      <c r="C2336" s="10"/>
    </row>
    <row r="2337" spans="1:3">
      <c r="A2337" s="9"/>
      <c r="B2337" s="10"/>
      <c r="C2337" s="10"/>
    </row>
    <row r="2338" spans="1:3">
      <c r="A2338" s="9"/>
      <c r="B2338" s="10"/>
      <c r="C2338" s="10"/>
    </row>
    <row r="2339" spans="1:3">
      <c r="A2339" s="9"/>
      <c r="B2339" s="10"/>
      <c r="C2339" s="10"/>
    </row>
    <row r="2340" spans="1:3">
      <c r="A2340" s="9"/>
      <c r="B2340" s="10"/>
      <c r="C2340" s="10"/>
    </row>
    <row r="2341" spans="1:3">
      <c r="A2341" s="9"/>
      <c r="B2341" s="10"/>
      <c r="C2341" s="10"/>
    </row>
    <row r="2342" spans="1:3">
      <c r="A2342" s="9"/>
      <c r="B2342" s="10"/>
      <c r="C2342" s="10"/>
    </row>
    <row r="2343" spans="1:3">
      <c r="A2343" s="9"/>
      <c r="B2343" s="10"/>
      <c r="C2343" s="10"/>
    </row>
    <row r="2344" spans="1:3">
      <c r="A2344" s="9"/>
      <c r="B2344" s="10"/>
      <c r="C2344" s="10"/>
    </row>
    <row r="2345" spans="1:3">
      <c r="A2345" s="9"/>
      <c r="B2345" s="10"/>
      <c r="C2345" s="10"/>
    </row>
    <row r="2346" spans="1:3">
      <c r="A2346" s="9"/>
      <c r="B2346" s="10"/>
      <c r="C2346" s="10"/>
    </row>
    <row r="2347" spans="1:3">
      <c r="A2347" s="9"/>
      <c r="B2347" s="10"/>
      <c r="C2347" s="10"/>
    </row>
    <row r="2348" spans="1:3">
      <c r="A2348" s="9"/>
      <c r="B2348" s="10"/>
      <c r="C2348" s="10"/>
    </row>
    <row r="2349" spans="1:3">
      <c r="A2349" s="9"/>
      <c r="B2349" s="10"/>
      <c r="C2349" s="10"/>
    </row>
    <row r="2350" spans="1:3">
      <c r="A2350" s="9"/>
      <c r="B2350" s="10"/>
      <c r="C2350" s="10"/>
    </row>
    <row r="2351" spans="1:3">
      <c r="A2351" s="9"/>
      <c r="B2351" s="10"/>
      <c r="C2351" s="10"/>
    </row>
    <row r="2352" spans="1:3">
      <c r="A2352" s="9"/>
      <c r="B2352" s="10"/>
      <c r="C2352" s="10"/>
    </row>
    <row r="2353" spans="1:3">
      <c r="A2353" s="9"/>
      <c r="B2353" s="10"/>
      <c r="C2353" s="10"/>
    </row>
    <row r="2354" spans="1:3">
      <c r="A2354" s="9"/>
      <c r="B2354" s="10"/>
      <c r="C2354" s="10"/>
    </row>
    <row r="2355" spans="1:3">
      <c r="A2355" s="9"/>
      <c r="B2355" s="10"/>
      <c r="C2355" s="10"/>
    </row>
    <row r="2356" spans="1:3">
      <c r="A2356" s="9"/>
      <c r="B2356" s="10"/>
      <c r="C2356" s="10"/>
    </row>
    <row r="2357" spans="1:3">
      <c r="A2357" s="9"/>
      <c r="B2357" s="10"/>
      <c r="C2357" s="10"/>
    </row>
    <row r="2358" spans="1:3">
      <c r="A2358" s="9"/>
      <c r="B2358" s="10"/>
      <c r="C2358" s="10"/>
    </row>
    <row r="2359" spans="1:3">
      <c r="A2359" s="9"/>
      <c r="B2359" s="10"/>
      <c r="C2359" s="10"/>
    </row>
    <row r="2360" spans="1:3">
      <c r="A2360" s="9"/>
      <c r="B2360" s="10"/>
      <c r="C2360" s="10"/>
    </row>
    <row r="2361" spans="1:3">
      <c r="A2361" s="9"/>
      <c r="B2361" s="10"/>
      <c r="C2361" s="10"/>
    </row>
    <row r="2362" spans="1:3">
      <c r="A2362" s="9"/>
      <c r="B2362" s="10"/>
      <c r="C2362" s="10"/>
    </row>
    <row r="2363" spans="1:3">
      <c r="A2363" s="9"/>
      <c r="B2363" s="10"/>
      <c r="C2363" s="10"/>
    </row>
    <row r="2364" spans="1:3">
      <c r="A2364" s="9"/>
      <c r="B2364" s="10"/>
      <c r="C2364" s="10"/>
    </row>
    <row r="2365" spans="1:3">
      <c r="A2365" s="9"/>
      <c r="B2365" s="10"/>
      <c r="C2365" s="10"/>
    </row>
    <row r="2366" spans="1:3">
      <c r="A2366" s="9"/>
      <c r="B2366" s="10"/>
      <c r="C2366" s="10"/>
    </row>
    <row r="2367" spans="1:3">
      <c r="A2367" s="9"/>
      <c r="B2367" s="10"/>
      <c r="C2367" s="10"/>
    </row>
    <row r="2368" spans="1:3">
      <c r="A2368" s="9"/>
      <c r="B2368" s="10"/>
      <c r="C2368" s="10"/>
    </row>
    <row r="2369" spans="1:3">
      <c r="A2369" s="9"/>
      <c r="B2369" s="10"/>
      <c r="C2369" s="10"/>
    </row>
    <row r="2370" spans="1:3">
      <c r="A2370" s="9"/>
      <c r="B2370" s="10"/>
      <c r="C2370" s="10"/>
    </row>
    <row r="2371" spans="1:3">
      <c r="A2371" s="9"/>
      <c r="B2371" s="10"/>
      <c r="C2371" s="10"/>
    </row>
    <row r="2372" spans="1:3">
      <c r="A2372" s="9"/>
      <c r="B2372" s="10"/>
      <c r="C2372" s="10"/>
    </row>
    <row r="2373" spans="1:3">
      <c r="A2373" s="9"/>
      <c r="B2373" s="10"/>
      <c r="C2373" s="10"/>
    </row>
    <row r="2374" spans="1:3">
      <c r="A2374" s="9"/>
      <c r="B2374" s="10"/>
      <c r="C2374" s="10"/>
    </row>
    <row r="2375" spans="1:3">
      <c r="A2375" s="9"/>
      <c r="B2375" s="10"/>
      <c r="C2375" s="10"/>
    </row>
    <row r="2376" spans="1:3">
      <c r="A2376" s="9"/>
      <c r="B2376" s="10"/>
      <c r="C2376" s="10"/>
    </row>
    <row r="2377" spans="1:3">
      <c r="A2377" s="9"/>
      <c r="B2377" s="10"/>
      <c r="C2377" s="10"/>
    </row>
    <row r="2378" spans="1:3">
      <c r="A2378" s="9"/>
      <c r="B2378" s="10"/>
      <c r="C2378" s="10"/>
    </row>
    <row r="2379" spans="1:3">
      <c r="A2379" s="9"/>
      <c r="B2379" s="10"/>
      <c r="C2379" s="10"/>
    </row>
    <row r="2380" spans="1:3">
      <c r="A2380" s="9"/>
      <c r="B2380" s="10"/>
      <c r="C2380" s="10"/>
    </row>
    <row r="2381" spans="1:3">
      <c r="A2381" s="9"/>
      <c r="B2381" s="10"/>
      <c r="C2381" s="10"/>
    </row>
    <row r="2382" spans="1:3">
      <c r="A2382" s="9"/>
      <c r="B2382" s="10"/>
      <c r="C2382" s="10"/>
    </row>
    <row r="2383" spans="1:3">
      <c r="A2383" s="9"/>
      <c r="B2383" s="10"/>
      <c r="C2383" s="10"/>
    </row>
    <row r="2384" spans="1:3">
      <c r="A2384" s="9"/>
      <c r="B2384" s="10"/>
      <c r="C2384" s="10"/>
    </row>
    <row r="2385" spans="1:3">
      <c r="A2385" s="9"/>
      <c r="B2385" s="10"/>
      <c r="C2385" s="10"/>
    </row>
    <row r="2386" spans="1:3">
      <c r="A2386" s="9"/>
      <c r="B2386" s="10"/>
      <c r="C2386" s="10"/>
    </row>
    <row r="2387" spans="1:3">
      <c r="A2387" s="9"/>
      <c r="B2387" s="10"/>
      <c r="C2387" s="10"/>
    </row>
    <row r="2388" spans="1:3">
      <c r="A2388" s="9"/>
      <c r="B2388" s="10"/>
      <c r="C2388" s="10"/>
    </row>
    <row r="2389" spans="1:3">
      <c r="A2389" s="9"/>
      <c r="B2389" s="10"/>
      <c r="C2389" s="10"/>
    </row>
    <row r="2390" spans="1:3">
      <c r="A2390" s="9"/>
      <c r="B2390" s="10"/>
      <c r="C2390" s="10"/>
    </row>
    <row r="2391" spans="1:3">
      <c r="A2391" s="9"/>
      <c r="B2391" s="10"/>
      <c r="C2391" s="10"/>
    </row>
    <row r="2392" spans="1:3">
      <c r="A2392" s="9"/>
      <c r="B2392" s="10"/>
      <c r="C2392" s="10"/>
    </row>
    <row r="2393" spans="1:3">
      <c r="A2393" s="9"/>
      <c r="B2393" s="10"/>
      <c r="C2393" s="10"/>
    </row>
    <row r="2394" spans="1:3">
      <c r="A2394" s="9"/>
      <c r="B2394" s="10"/>
      <c r="C2394" s="10"/>
    </row>
    <row r="2395" spans="1:3">
      <c r="A2395" s="9"/>
      <c r="B2395" s="10"/>
      <c r="C2395" s="10"/>
    </row>
    <row r="2396" spans="1:3">
      <c r="A2396" s="9"/>
      <c r="B2396" s="10"/>
      <c r="C2396" s="10"/>
    </row>
    <row r="2397" spans="1:3">
      <c r="A2397" s="9"/>
      <c r="B2397" s="10"/>
      <c r="C2397" s="10"/>
    </row>
    <row r="2398" spans="1:3">
      <c r="A2398" s="9"/>
      <c r="B2398" s="10"/>
      <c r="C2398" s="10"/>
    </row>
    <row r="2399" spans="1:3">
      <c r="A2399" s="9"/>
      <c r="B2399" s="10"/>
      <c r="C2399" s="10"/>
    </row>
    <row r="2400" spans="1:3">
      <c r="A2400" s="9"/>
      <c r="B2400" s="10"/>
      <c r="C2400" s="10"/>
    </row>
    <row r="2401" spans="1:3">
      <c r="A2401" s="9"/>
      <c r="B2401" s="10"/>
      <c r="C2401" s="10"/>
    </row>
    <row r="2402" spans="1:3">
      <c r="A2402" s="9"/>
      <c r="B2402" s="10"/>
      <c r="C2402" s="10"/>
    </row>
    <row r="2403" spans="1:3">
      <c r="A2403" s="9"/>
      <c r="B2403" s="10"/>
      <c r="C2403" s="10"/>
    </row>
    <row r="2404" spans="1:3">
      <c r="A2404" s="9"/>
      <c r="B2404" s="10"/>
      <c r="C2404" s="10"/>
    </row>
    <row r="2405" spans="1:3">
      <c r="A2405" s="9"/>
      <c r="B2405" s="10"/>
      <c r="C2405" s="10"/>
    </row>
    <row r="2406" spans="1:3">
      <c r="A2406" s="9"/>
      <c r="B2406" s="10"/>
      <c r="C2406" s="10"/>
    </row>
    <row r="2407" spans="1:3">
      <c r="A2407" s="9"/>
      <c r="B2407" s="10"/>
      <c r="C2407" s="10"/>
    </row>
    <row r="2408" spans="1:3">
      <c r="A2408" s="9"/>
      <c r="B2408" s="10"/>
      <c r="C2408" s="10"/>
    </row>
    <row r="2409" spans="1:3">
      <c r="A2409" s="9"/>
      <c r="B2409" s="10"/>
      <c r="C2409" s="10"/>
    </row>
    <row r="2410" spans="1:3">
      <c r="A2410" s="9"/>
      <c r="B2410" s="10"/>
      <c r="C2410" s="10"/>
    </row>
    <row r="2411" spans="1:3">
      <c r="A2411" s="9"/>
      <c r="B2411" s="10"/>
      <c r="C2411" s="10"/>
    </row>
    <row r="2412" spans="1:3">
      <c r="A2412" s="9"/>
      <c r="B2412" s="10"/>
      <c r="C2412" s="10"/>
    </row>
    <row r="2413" spans="1:3">
      <c r="A2413" s="9"/>
      <c r="B2413" s="10"/>
      <c r="C2413" s="10"/>
    </row>
    <row r="2414" spans="1:3">
      <c r="A2414" s="9"/>
      <c r="B2414" s="10"/>
      <c r="C2414" s="10"/>
    </row>
    <row r="2415" spans="1:3">
      <c r="A2415" s="9"/>
      <c r="B2415" s="10"/>
      <c r="C2415" s="10"/>
    </row>
    <row r="2416" spans="1:3">
      <c r="A2416" s="9"/>
      <c r="B2416" s="10"/>
      <c r="C2416" s="10"/>
    </row>
    <row r="2417" spans="1:3">
      <c r="A2417" s="9"/>
      <c r="B2417" s="10"/>
      <c r="C2417" s="10"/>
    </row>
    <row r="2418" spans="1:3">
      <c r="A2418" s="9"/>
      <c r="B2418" s="10"/>
      <c r="C2418" s="10"/>
    </row>
    <row r="2419" spans="1:3">
      <c r="A2419" s="9"/>
      <c r="B2419" s="10"/>
      <c r="C2419" s="10"/>
    </row>
    <row r="2420" spans="1:3">
      <c r="A2420" s="9"/>
      <c r="B2420" s="10"/>
      <c r="C2420" s="10"/>
    </row>
    <row r="2421" spans="1:3">
      <c r="A2421" s="9"/>
      <c r="B2421" s="10"/>
      <c r="C2421" s="10"/>
    </row>
    <row r="2422" spans="1:3">
      <c r="A2422" s="9"/>
      <c r="B2422" s="10"/>
      <c r="C2422" s="10"/>
    </row>
    <row r="2423" spans="1:3">
      <c r="A2423" s="9"/>
      <c r="B2423" s="10"/>
      <c r="C2423" s="10"/>
    </row>
    <row r="2424" spans="1:3">
      <c r="A2424" s="9"/>
      <c r="B2424" s="10"/>
      <c r="C2424" s="10"/>
    </row>
    <row r="2425" spans="1:3">
      <c r="A2425" s="9"/>
      <c r="B2425" s="10"/>
      <c r="C2425" s="10"/>
    </row>
    <row r="2426" spans="1:3">
      <c r="A2426" s="9"/>
      <c r="B2426" s="10"/>
      <c r="C2426" s="10"/>
    </row>
    <row r="2427" spans="1:3">
      <c r="A2427" s="9"/>
      <c r="B2427" s="10"/>
      <c r="C2427" s="10"/>
    </row>
    <row r="2428" spans="1:3">
      <c r="A2428" s="9"/>
      <c r="B2428" s="10"/>
      <c r="C2428" s="10"/>
    </row>
    <row r="2429" spans="1:3">
      <c r="A2429" s="9"/>
      <c r="B2429" s="10"/>
      <c r="C2429" s="10"/>
    </row>
    <row r="2430" spans="1:3">
      <c r="A2430" s="9"/>
      <c r="B2430" s="10"/>
      <c r="C2430" s="10"/>
    </row>
    <row r="2431" spans="1:3">
      <c r="A2431" s="9"/>
      <c r="B2431" s="10"/>
      <c r="C2431" s="10"/>
    </row>
    <row r="2432" spans="1:3">
      <c r="A2432" s="9"/>
      <c r="B2432" s="10"/>
      <c r="C2432" s="10"/>
    </row>
    <row r="2433" spans="1:3">
      <c r="A2433" s="9"/>
      <c r="B2433" s="10"/>
      <c r="C2433" s="10"/>
    </row>
    <row r="2434" spans="1:3">
      <c r="A2434" s="9"/>
      <c r="B2434" s="10"/>
      <c r="C2434" s="10"/>
    </row>
    <row r="2435" spans="1:3">
      <c r="A2435" s="9"/>
      <c r="B2435" s="10"/>
      <c r="C2435" s="10"/>
    </row>
    <row r="2436" spans="1:3">
      <c r="A2436" s="9"/>
      <c r="B2436" s="10"/>
      <c r="C2436" s="10"/>
    </row>
    <row r="2437" spans="1:3">
      <c r="A2437" s="9"/>
      <c r="B2437" s="10"/>
      <c r="C2437" s="10"/>
    </row>
    <row r="2438" spans="1:3">
      <c r="A2438" s="9"/>
      <c r="B2438" s="10"/>
      <c r="C2438" s="10"/>
    </row>
    <row r="2439" spans="1:3">
      <c r="A2439" s="9"/>
      <c r="B2439" s="10"/>
      <c r="C2439" s="10"/>
    </row>
    <row r="2440" spans="1:3">
      <c r="A2440" s="9"/>
      <c r="B2440" s="10"/>
      <c r="C2440" s="10"/>
    </row>
    <row r="2441" spans="1:3">
      <c r="A2441" s="9"/>
      <c r="B2441" s="10"/>
      <c r="C2441" s="10"/>
    </row>
    <row r="2442" spans="1:3">
      <c r="A2442" s="9"/>
      <c r="B2442" s="10"/>
      <c r="C2442" s="10"/>
    </row>
    <row r="2443" spans="1:3">
      <c r="A2443" s="9"/>
      <c r="B2443" s="10"/>
      <c r="C2443" s="10"/>
    </row>
    <row r="2444" spans="1:3">
      <c r="A2444" s="9"/>
      <c r="B2444" s="10"/>
      <c r="C2444" s="10"/>
    </row>
    <row r="2445" spans="1:3">
      <c r="A2445" s="9"/>
      <c r="B2445" s="10"/>
      <c r="C2445" s="10"/>
    </row>
    <row r="2446" spans="1:3">
      <c r="A2446" s="9"/>
      <c r="B2446" s="10"/>
      <c r="C2446" s="10"/>
    </row>
    <row r="2447" spans="1:3">
      <c r="A2447" s="9"/>
      <c r="B2447" s="10"/>
      <c r="C2447" s="10"/>
    </row>
    <row r="2448" spans="1:3">
      <c r="A2448" s="9"/>
      <c r="B2448" s="10"/>
      <c r="C2448" s="10"/>
    </row>
    <row r="2449" spans="1:3">
      <c r="A2449" s="9"/>
      <c r="B2449" s="10"/>
      <c r="C2449" s="10"/>
    </row>
    <row r="2450" spans="1:3">
      <c r="A2450" s="9"/>
      <c r="B2450" s="10"/>
      <c r="C2450" s="10"/>
    </row>
    <row r="2451" spans="1:3">
      <c r="A2451" s="9"/>
      <c r="B2451" s="10"/>
      <c r="C2451" s="10"/>
    </row>
    <row r="2452" spans="1:3">
      <c r="A2452" s="9"/>
      <c r="B2452" s="10"/>
      <c r="C2452" s="10"/>
    </row>
    <row r="2453" spans="1:3">
      <c r="A2453" s="9"/>
      <c r="B2453" s="10"/>
      <c r="C2453" s="10"/>
    </row>
    <row r="2454" spans="1:3">
      <c r="A2454" s="9"/>
      <c r="B2454" s="10"/>
      <c r="C2454" s="10"/>
    </row>
    <row r="2455" spans="1:3">
      <c r="A2455" s="9"/>
      <c r="B2455" s="10"/>
      <c r="C2455" s="10"/>
    </row>
    <row r="2456" spans="1:3">
      <c r="A2456" s="9"/>
      <c r="B2456" s="10"/>
      <c r="C2456" s="10"/>
    </row>
    <row r="2457" spans="1:3">
      <c r="A2457" s="9"/>
      <c r="B2457" s="10"/>
      <c r="C2457" s="10"/>
    </row>
    <row r="2458" spans="1:3">
      <c r="A2458" s="9"/>
      <c r="B2458" s="10"/>
      <c r="C2458" s="10"/>
    </row>
    <row r="2459" spans="1:3">
      <c r="A2459" s="9"/>
      <c r="B2459" s="10"/>
      <c r="C2459" s="10"/>
    </row>
    <row r="2460" spans="1:3">
      <c r="A2460" s="9"/>
      <c r="B2460" s="10"/>
      <c r="C2460" s="10"/>
    </row>
    <row r="2461" spans="1:3">
      <c r="A2461" s="9"/>
      <c r="B2461" s="10"/>
      <c r="C2461" s="10"/>
    </row>
    <row r="2462" spans="1:3">
      <c r="A2462" s="9"/>
      <c r="B2462" s="10"/>
      <c r="C2462" s="10"/>
    </row>
    <row r="2463" spans="1:3">
      <c r="A2463" s="9"/>
      <c r="B2463" s="10"/>
      <c r="C2463" s="10"/>
    </row>
    <row r="2464" spans="1:3">
      <c r="A2464" s="9"/>
      <c r="B2464" s="10"/>
      <c r="C2464" s="10"/>
    </row>
    <row r="2465" spans="1:3">
      <c r="A2465" s="9"/>
      <c r="B2465" s="10"/>
      <c r="C2465" s="10"/>
    </row>
    <row r="2466" spans="1:3">
      <c r="A2466" s="9"/>
      <c r="B2466" s="10"/>
      <c r="C2466" s="10"/>
    </row>
    <row r="2467" spans="1:3">
      <c r="A2467" s="9"/>
      <c r="B2467" s="10"/>
      <c r="C2467" s="10"/>
    </row>
    <row r="2468" spans="1:3">
      <c r="A2468" s="9"/>
      <c r="B2468" s="10"/>
      <c r="C2468" s="10"/>
    </row>
    <row r="2469" spans="1:3">
      <c r="A2469" s="9"/>
      <c r="B2469" s="10"/>
      <c r="C2469" s="10"/>
    </row>
    <row r="2470" spans="1:3">
      <c r="A2470" s="9"/>
      <c r="B2470" s="10"/>
      <c r="C2470" s="10"/>
    </row>
    <row r="2471" spans="1:3">
      <c r="A2471" s="9"/>
      <c r="B2471" s="10"/>
      <c r="C2471" s="10"/>
    </row>
    <row r="2472" spans="1:3">
      <c r="A2472" s="9"/>
      <c r="B2472" s="10"/>
      <c r="C2472" s="10"/>
    </row>
    <row r="2473" spans="1:3">
      <c r="A2473" s="9"/>
      <c r="B2473" s="10"/>
      <c r="C2473" s="10"/>
    </row>
    <row r="2474" spans="1:3">
      <c r="A2474" s="9"/>
      <c r="B2474" s="10"/>
      <c r="C2474" s="10"/>
    </row>
    <row r="2475" spans="1:3">
      <c r="A2475" s="9"/>
      <c r="B2475" s="10"/>
      <c r="C2475" s="10"/>
    </row>
    <row r="2476" spans="1:3">
      <c r="A2476" s="9"/>
      <c r="B2476" s="10"/>
      <c r="C2476" s="10"/>
    </row>
    <row r="2477" spans="1:3">
      <c r="A2477" s="9"/>
      <c r="B2477" s="10"/>
      <c r="C2477" s="10"/>
    </row>
    <row r="2478" spans="1:3">
      <c r="A2478" s="9"/>
      <c r="B2478" s="10"/>
      <c r="C2478" s="10"/>
    </row>
    <row r="2479" spans="1:3">
      <c r="A2479" s="9"/>
      <c r="B2479" s="10"/>
      <c r="C2479" s="10"/>
    </row>
    <row r="2480" spans="1:3">
      <c r="A2480" s="9"/>
      <c r="B2480" s="10"/>
      <c r="C2480" s="10"/>
    </row>
    <row r="2481" spans="1:3">
      <c r="A2481" s="9"/>
      <c r="B2481" s="10"/>
      <c r="C2481" s="10"/>
    </row>
    <row r="2482" spans="1:3">
      <c r="A2482" s="9"/>
      <c r="B2482" s="10"/>
      <c r="C2482" s="10"/>
    </row>
    <row r="2483" spans="1:3">
      <c r="A2483" s="9"/>
      <c r="B2483" s="10"/>
      <c r="C2483" s="10"/>
    </row>
    <row r="2484" spans="1:3">
      <c r="A2484" s="9"/>
      <c r="B2484" s="10"/>
      <c r="C2484" s="10"/>
    </row>
    <row r="2485" spans="1:3">
      <c r="A2485" s="9"/>
      <c r="B2485" s="10"/>
      <c r="C2485" s="10"/>
    </row>
    <row r="2486" spans="1:3">
      <c r="A2486" s="9"/>
      <c r="B2486" s="10"/>
      <c r="C2486" s="10"/>
    </row>
    <row r="2487" spans="1:3">
      <c r="A2487" s="9"/>
      <c r="B2487" s="10"/>
      <c r="C2487" s="10"/>
    </row>
    <row r="2488" spans="1:3">
      <c r="A2488" s="9"/>
      <c r="B2488" s="10"/>
      <c r="C2488" s="10"/>
    </row>
    <row r="2489" spans="1:3">
      <c r="A2489" s="9"/>
      <c r="B2489" s="10"/>
      <c r="C2489" s="10"/>
    </row>
    <row r="2490" spans="1:3">
      <c r="A2490" s="9"/>
      <c r="B2490" s="10"/>
      <c r="C2490" s="10"/>
    </row>
    <row r="2491" spans="1:3">
      <c r="A2491" s="9"/>
      <c r="B2491" s="10"/>
      <c r="C2491" s="10"/>
    </row>
    <row r="2492" spans="1:3">
      <c r="A2492" s="9"/>
      <c r="B2492" s="10"/>
      <c r="C2492" s="10"/>
    </row>
    <row r="2493" spans="1:3">
      <c r="A2493" s="9"/>
      <c r="B2493" s="10"/>
      <c r="C2493" s="10"/>
    </row>
    <row r="2494" spans="1:3">
      <c r="A2494" s="9"/>
      <c r="B2494" s="10"/>
      <c r="C2494" s="10"/>
    </row>
    <row r="2495" spans="1:3">
      <c r="A2495" s="9"/>
      <c r="B2495" s="10"/>
      <c r="C2495" s="10"/>
    </row>
    <row r="2496" spans="1:3">
      <c r="A2496" s="9"/>
      <c r="B2496" s="10"/>
      <c r="C2496" s="10"/>
    </row>
    <row r="2497" spans="1:3">
      <c r="A2497" s="9"/>
      <c r="B2497" s="10"/>
      <c r="C2497" s="10"/>
    </row>
    <row r="2498" spans="1:3">
      <c r="A2498" s="9"/>
      <c r="B2498" s="10"/>
      <c r="C2498" s="10"/>
    </row>
    <row r="2499" spans="1:3">
      <c r="A2499" s="9"/>
      <c r="B2499" s="10"/>
      <c r="C2499" s="10"/>
    </row>
    <row r="2500" spans="1:3">
      <c r="A2500" s="9"/>
      <c r="B2500" s="10"/>
      <c r="C2500" s="10"/>
    </row>
    <row r="2501" spans="1:3">
      <c r="A2501" s="9"/>
      <c r="B2501" s="10"/>
      <c r="C2501" s="10"/>
    </row>
    <row r="2502" spans="1:3">
      <c r="A2502" s="9"/>
      <c r="B2502" s="10"/>
      <c r="C2502" s="10"/>
    </row>
    <row r="2503" spans="1:3">
      <c r="A2503" s="9"/>
      <c r="B2503" s="10"/>
      <c r="C2503" s="10"/>
    </row>
    <row r="2504" spans="1:3">
      <c r="A2504" s="9"/>
      <c r="B2504" s="10"/>
      <c r="C2504" s="10"/>
    </row>
    <row r="2505" spans="1:3">
      <c r="A2505" s="9"/>
      <c r="B2505" s="10"/>
      <c r="C2505" s="10"/>
    </row>
    <row r="2506" spans="1:3">
      <c r="A2506" s="9"/>
      <c r="B2506" s="10"/>
      <c r="C2506" s="10"/>
    </row>
    <row r="2507" spans="1:3">
      <c r="A2507" s="9"/>
      <c r="B2507" s="10"/>
      <c r="C2507" s="10"/>
    </row>
    <row r="2508" spans="1:3">
      <c r="A2508" s="9"/>
      <c r="B2508" s="10"/>
      <c r="C2508" s="10"/>
    </row>
    <row r="2509" spans="1:3">
      <c r="A2509" s="9"/>
      <c r="B2509" s="10"/>
      <c r="C2509" s="10"/>
    </row>
    <row r="2510" spans="1:3">
      <c r="A2510" s="9"/>
      <c r="B2510" s="10"/>
      <c r="C2510" s="10"/>
    </row>
    <row r="2511" spans="1:3">
      <c r="A2511" s="9"/>
      <c r="B2511" s="10"/>
      <c r="C2511" s="10"/>
    </row>
    <row r="2512" spans="1:3">
      <c r="A2512" s="9"/>
      <c r="B2512" s="10"/>
      <c r="C2512" s="10"/>
    </row>
    <row r="2513" spans="1:3">
      <c r="A2513" s="9"/>
      <c r="B2513" s="10"/>
      <c r="C2513" s="10"/>
    </row>
    <row r="2514" spans="1:3">
      <c r="A2514" s="9"/>
      <c r="B2514" s="10"/>
      <c r="C2514" s="10"/>
    </row>
    <row r="2515" spans="1:3">
      <c r="A2515" s="9"/>
      <c r="B2515" s="10"/>
      <c r="C2515" s="10"/>
    </row>
    <row r="2516" spans="1:3">
      <c r="A2516" s="9"/>
      <c r="B2516" s="10"/>
      <c r="C2516" s="10"/>
    </row>
    <row r="2517" spans="1:3">
      <c r="A2517" s="9"/>
      <c r="B2517" s="10"/>
      <c r="C2517" s="10"/>
    </row>
    <row r="2518" spans="1:3">
      <c r="A2518" s="9"/>
      <c r="B2518" s="10"/>
      <c r="C2518" s="10"/>
    </row>
    <row r="2519" spans="1:3">
      <c r="A2519" s="9"/>
      <c r="B2519" s="10"/>
      <c r="C2519" s="10"/>
    </row>
    <row r="2520" spans="1:3">
      <c r="A2520" s="9"/>
      <c r="B2520" s="10"/>
      <c r="C2520" s="10"/>
    </row>
    <row r="2521" spans="1:3">
      <c r="A2521" s="9"/>
      <c r="B2521" s="10"/>
      <c r="C2521" s="10"/>
    </row>
    <row r="2522" spans="1:3">
      <c r="A2522" s="9"/>
      <c r="B2522" s="10"/>
      <c r="C2522" s="10"/>
    </row>
    <row r="2523" spans="1:3">
      <c r="A2523" s="9"/>
      <c r="B2523" s="10"/>
      <c r="C2523" s="10"/>
    </row>
    <row r="2524" spans="1:3">
      <c r="A2524" s="9"/>
      <c r="B2524" s="10"/>
      <c r="C2524" s="10"/>
    </row>
    <row r="2525" spans="1:3">
      <c r="A2525" s="9"/>
      <c r="B2525" s="10"/>
      <c r="C2525" s="10"/>
    </row>
    <row r="2526" spans="1:3">
      <c r="A2526" s="9"/>
      <c r="B2526" s="10"/>
      <c r="C2526" s="10"/>
    </row>
    <row r="2527" spans="1:3">
      <c r="A2527" s="9"/>
      <c r="B2527" s="10"/>
      <c r="C2527" s="10"/>
    </row>
    <row r="2528" spans="1:3">
      <c r="A2528" s="9"/>
      <c r="B2528" s="10"/>
      <c r="C2528" s="10"/>
    </row>
    <row r="2529" spans="1:3">
      <c r="A2529" s="9"/>
      <c r="B2529" s="10"/>
      <c r="C2529" s="10"/>
    </row>
    <row r="2530" spans="1:3">
      <c r="A2530" s="9"/>
      <c r="B2530" s="10"/>
      <c r="C2530" s="10"/>
    </row>
    <row r="2531" spans="1:3">
      <c r="A2531" s="9"/>
      <c r="B2531" s="10"/>
      <c r="C2531" s="10"/>
    </row>
    <row r="2532" spans="1:3">
      <c r="A2532" s="9"/>
      <c r="B2532" s="10"/>
      <c r="C2532" s="10"/>
    </row>
    <row r="2533" spans="1:3">
      <c r="A2533" s="9"/>
      <c r="B2533" s="10"/>
      <c r="C2533" s="10"/>
    </row>
    <row r="2534" spans="1:3">
      <c r="A2534" s="9"/>
      <c r="B2534" s="10"/>
      <c r="C2534" s="10"/>
    </row>
    <row r="2535" spans="1:3">
      <c r="A2535" s="9"/>
      <c r="B2535" s="10"/>
      <c r="C2535" s="10"/>
    </row>
    <row r="2536" spans="1:3">
      <c r="A2536" s="9"/>
      <c r="B2536" s="10"/>
      <c r="C2536" s="10"/>
    </row>
    <row r="2537" spans="1:3">
      <c r="A2537" s="9"/>
      <c r="B2537" s="10"/>
      <c r="C2537" s="10"/>
    </row>
    <row r="2538" spans="1:3">
      <c r="A2538" s="9"/>
      <c r="B2538" s="10"/>
      <c r="C2538" s="10"/>
    </row>
    <row r="2539" spans="1:3">
      <c r="A2539" s="9"/>
      <c r="B2539" s="10"/>
      <c r="C2539" s="10"/>
    </row>
    <row r="2540" spans="1:3">
      <c r="A2540" s="9"/>
      <c r="B2540" s="10"/>
      <c r="C2540" s="10"/>
    </row>
    <row r="2541" spans="1:3">
      <c r="A2541" s="9"/>
      <c r="B2541" s="10"/>
      <c r="C2541" s="10"/>
    </row>
    <row r="2542" spans="1:3">
      <c r="A2542" s="9"/>
      <c r="B2542" s="10"/>
      <c r="C2542" s="10"/>
    </row>
    <row r="2543" spans="1:3">
      <c r="A2543" s="9"/>
      <c r="B2543" s="10"/>
      <c r="C2543" s="10"/>
    </row>
    <row r="2544" spans="1:3">
      <c r="A2544" s="9"/>
      <c r="B2544" s="10"/>
      <c r="C2544" s="10"/>
    </row>
    <row r="2545" spans="1:3">
      <c r="A2545" s="9"/>
      <c r="B2545" s="10"/>
      <c r="C2545" s="10"/>
    </row>
    <row r="2546" spans="1:3">
      <c r="A2546" s="9"/>
      <c r="B2546" s="10"/>
      <c r="C2546" s="10"/>
    </row>
    <row r="2547" spans="1:3">
      <c r="A2547" s="9"/>
      <c r="B2547" s="10"/>
      <c r="C2547" s="10"/>
    </row>
    <row r="2548" spans="1:3">
      <c r="A2548" s="9"/>
      <c r="B2548" s="10"/>
      <c r="C2548" s="10"/>
    </row>
    <row r="2549" spans="1:3">
      <c r="A2549" s="9"/>
      <c r="B2549" s="10"/>
      <c r="C2549" s="10"/>
    </row>
    <row r="2550" spans="1:3">
      <c r="A2550" s="9"/>
      <c r="B2550" s="10"/>
      <c r="C2550" s="10"/>
    </row>
    <row r="2551" spans="1:3">
      <c r="A2551" s="9"/>
      <c r="B2551" s="10"/>
      <c r="C2551" s="10"/>
    </row>
    <row r="2552" spans="1:3">
      <c r="A2552" s="9"/>
      <c r="B2552" s="10"/>
      <c r="C2552" s="10"/>
    </row>
    <row r="2553" spans="1:3">
      <c r="A2553" s="9"/>
      <c r="B2553" s="10"/>
      <c r="C2553" s="10"/>
    </row>
    <row r="2554" spans="1:3">
      <c r="A2554" s="9"/>
      <c r="B2554" s="10"/>
      <c r="C2554" s="10"/>
    </row>
    <row r="2555" spans="1:3">
      <c r="A2555" s="9"/>
      <c r="B2555" s="10"/>
      <c r="C2555" s="10"/>
    </row>
    <row r="2556" spans="1:3">
      <c r="A2556" s="9"/>
      <c r="B2556" s="10"/>
      <c r="C2556" s="10"/>
    </row>
    <row r="2557" spans="1:3">
      <c r="A2557" s="9"/>
      <c r="B2557" s="10"/>
      <c r="C2557" s="10"/>
    </row>
    <row r="2558" spans="1:3">
      <c r="A2558" s="9"/>
      <c r="B2558" s="10"/>
      <c r="C2558" s="10"/>
    </row>
    <row r="2559" spans="1:3">
      <c r="A2559" s="9"/>
      <c r="B2559" s="10"/>
      <c r="C2559" s="10"/>
    </row>
    <row r="2560" spans="1:3">
      <c r="A2560" s="9"/>
      <c r="B2560" s="10"/>
      <c r="C2560" s="10"/>
    </row>
    <row r="2561" spans="1:3">
      <c r="A2561" s="9"/>
      <c r="B2561" s="10"/>
      <c r="C2561" s="10"/>
    </row>
    <row r="2562" spans="1:3">
      <c r="A2562" s="9"/>
      <c r="B2562" s="10"/>
      <c r="C2562" s="10"/>
    </row>
    <row r="2563" spans="1:3">
      <c r="A2563" s="9"/>
      <c r="B2563" s="10"/>
      <c r="C2563" s="10"/>
    </row>
    <row r="2564" spans="1:3">
      <c r="A2564" s="9"/>
      <c r="B2564" s="10"/>
      <c r="C2564" s="10"/>
    </row>
    <row r="2565" spans="1:3">
      <c r="A2565" s="9"/>
      <c r="B2565" s="10"/>
      <c r="C2565" s="10"/>
    </row>
    <row r="2566" spans="1:3">
      <c r="A2566" s="9"/>
      <c r="B2566" s="10"/>
      <c r="C2566" s="10"/>
    </row>
    <row r="2567" spans="1:3">
      <c r="A2567" s="9"/>
      <c r="B2567" s="10"/>
      <c r="C2567" s="10"/>
    </row>
    <row r="2568" spans="1:3">
      <c r="A2568" s="9"/>
      <c r="B2568" s="10"/>
      <c r="C2568" s="10"/>
    </row>
    <row r="2569" spans="1:3">
      <c r="A2569" s="9"/>
      <c r="B2569" s="10"/>
      <c r="C2569" s="10"/>
    </row>
    <row r="2570" spans="1:3">
      <c r="A2570" s="9"/>
      <c r="B2570" s="10"/>
      <c r="C2570" s="10"/>
    </row>
    <row r="2571" spans="1:3">
      <c r="A2571" s="9"/>
      <c r="B2571" s="10"/>
      <c r="C2571" s="10"/>
    </row>
    <row r="2572" spans="1:3">
      <c r="A2572" s="9"/>
      <c r="B2572" s="10"/>
      <c r="C2572" s="10"/>
    </row>
    <row r="2573" spans="1:3">
      <c r="A2573" s="9"/>
      <c r="B2573" s="10"/>
      <c r="C2573" s="10"/>
    </row>
    <row r="2574" spans="1:3">
      <c r="A2574" s="9"/>
      <c r="B2574" s="10"/>
      <c r="C2574" s="10"/>
    </row>
    <row r="2575" spans="1:3">
      <c r="A2575" s="9"/>
      <c r="B2575" s="10"/>
      <c r="C2575" s="10"/>
    </row>
    <row r="2576" spans="1:3">
      <c r="A2576" s="9"/>
      <c r="B2576" s="10"/>
      <c r="C2576" s="10"/>
    </row>
    <row r="2577" spans="1:3">
      <c r="A2577" s="9"/>
      <c r="B2577" s="10"/>
      <c r="C2577" s="10"/>
    </row>
    <row r="2578" spans="1:3">
      <c r="A2578" s="9"/>
      <c r="B2578" s="10"/>
      <c r="C2578" s="10"/>
    </row>
    <row r="2579" spans="1:3">
      <c r="A2579" s="9"/>
      <c r="B2579" s="10"/>
      <c r="C2579" s="10"/>
    </row>
    <row r="2580" spans="1:3">
      <c r="A2580" s="9"/>
      <c r="B2580" s="10"/>
      <c r="C2580" s="10"/>
    </row>
    <row r="2581" spans="1:3">
      <c r="A2581" s="9"/>
      <c r="B2581" s="10"/>
      <c r="C2581" s="10"/>
    </row>
    <row r="2582" spans="1:3">
      <c r="A2582" s="9"/>
      <c r="B2582" s="10"/>
      <c r="C2582" s="10"/>
    </row>
    <row r="2583" spans="1:3">
      <c r="A2583" s="9"/>
      <c r="B2583" s="10"/>
      <c r="C2583" s="10"/>
    </row>
    <row r="2584" spans="1:3">
      <c r="A2584" s="9"/>
      <c r="B2584" s="10"/>
      <c r="C2584" s="10"/>
    </row>
    <row r="2585" spans="1:3">
      <c r="A2585" s="9"/>
      <c r="B2585" s="10"/>
      <c r="C2585" s="10"/>
    </row>
    <row r="2586" spans="1:3">
      <c r="A2586" s="9"/>
      <c r="B2586" s="10"/>
      <c r="C2586" s="10"/>
    </row>
    <row r="2587" spans="1:3">
      <c r="A2587" s="9"/>
      <c r="B2587" s="10"/>
      <c r="C2587" s="10"/>
    </row>
    <row r="2588" spans="1:3">
      <c r="A2588" s="9"/>
      <c r="B2588" s="10"/>
      <c r="C2588" s="10"/>
    </row>
    <row r="2589" spans="1:3">
      <c r="A2589" s="9"/>
      <c r="B2589" s="10"/>
      <c r="C2589" s="10"/>
    </row>
    <row r="2590" spans="1:3">
      <c r="A2590" s="9"/>
      <c r="B2590" s="10"/>
      <c r="C2590" s="10"/>
    </row>
    <row r="2591" spans="1:3">
      <c r="A2591" s="9"/>
      <c r="B2591" s="10"/>
      <c r="C2591" s="10"/>
    </row>
    <row r="2592" spans="1:3">
      <c r="A2592" s="9"/>
      <c r="B2592" s="10"/>
      <c r="C2592" s="10"/>
    </row>
    <row r="2593" spans="1:3">
      <c r="A2593" s="9"/>
      <c r="B2593" s="10"/>
      <c r="C2593" s="10"/>
    </row>
    <row r="2594" spans="1:3">
      <c r="A2594" s="9"/>
      <c r="B2594" s="10"/>
      <c r="C2594" s="10"/>
    </row>
    <row r="2595" spans="1:3">
      <c r="A2595" s="9"/>
      <c r="B2595" s="10"/>
      <c r="C2595" s="10"/>
    </row>
    <row r="2596" spans="1:3">
      <c r="A2596" s="9"/>
      <c r="B2596" s="10"/>
      <c r="C2596" s="10"/>
    </row>
    <row r="2597" spans="1:3">
      <c r="A2597" s="9"/>
      <c r="B2597" s="10"/>
      <c r="C2597" s="10"/>
    </row>
    <row r="2598" spans="1:3">
      <c r="A2598" s="9"/>
      <c r="B2598" s="10"/>
      <c r="C2598" s="10"/>
    </row>
    <row r="2599" spans="1:3">
      <c r="A2599" s="9"/>
      <c r="B2599" s="10"/>
      <c r="C2599" s="10"/>
    </row>
    <row r="2600" spans="1:3">
      <c r="A2600" s="9"/>
      <c r="B2600" s="10"/>
      <c r="C2600" s="10"/>
    </row>
    <row r="2601" spans="1:3">
      <c r="A2601" s="9"/>
      <c r="B2601" s="10"/>
      <c r="C2601" s="10"/>
    </row>
    <row r="2602" spans="1:3">
      <c r="A2602" s="9"/>
      <c r="B2602" s="10"/>
      <c r="C2602" s="10"/>
    </row>
    <row r="2603" spans="1:3">
      <c r="A2603" s="9"/>
      <c r="B2603" s="10"/>
      <c r="C2603" s="10"/>
    </row>
    <row r="2604" spans="1:3">
      <c r="A2604" s="9"/>
      <c r="B2604" s="10"/>
      <c r="C2604" s="10"/>
    </row>
    <row r="2605" spans="1:3">
      <c r="A2605" s="9"/>
      <c r="B2605" s="10"/>
      <c r="C2605" s="10"/>
    </row>
    <row r="2606" spans="1:3">
      <c r="A2606" s="9"/>
      <c r="B2606" s="10"/>
      <c r="C2606" s="10"/>
    </row>
    <row r="2607" spans="1:3">
      <c r="A2607" s="9"/>
      <c r="B2607" s="10"/>
      <c r="C2607" s="10"/>
    </row>
    <row r="2608" spans="1:3">
      <c r="A2608" s="9"/>
      <c r="B2608" s="10"/>
      <c r="C2608" s="10"/>
    </row>
    <row r="2609" spans="1:3">
      <c r="A2609" s="9"/>
      <c r="B2609" s="10"/>
      <c r="C2609" s="10"/>
    </row>
    <row r="2610" spans="1:3">
      <c r="A2610" s="9"/>
      <c r="B2610" s="10"/>
      <c r="C2610" s="10"/>
    </row>
    <row r="2611" spans="1:3">
      <c r="A2611" s="9"/>
      <c r="B2611" s="10"/>
      <c r="C2611" s="10"/>
    </row>
    <row r="2612" spans="1:3">
      <c r="A2612" s="9"/>
      <c r="B2612" s="10"/>
      <c r="C2612" s="10"/>
    </row>
    <row r="2613" spans="1:3">
      <c r="A2613" s="9"/>
      <c r="B2613" s="10"/>
      <c r="C2613" s="10"/>
    </row>
    <row r="2614" spans="1:3">
      <c r="A2614" s="9"/>
      <c r="B2614" s="10"/>
      <c r="C2614" s="10"/>
    </row>
    <row r="2615" spans="1:3">
      <c r="A2615" s="9"/>
      <c r="B2615" s="10"/>
      <c r="C2615" s="10"/>
    </row>
    <row r="2616" spans="1:3">
      <c r="A2616" s="9"/>
      <c r="B2616" s="10"/>
      <c r="C2616" s="10"/>
    </row>
    <row r="2617" spans="1:3">
      <c r="A2617" s="9"/>
      <c r="B2617" s="10"/>
      <c r="C2617" s="10"/>
    </row>
    <row r="2618" spans="1:3">
      <c r="A2618" s="9"/>
      <c r="B2618" s="10"/>
      <c r="C2618" s="10"/>
    </row>
    <row r="2619" spans="1:3">
      <c r="A2619" s="9"/>
      <c r="B2619" s="10"/>
      <c r="C2619" s="10"/>
    </row>
    <row r="2620" spans="1:3">
      <c r="A2620" s="9"/>
      <c r="B2620" s="10"/>
      <c r="C2620" s="10"/>
    </row>
    <row r="2621" spans="1:3">
      <c r="A2621" s="9"/>
      <c r="B2621" s="10"/>
      <c r="C2621" s="10"/>
    </row>
    <row r="2622" spans="1:3">
      <c r="A2622" s="9"/>
      <c r="B2622" s="10"/>
      <c r="C2622" s="10"/>
    </row>
    <row r="2623" spans="1:3">
      <c r="A2623" s="9"/>
      <c r="B2623" s="10"/>
      <c r="C2623" s="10"/>
    </row>
    <row r="2624" spans="1:3">
      <c r="A2624" s="9"/>
      <c r="B2624" s="10"/>
      <c r="C2624" s="10"/>
    </row>
    <row r="2625" spans="1:3">
      <c r="A2625" s="9"/>
      <c r="B2625" s="10"/>
      <c r="C2625" s="10"/>
    </row>
    <row r="2626" spans="1:3">
      <c r="A2626" s="9"/>
      <c r="B2626" s="10"/>
      <c r="C2626" s="10"/>
    </row>
    <row r="2627" spans="1:3">
      <c r="A2627" s="9"/>
      <c r="B2627" s="10"/>
      <c r="C2627" s="10"/>
    </row>
    <row r="2628" spans="1:3">
      <c r="A2628" s="9"/>
      <c r="B2628" s="10"/>
      <c r="C2628" s="10"/>
    </row>
    <row r="2629" spans="1:3">
      <c r="A2629" s="9"/>
      <c r="B2629" s="10"/>
      <c r="C2629" s="10"/>
    </row>
    <row r="2630" spans="1:3">
      <c r="A2630" s="9"/>
      <c r="B2630" s="10"/>
      <c r="C2630" s="10"/>
    </row>
    <row r="2631" spans="1:3">
      <c r="A2631" s="9"/>
      <c r="B2631" s="10"/>
      <c r="C2631" s="10"/>
    </row>
    <row r="2632" spans="1:3">
      <c r="A2632" s="9"/>
      <c r="B2632" s="10"/>
      <c r="C2632" s="10"/>
    </row>
    <row r="2633" spans="1:3">
      <c r="A2633" s="9"/>
      <c r="B2633" s="10"/>
      <c r="C2633" s="10"/>
    </row>
    <row r="2634" spans="1:3">
      <c r="A2634" s="9"/>
      <c r="B2634" s="10"/>
      <c r="C2634" s="10"/>
    </row>
    <row r="2635" spans="1:3">
      <c r="A2635" s="9"/>
      <c r="B2635" s="10"/>
      <c r="C2635" s="10"/>
    </row>
    <row r="2636" spans="1:3">
      <c r="A2636" s="9"/>
      <c r="B2636" s="10"/>
      <c r="C2636" s="10"/>
    </row>
    <row r="2637" spans="1:3">
      <c r="A2637" s="9"/>
      <c r="B2637" s="10"/>
      <c r="C2637" s="10"/>
    </row>
    <row r="2638" spans="1:3">
      <c r="A2638" s="9"/>
      <c r="B2638" s="10"/>
      <c r="C2638" s="10"/>
    </row>
    <row r="2639" spans="1:3">
      <c r="A2639" s="9"/>
      <c r="B2639" s="10"/>
      <c r="C2639" s="10"/>
    </row>
    <row r="2640" spans="1:3">
      <c r="A2640" s="9"/>
      <c r="B2640" s="10"/>
      <c r="C2640" s="10"/>
    </row>
    <row r="2641" spans="1:3">
      <c r="A2641" s="9"/>
      <c r="B2641" s="10"/>
      <c r="C2641" s="10"/>
    </row>
    <row r="2642" spans="1:3">
      <c r="A2642" s="9"/>
      <c r="B2642" s="10"/>
      <c r="C2642" s="10"/>
    </row>
    <row r="2643" spans="1:3">
      <c r="A2643" s="9"/>
      <c r="B2643" s="10"/>
      <c r="C2643" s="10"/>
    </row>
    <row r="2644" spans="1:3">
      <c r="A2644" s="9"/>
      <c r="B2644" s="10"/>
      <c r="C2644" s="10"/>
    </row>
    <row r="2645" spans="1:3">
      <c r="A2645" s="9"/>
      <c r="B2645" s="10"/>
      <c r="C2645" s="10"/>
    </row>
    <row r="2646" spans="1:3">
      <c r="A2646" s="9"/>
      <c r="B2646" s="10"/>
      <c r="C2646" s="10"/>
    </row>
    <row r="2647" spans="1:3">
      <c r="A2647" s="9"/>
      <c r="B2647" s="10"/>
      <c r="C2647" s="10"/>
    </row>
    <row r="2648" spans="1:3">
      <c r="A2648" s="9"/>
      <c r="B2648" s="10"/>
      <c r="C2648" s="10"/>
    </row>
    <row r="2649" spans="1:3">
      <c r="A2649" s="9"/>
      <c r="B2649" s="10"/>
      <c r="C2649" s="10"/>
    </row>
    <row r="2650" spans="1:3">
      <c r="A2650" s="9"/>
      <c r="B2650" s="10"/>
      <c r="C2650" s="10"/>
    </row>
    <row r="2651" spans="1:3">
      <c r="A2651" s="9"/>
      <c r="B2651" s="10"/>
      <c r="C2651" s="10"/>
    </row>
    <row r="2652" spans="1:3">
      <c r="A2652" s="9"/>
      <c r="B2652" s="10"/>
      <c r="C2652" s="10"/>
    </row>
    <row r="2653" spans="1:3">
      <c r="A2653" s="9"/>
      <c r="B2653" s="10"/>
      <c r="C2653" s="10"/>
    </row>
    <row r="2654" spans="1:3">
      <c r="A2654" s="9"/>
      <c r="B2654" s="10"/>
      <c r="C2654" s="10"/>
    </row>
    <row r="2655" spans="1:3">
      <c r="A2655" s="9"/>
      <c r="B2655" s="10"/>
      <c r="C2655" s="10"/>
    </row>
    <row r="2656" spans="1:3">
      <c r="A2656" s="9"/>
      <c r="B2656" s="10"/>
      <c r="C2656" s="10"/>
    </row>
    <row r="2657" spans="1:3">
      <c r="A2657" s="9"/>
      <c r="B2657" s="10"/>
      <c r="C2657" s="10"/>
    </row>
    <row r="2658" spans="1:3">
      <c r="A2658" s="9"/>
      <c r="B2658" s="10"/>
      <c r="C2658" s="10"/>
    </row>
    <row r="2659" spans="1:3">
      <c r="A2659" s="9"/>
      <c r="B2659" s="10"/>
      <c r="C2659" s="10"/>
    </row>
    <row r="2660" spans="1:3">
      <c r="A2660" s="9"/>
      <c r="B2660" s="10"/>
      <c r="C2660" s="10"/>
    </row>
    <row r="2661" spans="1:3">
      <c r="A2661" s="9"/>
      <c r="B2661" s="10"/>
      <c r="C2661" s="10"/>
    </row>
    <row r="2662" spans="1:3">
      <c r="A2662" s="9"/>
      <c r="B2662" s="10"/>
      <c r="C2662" s="10"/>
    </row>
    <row r="2663" spans="1:3">
      <c r="A2663" s="9"/>
      <c r="B2663" s="10"/>
      <c r="C2663" s="10"/>
    </row>
    <row r="2664" spans="1:3">
      <c r="A2664" s="9"/>
      <c r="B2664" s="10"/>
      <c r="C2664" s="10"/>
    </row>
    <row r="2665" spans="1:3">
      <c r="A2665" s="9"/>
      <c r="B2665" s="10"/>
      <c r="C2665" s="10"/>
    </row>
    <row r="2666" spans="1:3">
      <c r="A2666" s="9"/>
      <c r="B2666" s="10"/>
      <c r="C2666" s="10"/>
    </row>
    <row r="2667" spans="1:3">
      <c r="A2667" s="9"/>
      <c r="B2667" s="10"/>
      <c r="C2667" s="10"/>
    </row>
    <row r="2668" spans="1:3">
      <c r="A2668" s="9"/>
      <c r="B2668" s="10"/>
      <c r="C2668" s="10"/>
    </row>
    <row r="2669" spans="1:3">
      <c r="A2669" s="9"/>
      <c r="B2669" s="10"/>
      <c r="C2669" s="10"/>
    </row>
    <row r="2670" spans="1:3">
      <c r="A2670" s="9"/>
      <c r="B2670" s="10"/>
      <c r="C2670" s="10"/>
    </row>
    <row r="2671" spans="1:3">
      <c r="A2671" s="9"/>
      <c r="B2671" s="10"/>
      <c r="C2671" s="10"/>
    </row>
    <row r="2672" spans="1:3">
      <c r="A2672" s="9"/>
      <c r="B2672" s="10"/>
      <c r="C2672" s="10"/>
    </row>
    <row r="2673" spans="1:3">
      <c r="A2673" s="9"/>
      <c r="B2673" s="10"/>
      <c r="C2673" s="10"/>
    </row>
    <row r="2674" spans="1:3">
      <c r="A2674" s="9"/>
      <c r="B2674" s="10"/>
      <c r="C2674" s="10"/>
    </row>
    <row r="2675" spans="1:3">
      <c r="A2675" s="9"/>
      <c r="B2675" s="10"/>
      <c r="C2675" s="10"/>
    </row>
    <row r="2676" spans="1:3">
      <c r="A2676" s="9"/>
      <c r="B2676" s="10"/>
      <c r="C2676" s="10"/>
    </row>
    <row r="2677" spans="1:3">
      <c r="A2677" s="9"/>
      <c r="B2677" s="10"/>
      <c r="C2677" s="10"/>
    </row>
    <row r="2678" spans="1:3">
      <c r="A2678" s="9"/>
      <c r="B2678" s="10"/>
      <c r="C2678" s="10"/>
    </row>
    <row r="2679" spans="1:3">
      <c r="A2679" s="9"/>
      <c r="B2679" s="10"/>
      <c r="C2679" s="10"/>
    </row>
    <row r="2680" spans="1:3">
      <c r="A2680" s="9"/>
      <c r="B2680" s="10"/>
      <c r="C2680" s="10"/>
    </row>
    <row r="2681" spans="1:3">
      <c r="A2681" s="9"/>
      <c r="B2681" s="10"/>
      <c r="C2681" s="10"/>
    </row>
    <row r="2682" spans="1:3">
      <c r="A2682" s="9"/>
      <c r="B2682" s="10"/>
      <c r="C2682" s="10"/>
    </row>
    <row r="2683" spans="1:3">
      <c r="A2683" s="9"/>
      <c r="B2683" s="10"/>
      <c r="C2683" s="10"/>
    </row>
    <row r="2684" spans="1:3">
      <c r="A2684" s="9"/>
      <c r="B2684" s="10"/>
      <c r="C2684" s="10"/>
    </row>
    <row r="2685" spans="1:3">
      <c r="A2685" s="9"/>
      <c r="B2685" s="10"/>
      <c r="C2685" s="10"/>
    </row>
    <row r="2686" spans="1:3">
      <c r="A2686" s="9"/>
      <c r="B2686" s="10"/>
      <c r="C2686" s="10"/>
    </row>
    <row r="2687" spans="1:3">
      <c r="A2687" s="9"/>
      <c r="B2687" s="10"/>
      <c r="C2687" s="10"/>
    </row>
    <row r="2688" spans="1:3">
      <c r="A2688" s="9"/>
      <c r="B2688" s="10"/>
      <c r="C2688" s="10"/>
    </row>
    <row r="2689" spans="1:3">
      <c r="A2689" s="9"/>
      <c r="B2689" s="10"/>
      <c r="C2689" s="10"/>
    </row>
    <row r="2690" spans="1:3">
      <c r="A2690" s="9"/>
      <c r="B2690" s="10"/>
      <c r="C2690" s="10"/>
    </row>
    <row r="2691" spans="1:3">
      <c r="A2691" s="9"/>
      <c r="B2691" s="10"/>
      <c r="C2691" s="10"/>
    </row>
    <row r="2692" spans="1:3">
      <c r="A2692" s="9"/>
      <c r="B2692" s="10"/>
      <c r="C2692" s="10"/>
    </row>
    <row r="2693" spans="1:3">
      <c r="A2693" s="9"/>
      <c r="B2693" s="10"/>
      <c r="C2693" s="10"/>
    </row>
    <row r="2694" spans="1:3">
      <c r="A2694" s="9"/>
      <c r="B2694" s="10"/>
      <c r="C2694" s="10"/>
    </row>
    <row r="2695" spans="1:3">
      <c r="A2695" s="9"/>
      <c r="B2695" s="10"/>
      <c r="C2695" s="10"/>
    </row>
    <row r="2696" spans="1:3">
      <c r="A2696" s="9"/>
      <c r="B2696" s="10"/>
      <c r="C2696" s="10"/>
    </row>
    <row r="2697" spans="1:3">
      <c r="A2697" s="9"/>
      <c r="B2697" s="10"/>
      <c r="C2697" s="10"/>
    </row>
    <row r="2698" spans="1:3">
      <c r="A2698" s="9"/>
      <c r="B2698" s="10"/>
      <c r="C2698" s="10"/>
    </row>
    <row r="2699" spans="1:3">
      <c r="A2699" s="9"/>
      <c r="B2699" s="10"/>
      <c r="C2699" s="10"/>
    </row>
    <row r="2700" spans="1:3">
      <c r="A2700" s="9"/>
      <c r="B2700" s="10"/>
      <c r="C2700" s="10"/>
    </row>
    <row r="2701" spans="1:3">
      <c r="A2701" s="9"/>
      <c r="B2701" s="10"/>
      <c r="C2701" s="10"/>
    </row>
    <row r="2702" spans="1:3">
      <c r="A2702" s="9"/>
      <c r="B2702" s="10"/>
      <c r="C2702" s="10"/>
    </row>
    <row r="2703" spans="1:3">
      <c r="A2703" s="9"/>
      <c r="B2703" s="10"/>
      <c r="C2703" s="10"/>
    </row>
    <row r="2704" spans="1:3">
      <c r="A2704" s="9"/>
      <c r="B2704" s="10"/>
      <c r="C2704" s="10"/>
    </row>
    <row r="2705" spans="1:3">
      <c r="A2705" s="9"/>
      <c r="B2705" s="10"/>
      <c r="C2705" s="10"/>
    </row>
    <row r="2706" spans="1:3">
      <c r="A2706" s="9"/>
      <c r="B2706" s="10"/>
      <c r="C2706" s="10"/>
    </row>
    <row r="2707" spans="1:3">
      <c r="A2707" s="9"/>
      <c r="B2707" s="10"/>
      <c r="C2707" s="10"/>
    </row>
    <row r="2708" spans="1:3">
      <c r="A2708" s="9"/>
      <c r="B2708" s="10"/>
      <c r="C2708" s="10"/>
    </row>
    <row r="2709" spans="1:3">
      <c r="A2709" s="9"/>
      <c r="B2709" s="10"/>
      <c r="C2709" s="10"/>
    </row>
    <row r="2710" spans="1:3">
      <c r="A2710" s="9"/>
      <c r="B2710" s="10"/>
      <c r="C2710" s="10"/>
    </row>
    <row r="2711" spans="1:3">
      <c r="A2711" s="9"/>
      <c r="B2711" s="10"/>
      <c r="C2711" s="10"/>
    </row>
    <row r="2712" spans="1:3">
      <c r="A2712" s="9"/>
      <c r="B2712" s="10"/>
      <c r="C2712" s="10"/>
    </row>
    <row r="2713" spans="1:3">
      <c r="A2713" s="9"/>
      <c r="B2713" s="10"/>
      <c r="C2713" s="10"/>
    </row>
    <row r="2714" spans="1:3">
      <c r="A2714" s="9"/>
      <c r="B2714" s="10"/>
      <c r="C2714" s="10"/>
    </row>
    <row r="2715" spans="1:3">
      <c r="A2715" s="9"/>
      <c r="B2715" s="10"/>
      <c r="C2715" s="10"/>
    </row>
    <row r="2716" spans="1:3">
      <c r="A2716" s="9"/>
      <c r="B2716" s="10"/>
      <c r="C2716" s="10"/>
    </row>
    <row r="2717" spans="1:3">
      <c r="A2717" s="9"/>
      <c r="B2717" s="10"/>
      <c r="C2717" s="10"/>
    </row>
    <row r="2718" spans="1:3">
      <c r="A2718" s="9"/>
      <c r="B2718" s="10"/>
      <c r="C2718" s="10"/>
    </row>
    <row r="2719" spans="1:3">
      <c r="A2719" s="9"/>
      <c r="B2719" s="10"/>
      <c r="C2719" s="10"/>
    </row>
    <row r="2720" spans="1:3">
      <c r="A2720" s="9"/>
      <c r="B2720" s="10"/>
      <c r="C2720" s="10"/>
    </row>
    <row r="2721" spans="1:3">
      <c r="A2721" s="9"/>
      <c r="B2721" s="10"/>
      <c r="C2721" s="10"/>
    </row>
    <row r="2722" spans="1:3">
      <c r="A2722" s="9"/>
      <c r="B2722" s="10"/>
      <c r="C2722" s="10"/>
    </row>
    <row r="2723" spans="1:3">
      <c r="A2723" s="9"/>
      <c r="B2723" s="10"/>
      <c r="C2723" s="10"/>
    </row>
    <row r="2724" spans="1:3">
      <c r="A2724" s="9"/>
      <c r="B2724" s="10"/>
      <c r="C2724" s="10"/>
    </row>
    <row r="2725" spans="1:3">
      <c r="A2725" s="9"/>
      <c r="B2725" s="10"/>
      <c r="C2725" s="10"/>
    </row>
    <row r="2726" spans="1:3">
      <c r="A2726" s="9"/>
      <c r="B2726" s="10"/>
      <c r="C2726" s="10"/>
    </row>
    <row r="2727" spans="1:3">
      <c r="A2727" s="9"/>
      <c r="B2727" s="10"/>
      <c r="C2727" s="10"/>
    </row>
    <row r="2728" spans="1:3">
      <c r="A2728" s="9"/>
      <c r="B2728" s="10"/>
      <c r="C2728" s="10"/>
    </row>
    <row r="2729" spans="1:3">
      <c r="A2729" s="9"/>
      <c r="B2729" s="10"/>
      <c r="C2729" s="10"/>
    </row>
    <row r="2730" spans="1:3">
      <c r="A2730" s="9"/>
      <c r="B2730" s="10"/>
      <c r="C2730" s="10"/>
    </row>
    <row r="2731" spans="1:3">
      <c r="A2731" s="9"/>
      <c r="B2731" s="10"/>
      <c r="C2731" s="10"/>
    </row>
    <row r="2732" spans="1:3">
      <c r="A2732" s="9"/>
      <c r="B2732" s="10"/>
      <c r="C2732" s="10"/>
    </row>
    <row r="2733" spans="1:3">
      <c r="A2733" s="9"/>
      <c r="B2733" s="10"/>
      <c r="C2733" s="10"/>
    </row>
    <row r="2734" spans="1:3">
      <c r="A2734" s="9"/>
      <c r="B2734" s="10"/>
      <c r="C2734" s="10"/>
    </row>
    <row r="2735" spans="1:3">
      <c r="A2735" s="9"/>
      <c r="B2735" s="10"/>
      <c r="C2735" s="10"/>
    </row>
    <row r="2736" spans="1:3">
      <c r="A2736" s="9"/>
      <c r="B2736" s="10"/>
      <c r="C2736" s="10"/>
    </row>
    <row r="2737" spans="1:3">
      <c r="A2737" s="9"/>
      <c r="B2737" s="10"/>
      <c r="C2737" s="10"/>
    </row>
    <row r="2738" spans="1:3">
      <c r="A2738" s="9"/>
      <c r="B2738" s="10"/>
      <c r="C2738" s="10"/>
    </row>
    <row r="2739" spans="1:3">
      <c r="A2739" s="9"/>
      <c r="B2739" s="10"/>
      <c r="C2739" s="10"/>
    </row>
    <row r="2740" spans="1:3">
      <c r="A2740" s="9"/>
      <c r="B2740" s="10"/>
      <c r="C2740" s="10"/>
    </row>
    <row r="2741" spans="1:3">
      <c r="A2741" s="9"/>
      <c r="B2741" s="10"/>
      <c r="C2741" s="10"/>
    </row>
    <row r="2742" spans="1:3">
      <c r="A2742" s="9"/>
      <c r="B2742" s="10"/>
      <c r="C2742" s="10"/>
    </row>
    <row r="2743" spans="1:3">
      <c r="A2743" s="9"/>
      <c r="B2743" s="10"/>
      <c r="C2743" s="10"/>
    </row>
    <row r="2744" spans="1:3">
      <c r="A2744" s="9"/>
      <c r="B2744" s="10"/>
      <c r="C2744" s="10"/>
    </row>
    <row r="2745" spans="1:3">
      <c r="A2745" s="9"/>
      <c r="B2745" s="10"/>
      <c r="C2745" s="10"/>
    </row>
    <row r="2746" spans="1:3">
      <c r="A2746" s="9"/>
      <c r="B2746" s="10"/>
      <c r="C2746" s="10"/>
    </row>
    <row r="2747" spans="1:3">
      <c r="A2747" s="9"/>
      <c r="B2747" s="10"/>
      <c r="C2747" s="10"/>
    </row>
    <row r="2748" spans="1:3">
      <c r="A2748" s="9"/>
      <c r="B2748" s="10"/>
      <c r="C2748" s="10"/>
    </row>
    <row r="2749" spans="1:3">
      <c r="A2749" s="9"/>
      <c r="B2749" s="10"/>
      <c r="C2749" s="10"/>
    </row>
    <row r="2750" spans="1:3">
      <c r="A2750" s="9"/>
      <c r="B2750" s="10"/>
      <c r="C2750" s="10"/>
    </row>
    <row r="2751" spans="1:3">
      <c r="A2751" s="9"/>
      <c r="B2751" s="10"/>
      <c r="C2751" s="10"/>
    </row>
    <row r="2752" spans="1:3">
      <c r="A2752" s="9"/>
      <c r="B2752" s="10"/>
      <c r="C2752" s="10"/>
    </row>
    <row r="2753" spans="1:3">
      <c r="A2753" s="9"/>
      <c r="B2753" s="10"/>
      <c r="C2753" s="10"/>
    </row>
    <row r="2754" spans="1:3">
      <c r="A2754" s="9"/>
      <c r="B2754" s="10"/>
      <c r="C2754" s="10"/>
    </row>
    <row r="2755" spans="1:3">
      <c r="A2755" s="9"/>
      <c r="B2755" s="10"/>
      <c r="C2755" s="10"/>
    </row>
    <row r="2756" spans="1:3">
      <c r="A2756" s="9"/>
      <c r="B2756" s="10"/>
      <c r="C2756" s="10"/>
    </row>
    <row r="2757" spans="1:3">
      <c r="A2757" s="9"/>
      <c r="B2757" s="10"/>
      <c r="C2757" s="10"/>
    </row>
    <row r="2758" spans="1:3">
      <c r="A2758" s="9"/>
      <c r="B2758" s="10"/>
      <c r="C2758" s="10"/>
    </row>
    <row r="2759" spans="1:3">
      <c r="A2759" s="9"/>
      <c r="B2759" s="10"/>
      <c r="C2759" s="10"/>
    </row>
    <row r="2760" spans="1:3">
      <c r="A2760" s="9"/>
      <c r="B2760" s="10"/>
      <c r="C2760" s="10"/>
    </row>
    <row r="2761" spans="1:3">
      <c r="A2761" s="9"/>
      <c r="B2761" s="10"/>
      <c r="C2761" s="10"/>
    </row>
    <row r="2762" spans="1:3">
      <c r="A2762" s="9"/>
      <c r="B2762" s="10"/>
      <c r="C2762" s="10"/>
    </row>
    <row r="2763" spans="1:3">
      <c r="A2763" s="9"/>
      <c r="B2763" s="10"/>
      <c r="C2763" s="10"/>
    </row>
    <row r="2764" spans="1:3">
      <c r="A2764" s="9"/>
      <c r="B2764" s="10"/>
      <c r="C2764" s="10"/>
    </row>
    <row r="2765" spans="1:3">
      <c r="A2765" s="9"/>
      <c r="B2765" s="10"/>
      <c r="C2765" s="10"/>
    </row>
    <row r="2766" spans="1:3">
      <c r="A2766" s="9"/>
      <c r="B2766" s="10"/>
      <c r="C2766" s="10"/>
    </row>
    <row r="2767" spans="1:3">
      <c r="A2767" s="9"/>
      <c r="B2767" s="10"/>
      <c r="C2767" s="10"/>
    </row>
    <row r="2768" spans="1:3">
      <c r="A2768" s="9"/>
      <c r="B2768" s="10"/>
      <c r="C2768" s="10"/>
    </row>
    <row r="2769" spans="1:3">
      <c r="A2769" s="9"/>
      <c r="B2769" s="10"/>
      <c r="C2769" s="10"/>
    </row>
    <row r="2770" spans="1:3">
      <c r="A2770" s="9"/>
      <c r="B2770" s="10"/>
      <c r="C2770" s="10"/>
    </row>
    <row r="2771" spans="1:3">
      <c r="A2771" s="9"/>
      <c r="B2771" s="10"/>
      <c r="C2771" s="10"/>
    </row>
    <row r="2772" spans="1:3">
      <c r="A2772" s="9"/>
      <c r="B2772" s="10"/>
      <c r="C2772" s="10"/>
    </row>
    <row r="2773" spans="1:3">
      <c r="A2773" s="9"/>
      <c r="B2773" s="10"/>
      <c r="C2773" s="10"/>
    </row>
    <row r="2774" spans="1:3">
      <c r="A2774" s="9"/>
      <c r="B2774" s="10"/>
      <c r="C2774" s="10"/>
    </row>
    <row r="2775" spans="1:3">
      <c r="A2775" s="9"/>
      <c r="B2775" s="10"/>
      <c r="C2775" s="10"/>
    </row>
    <row r="2776" spans="1:3">
      <c r="A2776" s="9"/>
      <c r="B2776" s="10"/>
      <c r="C2776" s="10"/>
    </row>
    <row r="2777" spans="1:3">
      <c r="A2777" s="9"/>
      <c r="B2777" s="10"/>
      <c r="C2777" s="10"/>
    </row>
    <row r="2778" spans="1:3">
      <c r="A2778" s="9"/>
      <c r="B2778" s="10"/>
      <c r="C2778" s="10"/>
    </row>
    <row r="2779" spans="1:3">
      <c r="A2779" s="9"/>
      <c r="B2779" s="10"/>
      <c r="C2779" s="10"/>
    </row>
    <row r="2780" spans="1:3">
      <c r="A2780" s="9"/>
      <c r="B2780" s="10"/>
      <c r="C2780" s="10"/>
    </row>
    <row r="2781" spans="1:3">
      <c r="A2781" s="9"/>
      <c r="B2781" s="10"/>
      <c r="C2781" s="10"/>
    </row>
    <row r="2782" spans="1:3">
      <c r="A2782" s="9"/>
      <c r="B2782" s="10"/>
      <c r="C2782" s="10"/>
    </row>
    <row r="2783" spans="1:3">
      <c r="A2783" s="9"/>
      <c r="B2783" s="10"/>
      <c r="C2783" s="10"/>
    </row>
    <row r="2784" spans="1:3">
      <c r="A2784" s="9"/>
      <c r="B2784" s="10"/>
      <c r="C2784" s="10"/>
    </row>
    <row r="2785" spans="1:3">
      <c r="A2785" s="9"/>
      <c r="B2785" s="10"/>
      <c r="C2785" s="10"/>
    </row>
    <row r="2786" spans="1:3">
      <c r="A2786" s="9"/>
      <c r="B2786" s="10"/>
      <c r="C2786" s="10"/>
    </row>
    <row r="2787" spans="1:3">
      <c r="A2787" s="9"/>
      <c r="B2787" s="10"/>
      <c r="C2787" s="10"/>
    </row>
    <row r="2788" spans="1:3">
      <c r="A2788" s="9"/>
      <c r="B2788" s="10"/>
      <c r="C2788" s="10"/>
    </row>
    <row r="2789" spans="1:3">
      <c r="A2789" s="9"/>
      <c r="B2789" s="10"/>
      <c r="C2789" s="10"/>
    </row>
    <row r="2790" spans="1:3">
      <c r="A2790" s="9"/>
      <c r="B2790" s="10"/>
      <c r="C2790" s="10"/>
    </row>
    <row r="2791" spans="1:3">
      <c r="A2791" s="9"/>
      <c r="B2791" s="10"/>
      <c r="C2791" s="10"/>
    </row>
    <row r="2792" spans="1:3">
      <c r="A2792" s="9"/>
      <c r="B2792" s="10"/>
      <c r="C2792" s="10"/>
    </row>
    <row r="2793" spans="1:3">
      <c r="A2793" s="9"/>
      <c r="B2793" s="10"/>
      <c r="C2793" s="10"/>
    </row>
    <row r="2794" spans="1:3">
      <c r="A2794" s="9"/>
      <c r="B2794" s="10"/>
      <c r="C2794" s="10"/>
    </row>
    <row r="2795" spans="1:3">
      <c r="A2795" s="9"/>
      <c r="B2795" s="10"/>
      <c r="C2795" s="10"/>
    </row>
    <row r="2796" spans="1:3">
      <c r="A2796" s="9"/>
      <c r="B2796" s="10"/>
      <c r="C2796" s="10"/>
    </row>
    <row r="2797" spans="1:3">
      <c r="A2797" s="9"/>
      <c r="B2797" s="10"/>
      <c r="C2797" s="10"/>
    </row>
    <row r="2798" spans="1:3">
      <c r="A2798" s="9"/>
      <c r="B2798" s="10"/>
      <c r="C2798" s="10"/>
    </row>
    <row r="2799" spans="1:3">
      <c r="A2799" s="9"/>
      <c r="B2799" s="10"/>
      <c r="C2799" s="10"/>
    </row>
    <row r="2800" spans="1:3">
      <c r="A2800" s="9"/>
      <c r="B2800" s="10"/>
      <c r="C2800" s="10"/>
    </row>
    <row r="2801" spans="1:3">
      <c r="A2801" s="9"/>
      <c r="B2801" s="10"/>
      <c r="C2801" s="10"/>
    </row>
    <row r="2802" spans="1:3">
      <c r="A2802" s="9"/>
      <c r="B2802" s="10"/>
      <c r="C2802" s="10"/>
    </row>
    <row r="2803" spans="1:3">
      <c r="A2803" s="9"/>
      <c r="B2803" s="10"/>
      <c r="C2803" s="10"/>
    </row>
    <row r="2804" spans="1:3">
      <c r="A2804" s="9"/>
      <c r="B2804" s="10"/>
      <c r="C2804" s="10"/>
    </row>
    <row r="2805" spans="1:3">
      <c r="A2805" s="9"/>
      <c r="B2805" s="10"/>
      <c r="C2805" s="10"/>
    </row>
    <row r="2806" spans="1:3">
      <c r="A2806" s="9"/>
      <c r="B2806" s="10"/>
      <c r="C2806" s="10"/>
    </row>
    <row r="2807" spans="1:3">
      <c r="A2807" s="9"/>
      <c r="B2807" s="10"/>
      <c r="C2807" s="10"/>
    </row>
    <row r="2808" spans="1:3">
      <c r="A2808" s="9"/>
      <c r="B2808" s="10"/>
      <c r="C2808" s="10"/>
    </row>
    <row r="2809" spans="1:3">
      <c r="A2809" s="9"/>
      <c r="B2809" s="10"/>
      <c r="C2809" s="10"/>
    </row>
    <row r="2810" spans="1:3">
      <c r="A2810" s="9"/>
      <c r="B2810" s="10"/>
      <c r="C2810" s="10"/>
    </row>
    <row r="2811" spans="1:3">
      <c r="A2811" s="9"/>
      <c r="B2811" s="10"/>
      <c r="C2811" s="10"/>
    </row>
    <row r="2812" spans="1:3">
      <c r="A2812" s="9"/>
      <c r="B2812" s="10"/>
      <c r="C2812" s="10"/>
    </row>
    <row r="2813" spans="1:3">
      <c r="A2813" s="9"/>
      <c r="B2813" s="10"/>
      <c r="C2813" s="10"/>
    </row>
    <row r="2814" spans="1:3">
      <c r="A2814" s="9"/>
      <c r="B2814" s="10"/>
      <c r="C2814" s="10"/>
    </row>
    <row r="2815" spans="1:3">
      <c r="A2815" s="9"/>
      <c r="B2815" s="10"/>
      <c r="C2815" s="10"/>
    </row>
    <row r="2816" spans="1:3">
      <c r="A2816" s="9"/>
      <c r="B2816" s="10"/>
      <c r="C2816" s="10"/>
    </row>
    <row r="2817" spans="1:3">
      <c r="A2817" s="9"/>
      <c r="B2817" s="10"/>
      <c r="C2817" s="10"/>
    </row>
    <row r="2818" spans="1:3">
      <c r="A2818" s="9"/>
      <c r="B2818" s="10"/>
      <c r="C2818" s="10"/>
    </row>
    <row r="2819" spans="1:3">
      <c r="A2819" s="9"/>
      <c r="B2819" s="10"/>
      <c r="C2819" s="10"/>
    </row>
    <row r="2820" spans="1:3">
      <c r="A2820" s="9"/>
      <c r="B2820" s="10"/>
      <c r="C2820" s="10"/>
    </row>
    <row r="2821" spans="1:3">
      <c r="A2821" s="9"/>
      <c r="B2821" s="10"/>
      <c r="C2821" s="10"/>
    </row>
    <row r="2822" spans="1:3">
      <c r="A2822" s="9"/>
      <c r="B2822" s="10"/>
      <c r="C2822" s="10"/>
    </row>
    <row r="2823" spans="1:3">
      <c r="A2823" s="9"/>
      <c r="B2823" s="10"/>
      <c r="C2823" s="10"/>
    </row>
    <row r="2824" spans="1:3">
      <c r="A2824" s="9"/>
      <c r="B2824" s="10"/>
      <c r="C2824" s="10"/>
    </row>
    <row r="2825" spans="1:3">
      <c r="A2825" s="9"/>
      <c r="B2825" s="10"/>
      <c r="C2825" s="10"/>
    </row>
    <row r="2826" spans="1:3">
      <c r="A2826" s="9"/>
      <c r="B2826" s="10"/>
      <c r="C2826" s="10"/>
    </row>
    <row r="2827" spans="1:3">
      <c r="A2827" s="9"/>
      <c r="B2827" s="10"/>
      <c r="C2827" s="10"/>
    </row>
    <row r="2828" spans="1:3">
      <c r="A2828" s="9"/>
      <c r="B2828" s="10"/>
      <c r="C2828" s="10"/>
    </row>
    <row r="2829" spans="1:3">
      <c r="A2829" s="9"/>
      <c r="B2829" s="10"/>
      <c r="C2829" s="10"/>
    </row>
    <row r="2830" spans="1:3">
      <c r="A2830" s="9"/>
      <c r="B2830" s="10"/>
      <c r="C2830" s="10"/>
    </row>
    <row r="2831" spans="1:3">
      <c r="A2831" s="9"/>
      <c r="B2831" s="10"/>
      <c r="C2831" s="10"/>
    </row>
    <row r="2832" spans="1:3">
      <c r="A2832" s="9"/>
      <c r="B2832" s="10"/>
      <c r="C2832" s="10"/>
    </row>
    <row r="2833" spans="1:3">
      <c r="A2833" s="9"/>
      <c r="B2833" s="10"/>
      <c r="C2833" s="10"/>
    </row>
    <row r="2834" spans="1:3">
      <c r="A2834" s="9"/>
      <c r="B2834" s="10"/>
      <c r="C2834" s="10"/>
    </row>
    <row r="2835" spans="1:3">
      <c r="A2835" s="9"/>
      <c r="B2835" s="10"/>
      <c r="C2835" s="10"/>
    </row>
    <row r="2836" spans="1:3">
      <c r="A2836" s="9"/>
      <c r="B2836" s="10"/>
      <c r="C2836" s="10"/>
    </row>
    <row r="2837" spans="1:3">
      <c r="A2837" s="9"/>
      <c r="B2837" s="10"/>
      <c r="C2837" s="10"/>
    </row>
    <row r="2838" spans="1:3">
      <c r="A2838" s="9"/>
      <c r="B2838" s="10"/>
      <c r="C2838" s="10"/>
    </row>
    <row r="2839" spans="1:3">
      <c r="A2839" s="9"/>
      <c r="B2839" s="10"/>
      <c r="C2839" s="10"/>
    </row>
    <row r="2840" spans="1:3">
      <c r="A2840" s="9"/>
      <c r="B2840" s="10"/>
      <c r="C2840" s="10"/>
    </row>
    <row r="2841" spans="1:3">
      <c r="A2841" s="9"/>
      <c r="B2841" s="10"/>
      <c r="C2841" s="10"/>
    </row>
    <row r="2842" spans="1:3">
      <c r="A2842" s="9"/>
      <c r="B2842" s="10"/>
      <c r="C2842" s="10"/>
    </row>
    <row r="2843" spans="1:3">
      <c r="A2843" s="9"/>
      <c r="B2843" s="10"/>
      <c r="C2843" s="10"/>
    </row>
    <row r="2844" spans="1:3">
      <c r="A2844" s="9"/>
      <c r="B2844" s="10"/>
      <c r="C2844" s="10"/>
    </row>
    <row r="2845" spans="1:3">
      <c r="A2845" s="9"/>
      <c r="B2845" s="10"/>
      <c r="C2845" s="10"/>
    </row>
    <row r="2846" spans="1:3">
      <c r="A2846" s="9"/>
      <c r="B2846" s="10"/>
      <c r="C2846" s="10"/>
    </row>
    <row r="2847" spans="1:3">
      <c r="A2847" s="9"/>
      <c r="B2847" s="10"/>
      <c r="C2847" s="10"/>
    </row>
    <row r="2848" spans="1:3">
      <c r="A2848" s="9"/>
      <c r="B2848" s="10"/>
      <c r="C2848" s="10"/>
    </row>
    <row r="2849" spans="1:3">
      <c r="A2849" s="9"/>
      <c r="B2849" s="10"/>
      <c r="C2849" s="10"/>
    </row>
    <row r="2850" spans="1:3">
      <c r="A2850" s="9"/>
      <c r="B2850" s="10"/>
      <c r="C2850" s="10"/>
    </row>
    <row r="2851" spans="1:3">
      <c r="A2851" s="9"/>
      <c r="B2851" s="10"/>
      <c r="C2851" s="10"/>
    </row>
    <row r="2852" spans="1:3">
      <c r="A2852" s="9"/>
      <c r="B2852" s="10"/>
      <c r="C2852" s="10"/>
    </row>
    <row r="2853" spans="1:3">
      <c r="A2853" s="9"/>
      <c r="B2853" s="10"/>
      <c r="C2853" s="10"/>
    </row>
    <row r="2854" spans="1:3">
      <c r="A2854" s="9"/>
      <c r="B2854" s="10"/>
      <c r="C2854" s="10"/>
    </row>
    <row r="2855" spans="1:3">
      <c r="A2855" s="9"/>
      <c r="B2855" s="10"/>
      <c r="C2855" s="10"/>
    </row>
    <row r="2856" spans="1:3">
      <c r="A2856" s="9"/>
      <c r="B2856" s="10"/>
      <c r="C2856" s="10"/>
    </row>
    <row r="2857" spans="1:3">
      <c r="A2857" s="9"/>
      <c r="B2857" s="10"/>
      <c r="C2857" s="10"/>
    </row>
    <row r="2858" spans="1:3">
      <c r="A2858" s="9"/>
      <c r="B2858" s="10"/>
      <c r="C2858" s="10"/>
    </row>
    <row r="2859" spans="1:3">
      <c r="A2859" s="9"/>
      <c r="B2859" s="10"/>
      <c r="C2859" s="10"/>
    </row>
    <row r="2860" spans="1:3">
      <c r="A2860" s="9"/>
      <c r="B2860" s="10"/>
      <c r="C2860" s="10"/>
    </row>
    <row r="2861" spans="1:3">
      <c r="A2861" s="9"/>
      <c r="B2861" s="10"/>
      <c r="C2861" s="10"/>
    </row>
    <row r="2862" spans="1:3">
      <c r="A2862" s="9"/>
      <c r="B2862" s="10"/>
      <c r="C2862" s="10"/>
    </row>
    <row r="2863" spans="1:3">
      <c r="A2863" s="9"/>
      <c r="B2863" s="10"/>
      <c r="C2863" s="10"/>
    </row>
    <row r="2864" spans="1:3">
      <c r="A2864" s="9"/>
      <c r="B2864" s="10"/>
      <c r="C2864" s="10"/>
    </row>
    <row r="2865" spans="1:3">
      <c r="A2865" s="9"/>
      <c r="B2865" s="10"/>
      <c r="C2865" s="10"/>
    </row>
    <row r="2866" spans="1:3">
      <c r="A2866" s="9"/>
      <c r="B2866" s="10"/>
      <c r="C2866" s="10"/>
    </row>
    <row r="2867" spans="1:3">
      <c r="A2867" s="9"/>
      <c r="B2867" s="10"/>
      <c r="C2867" s="10"/>
    </row>
    <row r="2868" spans="1:3">
      <c r="A2868" s="9"/>
      <c r="B2868" s="10"/>
      <c r="C2868" s="10"/>
    </row>
    <row r="2869" spans="1:3">
      <c r="A2869" s="9"/>
      <c r="B2869" s="10"/>
      <c r="C2869" s="10"/>
    </row>
    <row r="2870" spans="1:3">
      <c r="A2870" s="9"/>
      <c r="B2870" s="10"/>
      <c r="C2870" s="10"/>
    </row>
    <row r="2871" spans="1:3">
      <c r="A2871" s="9"/>
      <c r="B2871" s="10"/>
      <c r="C2871" s="10"/>
    </row>
    <row r="2872" spans="1:3">
      <c r="A2872" s="9"/>
      <c r="B2872" s="10"/>
      <c r="C2872" s="10"/>
    </row>
    <row r="2873" spans="1:3">
      <c r="A2873" s="9"/>
      <c r="B2873" s="10"/>
      <c r="C2873" s="10"/>
    </row>
    <row r="2874" spans="1:3">
      <c r="A2874" s="9"/>
      <c r="B2874" s="10"/>
      <c r="C2874" s="10"/>
    </row>
    <row r="2875" spans="1:3">
      <c r="A2875" s="9"/>
      <c r="B2875" s="10"/>
      <c r="C2875" s="10"/>
    </row>
    <row r="2876" spans="1:3">
      <c r="A2876" s="9"/>
      <c r="B2876" s="10"/>
      <c r="C2876" s="10"/>
    </row>
    <row r="2877" spans="1:3">
      <c r="A2877" s="9"/>
      <c r="B2877" s="10"/>
      <c r="C2877" s="10"/>
    </row>
    <row r="2878" spans="1:3">
      <c r="A2878" s="9"/>
      <c r="B2878" s="10"/>
      <c r="C2878" s="10"/>
    </row>
    <row r="2879" spans="1:3">
      <c r="A2879" s="9"/>
      <c r="B2879" s="10"/>
      <c r="C2879" s="10"/>
    </row>
    <row r="2880" spans="1:3">
      <c r="A2880" s="9"/>
      <c r="B2880" s="10"/>
      <c r="C2880" s="10"/>
    </row>
    <row r="2881" spans="1:3">
      <c r="A2881" s="9"/>
      <c r="B2881" s="10"/>
      <c r="C2881" s="10"/>
    </row>
    <row r="2882" spans="1:3">
      <c r="A2882" s="9"/>
      <c r="B2882" s="10"/>
      <c r="C2882" s="10"/>
    </row>
    <row r="2883" spans="1:3">
      <c r="A2883" s="9"/>
      <c r="B2883" s="10"/>
      <c r="C2883" s="10"/>
    </row>
    <row r="2884" spans="1:3">
      <c r="A2884" s="9"/>
      <c r="B2884" s="10"/>
      <c r="C2884" s="10"/>
    </row>
    <row r="2885" spans="1:3">
      <c r="A2885" s="9"/>
      <c r="B2885" s="10"/>
      <c r="C2885" s="10"/>
    </row>
    <row r="2886" spans="1:3">
      <c r="A2886" s="9"/>
      <c r="B2886" s="10"/>
      <c r="C2886" s="10"/>
    </row>
    <row r="2887" spans="1:3">
      <c r="A2887" s="9"/>
      <c r="B2887" s="10"/>
      <c r="C2887" s="10"/>
    </row>
    <row r="2888" spans="1:3">
      <c r="A2888" s="9"/>
      <c r="B2888" s="10"/>
      <c r="C2888" s="10"/>
    </row>
    <row r="2889" spans="1:3">
      <c r="A2889" s="9"/>
      <c r="B2889" s="10"/>
      <c r="C2889" s="10"/>
    </row>
    <row r="2890" spans="1:3">
      <c r="A2890" s="9"/>
      <c r="B2890" s="10"/>
      <c r="C2890" s="10"/>
    </row>
    <row r="2891" spans="1:3">
      <c r="A2891" s="9"/>
      <c r="B2891" s="10"/>
      <c r="C2891" s="10"/>
    </row>
    <row r="2892" spans="1:3">
      <c r="A2892" s="9"/>
      <c r="B2892" s="10"/>
      <c r="C2892" s="10"/>
    </row>
    <row r="2893" spans="1:3">
      <c r="A2893" s="9"/>
      <c r="B2893" s="10"/>
      <c r="C2893" s="10"/>
    </row>
    <row r="2894" spans="1:3">
      <c r="A2894" s="9"/>
      <c r="B2894" s="10"/>
      <c r="C2894" s="10"/>
    </row>
    <row r="2895" spans="1:3">
      <c r="A2895" s="9"/>
      <c r="B2895" s="10"/>
      <c r="C2895" s="10"/>
    </row>
    <row r="2896" spans="1:3">
      <c r="A2896" s="9"/>
      <c r="B2896" s="10"/>
      <c r="C2896" s="10"/>
    </row>
    <row r="2897" spans="1:3">
      <c r="A2897" s="9"/>
      <c r="B2897" s="10"/>
      <c r="C2897" s="10"/>
    </row>
    <row r="2898" spans="1:3">
      <c r="A2898" s="9"/>
      <c r="B2898" s="10"/>
      <c r="C2898" s="10"/>
    </row>
    <row r="2899" spans="1:3">
      <c r="A2899" s="9"/>
      <c r="B2899" s="10"/>
      <c r="C2899" s="10"/>
    </row>
    <row r="2900" spans="1:3">
      <c r="A2900" s="9"/>
      <c r="B2900" s="10"/>
      <c r="C2900" s="10"/>
    </row>
    <row r="2901" spans="1:3">
      <c r="A2901" s="9"/>
      <c r="B2901" s="10"/>
      <c r="C2901" s="10"/>
    </row>
    <row r="2902" spans="1:3">
      <c r="A2902" s="9"/>
      <c r="B2902" s="10"/>
      <c r="C2902" s="10"/>
    </row>
    <row r="2903" spans="1:3">
      <c r="A2903" s="9"/>
      <c r="B2903" s="10"/>
      <c r="C2903" s="10"/>
    </row>
    <row r="2904" spans="1:3">
      <c r="A2904" s="9"/>
      <c r="B2904" s="10"/>
      <c r="C2904" s="10"/>
    </row>
    <row r="2905" spans="1:3">
      <c r="A2905" s="9"/>
      <c r="B2905" s="10"/>
      <c r="C2905" s="10"/>
    </row>
    <row r="2906" spans="1:3">
      <c r="A2906" s="9"/>
      <c r="B2906" s="10"/>
      <c r="C2906" s="10"/>
    </row>
    <row r="2907" spans="1:3">
      <c r="A2907" s="9"/>
      <c r="B2907" s="10"/>
      <c r="C2907" s="10"/>
    </row>
    <row r="2908" spans="1:3">
      <c r="A2908" s="9"/>
      <c r="B2908" s="10"/>
      <c r="C2908" s="10"/>
    </row>
    <row r="2909" spans="1:3">
      <c r="A2909" s="9"/>
      <c r="B2909" s="10"/>
      <c r="C2909" s="10"/>
    </row>
    <row r="2910" spans="1:3">
      <c r="A2910" s="9"/>
      <c r="B2910" s="10"/>
      <c r="C2910" s="10"/>
    </row>
    <row r="2911" spans="1:3">
      <c r="A2911" s="9"/>
      <c r="B2911" s="10"/>
      <c r="C2911" s="10"/>
    </row>
    <row r="2912" spans="1:3">
      <c r="A2912" s="9"/>
      <c r="B2912" s="10"/>
      <c r="C2912" s="10"/>
    </row>
    <row r="2913" spans="1:3">
      <c r="A2913" s="9"/>
      <c r="B2913" s="10"/>
      <c r="C2913" s="10"/>
    </row>
    <row r="2914" spans="1:3">
      <c r="A2914" s="9"/>
      <c r="B2914" s="10"/>
      <c r="C2914" s="10"/>
    </row>
    <row r="2915" spans="1:3">
      <c r="A2915" s="9"/>
      <c r="B2915" s="10"/>
      <c r="C2915" s="10"/>
    </row>
    <row r="2916" spans="1:3">
      <c r="A2916" s="9"/>
      <c r="B2916" s="10"/>
      <c r="C2916" s="10"/>
    </row>
    <row r="2917" spans="1:3">
      <c r="A2917" s="9"/>
      <c r="B2917" s="10"/>
      <c r="C2917" s="10"/>
    </row>
    <row r="2918" spans="1:3">
      <c r="A2918" s="9"/>
      <c r="B2918" s="10"/>
      <c r="C2918" s="10"/>
    </row>
    <row r="2919" spans="1:3">
      <c r="A2919" s="9"/>
      <c r="B2919" s="10"/>
      <c r="C2919" s="10"/>
    </row>
    <row r="2920" spans="1:3">
      <c r="A2920" s="9"/>
      <c r="B2920" s="10"/>
      <c r="C2920" s="10"/>
    </row>
    <row r="2921" spans="1:3">
      <c r="A2921" s="9"/>
      <c r="B2921" s="10"/>
      <c r="C2921" s="10"/>
    </row>
    <row r="2922" spans="1:3">
      <c r="A2922" s="9"/>
      <c r="B2922" s="10"/>
      <c r="C2922" s="10"/>
    </row>
    <row r="2923" spans="1:3">
      <c r="A2923" s="9"/>
      <c r="B2923" s="10"/>
      <c r="C2923" s="10"/>
    </row>
    <row r="2924" spans="1:3">
      <c r="A2924" s="9"/>
      <c r="B2924" s="10"/>
      <c r="C2924" s="10"/>
    </row>
    <row r="2925" spans="1:3">
      <c r="A2925" s="9"/>
      <c r="B2925" s="10"/>
      <c r="C2925" s="10"/>
    </row>
    <row r="2926" spans="1:3">
      <c r="A2926" s="9"/>
      <c r="B2926" s="10"/>
      <c r="C2926" s="10"/>
    </row>
    <row r="2927" spans="1:3">
      <c r="A2927" s="9"/>
      <c r="B2927" s="10"/>
      <c r="C2927" s="10"/>
    </row>
    <row r="2928" spans="1:3">
      <c r="A2928" s="9"/>
      <c r="B2928" s="10"/>
      <c r="C2928" s="10"/>
    </row>
    <row r="2929" spans="1:3">
      <c r="A2929" s="9"/>
      <c r="B2929" s="10"/>
      <c r="C2929" s="10"/>
    </row>
    <row r="2930" spans="1:3">
      <c r="A2930" s="9"/>
      <c r="B2930" s="10"/>
      <c r="C2930" s="10"/>
    </row>
    <row r="2931" spans="1:3">
      <c r="A2931" s="9"/>
      <c r="B2931" s="10"/>
      <c r="C2931" s="10"/>
    </row>
    <row r="2932" spans="1:3">
      <c r="A2932" s="9"/>
      <c r="B2932" s="10"/>
      <c r="C2932" s="10"/>
    </row>
    <row r="2933" spans="1:3">
      <c r="A2933" s="9"/>
      <c r="B2933" s="10"/>
      <c r="C2933" s="10"/>
    </row>
    <row r="2934" spans="1:3">
      <c r="A2934" s="9"/>
      <c r="B2934" s="10"/>
      <c r="C2934" s="10"/>
    </row>
    <row r="2935" spans="1:3">
      <c r="A2935" s="9"/>
      <c r="B2935" s="10"/>
      <c r="C2935" s="10"/>
    </row>
    <row r="2936" spans="1:3">
      <c r="A2936" s="9"/>
      <c r="B2936" s="10"/>
      <c r="C2936" s="10"/>
    </row>
    <row r="2937" spans="1:3">
      <c r="A2937" s="9"/>
      <c r="B2937" s="10"/>
      <c r="C2937" s="10"/>
    </row>
    <row r="2938" spans="1:3">
      <c r="A2938" s="9"/>
      <c r="B2938" s="10"/>
      <c r="C2938" s="10"/>
    </row>
    <row r="2939" spans="1:3">
      <c r="A2939" s="9"/>
      <c r="B2939" s="10"/>
      <c r="C2939" s="10"/>
    </row>
    <row r="2940" spans="1:3">
      <c r="A2940" s="9"/>
      <c r="B2940" s="10"/>
      <c r="C2940" s="10"/>
    </row>
    <row r="2941" spans="1:3">
      <c r="A2941" s="9"/>
      <c r="B2941" s="10"/>
      <c r="C2941" s="10"/>
    </row>
    <row r="2942" spans="1:3">
      <c r="A2942" s="9"/>
      <c r="B2942" s="10"/>
      <c r="C2942" s="10"/>
    </row>
    <row r="2943" spans="1:3">
      <c r="A2943" s="9"/>
      <c r="B2943" s="10"/>
      <c r="C2943" s="10"/>
    </row>
    <row r="2944" spans="1:3">
      <c r="A2944" s="9"/>
      <c r="B2944" s="10"/>
      <c r="C2944" s="10"/>
    </row>
    <row r="2945" spans="1:3">
      <c r="A2945" s="9"/>
      <c r="B2945" s="10"/>
      <c r="C2945" s="10"/>
    </row>
    <row r="2946" spans="1:3">
      <c r="A2946" s="9"/>
      <c r="B2946" s="10"/>
      <c r="C2946" s="10"/>
    </row>
    <row r="2947" spans="1:3">
      <c r="A2947" s="9"/>
      <c r="B2947" s="10"/>
      <c r="C2947" s="10"/>
    </row>
    <row r="2948" spans="1:3">
      <c r="A2948" s="9"/>
      <c r="B2948" s="10"/>
      <c r="C2948" s="10"/>
    </row>
    <row r="2949" spans="1:3">
      <c r="A2949" s="9"/>
      <c r="B2949" s="10"/>
      <c r="C2949" s="10"/>
    </row>
    <row r="2950" spans="1:3">
      <c r="A2950" s="9"/>
      <c r="B2950" s="10"/>
      <c r="C2950" s="10"/>
    </row>
    <row r="2951" spans="1:3">
      <c r="A2951" s="9"/>
      <c r="B2951" s="10"/>
      <c r="C2951" s="10"/>
    </row>
    <row r="2952" spans="1:3">
      <c r="A2952" s="9"/>
      <c r="B2952" s="10"/>
      <c r="C2952" s="10"/>
    </row>
    <row r="2953" spans="1:3">
      <c r="A2953" s="9"/>
      <c r="B2953" s="10"/>
      <c r="C2953" s="10"/>
    </row>
    <row r="2954" spans="1:3">
      <c r="A2954" s="9"/>
      <c r="B2954" s="10"/>
      <c r="C2954" s="10"/>
    </row>
    <row r="2955" spans="1:3">
      <c r="A2955" s="9"/>
      <c r="B2955" s="10"/>
      <c r="C2955" s="10"/>
    </row>
    <row r="2956" spans="1:3">
      <c r="A2956" s="9"/>
      <c r="B2956" s="10"/>
      <c r="C2956" s="10"/>
    </row>
    <row r="2957" spans="1:3">
      <c r="A2957" s="9"/>
      <c r="B2957" s="10"/>
      <c r="C2957" s="10"/>
    </row>
    <row r="2958" spans="1:3">
      <c r="A2958" s="9"/>
      <c r="B2958" s="10"/>
      <c r="C2958" s="10"/>
    </row>
    <row r="2959" spans="1:3">
      <c r="A2959" s="9"/>
      <c r="B2959" s="10"/>
      <c r="C2959" s="10"/>
    </row>
    <row r="2960" spans="1:3">
      <c r="A2960" s="9"/>
      <c r="B2960" s="10"/>
      <c r="C2960" s="10"/>
    </row>
    <row r="2961" spans="1:3">
      <c r="A2961" s="9"/>
      <c r="B2961" s="10"/>
      <c r="C2961" s="10"/>
    </row>
    <row r="2962" spans="1:3">
      <c r="A2962" s="9"/>
      <c r="B2962" s="10"/>
      <c r="C2962" s="10"/>
    </row>
    <row r="2963" spans="1:3">
      <c r="A2963" s="9"/>
      <c r="B2963" s="10"/>
      <c r="C2963" s="10"/>
    </row>
    <row r="2964" spans="1:3">
      <c r="A2964" s="9"/>
      <c r="B2964" s="10"/>
      <c r="C2964" s="10"/>
    </row>
    <row r="2965" spans="1:3">
      <c r="A2965" s="9"/>
      <c r="B2965" s="10"/>
      <c r="C2965" s="10"/>
    </row>
    <row r="2966" spans="1:3">
      <c r="A2966" s="9"/>
      <c r="B2966" s="10"/>
      <c r="C2966" s="10"/>
    </row>
    <row r="2967" spans="1:3">
      <c r="A2967" s="9"/>
      <c r="B2967" s="10"/>
      <c r="C2967" s="10"/>
    </row>
    <row r="2968" spans="1:3">
      <c r="A2968" s="9"/>
      <c r="B2968" s="10"/>
      <c r="C2968" s="10"/>
    </row>
    <row r="2969" spans="1:3">
      <c r="A2969" s="9"/>
      <c r="B2969" s="10"/>
      <c r="C2969" s="10"/>
    </row>
    <row r="2970" spans="1:3">
      <c r="A2970" s="9"/>
      <c r="B2970" s="10"/>
      <c r="C2970" s="10"/>
    </row>
    <row r="2971" spans="1:3">
      <c r="A2971" s="9"/>
      <c r="B2971" s="10"/>
      <c r="C2971" s="10"/>
    </row>
    <row r="2972" spans="1:3">
      <c r="A2972" s="9"/>
      <c r="B2972" s="10"/>
      <c r="C2972" s="10"/>
    </row>
    <row r="2973" spans="1:3">
      <c r="A2973" s="9"/>
      <c r="B2973" s="10"/>
      <c r="C2973" s="10"/>
    </row>
    <row r="2974" spans="1:3">
      <c r="A2974" s="9"/>
      <c r="B2974" s="10"/>
      <c r="C2974" s="10"/>
    </row>
    <row r="2975" spans="1:3">
      <c r="A2975" s="9"/>
      <c r="B2975" s="10"/>
      <c r="C2975" s="10"/>
    </row>
    <row r="2976" spans="1:3">
      <c r="A2976" s="9"/>
      <c r="B2976" s="10"/>
      <c r="C2976" s="10"/>
    </row>
    <row r="2977" spans="1:3">
      <c r="A2977" s="9"/>
      <c r="B2977" s="10"/>
      <c r="C2977" s="10"/>
    </row>
    <row r="2978" spans="1:3">
      <c r="A2978" s="9"/>
      <c r="B2978" s="10"/>
      <c r="C2978" s="10"/>
    </row>
    <row r="2979" spans="1:3">
      <c r="A2979" s="9"/>
      <c r="B2979" s="10"/>
      <c r="C2979" s="10"/>
    </row>
    <row r="2980" spans="1:3">
      <c r="A2980" s="9"/>
      <c r="B2980" s="10"/>
      <c r="C2980" s="10"/>
    </row>
    <row r="2981" spans="1:3">
      <c r="A2981" s="9"/>
      <c r="B2981" s="10"/>
      <c r="C2981" s="10"/>
    </row>
    <row r="2982" spans="1:3">
      <c r="A2982" s="9"/>
      <c r="B2982" s="10"/>
      <c r="C2982" s="10"/>
    </row>
    <row r="2983" spans="1:3">
      <c r="A2983" s="9"/>
      <c r="B2983" s="10"/>
      <c r="C2983" s="10"/>
    </row>
    <row r="2984" spans="1:3">
      <c r="A2984" s="9"/>
      <c r="B2984" s="10"/>
      <c r="C2984" s="10"/>
    </row>
    <row r="2985" spans="1:3">
      <c r="A2985" s="9"/>
      <c r="B2985" s="10"/>
      <c r="C2985" s="10"/>
    </row>
    <row r="2986" spans="1:3">
      <c r="A2986" s="9"/>
      <c r="B2986" s="10"/>
      <c r="C2986" s="10"/>
    </row>
    <row r="2987" spans="1:3">
      <c r="A2987" s="9"/>
      <c r="B2987" s="10"/>
      <c r="C2987" s="10"/>
    </row>
    <row r="2988" spans="1:3">
      <c r="A2988" s="9"/>
      <c r="B2988" s="10"/>
      <c r="C2988" s="10"/>
    </row>
    <row r="2989" spans="1:3">
      <c r="A2989" s="9"/>
      <c r="B2989" s="10"/>
      <c r="C2989" s="10"/>
    </row>
    <row r="2990" spans="1:3">
      <c r="A2990" s="9"/>
      <c r="B2990" s="10"/>
      <c r="C2990" s="10"/>
    </row>
    <row r="2991" spans="1:3">
      <c r="A2991" s="9"/>
      <c r="B2991" s="10"/>
      <c r="C2991" s="10"/>
    </row>
    <row r="2992" spans="1:3">
      <c r="A2992" s="9"/>
      <c r="B2992" s="10"/>
      <c r="C2992" s="10"/>
    </row>
    <row r="2993" spans="1:3">
      <c r="A2993" s="9"/>
      <c r="B2993" s="10"/>
      <c r="C2993" s="10"/>
    </row>
    <row r="2994" spans="1:3">
      <c r="A2994" s="9"/>
      <c r="B2994" s="10"/>
      <c r="C2994" s="10"/>
    </row>
    <row r="2995" spans="1:3">
      <c r="A2995" s="9"/>
      <c r="B2995" s="10"/>
      <c r="C2995" s="10"/>
    </row>
    <row r="2996" spans="1:3">
      <c r="A2996" s="9"/>
      <c r="B2996" s="10"/>
      <c r="C2996" s="10"/>
    </row>
    <row r="2997" spans="1:3">
      <c r="A2997" s="9"/>
      <c r="B2997" s="10"/>
      <c r="C2997" s="10"/>
    </row>
    <row r="2998" spans="1:3">
      <c r="A2998" s="9"/>
      <c r="B2998" s="10"/>
      <c r="C2998" s="10"/>
    </row>
    <row r="2999" spans="1:3">
      <c r="A2999" s="9"/>
      <c r="B2999" s="10"/>
      <c r="C2999" s="10"/>
    </row>
    <row r="3000" spans="1:3">
      <c r="A3000" s="9"/>
      <c r="B3000" s="10"/>
      <c r="C3000" s="10"/>
    </row>
    <row r="3001" spans="1:3">
      <c r="A3001" s="9"/>
      <c r="B3001" s="10"/>
      <c r="C3001" s="10"/>
    </row>
    <row r="3002" spans="1:3">
      <c r="A3002" s="9"/>
      <c r="B3002" s="10"/>
      <c r="C3002" s="10"/>
    </row>
    <row r="3003" spans="1:3">
      <c r="A3003" s="9"/>
      <c r="B3003" s="10"/>
      <c r="C3003" s="10"/>
    </row>
    <row r="3004" spans="1:3">
      <c r="A3004" s="9"/>
      <c r="B3004" s="10"/>
      <c r="C3004" s="10"/>
    </row>
    <row r="3005" spans="1:3">
      <c r="A3005" s="9"/>
      <c r="B3005" s="10"/>
      <c r="C3005" s="10"/>
    </row>
    <row r="3006" spans="1:3">
      <c r="A3006" s="9"/>
      <c r="B3006" s="10"/>
      <c r="C3006" s="10"/>
    </row>
    <row r="3007" spans="1:3">
      <c r="A3007" s="9"/>
      <c r="B3007" s="10"/>
      <c r="C3007" s="10"/>
    </row>
    <row r="3008" spans="1:3">
      <c r="A3008" s="9"/>
      <c r="B3008" s="10"/>
      <c r="C3008" s="10"/>
    </row>
    <row r="3009" spans="1:3">
      <c r="A3009" s="9"/>
      <c r="B3009" s="10"/>
      <c r="C3009" s="10"/>
    </row>
    <row r="3010" spans="1:3">
      <c r="A3010" s="9"/>
      <c r="B3010" s="10"/>
      <c r="C3010" s="10"/>
    </row>
    <row r="3011" spans="1:3">
      <c r="A3011" s="9"/>
      <c r="B3011" s="10"/>
      <c r="C3011" s="10"/>
    </row>
    <row r="3012" spans="1:3">
      <c r="A3012" s="9"/>
      <c r="B3012" s="10"/>
      <c r="C3012" s="10"/>
    </row>
    <row r="3013" spans="1:3">
      <c r="A3013" s="9"/>
      <c r="B3013" s="10"/>
      <c r="C3013" s="10"/>
    </row>
    <row r="3014" spans="1:3">
      <c r="A3014" s="9"/>
      <c r="B3014" s="10"/>
      <c r="C3014" s="10"/>
    </row>
    <row r="3015" spans="1:3">
      <c r="A3015" s="9"/>
      <c r="B3015" s="10"/>
      <c r="C3015" s="10"/>
    </row>
    <row r="3016" spans="1:3">
      <c r="A3016" s="9"/>
      <c r="B3016" s="10"/>
      <c r="C3016" s="10"/>
    </row>
    <row r="3017" spans="1:3">
      <c r="A3017" s="9"/>
      <c r="B3017" s="10"/>
      <c r="C3017" s="10"/>
    </row>
    <row r="3018" spans="1:3">
      <c r="A3018" s="9"/>
      <c r="B3018" s="10"/>
      <c r="C3018" s="10"/>
    </row>
    <row r="3019" spans="1:3">
      <c r="A3019" s="9"/>
      <c r="B3019" s="10"/>
      <c r="C3019" s="10"/>
    </row>
    <row r="3020" spans="1:3">
      <c r="A3020" s="9"/>
      <c r="B3020" s="10"/>
      <c r="C3020" s="10"/>
    </row>
    <row r="3021" spans="1:3">
      <c r="A3021" s="9"/>
      <c r="B3021" s="10"/>
      <c r="C3021" s="10"/>
    </row>
    <row r="3022" spans="1:3">
      <c r="A3022" s="9"/>
      <c r="B3022" s="10"/>
      <c r="C3022" s="10"/>
    </row>
    <row r="3023" spans="1:3">
      <c r="A3023" s="9"/>
      <c r="B3023" s="10"/>
      <c r="C3023" s="10"/>
    </row>
    <row r="3024" spans="1:3">
      <c r="A3024" s="9"/>
      <c r="B3024" s="10"/>
      <c r="C3024" s="10"/>
    </row>
    <row r="3025" spans="1:3">
      <c r="A3025" s="9"/>
      <c r="B3025" s="10"/>
      <c r="C3025" s="10"/>
    </row>
    <row r="3026" spans="1:3">
      <c r="A3026" s="9"/>
      <c r="B3026" s="10"/>
      <c r="C3026" s="10"/>
    </row>
    <row r="3027" spans="1:3">
      <c r="A3027" s="9"/>
      <c r="B3027" s="10"/>
      <c r="C3027" s="10"/>
    </row>
    <row r="3028" spans="1:3">
      <c r="A3028" s="9"/>
      <c r="B3028" s="10"/>
      <c r="C3028" s="10"/>
    </row>
    <row r="3029" spans="1:3">
      <c r="A3029" s="9"/>
      <c r="B3029" s="10"/>
      <c r="C3029" s="10"/>
    </row>
    <row r="3030" spans="1:3">
      <c r="A3030" s="9"/>
      <c r="B3030" s="10"/>
      <c r="C3030" s="10"/>
    </row>
    <row r="3031" spans="1:3">
      <c r="A3031" s="9"/>
      <c r="B3031" s="10"/>
      <c r="C3031" s="10"/>
    </row>
    <row r="3032" spans="1:3">
      <c r="A3032" s="9"/>
      <c r="B3032" s="10"/>
      <c r="C3032" s="10"/>
    </row>
    <row r="3033" spans="1:3">
      <c r="A3033" s="9"/>
      <c r="B3033" s="10"/>
      <c r="C3033" s="10"/>
    </row>
    <row r="3034" spans="1:3">
      <c r="A3034" s="9"/>
      <c r="B3034" s="10"/>
      <c r="C3034" s="10"/>
    </row>
    <row r="3035" spans="1:3">
      <c r="A3035" s="9"/>
      <c r="B3035" s="10"/>
      <c r="C3035" s="10"/>
    </row>
    <row r="3036" spans="1:3">
      <c r="A3036" s="9"/>
      <c r="B3036" s="10"/>
      <c r="C3036" s="10"/>
    </row>
    <row r="3037" spans="1:3">
      <c r="A3037" s="9"/>
      <c r="B3037" s="10"/>
      <c r="C3037" s="10"/>
    </row>
    <row r="3038" spans="1:3">
      <c r="A3038" s="9"/>
      <c r="B3038" s="10"/>
      <c r="C3038" s="10"/>
    </row>
    <row r="3039" spans="1:3">
      <c r="A3039" s="9"/>
      <c r="B3039" s="10"/>
      <c r="C3039" s="10"/>
    </row>
    <row r="3040" spans="1:3">
      <c r="A3040" s="9"/>
      <c r="B3040" s="10"/>
      <c r="C3040" s="10"/>
    </row>
    <row r="3041" spans="1:3">
      <c r="A3041" s="9"/>
      <c r="B3041" s="10"/>
      <c r="C3041" s="10"/>
    </row>
    <row r="3042" spans="1:3">
      <c r="A3042" s="9"/>
      <c r="B3042" s="10"/>
      <c r="C3042" s="10"/>
    </row>
    <row r="3043" spans="1:3">
      <c r="A3043" s="9"/>
      <c r="B3043" s="10"/>
      <c r="C3043" s="10"/>
    </row>
    <row r="3044" spans="1:3">
      <c r="A3044" s="9"/>
      <c r="B3044" s="10"/>
      <c r="C3044" s="10"/>
    </row>
    <row r="3045" spans="1:3">
      <c r="A3045" s="9"/>
      <c r="B3045" s="10"/>
      <c r="C3045" s="10"/>
    </row>
    <row r="3046" spans="1:3">
      <c r="A3046" s="9"/>
      <c r="B3046" s="10"/>
      <c r="C3046" s="10"/>
    </row>
    <row r="3047" spans="1:3">
      <c r="A3047" s="9"/>
      <c r="B3047" s="10"/>
      <c r="C3047" s="10"/>
    </row>
    <row r="3048" spans="1:3">
      <c r="A3048" s="9"/>
      <c r="B3048" s="10"/>
      <c r="C3048" s="10"/>
    </row>
    <row r="3049" spans="1:3">
      <c r="A3049" s="9"/>
      <c r="B3049" s="10"/>
      <c r="C3049" s="10"/>
    </row>
    <row r="3050" spans="1:3">
      <c r="A3050" s="9"/>
      <c r="B3050" s="10"/>
      <c r="C3050" s="10"/>
    </row>
    <row r="3051" spans="1:3">
      <c r="A3051" s="9"/>
      <c r="B3051" s="10"/>
      <c r="C3051" s="10"/>
    </row>
    <row r="3052" spans="1:3">
      <c r="A3052" s="9"/>
      <c r="B3052" s="10"/>
      <c r="C3052" s="10"/>
    </row>
    <row r="3053" spans="1:3">
      <c r="A3053" s="9"/>
      <c r="B3053" s="10"/>
      <c r="C3053" s="10"/>
    </row>
    <row r="3054" spans="1:3">
      <c r="A3054" s="9"/>
      <c r="B3054" s="10"/>
      <c r="C3054" s="10"/>
    </row>
    <row r="3055" spans="1:3">
      <c r="A3055" s="9"/>
      <c r="B3055" s="10"/>
      <c r="C3055" s="10"/>
    </row>
    <row r="3056" spans="1:3">
      <c r="A3056" s="9"/>
      <c r="B3056" s="10"/>
      <c r="C3056" s="10"/>
    </row>
    <row r="3057" spans="1:3">
      <c r="A3057" s="9"/>
      <c r="B3057" s="10"/>
      <c r="C3057" s="10"/>
    </row>
    <row r="3058" spans="1:3">
      <c r="A3058" s="9"/>
      <c r="B3058" s="10"/>
      <c r="C3058" s="10"/>
    </row>
    <row r="3059" spans="1:3">
      <c r="A3059" s="9"/>
      <c r="B3059" s="10"/>
      <c r="C3059" s="10"/>
    </row>
    <row r="3060" spans="1:3">
      <c r="A3060" s="9"/>
      <c r="B3060" s="10"/>
      <c r="C3060" s="10"/>
    </row>
    <row r="3061" spans="1:3">
      <c r="A3061" s="9"/>
      <c r="B3061" s="10"/>
      <c r="C3061" s="10"/>
    </row>
    <row r="3062" spans="1:3">
      <c r="A3062" s="9"/>
      <c r="B3062" s="10"/>
      <c r="C3062" s="10"/>
    </row>
    <row r="3063" spans="1:3">
      <c r="A3063" s="9"/>
      <c r="B3063" s="10"/>
      <c r="C3063" s="10"/>
    </row>
    <row r="3064" spans="1:3">
      <c r="A3064" s="9"/>
      <c r="B3064" s="10"/>
      <c r="C3064" s="10"/>
    </row>
    <row r="3065" spans="1:3">
      <c r="A3065" s="9"/>
      <c r="B3065" s="10"/>
      <c r="C3065" s="10"/>
    </row>
    <row r="3066" spans="1:3">
      <c r="A3066" s="9"/>
      <c r="B3066" s="10"/>
      <c r="C3066" s="10"/>
    </row>
    <row r="3067" spans="1:3">
      <c r="A3067" s="9"/>
      <c r="B3067" s="10"/>
      <c r="C3067" s="10"/>
    </row>
    <row r="3068" spans="1:3">
      <c r="A3068" s="9"/>
      <c r="B3068" s="10"/>
      <c r="C3068" s="10"/>
    </row>
    <row r="3069" spans="1:3">
      <c r="A3069" s="9"/>
      <c r="B3069" s="10"/>
      <c r="C3069" s="10"/>
    </row>
    <row r="3070" spans="1:3">
      <c r="A3070" s="9"/>
      <c r="B3070" s="10"/>
      <c r="C3070" s="10"/>
    </row>
    <row r="3071" spans="1:3">
      <c r="A3071" s="9"/>
      <c r="B3071" s="10"/>
      <c r="C3071" s="10"/>
    </row>
    <row r="3072" spans="1:3">
      <c r="A3072" s="9"/>
      <c r="B3072" s="10"/>
      <c r="C3072" s="10"/>
    </row>
    <row r="3073" spans="1:3">
      <c r="A3073" s="9"/>
      <c r="B3073" s="10"/>
      <c r="C3073" s="10"/>
    </row>
    <row r="3074" spans="1:3">
      <c r="A3074" s="9"/>
      <c r="B3074" s="10"/>
      <c r="C3074" s="10"/>
    </row>
    <row r="3075" spans="1:3">
      <c r="A3075" s="9"/>
      <c r="B3075" s="10"/>
      <c r="C3075" s="10"/>
    </row>
    <row r="3076" spans="1:3">
      <c r="A3076" s="9"/>
      <c r="B3076" s="10"/>
      <c r="C3076" s="10"/>
    </row>
    <row r="3077" spans="1:3">
      <c r="A3077" s="9"/>
      <c r="B3077" s="10"/>
      <c r="C3077" s="10"/>
    </row>
    <row r="3078" spans="1:3">
      <c r="A3078" s="9"/>
      <c r="B3078" s="10"/>
      <c r="C3078" s="10"/>
    </row>
    <row r="3079" spans="1:3">
      <c r="A3079" s="9"/>
      <c r="B3079" s="10"/>
      <c r="C3079" s="10"/>
    </row>
    <row r="3080" spans="1:3">
      <c r="A3080" s="9"/>
      <c r="B3080" s="10"/>
      <c r="C3080" s="10"/>
    </row>
    <row r="3081" spans="1:3">
      <c r="A3081" s="9"/>
      <c r="B3081" s="10"/>
      <c r="C3081" s="10"/>
    </row>
    <row r="3082" spans="1:3">
      <c r="A3082" s="9"/>
      <c r="B3082" s="10"/>
      <c r="C3082" s="10"/>
    </row>
    <row r="3083" spans="1:3">
      <c r="A3083" s="9"/>
      <c r="B3083" s="10"/>
      <c r="C3083" s="10"/>
    </row>
    <row r="3084" spans="1:3">
      <c r="A3084" s="9"/>
      <c r="B3084" s="10"/>
      <c r="C3084" s="10"/>
    </row>
    <row r="3085" spans="1:3">
      <c r="A3085" s="9"/>
      <c r="B3085" s="10"/>
      <c r="C3085" s="10"/>
    </row>
    <row r="3086" spans="1:3">
      <c r="A3086" s="9"/>
      <c r="B3086" s="10"/>
      <c r="C3086" s="10"/>
    </row>
    <row r="3087" spans="1:3">
      <c r="A3087" s="9"/>
      <c r="B3087" s="10"/>
      <c r="C3087" s="10"/>
    </row>
    <row r="3088" spans="1:3">
      <c r="A3088" s="9"/>
      <c r="B3088" s="10"/>
      <c r="C3088" s="10"/>
    </row>
    <row r="3089" spans="1:3">
      <c r="A3089" s="9"/>
      <c r="B3089" s="10"/>
      <c r="C3089" s="10"/>
    </row>
    <row r="3090" spans="1:3">
      <c r="A3090" s="9"/>
      <c r="B3090" s="10"/>
      <c r="C3090" s="10"/>
    </row>
    <row r="3091" spans="1:3">
      <c r="A3091" s="9"/>
      <c r="B3091" s="10"/>
      <c r="C3091" s="10"/>
    </row>
    <row r="3092" spans="1:3">
      <c r="A3092" s="9"/>
      <c r="B3092" s="10"/>
      <c r="C3092" s="10"/>
    </row>
    <row r="3093" spans="1:3">
      <c r="A3093" s="9"/>
      <c r="B3093" s="10"/>
      <c r="C3093" s="10"/>
    </row>
    <row r="3094" spans="1:3">
      <c r="A3094" s="9"/>
      <c r="B3094" s="10"/>
      <c r="C3094" s="10"/>
    </row>
    <row r="3095" spans="1:3">
      <c r="A3095" s="9"/>
      <c r="B3095" s="10"/>
      <c r="C3095" s="10"/>
    </row>
    <row r="3096" spans="1:3">
      <c r="A3096" s="9"/>
      <c r="B3096" s="10"/>
      <c r="C3096" s="10"/>
    </row>
    <row r="3097" spans="1:3">
      <c r="A3097" s="9"/>
      <c r="B3097" s="10"/>
      <c r="C3097" s="10"/>
    </row>
    <row r="3098" spans="1:3">
      <c r="A3098" s="9"/>
      <c r="B3098" s="10"/>
      <c r="C3098" s="10"/>
    </row>
    <row r="3099" spans="1:3">
      <c r="A3099" s="9"/>
      <c r="B3099" s="10"/>
      <c r="C3099" s="10"/>
    </row>
    <row r="3100" spans="1:3">
      <c r="A3100" s="9"/>
      <c r="B3100" s="10"/>
      <c r="C3100" s="10"/>
    </row>
    <row r="3101" spans="1:3">
      <c r="A3101" s="9"/>
      <c r="B3101" s="10"/>
      <c r="C3101" s="10"/>
    </row>
    <row r="3102" spans="1:3">
      <c r="A3102" s="9"/>
      <c r="B3102" s="10"/>
      <c r="C3102" s="10"/>
    </row>
    <row r="3103" spans="1:3">
      <c r="A3103" s="9"/>
      <c r="B3103" s="10"/>
      <c r="C3103" s="10"/>
    </row>
    <row r="3104" spans="1:3">
      <c r="A3104" s="9"/>
      <c r="B3104" s="10"/>
      <c r="C3104" s="10"/>
    </row>
    <row r="3105" spans="1:3">
      <c r="A3105" s="9"/>
      <c r="B3105" s="10"/>
      <c r="C3105" s="10"/>
    </row>
    <row r="3106" spans="1:3">
      <c r="A3106" s="9"/>
      <c r="B3106" s="10"/>
      <c r="C3106" s="10"/>
    </row>
    <row r="3107" spans="1:3">
      <c r="A3107" s="9"/>
      <c r="B3107" s="10"/>
      <c r="C3107" s="10"/>
    </row>
    <row r="3108" spans="1:3">
      <c r="A3108" s="9"/>
      <c r="B3108" s="10"/>
      <c r="C3108" s="10"/>
    </row>
    <row r="3109" spans="1:3">
      <c r="A3109" s="9"/>
      <c r="B3109" s="10"/>
      <c r="C3109" s="10"/>
    </row>
    <row r="3110" spans="1:3">
      <c r="A3110" s="9"/>
      <c r="B3110" s="10"/>
      <c r="C3110" s="10"/>
    </row>
    <row r="3111" spans="1:3">
      <c r="A3111" s="9"/>
      <c r="B3111" s="10"/>
      <c r="C3111" s="10"/>
    </row>
    <row r="3112" spans="1:3">
      <c r="A3112" s="9"/>
      <c r="B3112" s="10"/>
      <c r="C3112" s="10"/>
    </row>
    <row r="3113" spans="1:3">
      <c r="A3113" s="9"/>
      <c r="B3113" s="10"/>
      <c r="C3113" s="10"/>
    </row>
    <row r="3114" spans="1:3">
      <c r="A3114" s="9"/>
      <c r="B3114" s="10"/>
      <c r="C3114" s="10"/>
    </row>
    <row r="3115" spans="1:3">
      <c r="A3115" s="9"/>
      <c r="B3115" s="10"/>
      <c r="C3115" s="10"/>
    </row>
    <row r="3116" spans="1:3">
      <c r="A3116" s="9"/>
      <c r="B3116" s="10"/>
      <c r="C3116" s="10"/>
    </row>
    <row r="3117" spans="1:3">
      <c r="A3117" s="9"/>
      <c r="B3117" s="10"/>
      <c r="C3117" s="10"/>
    </row>
    <row r="3118" spans="1:3">
      <c r="A3118" s="9"/>
      <c r="B3118" s="10"/>
      <c r="C3118" s="10"/>
    </row>
    <row r="3119" spans="1:3">
      <c r="A3119" s="9"/>
      <c r="B3119" s="10"/>
      <c r="C3119" s="10"/>
    </row>
    <row r="3120" spans="1:3">
      <c r="A3120" s="9"/>
      <c r="B3120" s="10"/>
      <c r="C3120" s="10"/>
    </row>
    <row r="3121" spans="1:3">
      <c r="A3121" s="9"/>
      <c r="B3121" s="10"/>
      <c r="C3121" s="10"/>
    </row>
    <row r="3122" spans="1:3">
      <c r="A3122" s="9"/>
      <c r="B3122" s="10"/>
      <c r="C3122" s="10"/>
    </row>
    <row r="3123" spans="1:3">
      <c r="A3123" s="9"/>
      <c r="B3123" s="10"/>
      <c r="C3123" s="10"/>
    </row>
    <row r="3124" spans="1:3">
      <c r="A3124" s="9"/>
      <c r="B3124" s="10"/>
      <c r="C3124" s="10"/>
    </row>
    <row r="3125" spans="1:3">
      <c r="A3125" s="9"/>
      <c r="B3125" s="10"/>
      <c r="C3125" s="10"/>
    </row>
    <row r="3126" spans="1:3">
      <c r="A3126" s="9"/>
      <c r="B3126" s="10"/>
      <c r="C3126" s="10"/>
    </row>
    <row r="3127" spans="1:3">
      <c r="A3127" s="9"/>
      <c r="B3127" s="10"/>
      <c r="C3127" s="10"/>
    </row>
    <row r="3128" spans="1:3">
      <c r="A3128" s="9"/>
      <c r="B3128" s="10"/>
      <c r="C3128" s="10"/>
    </row>
    <row r="3129" spans="1:3">
      <c r="A3129" s="9"/>
      <c r="B3129" s="10"/>
      <c r="C3129" s="10"/>
    </row>
    <row r="3130" spans="1:3">
      <c r="A3130" s="9"/>
      <c r="B3130" s="10"/>
      <c r="C3130" s="10"/>
    </row>
    <row r="3131" spans="1:3">
      <c r="A3131" s="9"/>
      <c r="B3131" s="10"/>
      <c r="C3131" s="10"/>
    </row>
    <row r="3132" spans="1:3">
      <c r="A3132" s="9"/>
      <c r="B3132" s="10"/>
      <c r="C3132" s="10"/>
    </row>
    <row r="3133" spans="1:3">
      <c r="A3133" s="11"/>
      <c r="B3133" s="10"/>
      <c r="C3133" s="10"/>
    </row>
    <row r="3134" spans="1:3">
      <c r="A3134" s="9"/>
      <c r="B3134" s="10"/>
      <c r="C3134" s="10"/>
    </row>
    <row r="3135" spans="1:3">
      <c r="A3135" s="9"/>
      <c r="B3135" s="10"/>
      <c r="C3135" s="10"/>
    </row>
    <row r="3136" spans="1:3">
      <c r="A3136" s="9"/>
      <c r="B3136" s="10"/>
      <c r="C3136" s="10"/>
    </row>
    <row r="3137" spans="1:3">
      <c r="A3137" s="9"/>
      <c r="B3137" s="10"/>
      <c r="C3137" s="10"/>
    </row>
    <row r="3138" spans="1:3">
      <c r="A3138" s="9"/>
      <c r="B3138" s="10"/>
      <c r="C3138" s="10"/>
    </row>
    <row r="3139" spans="1:3">
      <c r="A3139" s="9"/>
      <c r="B3139" s="10"/>
      <c r="C3139" s="10"/>
    </row>
    <row r="3140" spans="1:3">
      <c r="A3140" s="9"/>
      <c r="B3140" s="10"/>
      <c r="C3140" s="10"/>
    </row>
    <row r="3141" spans="1:3">
      <c r="A3141" s="9"/>
      <c r="B3141" s="10"/>
      <c r="C3141" s="10"/>
    </row>
    <row r="3142" spans="1:3">
      <c r="A3142" s="9"/>
      <c r="B3142" s="10"/>
      <c r="C3142" s="10"/>
    </row>
    <row r="3143" spans="1:3">
      <c r="A3143" s="9"/>
      <c r="B3143" s="10"/>
      <c r="C3143" s="10"/>
    </row>
    <row r="3144" spans="1:3">
      <c r="A3144" s="9"/>
      <c r="B3144" s="10"/>
      <c r="C3144" s="10"/>
    </row>
    <row r="3145" spans="1:3">
      <c r="A3145" s="9"/>
      <c r="B3145" s="10"/>
      <c r="C3145" s="10"/>
    </row>
    <row r="3146" spans="1:3">
      <c r="A3146" s="9"/>
      <c r="B3146" s="10"/>
      <c r="C3146" s="10"/>
    </row>
    <row r="3147" spans="1:3">
      <c r="A3147" s="9"/>
      <c r="B3147" s="10"/>
      <c r="C3147" s="10"/>
    </row>
    <row r="3148" spans="1:3">
      <c r="A3148" s="9"/>
      <c r="B3148" s="10"/>
      <c r="C3148" s="10"/>
    </row>
    <row r="3149" spans="1:3">
      <c r="A3149" s="9"/>
      <c r="B3149" s="10"/>
      <c r="C3149" s="10"/>
    </row>
    <row r="3150" spans="1:3">
      <c r="A3150" s="9"/>
      <c r="B3150" s="10"/>
      <c r="C3150" s="10"/>
    </row>
    <row r="3151" spans="1:3">
      <c r="A3151" s="9"/>
      <c r="B3151" s="10"/>
      <c r="C3151" s="10"/>
    </row>
    <row r="3152" spans="1:3">
      <c r="A3152" s="9"/>
      <c r="B3152" s="10"/>
      <c r="C3152" s="10"/>
    </row>
    <row r="3153" spans="1:3">
      <c r="A3153" s="9"/>
      <c r="B3153" s="10"/>
      <c r="C3153" s="10"/>
    </row>
    <row r="3154" spans="1:3">
      <c r="A3154" s="9"/>
      <c r="B3154" s="10"/>
      <c r="C3154" s="10"/>
    </row>
    <row r="3155" spans="1:3">
      <c r="A3155" s="9"/>
      <c r="B3155" s="10"/>
      <c r="C3155" s="10"/>
    </row>
    <row r="3156" spans="1:3">
      <c r="A3156" s="9"/>
      <c r="B3156" s="10"/>
      <c r="C3156" s="10"/>
    </row>
    <row r="3157" spans="1:3">
      <c r="A3157" s="9"/>
      <c r="B3157" s="10"/>
      <c r="C3157" s="10"/>
    </row>
    <row r="3158" spans="1:3">
      <c r="A3158" s="9"/>
      <c r="B3158" s="10"/>
      <c r="C3158" s="10"/>
    </row>
    <row r="3159" spans="1:3">
      <c r="A3159" s="9"/>
      <c r="B3159" s="10"/>
      <c r="C3159" s="10"/>
    </row>
    <row r="3160" spans="1:3">
      <c r="A3160" s="9"/>
      <c r="B3160" s="10"/>
      <c r="C3160" s="10"/>
    </row>
    <row r="3161" spans="1:3">
      <c r="A3161" s="9"/>
      <c r="B3161" s="10"/>
      <c r="C3161" s="10"/>
    </row>
    <row r="3162" spans="1:3">
      <c r="A3162" s="9"/>
      <c r="B3162" s="10"/>
      <c r="C3162" s="10"/>
    </row>
    <row r="3163" spans="1:3">
      <c r="A3163" s="9"/>
      <c r="B3163" s="10"/>
      <c r="C3163" s="10"/>
    </row>
    <row r="3164" spans="1:3">
      <c r="A3164" s="9"/>
      <c r="B3164" s="10"/>
      <c r="C3164" s="10"/>
    </row>
    <row r="3165" spans="1:3">
      <c r="A3165" s="9"/>
      <c r="B3165" s="10"/>
      <c r="C3165" s="10"/>
    </row>
    <row r="3166" spans="1:3">
      <c r="A3166" s="9"/>
      <c r="B3166" s="10"/>
      <c r="C3166" s="10"/>
    </row>
    <row r="3167" spans="1:3">
      <c r="A3167" s="9"/>
      <c r="B3167" s="10"/>
      <c r="C3167" s="10"/>
    </row>
    <row r="3168" spans="1:3">
      <c r="A3168" s="9"/>
      <c r="B3168" s="10"/>
      <c r="C3168" s="10"/>
    </row>
    <row r="3169" spans="1:3">
      <c r="A3169" s="9"/>
      <c r="B3169" s="10"/>
      <c r="C3169" s="10"/>
    </row>
    <row r="3170" spans="1:3">
      <c r="A3170" s="9"/>
      <c r="B3170" s="10"/>
      <c r="C3170" s="10"/>
    </row>
    <row r="3171" spans="1:3">
      <c r="A3171" s="9"/>
      <c r="B3171" s="10"/>
      <c r="C3171" s="10"/>
    </row>
    <row r="3172" spans="1:3">
      <c r="A3172" s="9"/>
      <c r="B3172" s="10"/>
      <c r="C3172" s="10"/>
    </row>
    <row r="3173" spans="1:3">
      <c r="A3173" s="9"/>
      <c r="B3173" s="10"/>
      <c r="C3173" s="10"/>
    </row>
    <row r="3174" spans="1:3">
      <c r="A3174" s="9"/>
      <c r="B3174" s="10"/>
      <c r="C3174" s="10"/>
    </row>
    <row r="3175" spans="1:3">
      <c r="A3175" s="9"/>
      <c r="B3175" s="10"/>
      <c r="C3175" s="10"/>
    </row>
    <row r="3176" spans="1:3">
      <c r="A3176" s="9"/>
      <c r="B3176" s="10"/>
      <c r="C3176" s="10"/>
    </row>
    <row r="3177" spans="1:3">
      <c r="A3177" s="9"/>
      <c r="B3177" s="10"/>
      <c r="C3177" s="10"/>
    </row>
    <row r="3178" spans="1:3">
      <c r="A3178" s="9"/>
      <c r="B3178" s="10"/>
      <c r="C3178" s="10"/>
    </row>
    <row r="3179" spans="1:3">
      <c r="A3179" s="9"/>
      <c r="B3179" s="10"/>
      <c r="C3179" s="10"/>
    </row>
    <row r="3180" spans="1:3">
      <c r="A3180" s="9"/>
      <c r="B3180" s="10"/>
      <c r="C3180" s="10"/>
    </row>
    <row r="3181" spans="1:3">
      <c r="A3181" s="9"/>
      <c r="B3181" s="10"/>
      <c r="C3181" s="10"/>
    </row>
    <row r="3182" spans="1:3">
      <c r="A3182" s="9"/>
      <c r="B3182" s="10"/>
      <c r="C3182" s="10"/>
    </row>
    <row r="3183" spans="1:3">
      <c r="A3183" s="9"/>
      <c r="B3183" s="10"/>
      <c r="C3183" s="10"/>
    </row>
    <row r="3184" spans="1:3">
      <c r="A3184" s="9"/>
      <c r="B3184" s="10"/>
      <c r="C3184" s="10"/>
    </row>
    <row r="3185" spans="1:3">
      <c r="A3185" s="9"/>
      <c r="B3185" s="10"/>
      <c r="C3185" s="10"/>
    </row>
    <row r="3186" spans="1:3">
      <c r="A3186" s="9"/>
      <c r="B3186" s="10"/>
      <c r="C3186" s="10"/>
    </row>
    <row r="3187" spans="1:3">
      <c r="A3187" s="9"/>
      <c r="B3187" s="10"/>
      <c r="C3187" s="10"/>
    </row>
    <row r="3188" spans="1:3">
      <c r="A3188" s="9"/>
      <c r="B3188" s="10"/>
      <c r="C3188" s="10"/>
    </row>
    <row r="3189" spans="1:3">
      <c r="A3189" s="9"/>
      <c r="B3189" s="10"/>
      <c r="C3189" s="10"/>
    </row>
    <row r="3190" spans="1:3">
      <c r="A3190" s="9"/>
      <c r="B3190" s="10"/>
      <c r="C3190" s="10"/>
    </row>
    <row r="3191" spans="1:3">
      <c r="A3191" s="9"/>
      <c r="B3191" s="10"/>
      <c r="C3191" s="10"/>
    </row>
    <row r="3192" spans="1:3">
      <c r="A3192" s="9"/>
      <c r="B3192" s="10"/>
      <c r="C3192" s="10"/>
    </row>
    <row r="3193" spans="1:3">
      <c r="A3193" s="9"/>
      <c r="B3193" s="10"/>
      <c r="C3193" s="10"/>
    </row>
    <row r="3194" spans="1:3">
      <c r="A3194" s="9"/>
      <c r="B3194" s="10"/>
      <c r="C3194" s="10"/>
    </row>
    <row r="3195" spans="1:3">
      <c r="A3195" s="9"/>
      <c r="B3195" s="10"/>
      <c r="C3195" s="10"/>
    </row>
    <row r="3196" spans="1:3">
      <c r="A3196" s="9"/>
      <c r="B3196" s="10"/>
      <c r="C3196" s="10"/>
    </row>
    <row r="3197" spans="1:3">
      <c r="A3197" s="9"/>
      <c r="B3197" s="10"/>
      <c r="C3197" s="10"/>
    </row>
    <row r="3198" spans="1:3">
      <c r="A3198" s="9"/>
      <c r="B3198" s="10"/>
      <c r="C3198" s="10"/>
    </row>
    <row r="3199" spans="1:3">
      <c r="A3199" s="9"/>
      <c r="B3199" s="10"/>
      <c r="C3199" s="10"/>
    </row>
    <row r="3200" spans="1:3">
      <c r="A3200" s="9"/>
      <c r="B3200" s="10"/>
      <c r="C3200" s="10"/>
    </row>
    <row r="3201" spans="1:3">
      <c r="A3201" s="9"/>
      <c r="B3201" s="10"/>
      <c r="C3201" s="10"/>
    </row>
    <row r="3202" spans="1:3">
      <c r="A3202" s="9"/>
      <c r="B3202" s="10"/>
      <c r="C3202" s="10"/>
    </row>
    <row r="3203" spans="1:3">
      <c r="A3203" s="9"/>
      <c r="B3203" s="10"/>
      <c r="C3203" s="10"/>
    </row>
    <row r="3204" spans="1:3">
      <c r="A3204" s="9"/>
      <c r="B3204" s="10"/>
      <c r="C3204" s="10"/>
    </row>
    <row r="3205" spans="1:3">
      <c r="A3205" s="9"/>
      <c r="B3205" s="10"/>
      <c r="C3205" s="10"/>
    </row>
    <row r="3206" spans="1:3">
      <c r="A3206" s="9"/>
      <c r="B3206" s="10"/>
      <c r="C3206" s="10"/>
    </row>
    <row r="3207" spans="1:3">
      <c r="A3207" s="9"/>
      <c r="B3207" s="10"/>
      <c r="C3207" s="10"/>
    </row>
    <row r="3208" spans="1:3">
      <c r="A3208" s="9"/>
      <c r="B3208" s="10"/>
      <c r="C3208" s="10"/>
    </row>
    <row r="3209" spans="1:3">
      <c r="A3209" s="9"/>
      <c r="B3209" s="10"/>
      <c r="C3209" s="10"/>
    </row>
    <row r="3210" spans="1:3">
      <c r="A3210" s="9"/>
      <c r="B3210" s="10"/>
      <c r="C3210" s="10"/>
    </row>
    <row r="3211" spans="1:3">
      <c r="A3211" s="9"/>
      <c r="B3211" s="10"/>
      <c r="C3211" s="10"/>
    </row>
    <row r="3212" spans="1:3">
      <c r="A3212" s="9"/>
      <c r="B3212" s="10"/>
      <c r="C3212" s="10"/>
    </row>
    <row r="3213" spans="1:3">
      <c r="A3213" s="9"/>
      <c r="B3213" s="10"/>
      <c r="C3213" s="10"/>
    </row>
    <row r="3214" spans="1:3">
      <c r="A3214" s="9"/>
      <c r="B3214" s="10"/>
      <c r="C3214" s="10"/>
    </row>
    <row r="3215" spans="1:3">
      <c r="A3215" s="9"/>
      <c r="B3215" s="10"/>
      <c r="C3215" s="10"/>
    </row>
    <row r="3216" spans="1:3">
      <c r="A3216" s="9"/>
      <c r="B3216" s="10"/>
      <c r="C3216" s="10"/>
    </row>
    <row r="3217" spans="1:3">
      <c r="A3217" s="9"/>
      <c r="B3217" s="10"/>
      <c r="C3217" s="10"/>
    </row>
    <row r="3218" spans="1:3">
      <c r="A3218" s="9"/>
      <c r="B3218" s="10"/>
      <c r="C3218" s="10"/>
    </row>
    <row r="3219" spans="1:3">
      <c r="A3219" s="9"/>
      <c r="B3219" s="10"/>
      <c r="C3219" s="10"/>
    </row>
    <row r="3220" spans="1:3">
      <c r="A3220" s="9"/>
      <c r="B3220" s="10"/>
      <c r="C3220" s="10"/>
    </row>
    <row r="3221" spans="1:3">
      <c r="A3221" s="9"/>
      <c r="B3221" s="10"/>
      <c r="C3221" s="10"/>
    </row>
    <row r="3222" spans="1:3">
      <c r="A3222" s="9"/>
      <c r="B3222" s="10"/>
      <c r="C3222" s="10"/>
    </row>
    <row r="3223" spans="1:3">
      <c r="A3223" s="9"/>
      <c r="B3223" s="10"/>
      <c r="C3223" s="10"/>
    </row>
    <row r="3224" spans="1:3">
      <c r="A3224" s="9"/>
      <c r="B3224" s="10"/>
      <c r="C3224" s="10"/>
    </row>
    <row r="3225" spans="1:3">
      <c r="A3225" s="9"/>
      <c r="B3225" s="10"/>
      <c r="C3225" s="10"/>
    </row>
    <row r="3226" spans="1:3">
      <c r="A3226" s="9"/>
      <c r="B3226" s="10"/>
      <c r="C3226" s="10"/>
    </row>
    <row r="3227" spans="1:3">
      <c r="A3227" s="9"/>
      <c r="B3227" s="10"/>
      <c r="C3227" s="10"/>
    </row>
    <row r="3228" spans="1:3">
      <c r="A3228" s="9"/>
      <c r="B3228" s="10"/>
      <c r="C3228" s="10"/>
    </row>
    <row r="3229" spans="1:3">
      <c r="A3229" s="9"/>
      <c r="B3229" s="10"/>
      <c r="C3229" s="10"/>
    </row>
    <row r="3230" spans="1:3">
      <c r="A3230" s="9"/>
      <c r="B3230" s="10"/>
      <c r="C3230" s="10"/>
    </row>
    <row r="3231" spans="1:3">
      <c r="A3231" s="9"/>
      <c r="B3231" s="10"/>
      <c r="C3231" s="10"/>
    </row>
    <row r="3232" spans="1:3">
      <c r="A3232" s="9"/>
      <c r="B3232" s="10"/>
      <c r="C3232" s="10"/>
    </row>
    <row r="3233" spans="1:3">
      <c r="A3233" s="9"/>
      <c r="B3233" s="10"/>
      <c r="C3233" s="10"/>
    </row>
    <row r="3234" spans="1:3">
      <c r="A3234" s="9"/>
      <c r="B3234" s="10"/>
      <c r="C3234" s="10"/>
    </row>
    <row r="3235" spans="1:3">
      <c r="A3235" s="9"/>
      <c r="B3235" s="10"/>
      <c r="C3235" s="10"/>
    </row>
    <row r="3236" spans="1:3">
      <c r="A3236" s="9"/>
      <c r="B3236" s="10"/>
      <c r="C3236" s="10"/>
    </row>
    <row r="3237" spans="1:3">
      <c r="A3237" s="9"/>
      <c r="B3237" s="10"/>
      <c r="C3237" s="10"/>
    </row>
    <row r="3238" spans="1:3">
      <c r="A3238" s="9"/>
      <c r="B3238" s="10"/>
      <c r="C3238" s="10"/>
    </row>
    <row r="3239" spans="1:3">
      <c r="A3239" s="9"/>
      <c r="B3239" s="10"/>
      <c r="C3239" s="10"/>
    </row>
    <row r="3240" spans="1:3">
      <c r="A3240" s="9"/>
      <c r="B3240" s="10"/>
      <c r="C3240" s="10"/>
    </row>
    <row r="3241" spans="1:3">
      <c r="A3241" s="9"/>
      <c r="B3241" s="10"/>
      <c r="C3241" s="10"/>
    </row>
    <row r="3242" spans="1:3">
      <c r="A3242" s="9"/>
      <c r="B3242" s="10"/>
      <c r="C3242" s="10"/>
    </row>
  </sheetData>
  <autoFilter ref="A2:E306"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2026-03-10T06:24:44Z</dcterms:modified>
  <cp:category/>
  <cp:contentStatus/>
</cp:coreProperties>
</file>