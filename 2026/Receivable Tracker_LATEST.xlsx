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Latest Test/"/>
    </mc:Choice>
  </mc:AlternateContent>
  <xr:revisionPtr revIDLastSave="308" documentId="13_ncr:1_{9BB1D274-33FC-420C-8734-42D0930EAD68}" xr6:coauthVersionLast="47" xr6:coauthVersionMax="47" xr10:uidLastSave="{AE2EFF32-76B7-45B9-995D-34A9B0ADD5B8}"/>
  <bookViews>
    <workbookView xWindow="-108" yWindow="-108" windowWidth="23256" windowHeight="13896" firstSheet="3"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 name="RevOPs mapping" sheetId="10" state="hidden" r:id="rId8"/>
  </sheets>
  <externalReferences>
    <externalReference r:id="rId9"/>
  </externalReferences>
  <definedNames>
    <definedName name="_xlnm._FilterDatabase" localSheetId="3" hidden="1">Invoices!$A$1:$AA$155</definedName>
    <definedName name="_xlnm._FilterDatabase" localSheetId="4" hidden="1">Rebates!$A$1:$Y$9</definedName>
    <definedName name="_xlnm._FilterDatabase" localSheetId="7" hidden="1">'RevOPs mapping'!$A$1:$D$234</definedName>
    <definedName name="_xlnm._FilterDatabase" localSheetId="0" hidden="1">Summary!#REF!</definedName>
    <definedName name="_xlnm._FilterDatabase" localSheetId="6" hidden="1">Validation!$A$1:$E$341</definedName>
    <definedName name="Slicer_Account_Manager">#N/A</definedName>
    <definedName name="Slicer_Region">#N/A</definedName>
  </definedNames>
  <calcPr calcId="191028"/>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0" i="1" l="1"/>
  <c r="M151" i="1"/>
  <c r="M152" i="1"/>
  <c r="M153" i="1"/>
  <c r="M154" i="1"/>
  <c r="M155" i="1"/>
  <c r="M149" i="1"/>
  <c r="J155" i="1"/>
  <c r="J154" i="1"/>
  <c r="J153" i="1"/>
  <c r="J152" i="1"/>
  <c r="J151" i="1"/>
  <c r="J150" i="1"/>
  <c r="J149" i="1"/>
  <c r="G149" i="1"/>
  <c r="G150" i="1"/>
  <c r="G151" i="1"/>
  <c r="G152" i="1"/>
  <c r="G153" i="1"/>
  <c r="G154" i="1"/>
  <c r="G155" i="1"/>
  <c r="C155" i="1"/>
  <c r="C154" i="1"/>
  <c r="C152" i="1"/>
  <c r="C151" i="1"/>
  <c r="C150" i="1"/>
  <c r="C149" i="1"/>
  <c r="G16" i="3"/>
  <c r="G17" i="3"/>
  <c r="G18" i="3"/>
  <c r="G19" i="3"/>
  <c r="G20" i="3"/>
  <c r="C334" i="4"/>
  <c r="C331" i="4"/>
  <c r="C328" i="4"/>
  <c r="C327" i="4"/>
  <c r="C317" i="4"/>
  <c r="C315" i="4"/>
  <c r="C309" i="4"/>
  <c r="C298" i="4"/>
  <c r="C292" i="4"/>
  <c r="C283" i="4"/>
  <c r="C274" i="4"/>
  <c r="C273" i="4"/>
  <c r="C267" i="4"/>
  <c r="C266" i="4"/>
  <c r="C262" i="4"/>
  <c r="C251" i="4"/>
  <c r="C249" i="4"/>
  <c r="C240" i="4"/>
  <c r="C238" i="4"/>
  <c r="C229" i="4"/>
  <c r="C228" i="4"/>
  <c r="C227" i="4"/>
  <c r="C222" i="4"/>
  <c r="C217" i="4"/>
  <c r="C186" i="4"/>
  <c r="C183" i="4"/>
  <c r="C181" i="4"/>
  <c r="C171" i="4"/>
  <c r="C127" i="4"/>
  <c r="C110" i="4"/>
  <c r="C107" i="4"/>
  <c r="C95" i="4"/>
  <c r="C94" i="4"/>
  <c r="C68" i="4"/>
  <c r="C52" i="4"/>
  <c r="C45" i="4"/>
  <c r="C42" i="4"/>
  <c r="C29" i="4"/>
  <c r="C15" i="4"/>
  <c r="F19" i="3"/>
  <c r="E19" i="3"/>
  <c r="D19" i="3"/>
  <c r="C19" i="3"/>
  <c r="F17" i="3"/>
  <c r="E17" i="3"/>
  <c r="D17" i="3"/>
  <c r="C17" i="3"/>
  <c r="F16" i="3"/>
  <c r="E16" i="3"/>
  <c r="D16" i="3"/>
  <c r="C16" i="3"/>
  <c r="C95" i="1" l="1"/>
  <c r="D95" i="1"/>
  <c r="E95" i="1"/>
  <c r="G95" i="1"/>
  <c r="C96" i="1"/>
  <c r="D96" i="1"/>
  <c r="E96" i="1"/>
  <c r="G96" i="1"/>
  <c r="C97" i="1"/>
  <c r="D97" i="1"/>
  <c r="E97" i="1"/>
  <c r="G97" i="1"/>
  <c r="C98" i="1"/>
  <c r="D98" i="1"/>
  <c r="E98" i="1"/>
  <c r="G98" i="1"/>
  <c r="C99" i="1"/>
  <c r="D99" i="1"/>
  <c r="E99" i="1"/>
  <c r="G99" i="1"/>
  <c r="C100" i="1"/>
  <c r="D100" i="1"/>
  <c r="E100" i="1"/>
  <c r="G100" i="1"/>
  <c r="C101" i="1"/>
  <c r="D101" i="1"/>
  <c r="E101" i="1"/>
  <c r="G101" i="1"/>
  <c r="C102" i="1"/>
  <c r="D102" i="1"/>
  <c r="E102" i="1"/>
  <c r="G102" i="1"/>
  <c r="C103" i="1"/>
  <c r="D103" i="1"/>
  <c r="E103" i="1"/>
  <c r="G103" i="1"/>
  <c r="C104" i="1"/>
  <c r="D104" i="1"/>
  <c r="E104" i="1"/>
  <c r="G104" i="1"/>
  <c r="C105" i="1"/>
  <c r="D105" i="1"/>
  <c r="E105" i="1"/>
  <c r="G105" i="1"/>
  <c r="C106" i="1"/>
  <c r="D106" i="1"/>
  <c r="E106" i="1"/>
  <c r="G106" i="1"/>
  <c r="C107" i="1"/>
  <c r="D107" i="1"/>
  <c r="E107" i="1"/>
  <c r="G107" i="1"/>
  <c r="C108" i="1"/>
  <c r="D108" i="1"/>
  <c r="E108" i="1"/>
  <c r="G108" i="1"/>
  <c r="C109" i="1"/>
  <c r="D109" i="1"/>
  <c r="E109" i="1"/>
  <c r="G109" i="1"/>
  <c r="C110" i="1"/>
  <c r="D110" i="1"/>
  <c r="E110" i="1"/>
  <c r="G110" i="1"/>
  <c r="C111" i="1"/>
  <c r="D111" i="1"/>
  <c r="E111" i="1"/>
  <c r="G111" i="1"/>
  <c r="C112" i="1"/>
  <c r="D112" i="1"/>
  <c r="E112" i="1"/>
  <c r="G112" i="1"/>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C145" i="1"/>
  <c r="D145" i="1"/>
  <c r="E145" i="1"/>
  <c r="G145" i="1"/>
  <c r="C146" i="1"/>
  <c r="D146" i="1"/>
  <c r="E146" i="1"/>
  <c r="G146" i="1"/>
  <c r="C147" i="1"/>
  <c r="D147" i="1"/>
  <c r="E147" i="1"/>
  <c r="G147" i="1"/>
  <c r="C148" i="1"/>
  <c r="D148" i="1"/>
  <c r="E148" i="1"/>
  <c r="G148"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9" i="2"/>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G76" i="1"/>
  <c r="C77" i="1"/>
  <c r="D77" i="1"/>
  <c r="E77" i="1"/>
  <c r="G77" i="1"/>
  <c r="C78" i="1"/>
  <c r="D78" i="1"/>
  <c r="E78" i="1"/>
  <c r="G78" i="1"/>
  <c r="C79" i="1"/>
  <c r="D79" i="1"/>
  <c r="E79" i="1"/>
  <c r="G79" i="1"/>
  <c r="C80" i="1"/>
  <c r="D80" i="1"/>
  <c r="E80" i="1"/>
  <c r="G80" i="1"/>
  <c r="C81" i="1"/>
  <c r="D81" i="1"/>
  <c r="E81" i="1"/>
  <c r="G81" i="1"/>
  <c r="C82" i="1"/>
  <c r="D82" i="1"/>
  <c r="E82" i="1"/>
  <c r="G82" i="1"/>
  <c r="C83" i="1"/>
  <c r="D83" i="1"/>
  <c r="E83" i="1"/>
  <c r="G83" i="1"/>
  <c r="C84" i="1"/>
  <c r="D84" i="1"/>
  <c r="E84" i="1"/>
  <c r="G84" i="1"/>
  <c r="C85" i="1"/>
  <c r="D85" i="1"/>
  <c r="E85" i="1"/>
  <c r="G85" i="1"/>
  <c r="C86" i="1"/>
  <c r="D86" i="1"/>
  <c r="E86" i="1"/>
  <c r="G86" i="1"/>
  <c r="C87" i="1"/>
  <c r="D87" i="1"/>
  <c r="E87" i="1"/>
  <c r="G87" i="1"/>
  <c r="C88" i="1"/>
  <c r="D88" i="1"/>
  <c r="E88" i="1"/>
  <c r="G88" i="1"/>
  <c r="C89" i="1"/>
  <c r="D89" i="1"/>
  <c r="E89" i="1"/>
  <c r="G89" i="1"/>
  <c r="C90" i="1"/>
  <c r="D90" i="1"/>
  <c r="E90" i="1"/>
  <c r="G90" i="1"/>
  <c r="C91" i="1"/>
  <c r="D91" i="1"/>
  <c r="E91" i="1"/>
  <c r="G91" i="1"/>
  <c r="C92" i="1"/>
  <c r="D92" i="1"/>
  <c r="E92" i="1"/>
  <c r="G92" i="1"/>
  <c r="C93" i="1"/>
  <c r="D93" i="1"/>
  <c r="E93" i="1"/>
  <c r="G93" i="1"/>
  <c r="C94" i="1"/>
  <c r="D94" i="1"/>
  <c r="E94" i="1"/>
  <c r="G94" i="1"/>
  <c r="J68" i="1"/>
  <c r="J69" i="1"/>
  <c r="J70" i="1"/>
  <c r="J71" i="1"/>
  <c r="J72" i="1"/>
  <c r="J73" i="1"/>
  <c r="J74" i="1"/>
  <c r="J75" i="1"/>
  <c r="J76" i="1"/>
  <c r="J77" i="1"/>
  <c r="J78" i="1"/>
  <c r="J79" i="1"/>
  <c r="J80" i="1"/>
  <c r="J81" i="1"/>
  <c r="J82" i="1"/>
  <c r="J83" i="1"/>
  <c r="J84" i="1"/>
  <c r="J85" i="1"/>
  <c r="J86" i="1"/>
  <c r="J87" i="1"/>
  <c r="J88" i="1"/>
  <c r="J89" i="1"/>
  <c r="J90" i="1"/>
  <c r="J91" i="1"/>
  <c r="J92" i="1"/>
  <c r="J93" i="1"/>
  <c r="J94" i="1"/>
  <c r="M68" i="1"/>
  <c r="M69" i="1"/>
  <c r="M70" i="1"/>
  <c r="M71" i="1"/>
  <c r="M72" i="1"/>
  <c r="M73" i="1"/>
  <c r="M74" i="1"/>
  <c r="M75" i="1"/>
  <c r="M76" i="1"/>
  <c r="M77" i="1"/>
  <c r="M78" i="1"/>
  <c r="M79" i="1"/>
  <c r="M80" i="1"/>
  <c r="M81" i="1"/>
  <c r="M82" i="1"/>
  <c r="M83" i="1"/>
  <c r="M84" i="1"/>
  <c r="M85" i="1"/>
  <c r="M86" i="1"/>
  <c r="M87" i="1"/>
  <c r="M88" i="1"/>
  <c r="M89" i="1"/>
  <c r="M90" i="1"/>
  <c r="M91" i="1"/>
  <c r="M92" i="1"/>
  <c r="M93" i="1"/>
  <c r="M94" i="1"/>
  <c r="D38" i="3"/>
  <c r="G66" i="1"/>
  <c r="G67" i="1"/>
  <c r="M66" i="1"/>
  <c r="M67" i="1"/>
  <c r="J66" i="1"/>
  <c r="J67" i="1"/>
  <c r="C66" i="1"/>
  <c r="D66" i="1"/>
  <c r="E66" i="1"/>
  <c r="C67" i="1"/>
  <c r="D67" i="1"/>
  <c r="E67" i="1"/>
  <c r="C53" i="1"/>
  <c r="D53" i="1"/>
  <c r="E53" i="1"/>
  <c r="C54" i="1"/>
  <c r="D54" i="1"/>
  <c r="E54" i="1"/>
  <c r="C55" i="1"/>
  <c r="D55" i="1"/>
  <c r="E55" i="1"/>
  <c r="C56" i="1"/>
  <c r="D56" i="1"/>
  <c r="E56" i="1"/>
  <c r="C57" i="1"/>
  <c r="D57" i="1"/>
  <c r="E57" i="1"/>
  <c r="C58" i="1"/>
  <c r="D58" i="1"/>
  <c r="E58" i="1"/>
  <c r="C59" i="1"/>
  <c r="D59" i="1"/>
  <c r="E59" i="1"/>
  <c r="C60" i="1"/>
  <c r="D60" i="1"/>
  <c r="E60" i="1"/>
  <c r="C61" i="1"/>
  <c r="D61" i="1"/>
  <c r="E61" i="1"/>
  <c r="C62" i="1"/>
  <c r="D62" i="1"/>
  <c r="E62" i="1"/>
  <c r="C63" i="1"/>
  <c r="D63" i="1"/>
  <c r="E63" i="1"/>
  <c r="C64" i="1"/>
  <c r="D64" i="1"/>
  <c r="E64" i="1"/>
  <c r="C65" i="1"/>
  <c r="D65" i="1"/>
  <c r="E65" i="1"/>
  <c r="M54" i="1"/>
  <c r="M55" i="1"/>
  <c r="M56" i="1"/>
  <c r="M57" i="1"/>
  <c r="M58" i="1"/>
  <c r="M59" i="1"/>
  <c r="M60" i="1"/>
  <c r="M61" i="1"/>
  <c r="M62" i="1"/>
  <c r="M63" i="1"/>
  <c r="M64" i="1"/>
  <c r="M65" i="1"/>
  <c r="J54" i="1"/>
  <c r="J55" i="1"/>
  <c r="J56" i="1"/>
  <c r="J57" i="1"/>
  <c r="J58" i="1"/>
  <c r="J59" i="1"/>
  <c r="J60" i="1"/>
  <c r="J61" i="1"/>
  <c r="J62" i="1"/>
  <c r="J63" i="1"/>
  <c r="J64" i="1"/>
  <c r="J65" i="1"/>
  <c r="G54" i="1"/>
  <c r="G55" i="1"/>
  <c r="G56" i="1"/>
  <c r="G57" i="1"/>
  <c r="G58" i="1"/>
  <c r="G59" i="1"/>
  <c r="G60" i="1"/>
  <c r="G61" i="1"/>
  <c r="G62" i="1"/>
  <c r="G63" i="1"/>
  <c r="G64" i="1"/>
  <c r="G65" i="1"/>
  <c r="G52" i="1"/>
  <c r="G53" i="1"/>
  <c r="J42" i="1" l="1"/>
  <c r="J43" i="1"/>
  <c r="J44" i="1"/>
  <c r="J45" i="1"/>
  <c r="J46" i="1"/>
  <c r="J47" i="1"/>
  <c r="J48" i="1"/>
  <c r="J49" i="1"/>
  <c r="J50" i="1"/>
  <c r="J51" i="1"/>
  <c r="J52" i="1"/>
  <c r="J53" i="1"/>
  <c r="C36" i="1"/>
  <c r="D36" i="1"/>
  <c r="E36" i="1"/>
  <c r="G36" i="1"/>
  <c r="C37" i="1"/>
  <c r="D37" i="1"/>
  <c r="E37" i="1"/>
  <c r="G37" i="1"/>
  <c r="C38" i="1"/>
  <c r="D38" i="1"/>
  <c r="E38" i="1"/>
  <c r="G38" i="1"/>
  <c r="C39" i="1"/>
  <c r="D39" i="1"/>
  <c r="E39" i="1"/>
  <c r="G39" i="1"/>
  <c r="C40" i="1"/>
  <c r="D40" i="1"/>
  <c r="E40" i="1"/>
  <c r="G40" i="1"/>
  <c r="C41" i="1"/>
  <c r="D41" i="1"/>
  <c r="E41" i="1"/>
  <c r="G41" i="1"/>
  <c r="C42" i="1"/>
  <c r="D42" i="1"/>
  <c r="E42" i="1"/>
  <c r="G42" i="1"/>
  <c r="C43" i="1"/>
  <c r="D43" i="1"/>
  <c r="E43" i="1"/>
  <c r="G43" i="1"/>
  <c r="C44" i="1"/>
  <c r="D44" i="1"/>
  <c r="E44" i="1"/>
  <c r="G44" i="1"/>
  <c r="C45" i="1"/>
  <c r="D45" i="1"/>
  <c r="E45" i="1"/>
  <c r="G45" i="1"/>
  <c r="C46" i="1"/>
  <c r="D46" i="1"/>
  <c r="E46" i="1"/>
  <c r="G46" i="1"/>
  <c r="C47" i="1"/>
  <c r="D47" i="1"/>
  <c r="E47" i="1"/>
  <c r="G47" i="1"/>
  <c r="C48" i="1"/>
  <c r="D48" i="1"/>
  <c r="E48" i="1"/>
  <c r="G48" i="1"/>
  <c r="C49" i="1"/>
  <c r="D49" i="1"/>
  <c r="E49" i="1"/>
  <c r="G49" i="1"/>
  <c r="C50" i="1"/>
  <c r="D50" i="1"/>
  <c r="E50" i="1"/>
  <c r="G50" i="1"/>
  <c r="C51" i="1"/>
  <c r="D51" i="1"/>
  <c r="E51" i="1"/>
  <c r="G51" i="1"/>
  <c r="C52" i="1"/>
  <c r="D52" i="1"/>
  <c r="E52" i="1"/>
  <c r="M42" i="1"/>
  <c r="M43" i="1"/>
  <c r="M44" i="1"/>
  <c r="M45" i="1"/>
  <c r="M46" i="1"/>
  <c r="M47" i="1"/>
  <c r="M48" i="1"/>
  <c r="M49" i="1"/>
  <c r="M50" i="1"/>
  <c r="M51" i="1"/>
  <c r="M52" i="1"/>
  <c r="M53" i="1"/>
  <c r="M36" i="1"/>
  <c r="M37" i="1"/>
  <c r="M38" i="1"/>
  <c r="M39" i="1"/>
  <c r="M40" i="1"/>
  <c r="M41" i="1"/>
  <c r="M35" i="1" l="1"/>
  <c r="J35" i="1"/>
  <c r="J36" i="1"/>
  <c r="J37" i="1"/>
  <c r="J38" i="1"/>
  <c r="J39" i="1"/>
  <c r="J40" i="1"/>
  <c r="J41" i="1"/>
  <c r="G35" i="1"/>
  <c r="C35" i="1"/>
  <c r="D35" i="1"/>
  <c r="E35" i="1"/>
  <c r="M34" i="1"/>
  <c r="G34" i="1"/>
  <c r="J34" i="1"/>
  <c r="C34" i="1"/>
  <c r="D34" i="1"/>
  <c r="E34" i="1"/>
  <c r="M29" i="1" l="1"/>
  <c r="M30" i="1"/>
  <c r="M31" i="1"/>
  <c r="M32" i="1"/>
  <c r="M33" i="1"/>
  <c r="J29" i="1"/>
  <c r="J30" i="1"/>
  <c r="J31" i="1"/>
  <c r="J32" i="1"/>
  <c r="J3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C29" i="1"/>
  <c r="D29" i="1"/>
  <c r="E29" i="1"/>
  <c r="C30" i="1"/>
  <c r="D30" i="1"/>
  <c r="E30" i="1"/>
  <c r="C31" i="1"/>
  <c r="D31" i="1"/>
  <c r="E31" i="1"/>
  <c r="C32" i="1"/>
  <c r="D32" i="1"/>
  <c r="E32" i="1"/>
  <c r="C33" i="1"/>
  <c r="D33" i="1"/>
  <c r="E33" i="1"/>
  <c r="J28" i="1" l="1"/>
  <c r="M28" i="1"/>
  <c r="C28" i="1"/>
  <c r="D28" i="1"/>
  <c r="E28" i="1"/>
  <c r="Z10" i="1"/>
  <c r="AA10" i="1" s="1"/>
  <c r="Z12" i="1"/>
  <c r="AA12" i="1" s="1"/>
  <c r="Z18" i="1"/>
  <c r="AA18" i="1" s="1"/>
  <c r="Z23" i="1"/>
  <c r="AA23" i="1" s="1"/>
  <c r="Z13" i="1"/>
  <c r="AA13" i="1" s="1"/>
  <c r="Z17" i="1"/>
  <c r="AA17" i="1" s="1"/>
  <c r="Z19" i="1"/>
  <c r="AA19" i="1" s="1"/>
  <c r="Z24" i="1"/>
  <c r="AA24" i="1" s="1"/>
  <c r="Z20" i="1"/>
  <c r="AA20" i="1" s="1"/>
  <c r="Z25" i="1"/>
  <c r="AA25" i="1" s="1"/>
  <c r="Z14" i="1"/>
  <c r="AA14" i="1" s="1"/>
  <c r="Z26" i="1"/>
  <c r="AA26" i="1" s="1"/>
  <c r="Z8" i="1"/>
  <c r="AA8" i="1" s="1"/>
  <c r="Z9" i="1"/>
  <c r="AA9" i="1" s="1"/>
  <c r="Z11" i="1"/>
  <c r="AA11" i="1" s="1"/>
  <c r="Z15" i="1"/>
  <c r="AA15" i="1" s="1"/>
  <c r="Z21" i="1"/>
  <c r="AA21" i="1" s="1"/>
  <c r="Z27" i="1"/>
  <c r="AA27" i="1" s="1"/>
  <c r="Z2" i="1"/>
  <c r="AA2" i="1" s="1"/>
  <c r="Z3" i="1"/>
  <c r="AA3" i="1" s="1"/>
  <c r="Z4" i="1"/>
  <c r="AA4" i="1" s="1"/>
  <c r="Z5" i="1"/>
  <c r="AA5" i="1" s="1"/>
  <c r="Z6" i="1"/>
  <c r="AA6" i="1" s="1"/>
  <c r="Z7" i="1"/>
  <c r="AA7" i="1" s="1"/>
  <c r="Z16" i="1"/>
  <c r="AA16" i="1" s="1"/>
  <c r="Y10" i="1"/>
  <c r="Y11" i="1"/>
  <c r="Y12" i="1"/>
  <c r="Y13" i="1"/>
  <c r="Y14" i="1"/>
  <c r="Y15" i="1"/>
  <c r="Y16" i="1"/>
  <c r="Y17" i="1"/>
  <c r="Y18" i="1"/>
  <c r="Y19" i="1"/>
  <c r="Y20" i="1"/>
  <c r="Y21" i="1"/>
  <c r="Y22" i="1"/>
  <c r="Y23" i="1"/>
  <c r="Y24" i="1"/>
  <c r="Y25" i="1"/>
  <c r="Y26" i="1"/>
  <c r="Y27" i="1"/>
  <c r="Y2" i="1"/>
  <c r="Y3" i="1"/>
  <c r="Y4" i="1"/>
  <c r="Y5" i="1"/>
  <c r="Y6" i="1"/>
  <c r="Y7" i="1"/>
  <c r="Y8" i="1"/>
  <c r="Y9" i="1"/>
  <c r="M22" i="1"/>
  <c r="M23" i="1"/>
  <c r="M24" i="1"/>
  <c r="M25" i="1"/>
  <c r="M26" i="1"/>
  <c r="M27" i="1"/>
  <c r="J22" i="1"/>
  <c r="J23" i="1"/>
  <c r="J24" i="1"/>
  <c r="J25" i="1"/>
  <c r="J26" i="1"/>
  <c r="J27" i="1"/>
  <c r="C22" i="1"/>
  <c r="D22" i="1"/>
  <c r="E22" i="1"/>
  <c r="C23" i="1"/>
  <c r="D23" i="1"/>
  <c r="E23" i="1"/>
  <c r="C24" i="1"/>
  <c r="D24" i="1"/>
  <c r="E24" i="1"/>
  <c r="C25" i="1"/>
  <c r="D25" i="1"/>
  <c r="E25" i="1"/>
  <c r="C26" i="1"/>
  <c r="D26" i="1"/>
  <c r="E26" i="1"/>
  <c r="C27" i="1"/>
  <c r="D27" i="1"/>
  <c r="E27" i="1"/>
  <c r="C2" i="1"/>
  <c r="C3" i="1"/>
  <c r="C4" i="1"/>
  <c r="C5" i="1"/>
  <c r="C6" i="1"/>
  <c r="C7" i="1"/>
  <c r="C8" i="1"/>
  <c r="C9" i="1"/>
  <c r="C10" i="1"/>
  <c r="C11" i="1"/>
  <c r="C12" i="1"/>
  <c r="C13" i="1"/>
  <c r="C14" i="1"/>
  <c r="C15" i="1"/>
  <c r="C16" i="1"/>
  <c r="C17" i="1"/>
  <c r="C18" i="1"/>
  <c r="C19" i="1"/>
  <c r="C20" i="1"/>
  <c r="C21" i="1"/>
  <c r="M18" i="1"/>
  <c r="M19" i="1"/>
  <c r="M20" i="1"/>
  <c r="M21" i="1"/>
  <c r="J16" i="1"/>
  <c r="J17" i="1"/>
  <c r="J18" i="1"/>
  <c r="J19" i="1"/>
  <c r="J20" i="1"/>
  <c r="J21" i="1"/>
  <c r="D18" i="1"/>
  <c r="E18" i="1"/>
  <c r="D19" i="1"/>
  <c r="E19" i="1"/>
  <c r="D20" i="1"/>
  <c r="E20" i="1"/>
  <c r="D21" i="1"/>
  <c r="E21" i="1"/>
  <c r="M17" i="1"/>
  <c r="D17" i="1"/>
  <c r="E17" i="1"/>
  <c r="M12" i="1" l="1"/>
  <c r="M13" i="1"/>
  <c r="M14" i="1"/>
  <c r="M15" i="1"/>
  <c r="M16" i="1"/>
  <c r="J12" i="1"/>
  <c r="J13" i="1"/>
  <c r="J14" i="1"/>
  <c r="J15" i="1"/>
  <c r="D12" i="1"/>
  <c r="E12" i="1"/>
  <c r="D13" i="1"/>
  <c r="E13" i="1"/>
  <c r="D14" i="1"/>
  <c r="E14" i="1"/>
  <c r="D15" i="1"/>
  <c r="E15" i="1"/>
  <c r="D16" i="1"/>
  <c r="E16" i="1"/>
  <c r="M10" i="1"/>
  <c r="M11" i="1"/>
  <c r="J10" i="1"/>
  <c r="J11" i="1"/>
  <c r="D10" i="1"/>
  <c r="E10" i="1"/>
  <c r="D11" i="1"/>
  <c r="E11" i="1"/>
  <c r="D2" i="1" l="1"/>
  <c r="M9" i="1" l="1"/>
  <c r="J9" i="1"/>
  <c r="D9" i="1"/>
  <c r="E9" i="1"/>
  <c r="J2" i="1" l="1"/>
  <c r="J3" i="1"/>
  <c r="J4" i="1"/>
  <c r="J6" i="1"/>
  <c r="J7" i="1"/>
  <c r="J8" i="1"/>
  <c r="M8" i="1"/>
  <c r="D8" i="1"/>
  <c r="E8" i="1"/>
  <c r="M6" i="1" l="1"/>
  <c r="M7" i="1"/>
  <c r="D18" i="3"/>
  <c r="C18" i="3"/>
  <c r="F18" i="3"/>
  <c r="E18" i="3"/>
  <c r="D6" i="1" l="1"/>
  <c r="E6" i="1"/>
  <c r="D7" i="1"/>
  <c r="E7" i="1"/>
  <c r="M2" i="1"/>
  <c r="M3" i="1"/>
  <c r="M4" i="1"/>
  <c r="M5" i="1"/>
  <c r="E2" i="1"/>
  <c r="D3" i="1"/>
  <c r="E3" i="1"/>
  <c r="D4" i="1"/>
  <c r="E4" i="1"/>
  <c r="D5" i="1"/>
  <c r="E5" i="1"/>
  <c r="J5" i="1" l="1"/>
  <c r="G2" i="1" l="1"/>
  <c r="F15" i="3"/>
  <c r="E15" i="3"/>
  <c r="D15" i="3"/>
  <c r="C15" i="3"/>
  <c r="E20" i="3" l="1"/>
  <c r="D20" i="3"/>
  <c r="F20" i="3"/>
  <c r="C20" i="3"/>
  <c r="G15" i="3"/>
  <c r="H19" i="3" l="1"/>
  <c r="Y1" i="1"/>
  <c r="N149" i="1" l="1"/>
  <c r="O149" i="1" s="1"/>
  <c r="N153" i="1"/>
  <c r="O153" i="1" s="1"/>
  <c r="N154" i="1"/>
  <c r="O154" i="1" s="1"/>
  <c r="N155" i="1"/>
  <c r="O155" i="1" s="1"/>
  <c r="N151" i="1"/>
  <c r="O151" i="1" s="1"/>
  <c r="N150" i="1"/>
  <c r="O150" i="1" s="1"/>
  <c r="N152" i="1"/>
  <c r="O152" i="1" s="1"/>
  <c r="N115" i="1"/>
  <c r="O115" i="1" s="1"/>
  <c r="N96" i="1"/>
  <c r="O96" i="1" s="1"/>
  <c r="N97" i="1"/>
  <c r="O97" i="1" s="1"/>
  <c r="N100" i="1"/>
  <c r="O100" i="1" s="1"/>
  <c r="N103" i="1"/>
  <c r="O103" i="1" s="1"/>
  <c r="N105" i="1"/>
  <c r="O105" i="1" s="1"/>
  <c r="N108" i="1"/>
  <c r="O108" i="1" s="1"/>
  <c r="N112" i="1"/>
  <c r="O112" i="1" s="1"/>
  <c r="N116" i="1"/>
  <c r="O116" i="1" s="1"/>
  <c r="N120" i="1"/>
  <c r="O120" i="1" s="1"/>
  <c r="N122" i="1"/>
  <c r="O122" i="1" s="1"/>
  <c r="N126" i="1"/>
  <c r="O126" i="1" s="1"/>
  <c r="N129" i="1"/>
  <c r="O129" i="1" s="1"/>
  <c r="N133" i="1"/>
  <c r="O133" i="1" s="1"/>
  <c r="N140" i="1"/>
  <c r="O140" i="1" s="1"/>
  <c r="N143" i="1"/>
  <c r="O143" i="1" s="1"/>
  <c r="N146" i="1"/>
  <c r="O146" i="1" s="1"/>
  <c r="N147" i="1"/>
  <c r="O147" i="1" s="1"/>
  <c r="N98" i="1"/>
  <c r="O98" i="1" s="1"/>
  <c r="N101" i="1"/>
  <c r="O101" i="1" s="1"/>
  <c r="N106" i="1"/>
  <c r="O106" i="1" s="1"/>
  <c r="N113" i="1"/>
  <c r="O113" i="1" s="1"/>
  <c r="N117" i="1"/>
  <c r="O117" i="1" s="1"/>
  <c r="N130" i="1"/>
  <c r="O130" i="1" s="1"/>
  <c r="N134" i="1"/>
  <c r="O134" i="1" s="1"/>
  <c r="N138" i="1"/>
  <c r="O138" i="1" s="1"/>
  <c r="N144" i="1"/>
  <c r="O144" i="1" s="1"/>
  <c r="N148" i="1"/>
  <c r="O148" i="1" s="1"/>
  <c r="N119" i="1"/>
  <c r="O119" i="1" s="1"/>
  <c r="N132" i="1"/>
  <c r="O132" i="1" s="1"/>
  <c r="N95" i="1"/>
  <c r="O95" i="1" s="1"/>
  <c r="N109" i="1"/>
  <c r="O109" i="1" s="1"/>
  <c r="N141" i="1"/>
  <c r="O141" i="1" s="1"/>
  <c r="N111" i="1"/>
  <c r="O111" i="1" s="1"/>
  <c r="N128" i="1"/>
  <c r="O128" i="1" s="1"/>
  <c r="N137" i="1"/>
  <c r="O137" i="1" s="1"/>
  <c r="N123" i="1"/>
  <c r="O123" i="1" s="1"/>
  <c r="N102" i="1"/>
  <c r="O102" i="1" s="1"/>
  <c r="N104" i="1"/>
  <c r="O104" i="1" s="1"/>
  <c r="N107" i="1"/>
  <c r="O107" i="1" s="1"/>
  <c r="N110" i="1"/>
  <c r="O110" i="1" s="1"/>
  <c r="N114" i="1"/>
  <c r="O114" i="1" s="1"/>
  <c r="N118" i="1"/>
  <c r="O118" i="1" s="1"/>
  <c r="N121" i="1"/>
  <c r="O121" i="1" s="1"/>
  <c r="N124" i="1"/>
  <c r="O124" i="1" s="1"/>
  <c r="N127" i="1"/>
  <c r="O127" i="1" s="1"/>
  <c r="N131" i="1"/>
  <c r="O131" i="1" s="1"/>
  <c r="N135" i="1"/>
  <c r="O135" i="1" s="1"/>
  <c r="N139" i="1"/>
  <c r="O139" i="1" s="1"/>
  <c r="N142" i="1"/>
  <c r="O142" i="1" s="1"/>
  <c r="N145" i="1"/>
  <c r="O145" i="1" s="1"/>
  <c r="N99" i="1"/>
  <c r="O99" i="1" s="1"/>
  <c r="N125" i="1"/>
  <c r="O125" i="1" s="1"/>
  <c r="N136" i="1"/>
  <c r="O136" i="1" s="1"/>
  <c r="N69" i="1"/>
  <c r="O69" i="1" s="1"/>
  <c r="N86" i="1"/>
  <c r="O86" i="1" s="1"/>
  <c r="N92" i="1"/>
  <c r="O92" i="1" s="1"/>
  <c r="N70" i="1"/>
  <c r="O70" i="1" s="1"/>
  <c r="N74" i="1"/>
  <c r="O74" i="1" s="1"/>
  <c r="N76" i="1"/>
  <c r="O76" i="1" s="1"/>
  <c r="N79" i="1"/>
  <c r="O79" i="1" s="1"/>
  <c r="N82" i="1"/>
  <c r="O82" i="1" s="1"/>
  <c r="N83" i="1"/>
  <c r="O83" i="1" s="1"/>
  <c r="N88" i="1"/>
  <c r="O88" i="1" s="1"/>
  <c r="N93" i="1"/>
  <c r="O93" i="1" s="1"/>
  <c r="N94" i="1"/>
  <c r="O94" i="1" s="1"/>
  <c r="N72" i="1"/>
  <c r="O72" i="1" s="1"/>
  <c r="N77" i="1"/>
  <c r="O77" i="1" s="1"/>
  <c r="N80" i="1"/>
  <c r="O80" i="1" s="1"/>
  <c r="N84" i="1"/>
  <c r="O84" i="1" s="1"/>
  <c r="N87" i="1"/>
  <c r="O87" i="1" s="1"/>
  <c r="N89" i="1"/>
  <c r="O89" i="1" s="1"/>
  <c r="N90" i="1"/>
  <c r="O90" i="1" s="1"/>
  <c r="N68" i="1"/>
  <c r="O68" i="1" s="1"/>
  <c r="N71" i="1"/>
  <c r="O71" i="1" s="1"/>
  <c r="N73" i="1"/>
  <c r="O73" i="1" s="1"/>
  <c r="N75" i="1"/>
  <c r="O75" i="1" s="1"/>
  <c r="N78" i="1"/>
  <c r="O78" i="1" s="1"/>
  <c r="N81" i="1"/>
  <c r="O81" i="1" s="1"/>
  <c r="N85" i="1"/>
  <c r="O85" i="1" s="1"/>
  <c r="N91" i="1"/>
  <c r="O91" i="1" s="1"/>
  <c r="N66" i="1"/>
  <c r="O66" i="1" s="1"/>
  <c r="N67" i="1"/>
  <c r="O67" i="1" s="1"/>
  <c r="N56" i="1"/>
  <c r="O56" i="1" s="1"/>
  <c r="N62" i="1"/>
  <c r="O62" i="1" s="1"/>
  <c r="N55" i="1"/>
  <c r="O55" i="1" s="1"/>
  <c r="N59" i="1"/>
  <c r="O59" i="1" s="1"/>
  <c r="N63" i="1"/>
  <c r="O63" i="1" s="1"/>
  <c r="N65" i="1"/>
  <c r="O65" i="1" s="1"/>
  <c r="N54" i="1"/>
  <c r="O54" i="1" s="1"/>
  <c r="N57" i="1"/>
  <c r="O57" i="1" s="1"/>
  <c r="N64" i="1"/>
  <c r="O64" i="1" s="1"/>
  <c r="N58" i="1"/>
  <c r="O58" i="1" s="1"/>
  <c r="N60" i="1"/>
  <c r="O60" i="1" s="1"/>
  <c r="N61" i="1"/>
  <c r="O61" i="1" s="1"/>
  <c r="H18" i="3"/>
  <c r="N47" i="1"/>
  <c r="O47" i="1" s="1"/>
  <c r="N51" i="1"/>
  <c r="O51" i="1" s="1"/>
  <c r="N53" i="1"/>
  <c r="O53" i="1" s="1"/>
  <c r="N42" i="1"/>
  <c r="O42" i="1" s="1"/>
  <c r="N44" i="1"/>
  <c r="O44" i="1" s="1"/>
  <c r="N43" i="1"/>
  <c r="O43" i="1" s="1"/>
  <c r="N45" i="1"/>
  <c r="O45" i="1" s="1"/>
  <c r="N49" i="1"/>
  <c r="O49" i="1" s="1"/>
  <c r="N46" i="1"/>
  <c r="O46" i="1" s="1"/>
  <c r="N48" i="1"/>
  <c r="O48" i="1" s="1"/>
  <c r="N50" i="1"/>
  <c r="O50" i="1" s="1"/>
  <c r="N52" i="1"/>
  <c r="O52" i="1" s="1"/>
  <c r="N38" i="1"/>
  <c r="O38" i="1" s="1"/>
  <c r="N41" i="1"/>
  <c r="O41" i="1" s="1"/>
  <c r="N39" i="1"/>
  <c r="O39" i="1" s="1"/>
  <c r="N40" i="1"/>
  <c r="O40" i="1" s="1"/>
  <c r="N35" i="1"/>
  <c r="O35" i="1" s="1"/>
  <c r="N36" i="1"/>
  <c r="O36" i="1" s="1"/>
  <c r="N37" i="1"/>
  <c r="O37" i="1" s="1"/>
  <c r="N34" i="1"/>
  <c r="O34" i="1" s="1"/>
  <c r="N32" i="1"/>
  <c r="O32" i="1" s="1"/>
  <c r="N29" i="1"/>
  <c r="O29" i="1" s="1"/>
  <c r="N30" i="1"/>
  <c r="O30" i="1" s="1"/>
  <c r="N33" i="1"/>
  <c r="O33" i="1" s="1"/>
  <c r="N31" i="1"/>
  <c r="O31" i="1" s="1"/>
  <c r="N28" i="1"/>
  <c r="O28" i="1" s="1"/>
  <c r="N22" i="1"/>
  <c r="O22" i="1" s="1"/>
  <c r="N23" i="1"/>
  <c r="O23" i="1" s="1"/>
  <c r="N24" i="1"/>
  <c r="O24" i="1" s="1"/>
  <c r="N25" i="1"/>
  <c r="O25" i="1" s="1"/>
  <c r="N26" i="1"/>
  <c r="O26" i="1" s="1"/>
  <c r="N27" i="1"/>
  <c r="O27" i="1" s="1"/>
  <c r="N21" i="1"/>
  <c r="O21" i="1" s="1"/>
  <c r="N19" i="1"/>
  <c r="O19" i="1" s="1"/>
  <c r="N20" i="1"/>
  <c r="O20" i="1" s="1"/>
  <c r="N18" i="1"/>
  <c r="O18" i="1" s="1"/>
  <c r="N17" i="1"/>
  <c r="O17" i="1" s="1"/>
  <c r="N16" i="1"/>
  <c r="O16" i="1" s="1"/>
  <c r="N13" i="1"/>
  <c r="O13" i="1" s="1"/>
  <c r="N14" i="1"/>
  <c r="O14" i="1" s="1"/>
  <c r="N15" i="1"/>
  <c r="O15" i="1" s="1"/>
  <c r="N12" i="1"/>
  <c r="O12" i="1" s="1"/>
  <c r="N10" i="1"/>
  <c r="O10" i="1" s="1"/>
  <c r="N11" i="1"/>
  <c r="O11" i="1" s="1"/>
  <c r="N9" i="1"/>
  <c r="O9" i="1" s="1"/>
  <c r="N8" i="1"/>
  <c r="O8" i="1" s="1"/>
  <c r="F21" i="3"/>
  <c r="E21" i="3"/>
  <c r="H15" i="3"/>
  <c r="H16" i="3"/>
  <c r="H17" i="3"/>
  <c r="C21" i="3"/>
  <c r="D21" i="3"/>
  <c r="N6" i="1"/>
  <c r="O6" i="1" s="1"/>
  <c r="N7" i="1"/>
  <c r="O7" i="1" s="1"/>
  <c r="N3" i="1"/>
  <c r="O3" i="1" s="1"/>
  <c r="N5" i="1"/>
  <c r="O5" i="1" s="1"/>
  <c r="N4" i="1"/>
  <c r="O4" i="1" s="1"/>
  <c r="N2"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tc={3977C2AB-3BAD-41CF-A2DC-938757E7A6BF}</author>
  </authors>
  <commentList>
    <comment ref="A168" authorId="0" shapeId="0" xr:uid="{3977C2AB-3BAD-41CF-A2DC-938757E7A6BF}">
      <text>
        <t>[Threaded comment]
Your version of Excel allows you to read this threaded comment; however, any edits to it will get removed if the file is opened in a newer version of Excel. Learn more: https://go.microsoft.com/fwlink/?linkid=870924
Comment:
    Tagged to EU</t>
      </text>
    </comment>
  </commentList>
</comments>
</file>

<file path=xl/sharedStrings.xml><?xml version="1.0" encoding="utf-8"?>
<sst xmlns="http://schemas.openxmlformats.org/spreadsheetml/2006/main" count="5185" uniqueCount="1284">
  <si>
    <t>RECEIVABLE SUMMARY(In $)</t>
  </si>
  <si>
    <t>Sum of USD AMOUNT</t>
  </si>
  <si>
    <t>Column Labels</t>
  </si>
  <si>
    <t>Row Labels</t>
  </si>
  <si>
    <t>0-30 days</t>
  </si>
  <si>
    <t>31-60 days</t>
  </si>
  <si>
    <t>61-90 days</t>
  </si>
  <si>
    <t>Over 90+ days</t>
  </si>
  <si>
    <t>Grand Total</t>
  </si>
  <si>
    <t>EU/UK</t>
  </si>
  <si>
    <t>APAC</t>
  </si>
  <si>
    <t>Shared Center</t>
  </si>
  <si>
    <t>Americas</t>
  </si>
  <si>
    <t>MEA</t>
  </si>
  <si>
    <t>Regional Outstanding (In $)</t>
  </si>
  <si>
    <t>Region</t>
  </si>
  <si>
    <t>Region-wise contribution(%)</t>
  </si>
  <si>
    <t>Shared Centre</t>
  </si>
  <si>
    <t>Ageing-wise contribution(%)</t>
  </si>
  <si>
    <t>Customer Label</t>
  </si>
  <si>
    <t>Account Manager</t>
  </si>
  <si>
    <t>BD</t>
  </si>
  <si>
    <t>Amount($)</t>
  </si>
  <si>
    <t>Al Muzaini Exchange</t>
  </si>
  <si>
    <t>Jerome Coelho</t>
  </si>
  <si>
    <t>Ashraf Omran</t>
  </si>
  <si>
    <t>Aspire FT Pte Ltd</t>
  </si>
  <si>
    <t>Shi Yin</t>
  </si>
  <si>
    <t>Gitesh Athavale</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</si>
  <si>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</si>
  <si>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</si>
  <si>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</si>
  <si>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</si>
  <si>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</si>
  <si>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</si>
  <si>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</si>
  <si>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</si>
  <si>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</si>
  <si>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</si>
  <si>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</si>
  <si>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</si>
  <si>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</si>
  <si>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</si>
  <si>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</si>
  <si>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</si>
  <si>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</si>
  <si>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</si>
  <si>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Mar</t>
  </si>
  <si>
    <t>Apr</t>
  </si>
  <si>
    <t>Sep</t>
  </si>
  <si>
    <t>Oct</t>
  </si>
  <si>
    <t>Nov</t>
  </si>
  <si>
    <t>Dec</t>
  </si>
  <si>
    <t>Jul</t>
  </si>
  <si>
    <t>Aug</t>
  </si>
  <si>
    <t>USA</t>
  </si>
  <si>
    <t>N1</t>
  </si>
  <si>
    <t>Bank Transfer</t>
  </si>
  <si>
    <t>Active</t>
  </si>
  <si>
    <t>AM is chasing the client to clear all o/s invoices</t>
  </si>
  <si>
    <t>KOHO Financial Inc.-Verify</t>
  </si>
  <si>
    <t>No response from the client post reminder sent</t>
  </si>
  <si>
    <t>Tanu Arora</t>
  </si>
  <si>
    <t>Vinoth M</t>
  </si>
  <si>
    <t>MyBeacon Services Inc.</t>
  </si>
  <si>
    <t>Michael Bermingham</t>
  </si>
  <si>
    <t>MyBeacon Services Inc.-Verify</t>
  </si>
  <si>
    <t>KOHO Financial Inc.</t>
  </si>
  <si>
    <t>BEXS BANCO DE CAMBIO S.A.</t>
  </si>
  <si>
    <t>Masspay</t>
  </si>
  <si>
    <t>Poaster Technologies Inc. DBA Warp</t>
  </si>
  <si>
    <t>Tulio Lima</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</si>
  <si>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</si>
  <si>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</si>
  <si>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</si>
  <si>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</si>
  <si>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</si>
  <si>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</si>
  <si>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</si>
  <si>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</si>
  <si>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</si>
  <si>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</si>
  <si>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</si>
  <si>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</si>
  <si>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</si>
  <si>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</si>
  <si>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</si>
  <si>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</si>
  <si>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</si>
  <si>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</si>
  <si>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</si>
  <si>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</si>
  <si>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</si>
  <si>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</si>
  <si>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</si>
  <si>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</si>
  <si>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</si>
  <si>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A Letter of Demand (LOD) has been issued, and the account has been suspended. BD has asked client to make partial payment of $25k, awaiting further update.</t>
  </si>
  <si>
    <t>INV-050225183406</t>
  </si>
  <si>
    <t>INV-050325103203</t>
  </si>
  <si>
    <t>INV-020425174717</t>
  </si>
  <si>
    <t>INV-050525114818</t>
  </si>
  <si>
    <t>INV-040625165635</t>
  </si>
  <si>
    <t>INV-050825115818</t>
  </si>
  <si>
    <t>No</t>
  </si>
  <si>
    <t>AM is currently revisiting commercials in place hence this will may take some more time to settle the invoices.</t>
  </si>
  <si>
    <t>Yondr Money Pty Ltd</t>
  </si>
  <si>
    <t>AUD</t>
  </si>
  <si>
    <t>Partially Paid</t>
  </si>
  <si>
    <t>INV-020925171323</t>
  </si>
  <si>
    <t xml:space="preserve">FTB HUB S.A.C </t>
  </si>
  <si>
    <t>Wallet Debit</t>
  </si>
  <si>
    <t>Force Settlement</t>
  </si>
  <si>
    <t>SG-FTBHUB-09/2025</t>
  </si>
  <si>
    <t>wallet debited, insufficient funds</t>
  </si>
  <si>
    <t>INV-021025184847</t>
  </si>
  <si>
    <t>SG-FTBHUB-10/2025</t>
  </si>
  <si>
    <t>Budgetly Pty Ltd</t>
  </si>
  <si>
    <t>Card Printing and Delivery</t>
  </si>
  <si>
    <t>INV-281025170000</t>
  </si>
  <si>
    <t>Client has raised concerns regarding card deactivation &amp; not willing to pay MMC. AM will send summary to the client including all invoices &amp; share goodwill amount.</t>
  </si>
  <si>
    <t>JPMORGAN CHASE BANK</t>
  </si>
  <si>
    <t>INV-051125174218</t>
  </si>
  <si>
    <t>Partially settled by the client</t>
  </si>
  <si>
    <t>INV-051125173213</t>
  </si>
  <si>
    <t>Zeni, Inc.</t>
  </si>
  <si>
    <t>INV-041125182344</t>
  </si>
  <si>
    <t>INV-171125170000</t>
  </si>
  <si>
    <t>SG-FTBHUB-11/2025</t>
  </si>
  <si>
    <t>INV-151225170000</t>
  </si>
  <si>
    <t>Istanbul Ödeme ve Elektronik Para A.S</t>
  </si>
  <si>
    <t>INV-021225185612</t>
  </si>
  <si>
    <t>AM has asked to keep the invoices pending until funds are received.</t>
  </si>
  <si>
    <t>INV-021225201549</t>
  </si>
  <si>
    <t>MULTIPLIER TECHNOLOGIES PTE. LTD</t>
  </si>
  <si>
    <t>Payment has been received for two invoices; pending update on settlement of the remaining balance.</t>
  </si>
  <si>
    <t>GLOBAL ROOTS INC</t>
  </si>
  <si>
    <t>Overdue</t>
  </si>
  <si>
    <t>US-GLOBAL ROOTS INC-12/2025</t>
  </si>
  <si>
    <t>AM to connect with the client regarding settlement of the 2 invoices, where actuals were billed.</t>
  </si>
  <si>
    <t>INV-060126122618</t>
  </si>
  <si>
    <t>FIRSTKYC PTE. LTD.</t>
  </si>
  <si>
    <t>INV-050126095427</t>
  </si>
  <si>
    <t>Client will settle once lumpsum threshold achieved</t>
  </si>
  <si>
    <t>INV-050126150313</t>
  </si>
  <si>
    <t>INV-050126184308</t>
  </si>
  <si>
    <t>INV-050126153219</t>
  </si>
  <si>
    <t>INV-230126170000</t>
  </si>
  <si>
    <t>INV-070226133026</t>
  </si>
  <si>
    <t>INV-060226120820</t>
  </si>
  <si>
    <t>INV-020226182425</t>
  </si>
  <si>
    <t>INV-050226133127</t>
  </si>
  <si>
    <t>INV-040226185603</t>
  </si>
  <si>
    <t>Client does not want to bear the return charges, discussions are currently ongoing with the client and Mike to reach a resolution.</t>
  </si>
  <si>
    <t>INV-200226170000</t>
  </si>
  <si>
    <t>INV-040326125850</t>
  </si>
  <si>
    <t>INV-040326132912</t>
  </si>
  <si>
    <t>INV-020326191014</t>
  </si>
  <si>
    <t>INV-040326132449</t>
  </si>
  <si>
    <t>INV-030326144903</t>
  </si>
  <si>
    <t>INV-030326180323</t>
  </si>
  <si>
    <t>INV-040326095350</t>
  </si>
  <si>
    <t>Red Owl Pty Ltd</t>
  </si>
  <si>
    <t>EZ Money Sdn Bhd.</t>
  </si>
  <si>
    <t>US-GLOBAL ROOTS INC-03/2026</t>
  </si>
  <si>
    <t>Qatar National Bank (Q.P.S.C.)</t>
  </si>
  <si>
    <t>SG-Qatar National Bank (Q.P.S.C.)-03/2026</t>
  </si>
  <si>
    <t>Stratos Payments, Inc</t>
  </si>
  <si>
    <t>US-Stratos Payments, Inc-03/2026</t>
  </si>
  <si>
    <t>AL FUAD EXCHANGE</t>
  </si>
  <si>
    <t>INV-020426113526</t>
  </si>
  <si>
    <t>Client has requested for a waiver hence awaiting update from Sikat on this.</t>
  </si>
  <si>
    <t>INV-030426112139</t>
  </si>
  <si>
    <t>INV-030426123312</t>
  </si>
  <si>
    <t>HONGKONG FORTUNETECH LIMITED</t>
  </si>
  <si>
    <t>INV-030426152534</t>
  </si>
  <si>
    <t>INV-020426170424</t>
  </si>
  <si>
    <t>CAD</t>
  </si>
  <si>
    <t>INV-030426231221</t>
  </si>
  <si>
    <t>INV-010426201156</t>
  </si>
  <si>
    <t>INV-010426152406</t>
  </si>
  <si>
    <t>Travel Ledger UK</t>
  </si>
  <si>
    <t>GBP</t>
  </si>
  <si>
    <t>INV-030426101140</t>
  </si>
  <si>
    <t>Everpro Holdings Limited</t>
  </si>
  <si>
    <t>HK-Everpro-04/2026</t>
  </si>
  <si>
    <t>SG-Qatar National Bank (Q.P.S.C.)-04/2026</t>
  </si>
  <si>
    <t>Emirates Islamic Bank PJSC</t>
  </si>
  <si>
    <t>INV-040526204049</t>
  </si>
  <si>
    <t>EVERWIN REMITTANCE AND EXCHANGE CO LIMITED</t>
  </si>
  <si>
    <t>INV-110526145754</t>
  </si>
  <si>
    <t>Express Hub Services Pty Ltd</t>
  </si>
  <si>
    <t>INV-050526150527</t>
  </si>
  <si>
    <t>Debited their wallet balance</t>
  </si>
  <si>
    <t>INV-040526162158</t>
  </si>
  <si>
    <t>INV-040526200003</t>
  </si>
  <si>
    <t>INV-040526195142</t>
  </si>
  <si>
    <t>INV-050526163450</t>
  </si>
  <si>
    <t>INV-040526102628</t>
  </si>
  <si>
    <t>INV-050526184408</t>
  </si>
  <si>
    <t>VPLUS GREATER BAY EXCHANGE LIMITED</t>
  </si>
  <si>
    <t>INV-060526134523</t>
  </si>
  <si>
    <t>SGD</t>
  </si>
  <si>
    <t>Quarterly Scheme Fees</t>
  </si>
  <si>
    <t>INV-270526152527</t>
  </si>
  <si>
    <t>INV-290526111409</t>
  </si>
  <si>
    <t>Corporate Alliance Payments Pty Ltd - NSP</t>
  </si>
  <si>
    <t>HK-Everpro-05/2026</t>
  </si>
  <si>
    <t>PT FLIPTECH LENTERA INSPIRASI PERTIWI</t>
  </si>
  <si>
    <t>Debit note - Incremental FX margin charges</t>
  </si>
  <si>
    <t>ID-DN-PT FLIPTECH-05-2026</t>
  </si>
  <si>
    <t>ID-PT FLIPTECH-05/2026</t>
  </si>
  <si>
    <t>PT Midtrans</t>
  </si>
  <si>
    <t>IDR</t>
  </si>
  <si>
    <t>ID-PT Midtrans-05/2026</t>
  </si>
  <si>
    <t>SG-Qatar National Bank (Q.P.S.C.)-05/2026</t>
  </si>
  <si>
    <t>US-Stratos Payments, Inc-05/2026</t>
  </si>
  <si>
    <t>AtoB Canada Ltd.</t>
  </si>
  <si>
    <t>INV-060626213209</t>
  </si>
  <si>
    <t>Bivo Cash Inc</t>
  </si>
  <si>
    <t>Integration Fee</t>
  </si>
  <si>
    <t>INV-080626181247</t>
  </si>
  <si>
    <t>INV-030626161636</t>
  </si>
  <si>
    <t>CashD Pty Ltd</t>
  </si>
  <si>
    <t>INV-020626161624</t>
  </si>
  <si>
    <t>INV-030626161519</t>
  </si>
  <si>
    <t>INV-020626125728</t>
  </si>
  <si>
    <t>Futurepay Global Limited</t>
  </si>
  <si>
    <t>INV-010626194231</t>
  </si>
  <si>
    <t>Genieum Services Pty Ltd</t>
  </si>
  <si>
    <t>INV-020626150926</t>
  </si>
  <si>
    <t>INV-040626125713</t>
  </si>
  <si>
    <t>INV-030626112352</t>
  </si>
  <si>
    <t>INV-020626175858</t>
  </si>
  <si>
    <t>INV-040626193129</t>
  </si>
  <si>
    <t>INV-020626113157</t>
  </si>
  <si>
    <t>INV-010626164441</t>
  </si>
  <si>
    <t>Relay Financial (US), Corp-SG</t>
  </si>
  <si>
    <t>Pay In Service Integration Fee</t>
  </si>
  <si>
    <t>INV-180626165925</t>
  </si>
  <si>
    <t>SHUN TUNG CENTURY LIMITED</t>
  </si>
  <si>
    <t>INV-050626121629</t>
  </si>
  <si>
    <t>INV-020626190918</t>
  </si>
  <si>
    <t>Tremendous, LLC</t>
  </si>
  <si>
    <t>INV-020626151734</t>
  </si>
  <si>
    <t>Volopay Co Pte Ltd.</t>
  </si>
  <si>
    <t>Visa Scheme fee Revision</t>
  </si>
  <si>
    <t>INV-040626193255</t>
  </si>
  <si>
    <t>INV-110626174025</t>
  </si>
  <si>
    <t>Yorbis Inc.</t>
  </si>
  <si>
    <t>INV-010626172437</t>
  </si>
  <si>
    <t>al fardan exchange llc</t>
  </si>
  <si>
    <t>Credit Note-Rebate</t>
  </si>
  <si>
    <t>Invoice Sent</t>
  </si>
  <si>
    <t>US-CN-Borderless-06-2026</t>
  </si>
  <si>
    <t>HK-Everpro-06/2026</t>
  </si>
  <si>
    <t>EZ MONEY</t>
  </si>
  <si>
    <t>Fifth American Corporation o/a Remit5 - Verify</t>
  </si>
  <si>
    <t>Ichange Pte Ltd</t>
  </si>
  <si>
    <t>SG-Ichange Pte Ltd-06/2026</t>
  </si>
  <si>
    <t>moin 2</t>
  </si>
  <si>
    <t>SG-CN-moin 2-07-2026</t>
  </si>
  <si>
    <t>Paysafe Financial Services Limited</t>
  </si>
  <si>
    <t>EUR</t>
  </si>
  <si>
    <t>ppsl paysafe</t>
  </si>
  <si>
    <t>ppsl skrill</t>
  </si>
  <si>
    <t>PT Dhanapatra Loka Abadi</t>
  </si>
  <si>
    <t>ID-PT Dhanapatra-06/2026</t>
  </si>
  <si>
    <t>ID-DN-PT FLIPTECH-06-2026</t>
  </si>
  <si>
    <t>ID-PT FLIPTECH-06/2026</t>
  </si>
  <si>
    <t>ID-PT Midtrans-06/2026</t>
  </si>
  <si>
    <t>SG-Qatar National Bank (Q.P.S.C.)-06/2026</t>
  </si>
  <si>
    <t>Remofirst, Inc.</t>
  </si>
  <si>
    <t>Rippling Payments Inc</t>
  </si>
  <si>
    <t>Rippling Payments Inc FI SG</t>
  </si>
  <si>
    <t>Skrill Ltd</t>
  </si>
  <si>
    <t>US-Stratos Payments, Inc-06/2026</t>
  </si>
  <si>
    <t>The CurrencyCloud Limited</t>
  </si>
  <si>
    <t>you technologies group (singapore) pte. Ltd - Verify</t>
  </si>
  <si>
    <t>US-youtech-Verify-06/2026</t>
  </si>
  <si>
    <t>zenus bank international, inc</t>
  </si>
  <si>
    <t>SG-Zenusbank-06/2026</t>
  </si>
  <si>
    <t>Ailingual Limited</t>
  </si>
  <si>
    <t>INV-060726201224</t>
  </si>
  <si>
    <t>AL FARDAN EXCHANGE LLC</t>
  </si>
  <si>
    <t>Credit Note-Waive off</t>
  </si>
  <si>
    <t>CN-INV-030925182457</t>
  </si>
  <si>
    <t>APAYLATER FINANCIALS PTE. LTD.</t>
  </si>
  <si>
    <t>INV-030726223433</t>
  </si>
  <si>
    <t>INV-040626125945</t>
  </si>
  <si>
    <t>INV-260426220000</t>
  </si>
  <si>
    <t>INV-060726122542</t>
  </si>
  <si>
    <t>INV-030726143911</t>
  </si>
  <si>
    <t>Back Market Japan K.K</t>
  </si>
  <si>
    <t>JPY</t>
  </si>
  <si>
    <t>INV-070726165445</t>
  </si>
  <si>
    <t>INV-300626113847</t>
  </si>
  <si>
    <t>Card destruction</t>
  </si>
  <si>
    <t>INV240620260000</t>
  </si>
  <si>
    <t>INV-020726133208</t>
  </si>
  <si>
    <t>CIRCLE TECHNOLOGY SERVICES, LLC</t>
  </si>
  <si>
    <t>INV-030726163843</t>
  </si>
  <si>
    <t>Commercial Bank of Kuwait KPSC</t>
  </si>
  <si>
    <t>INV-020726153035</t>
  </si>
  <si>
    <t>DK Limited</t>
  </si>
  <si>
    <t>INV-020726155201</t>
  </si>
  <si>
    <t>INV-030726203919</t>
  </si>
  <si>
    <t>Emirates NBD Bank PJSC</t>
  </si>
  <si>
    <t>INV-030726161401</t>
  </si>
  <si>
    <t>INV-020726173407</t>
  </si>
  <si>
    <t>INV-030726195704</t>
  </si>
  <si>
    <t>INV-020726133753</t>
  </si>
  <si>
    <t>INV-020726190118</t>
  </si>
  <si>
    <t>Global E-Payment Limited</t>
  </si>
  <si>
    <t>Global E-Payment Limited-SG</t>
  </si>
  <si>
    <t>INV-030726183830</t>
  </si>
  <si>
    <t>INV-020726150842</t>
  </si>
  <si>
    <t>INV-030726092745</t>
  </si>
  <si>
    <t>INV-030226233006</t>
  </si>
  <si>
    <t>INV-020726153610</t>
  </si>
  <si>
    <t>MARTRUST CORPORATION LIMITED</t>
  </si>
  <si>
    <t>INV-070726150133</t>
  </si>
  <si>
    <t>Mizzen Digital DMCC</t>
  </si>
  <si>
    <t>INV-030726163213</t>
  </si>
  <si>
    <t>Monex Canada Inc</t>
  </si>
  <si>
    <t>Credit Note-Write-Off</t>
  </si>
  <si>
    <t>CN-INV-170626175259</t>
  </si>
  <si>
    <t>INV-030726122805</t>
  </si>
  <si>
    <t>INV-070726215412</t>
  </si>
  <si>
    <t>Ocean Inc.</t>
  </si>
  <si>
    <t>INV-010726172102</t>
  </si>
  <si>
    <t>INV-070726164013</t>
  </si>
  <si>
    <t>INV-040726162114</t>
  </si>
  <si>
    <t>ROECNY PTE. LTD.</t>
  </si>
  <si>
    <t>INV-040726145938</t>
  </si>
  <si>
    <t>Scallop Payments Inc</t>
  </si>
  <si>
    <t>INV-090726132614</t>
  </si>
  <si>
    <t>INV-060726170451</t>
  </si>
  <si>
    <t>SingCash Pte Ltd</t>
  </si>
  <si>
    <t>INV-030726160335</t>
  </si>
  <si>
    <t>INV-020726194421</t>
  </si>
  <si>
    <t>Trustpilot A/S</t>
  </si>
  <si>
    <t>INV-030726093823</t>
  </si>
  <si>
    <t>VOLOPAY.CO PTE. LTD.</t>
  </si>
  <si>
    <t>INV-020726174003</t>
  </si>
  <si>
    <t>WEEL HOLDINGS PTY LTD</t>
  </si>
  <si>
    <t>Wingspan Networks Inc</t>
  </si>
  <si>
    <t>INV-030726140649</t>
  </si>
  <si>
    <t>WORLDFIRST (SINGAPORE) MERCHANT SERVICES PTE. LTD.</t>
  </si>
  <si>
    <t>INV-030726124744</t>
  </si>
  <si>
    <t>ME</t>
  </si>
  <si>
    <t>Account Settlement</t>
  </si>
  <si>
    <t>May</t>
  </si>
  <si>
    <t>Rohit Bammi</t>
  </si>
  <si>
    <t>Credit Note-Waived Off</t>
  </si>
  <si>
    <t>CN-INV-030626132939</t>
  </si>
  <si>
    <t>INV-030626145124</t>
  </si>
  <si>
    <t>Jun</t>
  </si>
  <si>
    <t>XiaoXiao</t>
  </si>
  <si>
    <t>INV-040626092813</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</si>
  <si>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</si>
  <si>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</si>
  <si>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</si>
  <si>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</si>
  <si>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</si>
  <si>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</si>
  <si>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</si>
  <si>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</si>
  <si>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</si>
  <si>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</si>
  <si>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</si>
  <si>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</si>
  <si>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</si>
  <si>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</si>
  <si>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</si>
  <si>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</si>
  <si>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</si>
  <si>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</si>
  <si>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</si>
  <si>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</si>
  <si>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</si>
  <si>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</si>
  <si>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</si>
  <si>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</si>
  <si>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</si>
  <si>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</si>
  <si>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</si>
  <si>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</si>
  <si>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</si>
  <si>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</si>
  <si>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</si>
  <si>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</si>
  <si>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</si>
  <si>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</si>
  <si>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</si>
  <si>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</si>
  <si>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</si>
  <si>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</si>
  <si>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</si>
  <si>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</si>
  <si>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</si>
  <si>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</si>
  <si>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</si>
  <si>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</si>
  <si>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</si>
  <si>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</si>
  <si>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</si>
  <si>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</si>
  <si>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</si>
  <si>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</si>
  <si>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</si>
  <si>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</si>
  <si>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</si>
  <si>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</si>
  <si>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</si>
  <si>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</si>
  <si>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</si>
  <si>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</si>
  <si>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</si>
  <si>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</si>
  <si>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</si>
  <si>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</si>
  <si>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</si>
  <si>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</si>
  <si>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</si>
  <si>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</si>
  <si>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</si>
  <si>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</si>
  <si>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</si>
  <si>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</si>
  <si>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</si>
  <si>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</si>
  <si>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</si>
  <si>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</si>
  <si>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</si>
  <si>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</si>
  <si>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</si>
  <si>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</si>
  <si>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</si>
  <si>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</si>
  <si>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</si>
  <si>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</si>
  <si>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</si>
  <si>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</si>
  <si>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</si>
  <si>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</si>
  <si>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</si>
  <si>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</si>
  <si>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</si>
  <si>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</si>
  <si>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</si>
  <si>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</si>
  <si>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</si>
  <si>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</si>
  <si>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</si>
  <si>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</si>
  <si>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</si>
  <si>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</si>
  <si>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</si>
  <si>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</si>
  <si>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</si>
  <si>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</si>
  <si>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</si>
  <si>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</si>
  <si>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</si>
  <si>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</si>
  <si>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</si>
  <si>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</si>
  <si>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</si>
  <si>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</si>
  <si>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</si>
  <si>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</si>
  <si>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</si>
  <si>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UZS</t>
  </si>
  <si>
    <t>Uzbekistani Som</t>
  </si>
  <si>
    <t>DZD</t>
  </si>
  <si>
    <t>Algerian Dinar</t>
  </si>
  <si>
    <t>DOP</t>
  </si>
  <si>
    <t>Dominican Peso</t>
  </si>
  <si>
    <t>ISK</t>
  </si>
  <si>
    <t>Icelandic Krona</t>
  </si>
  <si>
    <t>CRC</t>
  </si>
  <si>
    <t>Costa Rican Colon</t>
  </si>
  <si>
    <t>XAG</t>
  </si>
  <si>
    <t>Silver Ounce</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</si>
  <si>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</si>
  <si>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</si>
  <si>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</si>
  <si>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</si>
  <si>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</si>
  <si>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</si>
  <si>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</si>
  <si>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</si>
  <si>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</si>
  <si>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</si>
  <si>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</si>
  <si>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</si>
  <si>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</si>
  <si>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</si>
  <si>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</si>
  <si>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</si>
  <si>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</si>
  <si>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</si>
  <si>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</si>
  <si>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</si>
  <si>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</si>
  <si>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</si>
  <si>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</si>
  <si>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</si>
  <si>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</si>
  <si>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</si>
  <si>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</si>
  <si>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</si>
  <si>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</si>
  <si>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</si>
  <si>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</si>
  <si>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</si>
  <si>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</si>
  <si>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</si>
  <si>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</si>
  <si>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</si>
  <si>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</si>
  <si>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</si>
  <si>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</si>
  <si>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</si>
  <si>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</si>
  <si>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</si>
  <si>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</si>
  <si>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</si>
  <si>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</si>
  <si>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</si>
  <si>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</si>
  <si>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</si>
  <si>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</si>
  <si>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</si>
  <si>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</si>
  <si>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</si>
  <si>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</si>
  <si>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</si>
  <si>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</si>
  <si>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</si>
  <si>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</si>
  <si>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</si>
  <si>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</si>
  <si>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</si>
  <si>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</si>
  <si>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</si>
  <si>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</si>
  <si>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</si>
  <si>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</si>
  <si>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</si>
  <si>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</si>
  <si>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</si>
  <si>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</si>
  <si>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</si>
  <si>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</si>
  <si>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</si>
  <si>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</si>
  <si>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</si>
  <si>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</si>
  <si>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</si>
  <si>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</si>
  <si>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</si>
  <si>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</si>
  <si>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</si>
  <si>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</si>
  <si>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</si>
  <si>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</si>
  <si>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</si>
  <si>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</si>
  <si>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</si>
  <si>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</si>
  <si>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</si>
  <si>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</si>
  <si>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</si>
  <si>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</si>
  <si>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</si>
  <si>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</si>
  <si>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</si>
  <si>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</si>
  <si>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</si>
  <si>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</si>
  <si>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</si>
  <si>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</si>
  <si>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</si>
  <si>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</si>
  <si>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</si>
  <si>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</si>
  <si>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</si>
  <si>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</si>
  <si>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</si>
  <si>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</si>
  <si>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</si>
  <si>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</si>
  <si>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</si>
  <si>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KGS</t>
  </si>
  <si>
    <t>Kyrgyzstani Som</t>
  </si>
  <si>
    <t>LRD</t>
  </si>
  <si>
    <t>Liberian Dollar</t>
  </si>
  <si>
    <t>LSL</t>
  </si>
  <si>
    <t>Basotho Loti</t>
  </si>
  <si>
    <t>MMK</t>
  </si>
  <si>
    <t>Burmese Kyat</t>
  </si>
  <si>
    <t>GIP</t>
  </si>
  <si>
    <t>Gibraltar Pound</t>
  </si>
  <si>
    <t>XPT</t>
  </si>
  <si>
    <t>Platinum Ounce</t>
  </si>
  <si>
    <t>MDL</t>
  </si>
  <si>
    <t>Moldovan Leu</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</si>
  <si>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</si>
  <si>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</si>
  <si>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</si>
  <si>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</si>
  <si>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</si>
  <si>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</si>
  <si>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</si>
  <si>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</si>
  <si>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</si>
  <si>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</si>
  <si>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</si>
  <si>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</si>
  <si>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</si>
  <si>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</si>
  <si>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</si>
  <si>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</si>
  <si>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</si>
  <si>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</si>
  <si>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</si>
  <si>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</si>
  <si>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</si>
  <si>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</si>
  <si>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</si>
  <si>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</si>
  <si>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</si>
  <si>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</si>
  <si>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</si>
  <si>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</si>
  <si>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</si>
  <si>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</si>
  <si>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</si>
  <si>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</si>
  <si>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</si>
  <si>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</si>
  <si>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</si>
  <si>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</si>
  <si>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</si>
  <si>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</si>
  <si>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</si>
  <si>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</si>
  <si>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</si>
  <si>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</si>
  <si>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</si>
  <si>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</si>
  <si>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</si>
  <si>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</si>
  <si>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</si>
  <si>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</si>
  <si>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</si>
  <si>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</si>
  <si>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</si>
  <si>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</si>
  <si>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</si>
  <si>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</si>
  <si>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</si>
  <si>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</si>
  <si>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ARB</t>
  </si>
  <si>
    <t>AVAX</t>
  </si>
  <si>
    <t>BCH</t>
  </si>
  <si>
    <t>Bitcoin Cash</t>
  </si>
  <si>
    <t>BNB</t>
  </si>
  <si>
    <t>BTC</t>
  </si>
  <si>
    <t>Bitcoin</t>
  </si>
  <si>
    <t>CLF</t>
  </si>
  <si>
    <t>CNH</t>
  </si>
  <si>
    <t>Chinese Yuan Renminbi Offshore</t>
  </si>
  <si>
    <t>DAI</t>
  </si>
  <si>
    <t>DOGE</t>
  </si>
  <si>
    <t>Dogecoin</t>
  </si>
  <si>
    <t>DOT</t>
  </si>
  <si>
    <t>Polkadot</t>
  </si>
  <si>
    <t>ETH</t>
  </si>
  <si>
    <t>Ethereum</t>
  </si>
  <si>
    <t>EURC</t>
  </si>
  <si>
    <t>LINK</t>
  </si>
  <si>
    <t>Chainlink</t>
  </si>
  <si>
    <t>LTC</t>
  </si>
  <si>
    <t>Litecoin</t>
  </si>
  <si>
    <t>LUNA</t>
  </si>
  <si>
    <t>Terra</t>
  </si>
  <si>
    <t>MXV</t>
  </si>
  <si>
    <t>POL</t>
  </si>
  <si>
    <t>SLE</t>
  </si>
  <si>
    <t>Sierra Leonean Leone</t>
  </si>
  <si>
    <t>SOL</t>
  </si>
  <si>
    <t>SSP</t>
  </si>
  <si>
    <t>TRX</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</si>
  <si>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</si>
  <si>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</si>
  <si>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</si>
  <si>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</si>
  <si>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</si>
  <si>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</si>
  <si>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</si>
  <si>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</si>
  <si>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</si>
  <si>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</si>
  <si>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</si>
  <si>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</si>
  <si>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</si>
  <si>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</si>
  <si>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</si>
  <si>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</si>
  <si>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</si>
  <si>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</si>
  <si>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Terminated</t>
  </si>
  <si>
    <t>Kyle Reny</t>
  </si>
  <si>
    <t>Varni Tech Inc</t>
  </si>
  <si>
    <t>aerapass pte. ltd</t>
  </si>
  <si>
    <t>Knox Payments Ltd.</t>
  </si>
  <si>
    <t>TClub Inc.</t>
  </si>
  <si>
    <t xml:space="preserve"> Mrinal</t>
  </si>
  <si>
    <t>Widoph Remit</t>
  </si>
  <si>
    <t>MeshPay UK</t>
  </si>
  <si>
    <t>UK</t>
  </si>
  <si>
    <t xml:space="preserve">Will Turner </t>
  </si>
  <si>
    <t>MeshPay UK Ltd</t>
  </si>
  <si>
    <t>SPROUT CORPORATE SERVICES PTE LTD</t>
  </si>
  <si>
    <t>Hao Nguyen</t>
  </si>
  <si>
    <t>Coda Payments</t>
  </si>
  <si>
    <t>Sanat Patakar</t>
  </si>
  <si>
    <t>Al Dhahery Money Exchange</t>
  </si>
  <si>
    <t>coda payments malaysia - aplikasi</t>
  </si>
  <si>
    <t>SME</t>
  </si>
  <si>
    <t>Leon Lim</t>
  </si>
  <si>
    <t>Cash In Asia Pte Ltd</t>
  </si>
  <si>
    <t>Hedgewiz Pure Risk Management Solutions Ltd</t>
  </si>
  <si>
    <t>EU</t>
  </si>
  <si>
    <t>Hedgewiz Pure Risk Management Solutions Ltd - EU</t>
  </si>
  <si>
    <t>Hedgewiz Pure Risk Management Solutions Ltd -UK</t>
  </si>
  <si>
    <t>Hedgewiz Pure Risk Management Solutions Ltd -US</t>
  </si>
  <si>
    <t>MeshPay EU B.V.</t>
  </si>
  <si>
    <t>Pay Set Limited</t>
  </si>
  <si>
    <t>Photon Dance (HongKong) Limited</t>
  </si>
  <si>
    <t>UTU Rewards S.R.L.</t>
  </si>
  <si>
    <t>SAAD EXCHANGE</t>
  </si>
  <si>
    <t>Qolo Inc.</t>
  </si>
  <si>
    <t>Sakshi Shanbhag</t>
  </si>
  <si>
    <t>Azimo Limited.</t>
  </si>
  <si>
    <t>Sachli Zare</t>
  </si>
  <si>
    <t>Bud Infrastructure Limited</t>
  </si>
  <si>
    <t>GET GLOBAL HOLDINGS PTE LTD</t>
  </si>
  <si>
    <t>OWLPAY HOLDINGS PTE. LTD.</t>
  </si>
  <si>
    <t>Bhavani</t>
  </si>
  <si>
    <t>Pelican General Limited</t>
  </si>
  <si>
    <t>Lisa Sung</t>
  </si>
  <si>
    <t>A.D. Financial (AUS) Pty Ltd</t>
  </si>
  <si>
    <t>Shared center</t>
  </si>
  <si>
    <t>AFT HK Limited</t>
  </si>
  <si>
    <t>CAMBIONET CORRETORA DE CAMBIO LTDA</t>
  </si>
  <si>
    <t>CQUR Bank LLC</t>
  </si>
  <si>
    <t>DEEL Inc.</t>
  </si>
  <si>
    <t>Digital Services SG Five Pte Ltd</t>
  </si>
  <si>
    <t>East Africa Bank SA</t>
  </si>
  <si>
    <t>Winfred</t>
  </si>
  <si>
    <t>Franklin Technologies ApS</t>
  </si>
  <si>
    <t>Will Turner</t>
  </si>
  <si>
    <t>Gagan Smara</t>
  </si>
  <si>
    <t>Pat Sarisa</t>
  </si>
  <si>
    <t>IAPPS Pte. Ltd.</t>
  </si>
  <si>
    <t>KUWAIT INDIA INTERNATIONAL EXCHANGE COMPANY(W.L.L)</t>
  </si>
  <si>
    <t>LENDERWIZE LTD-UK</t>
  </si>
  <si>
    <t>Danny May</t>
  </si>
  <si>
    <t>LianLian International Company Limited</t>
  </si>
  <si>
    <t>Maritime Payment Solutions, LLC (ShipMoney)</t>
  </si>
  <si>
    <t>MESHPAY AU PTY LTD</t>
  </si>
  <si>
    <t>MESHPAY GBL PTE. LTD.</t>
  </si>
  <si>
    <t>MESHPAY UK LTD</t>
  </si>
  <si>
    <t>MP Payments UK Limited</t>
  </si>
  <si>
    <t>OWLPAY HOLDINGS PTE. LTD</t>
  </si>
  <si>
    <t xml:space="preserve"> Bhavani</t>
  </si>
  <si>
    <t>Paysure Solutions Ltd</t>
  </si>
  <si>
    <t>Andrew Mere</t>
  </si>
  <si>
    <t>Playerauctions HK Co Limited</t>
  </si>
  <si>
    <t>Remote Europe Holding B.V.</t>
  </si>
  <si>
    <t>SENDER ÖDEME HIZMETLERI ANONIM SIRKETI</t>
  </si>
  <si>
    <t>Sleek Tech Pte. Ltd.</t>
  </si>
  <si>
    <t xml:space="preserve"> Simrn</t>
  </si>
  <si>
    <t>The New Money Company of San Francisco, Inc</t>
  </si>
  <si>
    <t>MIchael Podrid</t>
  </si>
  <si>
    <t>UQPAY PTE LTD</t>
  </si>
  <si>
    <t>Andrew Gyenis</t>
  </si>
  <si>
    <t>EBURY PARTNERS UK LIMITED</t>
  </si>
  <si>
    <t>teledolar</t>
  </si>
  <si>
    <t>lemonway</t>
  </si>
  <si>
    <t xml:space="preserve">Mrinal </t>
  </si>
  <si>
    <t>global feeder shipping pte ltd</t>
  </si>
  <si>
    <t>Ernest Poh</t>
  </si>
  <si>
    <t>Oren Cohen</t>
  </si>
  <si>
    <t>Pacific Basin Shipping (HK) Limited</t>
  </si>
  <si>
    <t>Irene</t>
  </si>
  <si>
    <t>UFintechHub Inc</t>
  </si>
  <si>
    <t>Joon Young Kim</t>
  </si>
  <si>
    <t>OZ CORRETORA DE CÂMBIO SA</t>
  </si>
  <si>
    <t>AYP Staffing Pte Ltd</t>
  </si>
  <si>
    <t>Payana Ltd.</t>
  </si>
  <si>
    <t>Rippling Payments Inc FI US</t>
  </si>
  <si>
    <t>TAURUS ONE PRIVATE LIMITED</t>
  </si>
  <si>
    <t>Nuvei Limited</t>
  </si>
  <si>
    <t>Butlr Ltd T/A Ryftpay</t>
  </si>
  <si>
    <t>Klasha Technologies Limited</t>
  </si>
  <si>
    <t>alchemy agps solutions ltd</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</si>
  <si>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</si>
  <si>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</si>
  <si>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</si>
  <si>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</si>
  <si>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</si>
  <si>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</si>
  <si>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</si>
  <si>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</si>
  <si>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</si>
  <si>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</si>
  <si>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ZipHQ, Inc</t>
  </si>
  <si>
    <t>ebury mass payments</t>
  </si>
  <si>
    <t>Laverne Money Pty Ltd</t>
  </si>
  <si>
    <t>Nexpay Pty Ltd</t>
  </si>
  <si>
    <t>4400 WE Technologies Inc.</t>
  </si>
  <si>
    <t>Aboki Finance Inc</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</si>
  <si>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</si>
  <si>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</si>
  <si>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</si>
  <si>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</si>
  <si>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</si>
  <si>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</si>
  <si>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</si>
  <si>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</si>
  <si>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</si>
  <si>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</si>
  <si>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PT Worldwide Express Remittance</t>
  </si>
  <si>
    <t>Hari Budiman</t>
  </si>
  <si>
    <t>PT Transwap Dunamis Indonesia</t>
  </si>
  <si>
    <t>ASIABILL COMPANY LIMITED</t>
  </si>
  <si>
    <t>Edward Li</t>
  </si>
  <si>
    <t>Pelikin Holdings Limited</t>
  </si>
  <si>
    <t>PT PELITA TRANSFER NUSANTARA</t>
  </si>
  <si>
    <t>pesapeer incorporated</t>
  </si>
  <si>
    <t>CADANA INC</t>
  </si>
  <si>
    <t>KappaPayCameroonS.A.(KPC)</t>
  </si>
  <si>
    <t>Michael Podrid</t>
  </si>
  <si>
    <t>Nala Inc</t>
  </si>
  <si>
    <t>Unmanaged</t>
  </si>
  <si>
    <t>Nala Payments Canada</t>
  </si>
  <si>
    <t>Yariex Group Corp</t>
  </si>
  <si>
    <t>SIAM COMMERCIAL BANK PUBLIC COMPANY LIMITED</t>
  </si>
  <si>
    <t>tiagn i inc. dba libertypay</t>
  </si>
  <si>
    <t>Monex Inc</t>
  </si>
  <si>
    <t>AKBAR MONEY CHANGER SDN BHD</t>
  </si>
  <si>
    <t>Maple Digital Financial Solutions Ltd</t>
  </si>
  <si>
    <t>Jeonbuk bank</t>
  </si>
  <si>
    <t>PT Reyhan Putra Mandiri</t>
  </si>
  <si>
    <t>PT Harsya Remitindo</t>
  </si>
  <si>
    <t>6G Digital Remittance Limited</t>
  </si>
  <si>
    <t>Greg McAllister</t>
  </si>
  <si>
    <t>DRUO, Inc.</t>
  </si>
  <si>
    <t>Nowports, Inc.</t>
  </si>
  <si>
    <t>Taram Inc.,</t>
  </si>
  <si>
    <t>Tyler Reed</t>
  </si>
  <si>
    <t>City International Exchange Co. wll</t>
  </si>
  <si>
    <t>goLance, Inc.</t>
  </si>
  <si>
    <t>Spreadfun Pte. Ltd.</t>
  </si>
  <si>
    <t>Unified Signal, Inc.</t>
  </si>
  <si>
    <t>Glide APAC Pte. Ltd.</t>
  </si>
  <si>
    <t>Rank Wyre pay Inc</t>
  </si>
  <si>
    <t>SlideSG Pte. Ltd.</t>
  </si>
  <si>
    <t>OZ CORRETORA DE CÃ‚MBIO SA</t>
  </si>
  <si>
    <t>isx financial eu ltd</t>
  </si>
  <si>
    <t>WORLDPAY AP LTD (Verify)</t>
  </si>
  <si>
    <t>Ripple Services Inc</t>
  </si>
  <si>
    <t>klu tech</t>
  </si>
  <si>
    <t>OYSTER HR, INC.</t>
  </si>
  <si>
    <t>Will turner</t>
  </si>
  <si>
    <t>Banque Patronus</t>
  </si>
  <si>
    <t>Saikat Roy</t>
  </si>
  <si>
    <t>Bendix Foreign Exchange Corporation</t>
  </si>
  <si>
    <t>Evocabank CJSC</t>
  </si>
  <si>
    <t>GOGOTRANX HONG KONG LIMITED</t>
  </si>
  <si>
    <t>Niural, Inc.</t>
  </si>
  <si>
    <t>Robinhood Canada Ltd.</t>
  </si>
  <si>
    <t>Robinhood Europe, UAB</t>
  </si>
  <si>
    <t>Robinhood Singapore Pte. Ltd.</t>
  </si>
  <si>
    <t>WSFx Global Pay Ltd.</t>
  </si>
  <si>
    <t>Kailash Gupta</t>
  </si>
  <si>
    <t>kasikorn bank</t>
  </si>
  <si>
    <t>paysera</t>
  </si>
  <si>
    <t>you technologies group (singapore) pte. ltd</t>
  </si>
  <si>
    <t>Orbit Money</t>
  </si>
  <si>
    <t>ORO Labs, Inc.</t>
  </si>
  <si>
    <t>QEEBEY TECH PTE. LTD</t>
  </si>
  <si>
    <t>Banco Topazio (Beetech)</t>
  </si>
  <si>
    <t>WorkMotion Software GmbH</t>
  </si>
  <si>
    <t>e9 pay</t>
  </si>
  <si>
    <t>frente</t>
  </si>
  <si>
    <t>Ibanera Private Limited</t>
  </si>
  <si>
    <t>nsKnox Technologies Ltd</t>
  </si>
  <si>
    <t>rewire</t>
  </si>
  <si>
    <t>Depiteq, Inc.</t>
  </si>
  <si>
    <t>OZIN INTERNATIONAL PTY LTD</t>
  </si>
  <si>
    <t>Payease Technology (Hong Kong) Limited</t>
  </si>
  <si>
    <t>Pelikin Ventures Pty Ltd</t>
  </si>
  <si>
    <t>WAN GUO GROUP HOLDING LIMITED</t>
  </si>
  <si>
    <t>AVENIDA VESSEL</t>
  </si>
  <si>
    <t>EPAY LIMITED</t>
  </si>
  <si>
    <t>Jillion Group International Trading Limited</t>
  </si>
  <si>
    <t>Simrn</t>
  </si>
  <si>
    <t>Cimb Speedsend</t>
  </si>
  <si>
    <t>Cimb Speedsend-EUR Corridor</t>
  </si>
  <si>
    <t>Cimb Speedsend-GBP Corridor</t>
  </si>
  <si>
    <t>Cimb Speedsend-SGD Corridor</t>
  </si>
  <si>
    <t>AL DAR FOR EXCHANGE WORKS</t>
  </si>
  <si>
    <t>SBI Remit Co., Ltd.</t>
  </si>
  <si>
    <t>Tensec Payments, Inc.</t>
  </si>
  <si>
    <t>cohortgo</t>
  </si>
  <si>
    <t>Alipay Merchant Services Pte. Ltd.</t>
  </si>
  <si>
    <t>DK Limited-Verify</t>
  </si>
  <si>
    <t>PT UCE Global Utama</t>
  </si>
  <si>
    <t>VECTOR HOLDINGS PTY LTD</t>
  </si>
  <si>
    <t>Nomba Financial Services Ltd</t>
  </si>
  <si>
    <t>bank of ayudhya public company</t>
  </si>
  <si>
    <t>Ardua Solutions Corp</t>
  </si>
  <si>
    <t>BANCO BS2 S/A</t>
  </si>
  <si>
    <t>tulio lima</t>
  </si>
  <si>
    <t>Banco Ourinvest S.A.</t>
  </si>
  <si>
    <t>Hitpay Payment Solutions Pte. Ltd.</t>
  </si>
  <si>
    <t>International Payments Identity Pte. Ltd.</t>
  </si>
  <si>
    <t>PIPO (SG) Pte. Ltd.</t>
  </si>
  <si>
    <t>kina bank</t>
  </si>
  <si>
    <t>PT Kredigram Pembayaran Elektronis</t>
  </si>
  <si>
    <t>Bank of Ayudhya Public Company Limited</t>
  </si>
  <si>
    <t>Denis Tan</t>
  </si>
  <si>
    <t>Utransfer US LLC</t>
  </si>
  <si>
    <t>MeshPay EU Ltd</t>
  </si>
  <si>
    <t>moneycorp bank limited</t>
  </si>
  <si>
    <t>Bivo Inc.</t>
  </si>
  <si>
    <t>Niural, Inc. (Platform)</t>
  </si>
  <si>
    <t>Union Bank of the Philippines</t>
  </si>
  <si>
    <t>WORLDFIRST (SINGAPORE) MERCHANT SERVICESPTE.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</si>
  <si>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</si>
  <si>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</si>
  <si>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</si>
  <si>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</si>
  <si>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</si>
  <si>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</si>
  <si>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</si>
  <si>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</si>
  <si>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</si>
  <si>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inc</t>
  </si>
  <si>
    <t>moneycorp us inc</t>
  </si>
  <si>
    <t>Novum Financial Technologies Pte. Ltd</t>
  </si>
  <si>
    <t>phillip bank</t>
  </si>
  <si>
    <t>Queen Bee Capital Co., Ltd</t>
  </si>
  <si>
    <t>sentbe</t>
  </si>
  <si>
    <t>Abu Sheikha Exchange</t>
  </si>
  <si>
    <t>Atlantic Partners Asia (SG) Pte. Ltd.</t>
  </si>
  <si>
    <t>BANCO BS2 SA</t>
  </si>
  <si>
    <t>Global Money Express Co., LTD</t>
  </si>
  <si>
    <t>Hello Clever Pty Ltd</t>
  </si>
  <si>
    <t>Evocabank OJSC</t>
  </si>
  <si>
    <t>Finofo Inc</t>
  </si>
  <si>
    <t>Every, Inc.</t>
  </si>
  <si>
    <t>Phnom Penh Commercial Bank Plc.</t>
  </si>
  <si>
    <t xml:space="preserve">Toss Bank </t>
  </si>
  <si>
    <t>Yala Global Technologies Inc.</t>
  </si>
  <si>
    <t>iPiD Europe B.V.</t>
  </si>
  <si>
    <t>CODA PAYMENTS PTE. LTD.</t>
  </si>
  <si>
    <t>Wendy zhai</t>
  </si>
  <si>
    <t>PE Global Partners LLC (DBA Payment Earth)</t>
  </si>
  <si>
    <t>Lulu Money (Singapore) Pte. Ltd</t>
  </si>
  <si>
    <t>Ruul Ou</t>
  </si>
  <si>
    <t>PatentRenewal.com</t>
  </si>
  <si>
    <t>Vitesse</t>
  </si>
  <si>
    <t>Bilderlings Pay Limited</t>
  </si>
  <si>
    <t>Globus Payments (DIFC) Limited</t>
  </si>
  <si>
    <t>Appla Trading Ltd</t>
  </si>
  <si>
    <t>Bundle Limited-Verify</t>
  </si>
  <si>
    <t>MeshPay US, Inc</t>
  </si>
  <si>
    <t>RemitAnywhere INC</t>
  </si>
  <si>
    <t>bsi group llc.</t>
  </si>
  <si>
    <t>BANFICO LTD</t>
  </si>
  <si>
    <t>Jasper</t>
  </si>
  <si>
    <t>Invest Bank PSC</t>
  </si>
  <si>
    <t>Open Joint Stock Company Unibank</t>
  </si>
  <si>
    <t>The OneGate Capital AG</t>
  </si>
  <si>
    <t>Michael Minassian</t>
  </si>
  <si>
    <t>James Winter</t>
  </si>
  <si>
    <t>Nanako</t>
  </si>
  <si>
    <t>Remote Technology Services Ltd</t>
  </si>
  <si>
    <t>Weel New Zealand Limited</t>
  </si>
  <si>
    <t>Clients</t>
  </si>
  <si>
    <t>region</t>
  </si>
  <si>
    <t>Product</t>
  </si>
  <si>
    <t>AM</t>
  </si>
  <si>
    <t>Sr. No</t>
  </si>
  <si>
    <t>AM Name</t>
  </si>
  <si>
    <t>RIPPLING PAYMENTS INC</t>
  </si>
  <si>
    <t>AMERICAS</t>
  </si>
  <si>
    <t>Payouts</t>
  </si>
  <si>
    <t>ATLANTIC PARTNERS ASIA</t>
  </si>
  <si>
    <t xml:space="preserve"> Sanat</t>
  </si>
  <si>
    <t>CURRENCY CLOUD</t>
  </si>
  <si>
    <t>WAN GUO GROUP</t>
  </si>
  <si>
    <t>GLOBAL81</t>
  </si>
  <si>
    <t>ORBIT MONEY</t>
  </si>
  <si>
    <t xml:space="preserve"> Sakshi</t>
  </si>
  <si>
    <t>GUSTO  US</t>
  </si>
  <si>
    <t>AD FINANCIAL</t>
  </si>
  <si>
    <t>WORLDPAY AP LTD</t>
  </si>
  <si>
    <t>EUROPE-Non Travel</t>
  </si>
  <si>
    <t>NIURAL</t>
  </si>
  <si>
    <t>MASTERCARD TRANSACTION SERVICES (EUROPE) SA</t>
  </si>
  <si>
    <t>TAZAPAY</t>
  </si>
  <si>
    <t>YOU TECHNOLOGIES GROUP (SINGAPORE) PTE. LTD</t>
  </si>
  <si>
    <t>SBI REMIT</t>
  </si>
  <si>
    <t>OFX</t>
  </si>
  <si>
    <t>MULTIPLIER TECHNOLOGIES PTE LTD</t>
  </si>
  <si>
    <t>EBURY</t>
  </si>
  <si>
    <t>HIRE BORDERLESS US</t>
  </si>
  <si>
    <t>MASHREQ</t>
  </si>
  <si>
    <t>GOLANCE</t>
  </si>
  <si>
    <t>AL MULLA INTERNATIONAL EXCHANGE COMPANY,K.S.C.C.</t>
  </si>
  <si>
    <t>BENDIX EXCHANGE</t>
  </si>
  <si>
    <t>KASIKORN BANK</t>
  </si>
  <si>
    <t>UQPAY PTE LTD  PAYOUT</t>
  </si>
  <si>
    <t>NUVEI LIMITED</t>
  </si>
  <si>
    <t>MASSPAY</t>
  </si>
  <si>
    <t>SKRILL LTD</t>
  </si>
  <si>
    <t>CURRENCY BIRD</t>
  </si>
  <si>
    <t>6G DIGITAL REMITTANCE LIMITED</t>
  </si>
  <si>
    <t>HITPAY PAYMENT</t>
  </si>
  <si>
    <t>UFINTECHHUB INC</t>
  </si>
  <si>
    <t>VITESSE</t>
  </si>
  <si>
    <t>BIVO CASH INC  US</t>
  </si>
  <si>
    <t>PANDA COMMUNICATIONS CORP</t>
  </si>
  <si>
    <t>BIGO TECHNOLOGY PTE LTD</t>
  </si>
  <si>
    <t>PT HARSYA REMITINDO</t>
  </si>
  <si>
    <t>SKYEE</t>
  </si>
  <si>
    <t>TENSEC HOLDINGS</t>
  </si>
  <si>
    <t>ALAWNEH EXCHANGE LLC</t>
  </si>
  <si>
    <t>PT INDO KOALA REMITTANCE</t>
  </si>
  <si>
    <t>SIAM</t>
  </si>
  <si>
    <t>33 REMITTANCE COMPANY LIMITED</t>
  </si>
  <si>
    <t>SHIPMONEY</t>
  </si>
  <si>
    <t>EVERPRO HOLDINGS LIMITED</t>
  </si>
  <si>
    <t>MY EU PAY LIMITED</t>
  </si>
  <si>
    <t>ORO LABS, INC.</t>
  </si>
  <si>
    <t>MODERN EXCHANGE CO LLC</t>
  </si>
  <si>
    <t>NOVUM FINANCIAL TECHNOLOGIES PTE. LTD</t>
  </si>
  <si>
    <t>ZIPHQ INC</t>
  </si>
  <si>
    <t>RUUL OU</t>
  </si>
  <si>
    <t>PAYEASE</t>
  </si>
  <si>
    <t>IPID</t>
  </si>
  <si>
    <t>ENBD</t>
  </si>
  <si>
    <t>PE GLOBAL PARTNERS LLC (DBA PAYMENT EARTH)</t>
  </si>
  <si>
    <t>KOHO FINANCIAL</t>
  </si>
  <si>
    <t>IFAST FINANCIAL</t>
  </si>
  <si>
    <t>AL MUZAINI EXCHANGE</t>
  </si>
  <si>
    <t>KLU TECH</t>
  </si>
  <si>
    <t>ASPIRE FT</t>
  </si>
  <si>
    <t>Issuance</t>
  </si>
  <si>
    <t>REMOTELY</t>
  </si>
  <si>
    <t>WEEL</t>
  </si>
  <si>
    <t>TREMENDOUS LLC</t>
  </si>
  <si>
    <t>AILINGUAL</t>
  </si>
  <si>
    <t>IPAYLINKS</t>
  </si>
  <si>
    <t>SLIDESG PTE. LTD.</t>
  </si>
  <si>
    <t>Spreadfun</t>
  </si>
  <si>
    <t>VOLOPAY</t>
  </si>
  <si>
    <t>SUPRA NEGOCIOS SAS</t>
  </si>
  <si>
    <t>SINGTEL</t>
  </si>
  <si>
    <t>FUTUREPAY GLOBAL</t>
  </si>
  <si>
    <t>BUDGETLY</t>
  </si>
  <si>
    <t>mygo</t>
  </si>
  <si>
    <t>GEP</t>
  </si>
  <si>
    <t>QOLO INC.</t>
  </si>
  <si>
    <t>FRANKLIN</t>
  </si>
  <si>
    <t>PYWAVE</t>
  </si>
  <si>
    <t>PAYSURE</t>
  </si>
  <si>
    <t>HAMILTON RESERVE BANK LTD.</t>
  </si>
  <si>
    <t>SLEEK TECH PTE LTD</t>
  </si>
  <si>
    <t>DK LIMITED</t>
  </si>
  <si>
    <t>REMOTE</t>
  </si>
  <si>
    <t>swansonstravel</t>
  </si>
  <si>
    <t>MESH PAYMENTS</t>
  </si>
  <si>
    <t>NSKNOX TECHNOLOGIES LTD</t>
  </si>
  <si>
    <t>PELIKIN HOLDINGS LTD</t>
  </si>
  <si>
    <t>GENIEUM</t>
  </si>
  <si>
    <t>KINA BANK</t>
  </si>
  <si>
    <t>BUD INFRASTRUCTURE LIMITED</t>
  </si>
  <si>
    <t>SKUAD PTE LTD</t>
  </si>
  <si>
    <t>mtvisiumbuiteland</t>
  </si>
  <si>
    <t>4400 WE TECHNOLOGIES, INC.</t>
  </si>
  <si>
    <t>IBANERA LLC</t>
  </si>
  <si>
    <t>BUDPAY</t>
  </si>
  <si>
    <t>FIFTH AMERICAN CORPORATION O/A REMIT5</t>
  </si>
  <si>
    <t>ABOKI FINANCE INC</t>
  </si>
  <si>
    <t>mtstourism</t>
  </si>
  <si>
    <t>ABU SHEIKHA EXCHANGE</t>
  </si>
  <si>
    <t>NUMOUS</t>
  </si>
  <si>
    <t>YORBIS</t>
  </si>
  <si>
    <t>AILINGUAL LIMITED</t>
  </si>
  <si>
    <t>stay4long</t>
  </si>
  <si>
    <t>AL DAR FOR EXCHANGE</t>
  </si>
  <si>
    <t>scottdunn</t>
  </si>
  <si>
    <t>ZENUS BANK INTERNATIONAL, INC</t>
  </si>
  <si>
    <t>CashD</t>
  </si>
  <si>
    <t>AL ROSTAMANI INTERNATIONAL EXCHANGE LLC</t>
  </si>
  <si>
    <t>ALFARDAN EXCHANGE LLC, QATAR</t>
  </si>
  <si>
    <t>QUEEN BEE CAPITAL CO., LTD</t>
  </si>
  <si>
    <t>DEPITEQ INC</t>
  </si>
  <si>
    <t>citywonders</t>
  </si>
  <si>
    <t>ASIABILL</t>
  </si>
  <si>
    <t>HAX CAPITAL</t>
  </si>
  <si>
    <t>FRENTE</t>
  </si>
  <si>
    <t>GOGOTRANX</t>
  </si>
  <si>
    <t>AYP STAFFING PTE LTD</t>
  </si>
  <si>
    <t>FINCI, UAB</t>
  </si>
  <si>
    <t>AZIMO LIMITED</t>
  </si>
  <si>
    <t>STRATOS PAYMENTS, INC</t>
  </si>
  <si>
    <t>B AND T CORRETORA DA CAMBIO LTDA</t>
  </si>
  <si>
    <t>efrtravel</t>
  </si>
  <si>
    <t>BANCO BS</t>
  </si>
  <si>
    <t>WING BANK (CAMBODIA) PLC</t>
  </si>
  <si>
    <t>BANCO HIPOTECARIO</t>
  </si>
  <si>
    <t>GLOBAL EXCHANGE UK</t>
  </si>
  <si>
    <t>BANCO OURINVEST SA</t>
  </si>
  <si>
    <t>BANCO TOPAZIO (BEETECH)</t>
  </si>
  <si>
    <t>REVELO</t>
  </si>
  <si>
    <t>BANK OF AYUDHYA PUBLIC COMPANY</t>
  </si>
  <si>
    <t>BANQUE PATRONUS</t>
  </si>
  <si>
    <t>OHCEANS PTE LTD</t>
  </si>
  <si>
    <t>LEMONWAY</t>
  </si>
  <si>
    <t>BEXS BANCO DE CAMBIO SA</t>
  </si>
  <si>
    <t>bedbankglobal</t>
  </si>
  <si>
    <t>FTB HUB S.A.C</t>
  </si>
  <si>
    <t>solole</t>
  </si>
  <si>
    <t>IBANERA PRIVATE LIMITED</t>
  </si>
  <si>
    <t>CORPORATE ALLIANCE PAYMENTS PTY LTD - NSP</t>
  </si>
  <si>
    <t>BORDERLESS LLC</t>
  </si>
  <si>
    <t>OMIPAY</t>
  </si>
  <si>
    <t>BRAZA UK LTD</t>
  </si>
  <si>
    <t>QEEBEY TECH</t>
  </si>
  <si>
    <t>BSI GROUP LLC.</t>
  </si>
  <si>
    <t>Transfereasy</t>
  </si>
  <si>
    <t>MONEYTOS LLC</t>
  </si>
  <si>
    <t>NALA INC</t>
  </si>
  <si>
    <t>PHILLIP BANK</t>
  </si>
  <si>
    <t>NOWPORTS INC</t>
  </si>
  <si>
    <t>mtiescape1</t>
  </si>
  <si>
    <t>CADANA</t>
  </si>
  <si>
    <t>gvcambotis</t>
  </si>
  <si>
    <t>OZ CORRETORA DE CAMBIO SA</t>
  </si>
  <si>
    <t>ZENI INC</t>
  </si>
  <si>
    <t>CASHD PTY LTD</t>
  </si>
  <si>
    <t>MONEYCHAIN PTY LTD</t>
  </si>
  <si>
    <t>CBK KUWAIT</t>
  </si>
  <si>
    <t>MTFX INC.</t>
  </si>
  <si>
    <t>CHARTR UK</t>
  </si>
  <si>
    <t>TRANSFERGO</t>
  </si>
  <si>
    <t>CIMB SPEEDSEND</t>
  </si>
  <si>
    <t>APAYLATER FINANCIALS PTE LTD</t>
  </si>
  <si>
    <t>CITY INTERNATIONAL</t>
  </si>
  <si>
    <t>PT UCE GLOBAL UTAMA</t>
  </si>
  <si>
    <t>CLAUDE ADVANCES (UK) LIMITED</t>
  </si>
  <si>
    <t>Part of borederless</t>
  </si>
  <si>
    <t>PAYANA LTD</t>
  </si>
  <si>
    <t>triplypay</t>
  </si>
  <si>
    <t>COHORTGO</t>
  </si>
  <si>
    <t>opentours</t>
  </si>
  <si>
    <t>SINO ALLIED (HK) LIMITED</t>
  </si>
  <si>
    <t>DEEMONEY</t>
  </si>
  <si>
    <t>CODA PAYMENTS</t>
  </si>
  <si>
    <t>TARAM INC</t>
  </si>
  <si>
    <t>PT DHANAPATRA LOKA ABADI</t>
  </si>
  <si>
    <t>jambotours</t>
  </si>
  <si>
    <t>E9 PAY</t>
  </si>
  <si>
    <t>Transwap</t>
  </si>
  <si>
    <t>EAST AFRICA BANK</t>
  </si>
  <si>
    <t>SWIM PAY SG</t>
  </si>
  <si>
    <t>EIB</t>
  </si>
  <si>
    <t>JUST WALLET INC</t>
  </si>
  <si>
    <t>EVOCABANK CJSC</t>
  </si>
  <si>
    <t>TCLUB INC.</t>
  </si>
  <si>
    <t>UNSI US</t>
  </si>
  <si>
    <t>Aardua</t>
  </si>
  <si>
    <t>PACIFIC BASIN SHIPPING (HK) LIMITED</t>
  </si>
  <si>
    <t>GET KOLLO INC.</t>
  </si>
  <si>
    <t>GLOBAL E PAYMENT</t>
  </si>
  <si>
    <t>Ant Financial</t>
  </si>
  <si>
    <t>Lisa/Irene??</t>
  </si>
  <si>
    <t>GOBRANDS UK HOLDINGS LTD</t>
  </si>
  <si>
    <t>GREY</t>
  </si>
  <si>
    <t>BYTEDANCE</t>
  </si>
  <si>
    <t>FLASH PARTNERS PTY LTD</t>
  </si>
  <si>
    <t>GLOBAL MONEY EXPRESS</t>
  </si>
  <si>
    <t>IFX</t>
  </si>
  <si>
    <t>Ben Speyer</t>
  </si>
  <si>
    <t>ISTPAY</t>
  </si>
  <si>
    <t>JEONBUK BANK</t>
  </si>
  <si>
    <t>JOSWIG SOLUTIONS US LLC</t>
  </si>
  <si>
    <t>KANTABILE AFRIKA LIMITED</t>
  </si>
  <si>
    <t>KRUNG THAI BANK</t>
  </si>
  <si>
    <t>KUWAIT INDIA</t>
  </si>
  <si>
    <t>LOADPASS</t>
  </si>
  <si>
    <t>MAPLE DIGITAL FINANCIAL SOLUTIONS LTD</t>
  </si>
  <si>
    <t>MARQUISTECH PTE LTD</t>
  </si>
  <si>
    <t>MASSPAY INC.</t>
  </si>
  <si>
    <t>PT TRANSWAP DUNAMIS INDONESIA</t>
  </si>
  <si>
    <t>MESHPAY US INC</t>
  </si>
  <si>
    <t>PT WORLDWIDE EXPRESS REMITTANCE</t>
  </si>
  <si>
    <t>MOIN INC</t>
  </si>
  <si>
    <t>MONEX INC</t>
  </si>
  <si>
    <t>MONEYCORP US INC</t>
  </si>
  <si>
    <t>RIPPLE SERVICES INC</t>
  </si>
  <si>
    <t>NEXPAY PTY LTD</t>
  </si>
  <si>
    <t>NOMBA</t>
  </si>
  <si>
    <t>WIDOPH REMIT</t>
  </si>
  <si>
    <t>ORBIS BLOCKCHAIN</t>
  </si>
  <si>
    <t>WSFX GLOBAL PAY LTD.</t>
  </si>
  <si>
    <t>OWLPAY</t>
  </si>
  <si>
    <t>YONDR</t>
  </si>
  <si>
    <t>PAYSERA</t>
  </si>
  <si>
    <t>BILDERLINGS</t>
  </si>
  <si>
    <t>PAYSAFE FINANCIAL SERVICES LIMITED</t>
  </si>
  <si>
    <t xml:space="preserve">Due to Terminate </t>
  </si>
  <si>
    <t>PPSL PAYSAFE</t>
  </si>
  <si>
    <t>PPSL SKRILL</t>
  </si>
  <si>
    <t>PT MIDTRANS</t>
  </si>
  <si>
    <t>LENDERWIZE</t>
  </si>
  <si>
    <t>GPS UK</t>
  </si>
  <si>
    <t>N/A</t>
  </si>
  <si>
    <t>RANK WYRE PAY, INC.</t>
  </si>
  <si>
    <t>REMOFIRST, INC</t>
  </si>
  <si>
    <t>PATENT RENEWAL</t>
  </si>
  <si>
    <t xml:space="preserve">Terminated </t>
  </si>
  <si>
    <t>ROBINHOOD CA</t>
  </si>
  <si>
    <t>SAWASDEESHOP RIPPLE</t>
  </si>
  <si>
    <t>SENTBE</t>
  </si>
  <si>
    <t>SHIPMONEY US</t>
  </si>
  <si>
    <t>SIA ELOKING</t>
  </si>
  <si>
    <t>SPREADFUN</t>
  </si>
  <si>
    <t>TRANSFEREASY</t>
  </si>
  <si>
    <t>TRAVEL LEDGER</t>
  </si>
  <si>
    <t>TUMAPAY LIMITED</t>
  </si>
  <si>
    <t>UNCHAINED MUSIC INC</t>
  </si>
  <si>
    <t>UQPAY</t>
  </si>
  <si>
    <t>UQPAY PTE LTD  PAYOUT</t>
  </si>
  <si>
    <t>USER EXPERIENCE SL</t>
  </si>
  <si>
    <t>VITA SOLUTIONS SPA</t>
  </si>
  <si>
    <t>WARP</t>
  </si>
  <si>
    <t>WINGSPAN NETWORKS INC</t>
  </si>
  <si>
    <t>WORKMOTION SOFTWARE</t>
  </si>
  <si>
    <t>WORKMOTION SOFTWARE GMBH  UK</t>
  </si>
  <si>
    <t>Other payouts</t>
  </si>
  <si>
    <t>ID Bank</t>
  </si>
  <si>
    <t>Collections APAC BB</t>
  </si>
  <si>
    <t>collections</t>
  </si>
  <si>
    <t>Runn</t>
  </si>
  <si>
    <t>Collections Americas BB</t>
  </si>
  <si>
    <t>Collections MEA BB</t>
  </si>
  <si>
    <t>Collections Europe BB</t>
  </si>
  <si>
    <t>Melanie</t>
  </si>
  <si>
    <t>Tremendous Payouts - Americas</t>
  </si>
  <si>
    <t>JP Morgan</t>
  </si>
  <si>
    <t>Verify</t>
  </si>
  <si>
    <t>INV-280726113916</t>
  </si>
  <si>
    <t>INV-210726164750</t>
  </si>
  <si>
    <t>INV-280726145400</t>
  </si>
  <si>
    <t>INV-270726185840</t>
  </si>
  <si>
    <t>INV-270726175934</t>
  </si>
  <si>
    <t>CN-INV-230726161141</t>
  </si>
  <si>
    <t>CN-INV-210726131820</t>
  </si>
  <si>
    <t>Unit Finance Inc.</t>
  </si>
  <si>
    <t>Michael Birmingham</t>
  </si>
  <si>
    <t>BIN setup fee</t>
  </si>
  <si>
    <t>Pay In &amp; Pay Out Service Integration Fee</t>
  </si>
  <si>
    <t>GST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</si>
</sst>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_ ;_ * \-#,##0_ ;_ * &quot;-&quot;??_ ;_ @_ "/>
    <numFmt numFmtId="165"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11"/>
      <color rgb="FF000000"/>
      <name val="Aptos Narrow"/>
      <family val="2"/>
    </font>
    <font>
      <sz val="6"/>
      <color rgb="FF444444"/>
      <name val="Calibri"/>
      <family val="2"/>
    </font>
    <font>
      <sz val="6"/>
      <color rgb="FF333333"/>
      <name val="Calibri"/>
      <family val="2"/>
    </font>
    <font>
      <sz val="10"/>
      <color theme="1"/>
      <name val="Calibri"/>
      <family val="2"/>
    </font>
  </fonts>
  <fills count="7">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9" fillId="0" borderId="0"/>
    <xf numFmtId="0" fontId="1" fillId="0" borderId="0"/>
  </cellStyleXfs>
  <cellXfs count="88">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left"/>
    </xf>
    <xf numFmtId="2" fontId="0" fillId="0" borderId="0" xfId="0" applyNumberFormat="1"/>
    <xf numFmtId="9" fontId="0" fillId="0" borderId="4" xfId="2" applyFont="1" applyBorder="1" applyAlignment="1">
      <alignment horizontal="center" vertical="center"/>
    </xf>
    <xf numFmtId="0" fontId="0" fillId="0" borderId="0" xfId="0" applyAlignment="1">
      <alignment horizontal="left"/>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10" fillId="5" borderId="0" xfId="0" applyFont="1" applyFill="1" applyAlignment="1">
      <alignment horizontal="left" vertical="center" indent="1"/>
    </xf>
    <xf numFmtId="0" fontId="10" fillId="5" borderId="0" xfId="0" applyFont="1" applyFill="1" applyAlignment="1">
      <alignment horizontal="center" vertical="center"/>
    </xf>
    <xf numFmtId="0" fontId="10" fillId="5" borderId="0" xfId="0" applyFont="1" applyFill="1" applyAlignment="1">
      <alignment horizontal="right" vertical="center" indent="1"/>
    </xf>
    <xf numFmtId="0" fontId="0" fillId="0" borderId="1" xfId="0" applyBorder="1" applyAlignment="1">
      <alignment horizontal="center" wrapText="1"/>
    </xf>
    <xf numFmtId="164" fontId="2" fillId="3" borderId="3" xfId="1" applyNumberFormat="1" applyFont="1" applyFill="1" applyBorder="1" applyAlignment="1">
      <alignment horizontal="center"/>
    </xf>
    <xf numFmtId="164" fontId="0" fillId="0" borderId="1" xfId="1" applyNumberFormat="1" applyFont="1" applyBorder="1" applyAlignment="1">
      <alignment horizontal="center"/>
    </xf>
    <xf numFmtId="164" fontId="0" fillId="0" borderId="4"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4" fontId="0" fillId="0" borderId="1" xfId="0" applyNumberFormat="1" applyBorder="1" applyAlignment="1">
      <alignment horizontal="center"/>
    </xf>
    <xf numFmtId="165" fontId="0" fillId="0" borderId="0" xfId="0" applyNumberFormat="1"/>
    <xf numFmtId="0" fontId="0" fillId="0" borderId="0" xfId="0" pivotButton="1" applyAlignment="1">
      <alignment horizontal="center"/>
    </xf>
    <xf numFmtId="0" fontId="0" fillId="0" borderId="3" xfId="0" pivotButton="1" applyBorder="1" applyAlignment="1">
      <alignment horizontal="center"/>
    </xf>
    <xf numFmtId="164" fontId="0" fillId="0" borderId="3" xfId="0" applyNumberFormat="1" applyBorder="1" applyAlignment="1">
      <alignment horizontal="center"/>
    </xf>
    <xf numFmtId="0" fontId="11" fillId="0" borderId="5" xfId="0" applyFont="1" applyBorder="1" applyAlignment="1">
      <alignment vertical="center"/>
    </xf>
    <xf numFmtId="164"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0" borderId="1" xfId="0" applyBorder="1" applyAlignment="1">
      <alignment wrapText="1"/>
    </xf>
    <xf numFmtId="164" fontId="0" fillId="0" borderId="0" xfId="0" applyNumberFormat="1" applyAlignment="1">
      <alignment horizontal="center"/>
    </xf>
    <xf numFmtId="164"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2" fillId="0" borderId="5"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164" fontId="0" fillId="0" borderId="1" xfId="1" applyNumberFormat="1" applyFont="1" applyFill="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165" fontId="0" fillId="0" borderId="1" xfId="0" applyNumberFormat="1" applyBorder="1"/>
    <xf numFmtId="164" fontId="2" fillId="3" borderId="3" xfId="1" applyNumberFormat="1" applyFont="1" applyFill="1" applyBorder="1" applyAlignment="1">
      <alignment horizontal="center" vertical="center"/>
    </xf>
    <xf numFmtId="164" fontId="2" fillId="3" borderId="1" xfId="1" applyNumberFormat="1" applyFont="1" applyFill="1" applyBorder="1" applyAlignment="1">
      <alignment horizontal="center" vertical="center" wrapText="1"/>
    </xf>
    <xf numFmtId="164" fontId="0" fillId="0" borderId="1" xfId="1" applyNumberFormat="1" applyFont="1" applyBorder="1" applyAlignment="1">
      <alignment horizontal="center" vertical="center"/>
    </xf>
    <xf numFmtId="9" fontId="0" fillId="0" borderId="2" xfId="2" applyFont="1" applyBorder="1" applyAlignment="1">
      <alignment horizontal="center" vertical="center"/>
    </xf>
    <xf numFmtId="164" fontId="1" fillId="0" borderId="1" xfId="1" applyNumberFormat="1" applyFont="1" applyFill="1" applyBorder="1" applyAlignment="1">
      <alignment horizontal="center" vertical="center"/>
    </xf>
    <xf numFmtId="164"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4" fontId="3" fillId="0" borderId="1" xfId="1" applyNumberFormat="1" applyFont="1" applyBorder="1" applyAlignment="1" applyProtection="1">
      <alignment horizontal="center" vertical="center"/>
      <protection locked="0"/>
    </xf>
    <xf numFmtId="164" fontId="2" fillId="0" borderId="1" xfId="0" applyNumberFormat="1" applyFont="1" applyBorder="1"/>
    <xf numFmtId="2" fontId="0" fillId="0" borderId="1" xfId="0" applyNumberFormat="1" applyBorder="1"/>
    <xf numFmtId="3" fontId="0" fillId="0" borderId="0" xfId="0" applyNumberFormat="1"/>
    <xf numFmtId="164" fontId="0" fillId="0" borderId="1" xfId="1" applyNumberFormat="1" applyFont="1" applyFill="1" applyBorder="1" applyAlignment="1">
      <alignment horizontal="center" vertical="center"/>
    </xf>
    <xf numFmtId="3" fontId="0" fillId="0" borderId="1" xfId="0" applyNumberFormat="1" applyBorder="1" applyAlignment="1">
      <alignment horizontal="center" vertical="center"/>
    </xf>
    <xf numFmtId="4" fontId="0" fillId="0" borderId="1" xfId="0" applyNumberFormat="1" applyBorder="1" applyAlignment="1">
      <alignment horizontal="center" vertical="center"/>
    </xf>
    <xf numFmtId="0" fontId="14" fillId="0" borderId="0" xfId="5" applyFont="1"/>
    <xf numFmtId="0" fontId="2" fillId="6" borderId="0" xfId="0" applyFont="1" applyFill="1" applyAlignment="1">
      <alignment horizontal="center"/>
    </xf>
    <xf numFmtId="0" fontId="14" fillId="0" borderId="1" xfId="5" applyFont="1" applyBorder="1"/>
    <xf numFmtId="0" fontId="7" fillId="0" borderId="1" xfId="0" applyFont="1" applyBorder="1" applyAlignment="1">
      <alignment horizontal="left" vertical="top"/>
    </xf>
    <xf numFmtId="0" fontId="8" fillId="0" borderId="1" xfId="3" applyFont="1" applyBorder="1" applyAlignment="1">
      <alignment horizontal="left"/>
    </xf>
    <xf numFmtId="0" fontId="0" fillId="4" borderId="1" xfId="0" applyFill="1" applyBorder="1" applyAlignment="1">
      <alignment horizontal="left" wrapText="1"/>
    </xf>
    <xf numFmtId="0" fontId="7" fillId="0" borderId="1" xfId="4" applyFont="1" applyBorder="1" applyAlignment="1">
      <alignment horizontal="left" vertical="top"/>
    </xf>
    <xf numFmtId="0" fontId="3" fillId="2" borderId="1" xfId="0" applyFont="1" applyFill="1" applyBorder="1" applyAlignment="1" applyProtection="1">
      <alignment vertical="center"/>
      <protection locked="0"/>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vertical="center"/>
    </xf>
    <xf numFmtId="164" fontId="4" fillId="2" borderId="4" xfId="1" applyNumberFormat="1" applyFont="1" applyFill="1" applyBorder="1" applyAlignment="1">
      <alignment horizontal="center" vertical="center"/>
    </xf>
    <xf numFmtId="164"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xf>
    <xf numFmtId="0" fontId="13" fillId="0" borderId="1" xfId="0" applyFont="1" applyBorder="1" applyAlignment="1">
      <alignment horizontal="center"/>
    </xf>
    <xf numFmtId="0" fontId="12" fillId="0" borderId="1" xfId="0" applyFont="1" applyBorder="1" applyAlignment="1">
      <alignment horizontal="center"/>
    </xf>
  </cellXfs>
  <cellStyles count="6">
    <cellStyle name="Comma" xfId="1" builtinId="3"/>
    <cellStyle name="Normal" xfId="0" builtinId="0"/>
    <cellStyle name="Normal 2" xfId="5" xr:uid="{AE7D07AF-DEFB-4539-B53B-F2C1AC3851A9}"/>
    <cellStyle name="Normal 3" xfId="3" xr:uid="{76FA833B-19E6-4469-A66E-915AF6FAD399}"/>
    <cellStyle name="Normal 7" xfId="4" xr:uid="{258BAEC1-580A-47C9-ADFE-B5959DD648BB}"/>
    <cellStyle name="Percent" xfId="2" builtinId="5"/>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Rajshree Nolakha" id="{1166E809-FC86-472B-BFC1-CE5EC2964613}" userId="S::rajshree.nolakha@nium.com::8ffef9b8-e145-46ee-b1c9-17928cd6398f" providerId="AD"/>
</personList>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Receivable%20Tracker%20-%20Master%20-%2030%20June%20-%20Copy.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Receivable%20Tracker%20-%20Master%20-%2030%20June%20-%20Copy.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r:id="rId2"/>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4">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97.392134027781" createdVersion="8" refreshedVersion="8" minRefreshableVersion="3" recordCount="101" xr:uid="{F345A991-F84D-4355-A7CB-FED123DB027A}">
  <cacheSource type="worksheet">
    <worksheetSource ref="A1:X80" sheet="Invoices" r:id="rId2"/>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FIRSTKYC PTE. LTD."/>
        <s v="Express Hub Services Pty Ltd"/>
        <s v="MyBeacon Services Inc."/>
        <s v="MyBeacon Services Inc.-Verify"/>
        <s v="Corporate Alliance Payments Pty Ltd - NSP"/>
        <s v="Red Owl Pty Ltd"/>
        <s v="EZ Money Sdn Bhd."/>
        <s v="Qatar National Bank (Q.P.S.C.)"/>
        <s v="Stratos Payments, Inc"/>
        <s v="you technologies group (singapore) pte. ltd"/>
        <s v="AL FUAD EXCHANGE"/>
        <s v="Globus Payments (DIFC) Limited"/>
        <s v="HONGKONG FORTUNETECH LIMITED"/>
        <s v="Mizzen Digital DMCC"/>
        <s v="Poaster Technologies Inc. DBA Warp"/>
        <s v="Travel Ledger UK"/>
        <s v="WEEL HOLDINGS PTY LTD"/>
        <s v="BEXS BANCO DE CAMBIO S.A."/>
        <s v="Everpro Holdings Limited"/>
        <s v="PT Midtrans"/>
        <s v="PT PELITA TRANSFER NUSANTARA"/>
        <s v="Emirates Islamic Bank PJSC"/>
        <s v="Emirates NBD Bank PJSC"/>
        <s v="EVERWIN REMITTANCE AND EXCHANGE CO LIMITED"/>
        <s v="Global E-Payment Limited"/>
        <s v="KOHO Financial Inc."/>
        <s v="KOHO Financial Inc.-Verify"/>
        <s v="MeshPay US, Inc"/>
        <s v="VPLUS GREATER BAY EXCHANGE LIMITED"/>
        <s v="TClub Inc." u="1"/>
        <s v="AVENIDA VESSEL" u="1"/>
        <s v="CashD Pty Ltd" u="1"/>
        <s v="Al Muzaini Exchange" u="1"/>
        <s v="borderless llc" u="1"/>
        <s v="Ichange Pte Ltd" u="1"/>
        <s v="kasikorn bank" u="1"/>
        <s v="ppsl paysafe" u="1"/>
        <s v="ppsl skrill" u="1"/>
        <s v="PT Harsya Remitindo" u="1"/>
        <s v="PT Transwap Dunamis Indonesia" u="1"/>
        <s v="REMIT5" u="1"/>
        <s v="Skrill Ltd" u="1"/>
        <s v="The CurrencyCloud Limited" u="1"/>
        <s v="you technologies group (singapore) pte. Ltd - Verify" u="1"/>
        <s v="Banque Patronus" u="1"/>
        <s v="Genieum Services Pty Ltd" u="1"/>
        <s v="Global E-Payment Limited-SG" u="1"/>
        <s v="Lulu Money (Singapore) Pte. Ltd" u="1"/>
        <s v="PT UCE Global Utama" u="1"/>
        <s v="RemitAnywhere INC" u="1"/>
        <s v="Remotely Works Inc." u="1"/>
        <s v="SingCash Pte Ltd" u="1"/>
        <s v="VECTOR HOLDINGS PTY LTD" u="1"/>
        <s v="Volopay Co Pte Ltd." u="1"/>
        <s v="Yorbis Inc." u="1"/>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8">
        <s v="NA"/>
        <s v="Lia Susin"/>
        <s v="Hao Nguyen"/>
        <s v="Bhavani"/>
        <s v="Sachli Zare"/>
        <s v="Jerome Coelho"/>
        <s v="Shi Yin"/>
        <s v="Tanu Arora"/>
        <s v="Mrinal "/>
        <s v="XiaoXiao"/>
        <s v="Tulio Lima"/>
        <s v="Eduardo Avallone"/>
        <s v="Luciana"/>
        <s v="Pat Sarisa"/>
        <s v="Melanie Leonard" u="1"/>
        <s v="Sanat Patakar" u="1"/>
        <s v="Bhavani/Sanat" u="1"/>
        <s v="Hari Budiman" u="1"/>
      </sharedItems>
    </cacheField>
    <cacheField name="BD" numFmtId="0">
      <sharedItems count="18">
        <s v="Vinoth M"/>
        <s v="Christina Hutchinson"/>
        <s v="NA"/>
        <s v="Tyler Reed"/>
        <s v="Ashraf Omran"/>
        <s v="Denis Tan"/>
        <s v="Wendy zhai"/>
        <s v="Michael Bermingham"/>
        <s v="Rohit Bammi"/>
        <s v="Saikat Roy"/>
        <s v="Edward Li"/>
        <s v="Danny May"/>
        <s v="Lisa Sung"/>
        <s v="Hari Budiman"/>
        <s v="Gitesh Athavale"/>
        <s v="Andrew Gyenis" u="1"/>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4">
      <sharedItems containsSemiMixedTypes="0" containsString="0" containsNumber="1" minValue="0.5" maxValue="61001.45"/>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23" maxValue="560"/>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5-12T00:00:00"/>
    </cacheField>
    <cacheField name="Due Date" numFmtId="14">
      <sharedItems containsSemiMixedTypes="0" containsNonDate="0" containsDate="1" containsString="0" minDate="2024-12-11T00:00:00" maxDate="2026-06-0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m/>
        <s v="credit note will be settled against future invoices" u="1"/>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225.453651504627" createdVersion="8" refreshedVersion="8" minRefreshableVersion="3" recordCount="192" xr:uid="{2A20C24C-34D5-4BF2-9FF2-7DDA7A1AAD3B}">
  <cacheSource type="worksheet">
    <worksheetSource ref="A1:T148" sheet="Invoices"/>
  </cacheSource>
  <cacheFields count="20">
    <cacheField name="Platform" numFmtId="0">
      <sharedItems/>
    </cacheField>
    <cacheField name="Customer Label" numFmtId="0">
      <sharedItems/>
    </cacheField>
    <cacheField name="Region" numFmtId="0">
      <sharedItems count="8">
        <s v="Shared Center"/>
        <s v="Americas"/>
        <s v="APAC"/>
        <s v="EU/UK"/>
        <s v="MEA"/>
        <s v="USA" u="1"/>
        <s v="ME" u="1"/>
        <s v="Shared Centre" u="1"/>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4">
      <sharedItems containsSemiMixedTypes="0" containsString="0" containsNumber="1" minValue="-30119.836671738649" maxValue="107062.17542532706"/>
    </cacheField>
    <cacheField name="Invoice Amount" numFmtId="0">
      <sharedItems containsSemiMixedTypes="0" containsString="0" containsNumber="1" minValue="-611635" maxValue="4281428"/>
    </cacheField>
    <cacheField name="Billing Period" numFmtId="14">
      <sharedItems containsSemiMixedTypes="0" containsNonDate="0" containsDate="1" containsString="0" minDate="2024-11-01T00:00:00" maxDate="2026-08-02T00:00:00"/>
    </cacheField>
    <cacheField name="Month" numFmtId="2">
      <sharedItems/>
    </cacheField>
    <cacheField name="Days" numFmtId="0">
      <sharedItems containsSemiMixedTypes="0" containsString="0" containsNumber="1" containsInteger="1" minValue="-15" maxValue="588"/>
    </cacheField>
    <cacheField name="Ageing Tier" numFmtId="0">
      <sharedItems count="4">
        <s v="Over 90+ days"/>
        <s v="61-90 days"/>
        <s v="0-30 days"/>
        <s v="31-60 days"/>
      </sharedItems>
    </cacheField>
    <cacheField name="Fee Type" numFmtId="0">
      <sharedItems/>
    </cacheField>
    <cacheField name="Invoice Date" numFmtId="14">
      <sharedItems containsSemiMixedTypes="0" containsNonDate="0" containsDate="1" containsString="0" minDate="2024-11-01T00:00:00" maxDate="2026-07-17T00:00:00"/>
    </cacheField>
    <cacheField name="Due Date" numFmtId="14">
      <sharedItems containsSemiMixedTypes="0" containsNonDate="0" containsDate="1" containsString="0" minDate="2024-12-11T00:00:00" maxDate="2026-08-07T00:00:00"/>
    </cacheField>
    <cacheField name="Invoice Status" numFmtId="0">
      <sharedItems/>
    </cacheField>
    <cacheField name="Invoice Numb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x v="0"/>
    <x v="0"/>
    <x v="0"/>
    <s v="USD"/>
    <n v="5500"/>
    <n v="5500"/>
    <d v="2024-11-01T00:00:00"/>
    <x v="0"/>
    <n v="560"/>
    <s v="Over 90+ days"/>
    <s v="Monthly Billing"/>
    <d v="2024-11-01T00:00:00"/>
    <d v="2024-12-11T00:00:00"/>
    <s v="Outstanding"/>
    <s v="INV-041224105640"/>
    <s v="Yes"/>
    <s v="Yes"/>
    <x v="0"/>
    <m/>
  </r>
  <r>
    <x v="0"/>
    <x v="0"/>
    <x v="0"/>
    <x v="0"/>
    <x v="0"/>
    <x v="0"/>
    <x v="1"/>
    <x v="0"/>
    <s v="USD"/>
    <n v="9930"/>
    <n v="9930"/>
    <d v="2025-01-01T00:00:00"/>
    <x v="1"/>
    <n v="497"/>
    <s v="Over 90+ days"/>
    <s v="Monthly Billing"/>
    <d v="2025-02-05T00:00:00"/>
    <d v="2025-02-12T00:00:00"/>
    <s v="Outstanding"/>
    <s v="INV-050225183406"/>
    <s v="Yes"/>
    <s v="Yes"/>
    <x v="0"/>
    <m/>
  </r>
  <r>
    <x v="0"/>
    <x v="0"/>
    <x v="0"/>
    <x v="0"/>
    <x v="0"/>
    <x v="0"/>
    <x v="1"/>
    <x v="0"/>
    <s v="USD"/>
    <n v="10000"/>
    <n v="10000"/>
    <d v="2025-02-01T00:00:00"/>
    <x v="2"/>
    <n v="469"/>
    <s v="Over 90+ days"/>
    <s v="Monthly Billing"/>
    <d v="2025-03-05T00:00:00"/>
    <d v="2025-03-12T00:00:00"/>
    <s v="Outstanding"/>
    <s v="INV-050325103203"/>
    <s v="Yes"/>
    <s v="Yes"/>
    <x v="0"/>
    <m/>
  </r>
  <r>
    <x v="0"/>
    <x v="0"/>
    <x v="0"/>
    <x v="0"/>
    <x v="0"/>
    <x v="0"/>
    <x v="1"/>
    <x v="0"/>
    <s v="USD"/>
    <n v="10000"/>
    <n v="10000"/>
    <d v="2025-03-01T00:00:00"/>
    <x v="3"/>
    <n v="441"/>
    <s v="Over 90+ days"/>
    <s v="Monthly Billing"/>
    <d v="2025-04-02T00:00:00"/>
    <d v="2025-04-09T00:00:00"/>
    <s v="Outstanding"/>
    <s v="INV-020425174717"/>
    <s v="Yes"/>
    <s v="Yes"/>
    <x v="0"/>
    <m/>
  </r>
  <r>
    <x v="0"/>
    <x v="0"/>
    <x v="0"/>
    <x v="0"/>
    <x v="0"/>
    <x v="0"/>
    <x v="1"/>
    <x v="0"/>
    <s v="USD"/>
    <n v="10000"/>
    <n v="10000"/>
    <d v="2025-04-01T00:00:00"/>
    <x v="4"/>
    <n v="408"/>
    <s v="Over 90+ days"/>
    <s v="Monthly Billing"/>
    <d v="2025-05-05T00:00:00"/>
    <d v="2025-05-12T00:00:00"/>
    <s v="Outstanding"/>
    <s v="INV-050525114818"/>
    <s v="Yes"/>
    <s v="Yes"/>
    <x v="0"/>
    <m/>
  </r>
  <r>
    <x v="0"/>
    <x v="0"/>
    <x v="0"/>
    <x v="0"/>
    <x v="0"/>
    <x v="0"/>
    <x v="1"/>
    <x v="0"/>
    <s v="USD"/>
    <n v="10000"/>
    <n v="10000"/>
    <d v="2025-05-01T00:00:00"/>
    <x v="5"/>
    <n v="378"/>
    <s v="Over 90+ days"/>
    <s v="Monthly Billing"/>
    <d v="2025-06-04T00:00:00"/>
    <d v="2025-06-11T00:00:00"/>
    <s v="Outstanding"/>
    <s v="INV-040625165635"/>
    <s v="Yes"/>
    <s v="Yes"/>
    <x v="0"/>
    <m/>
  </r>
  <r>
    <x v="0"/>
    <x v="1"/>
    <x v="1"/>
    <x v="1"/>
    <x v="1"/>
    <x v="0"/>
    <x v="1"/>
    <x v="0"/>
    <s v="USD"/>
    <n v="3495.5"/>
    <n v="3495.5"/>
    <d v="2025-07-01T00:00:00"/>
    <x v="6"/>
    <n v="316"/>
    <s v="Over 90+ days"/>
    <s v="Monthly Billing"/>
    <d v="2025-08-05T00:00:00"/>
    <d v="2025-08-12T00:00:00"/>
    <s v="Outstanding"/>
    <s v="INV-050825115818"/>
    <s v="Yes"/>
    <s v="No"/>
    <x v="1"/>
    <m/>
  </r>
  <r>
    <x v="0"/>
    <x v="2"/>
    <x v="0"/>
    <x v="2"/>
    <x v="2"/>
    <x v="0"/>
    <x v="1"/>
    <x v="0"/>
    <s v="AUD"/>
    <n v="1411.8645650595627"/>
    <n v="1971.5749999999998"/>
    <d v="2025-07-01T00:00:00"/>
    <x v="6"/>
    <n v="316"/>
    <s v="Over 90+ days"/>
    <s v="Monthly Billing"/>
    <d v="2025-08-05T00:00:00"/>
    <d v="2025-08-12T00:00:00"/>
    <s v="Partially Paid"/>
    <s v="INV-050825195438"/>
    <s v="Yes"/>
    <s v="Yes"/>
    <x v="2"/>
    <m/>
  </r>
  <r>
    <x v="0"/>
    <x v="1"/>
    <x v="1"/>
    <x v="1"/>
    <x v="1"/>
    <x v="0"/>
    <x v="1"/>
    <x v="0"/>
    <s v="USD"/>
    <n v="3485"/>
    <n v="3485"/>
    <d v="2025-08-01T00:00:00"/>
    <x v="7"/>
    <n v="288"/>
    <s v="Over 90+ days"/>
    <s v="Monthly Billing"/>
    <d v="2025-09-02T00:00:00"/>
    <d v="2025-09-09T00:00:00"/>
    <s v="Outstanding"/>
    <s v="INV-020925171323"/>
    <s v="Yes"/>
    <s v="No"/>
    <x v="1"/>
    <m/>
  </r>
  <r>
    <x v="0"/>
    <x v="2"/>
    <x v="0"/>
    <x v="2"/>
    <x v="2"/>
    <x v="0"/>
    <x v="1"/>
    <x v="0"/>
    <s v="AUD"/>
    <n v="4920.7605781039329"/>
    <n v="6871.5150000000003"/>
    <d v="2025-08-01T00:00:00"/>
    <x v="7"/>
    <n v="287"/>
    <s v="Over 90+ days"/>
    <s v="Monthly Billing"/>
    <d v="2025-09-03T00:00:00"/>
    <d v="2025-09-10T00:00:00"/>
    <s v="Outstanding"/>
    <s v="INV-030925145658"/>
    <s v="Yes"/>
    <s v="Yes"/>
    <x v="2"/>
    <m/>
  </r>
  <r>
    <x v="1"/>
    <x v="3"/>
    <x v="2"/>
    <x v="3"/>
    <x v="2"/>
    <x v="0"/>
    <x v="1"/>
    <x v="1"/>
    <s v="USD"/>
    <n v="1020"/>
    <n v="1020"/>
    <d v="2025-09-01T00:00:00"/>
    <x v="8"/>
    <n v="260"/>
    <s v="Over 90+ days"/>
    <s v="Monthly Billing"/>
    <d v="2025-10-01T00:00:00"/>
    <d v="2025-10-07T00:00:00"/>
    <s v="Force Settlement"/>
    <s v="SG-FTBHUB-09/2025"/>
    <s v="Yes"/>
    <s v="No"/>
    <x v="3"/>
    <m/>
  </r>
  <r>
    <x v="0"/>
    <x v="1"/>
    <x v="1"/>
    <x v="1"/>
    <x v="1"/>
    <x v="0"/>
    <x v="1"/>
    <x v="0"/>
    <s v="USD"/>
    <n v="3487.5"/>
    <n v="3487.5"/>
    <d v="2025-09-01T00:00:00"/>
    <x v="8"/>
    <n v="258"/>
    <s v="Over 90+ days"/>
    <s v="Monthly Billing"/>
    <d v="2025-10-02T00:00:00"/>
    <d v="2025-10-09T00:00:00"/>
    <s v="Outstanding"/>
    <s v="INV-021025184847"/>
    <s v="Yes"/>
    <s v="No"/>
    <x v="1"/>
    <m/>
  </r>
  <r>
    <x v="0"/>
    <x v="2"/>
    <x v="0"/>
    <x v="2"/>
    <x v="2"/>
    <x v="0"/>
    <x v="1"/>
    <x v="0"/>
    <s v="AUD"/>
    <n v="4808.8361663032229"/>
    <n v="6715.2199999999993"/>
    <d v="2025-09-01T00:00:00"/>
    <x v="8"/>
    <n v="254"/>
    <s v="Over 90+ days"/>
    <s v="Monthly Billing"/>
    <d v="2025-10-06T00:00:00"/>
    <d v="2025-10-13T00:00:00"/>
    <s v="Outstanding"/>
    <s v="INV-061025125629"/>
    <s v="Yes"/>
    <s v="Yes"/>
    <x v="2"/>
    <m/>
  </r>
  <r>
    <x v="1"/>
    <x v="3"/>
    <x v="2"/>
    <x v="3"/>
    <x v="2"/>
    <x v="0"/>
    <x v="1"/>
    <x v="1"/>
    <s v="USD"/>
    <n v="1000"/>
    <n v="1000"/>
    <d v="2025-10-01T00:00:00"/>
    <x v="9"/>
    <n v="229"/>
    <s v="Over 90+ days"/>
    <s v="Monthly Billing"/>
    <d v="2025-11-01T00:00:00"/>
    <d v="2025-11-07T00:00:00"/>
    <s v="Force Settlement"/>
    <s v="SG-FTBHUB-10/2025"/>
    <s v="Yes"/>
    <s v="No"/>
    <x v="3"/>
    <m/>
  </r>
  <r>
    <x v="0"/>
    <x v="4"/>
    <x v="0"/>
    <x v="2"/>
    <x v="0"/>
    <x v="0"/>
    <x v="1"/>
    <x v="0"/>
    <s v="AUD"/>
    <n v="983.1474132966149"/>
    <n v="1372.8999999999999"/>
    <d v="2025-09-01T00:00:00"/>
    <x v="8"/>
    <n v="208"/>
    <s v="Over 90+ days"/>
    <s v="Card Printing and Delivery"/>
    <d v="2025-10-28T00:00:00"/>
    <d v="2025-11-28T00:00:00"/>
    <s v="Partially Paid"/>
    <s v="INV-281025170000"/>
    <s v="Yes"/>
    <s v="No"/>
    <x v="4"/>
    <m/>
  </r>
  <r>
    <x v="0"/>
    <x v="5"/>
    <x v="3"/>
    <x v="4"/>
    <x v="2"/>
    <x v="0"/>
    <x v="1"/>
    <x v="0"/>
    <s v="USD"/>
    <n v="75"/>
    <n v="75"/>
    <d v="2025-10-01T00:00:00"/>
    <x v="9"/>
    <n v="224"/>
    <s v="Over 90+ days"/>
    <s v="Monthly Billing"/>
    <d v="2025-11-05T00:00:00"/>
    <d v="2025-11-12T00:00:00"/>
    <s v="Partially Paid"/>
    <s v="INV-051125174218"/>
    <s v="Yes"/>
    <s v="No"/>
    <x v="5"/>
    <m/>
  </r>
  <r>
    <x v="0"/>
    <x v="1"/>
    <x v="1"/>
    <x v="1"/>
    <x v="1"/>
    <x v="0"/>
    <x v="1"/>
    <x v="0"/>
    <s v="USD"/>
    <n v="2602.25"/>
    <n v="2602.25"/>
    <d v="2025-10-01T00:00:00"/>
    <x v="9"/>
    <n v="224"/>
    <s v="Over 90+ days"/>
    <s v="Monthly Billing"/>
    <d v="2025-11-05T00:00:00"/>
    <d v="2025-11-12T00:00:00"/>
    <s v="Outstanding"/>
    <s v="INV-051125173213"/>
    <s v="Yes"/>
    <s v="No"/>
    <x v="1"/>
    <m/>
  </r>
  <r>
    <x v="0"/>
    <x v="2"/>
    <x v="0"/>
    <x v="2"/>
    <x v="2"/>
    <x v="0"/>
    <x v="1"/>
    <x v="0"/>
    <s v="AUD"/>
    <n v="4785.0792171910407"/>
    <n v="6682.0450000000001"/>
    <d v="2025-10-01T00:00:00"/>
    <x v="9"/>
    <n v="223"/>
    <s v="Over 90+ days"/>
    <s v="Monthly Billing"/>
    <d v="2025-11-06T00:00:00"/>
    <d v="2025-11-13T00:00:00"/>
    <s v="Outstanding"/>
    <s v="INV-061125104927"/>
    <s v="Yes"/>
    <s v="Yes"/>
    <x v="2"/>
    <m/>
  </r>
  <r>
    <x v="0"/>
    <x v="6"/>
    <x v="2"/>
    <x v="0"/>
    <x v="3"/>
    <x v="0"/>
    <x v="1"/>
    <x v="0"/>
    <s v="USD"/>
    <n v="0.5"/>
    <n v="0.5"/>
    <d v="2025-10-01T00:00:00"/>
    <x v="9"/>
    <n v="224"/>
    <s v="Over 90+ days"/>
    <s v="Monthly Billing"/>
    <d v="2025-11-05T00:00:00"/>
    <d v="2025-11-12T00:00:00"/>
    <s v="Outstanding"/>
    <s v="INV-041125182344"/>
    <s v="Yes"/>
    <s v="No"/>
    <x v="4"/>
    <m/>
  </r>
  <r>
    <x v="0"/>
    <x v="4"/>
    <x v="0"/>
    <x v="2"/>
    <x v="0"/>
    <x v="0"/>
    <x v="1"/>
    <x v="0"/>
    <s v="AUD"/>
    <n v="1851.201628060903"/>
    <n v="2585.08"/>
    <d v="2025-10-01T00:00:00"/>
    <x v="9"/>
    <n v="189"/>
    <s v="Over 90+ days"/>
    <s v="Card Printing and Delivery"/>
    <d v="2025-11-17T00:00:00"/>
    <d v="2025-12-17T00:00:00"/>
    <s v="Outstanding"/>
    <s v="INV-171125170000"/>
    <s v="Yes"/>
    <s v="No"/>
    <x v="4"/>
    <m/>
  </r>
  <r>
    <x v="1"/>
    <x v="3"/>
    <x v="2"/>
    <x v="3"/>
    <x v="2"/>
    <x v="0"/>
    <x v="1"/>
    <x v="1"/>
    <s v="USD"/>
    <n v="1000"/>
    <n v="1000"/>
    <d v="2025-11-01T00:00:00"/>
    <x v="0"/>
    <n v="198"/>
    <s v="Over 90+ days"/>
    <s v="Monthly Billing"/>
    <d v="2025-12-01T00:00:00"/>
    <d v="2025-12-08T00:00:00"/>
    <s v="Force Settlement"/>
    <s v="SG-FTBHUB-11/2025"/>
    <s v="Yes"/>
    <s v="No"/>
    <x v="3"/>
    <m/>
  </r>
  <r>
    <x v="0"/>
    <x v="4"/>
    <x v="0"/>
    <x v="2"/>
    <x v="0"/>
    <x v="0"/>
    <x v="1"/>
    <x v="0"/>
    <s v="AUD"/>
    <n v="1849.9914021679235"/>
    <n v="2583.39"/>
    <d v="2025-11-01T00:00:00"/>
    <x v="0"/>
    <n v="160"/>
    <s v="Over 90+ days"/>
    <s v="Card Printing and Delivery"/>
    <d v="2025-12-15T00:00:00"/>
    <d v="2026-01-15T00:00:00"/>
    <s v="Outstanding"/>
    <s v="INV-151225170000"/>
    <s v="Yes"/>
    <s v="No"/>
    <x v="4"/>
    <m/>
  </r>
  <r>
    <x v="0"/>
    <x v="7"/>
    <x v="4"/>
    <x v="5"/>
    <x v="4"/>
    <x v="0"/>
    <x v="1"/>
    <x v="0"/>
    <s v="USD"/>
    <n v="57.489999999999782"/>
    <n v="57.489999999999782"/>
    <d v="2025-11-01T00:00:00"/>
    <x v="0"/>
    <n v="197"/>
    <s v="Over 90+ days"/>
    <s v="Monthly Billing"/>
    <d v="2025-12-02T00:00:00"/>
    <d v="2025-12-09T00:00:00"/>
    <s v="Partially Paid"/>
    <s v="INV-021225185612"/>
    <s v="Yes"/>
    <s v="No"/>
    <x v="4"/>
    <m/>
  </r>
  <r>
    <x v="0"/>
    <x v="1"/>
    <x v="1"/>
    <x v="1"/>
    <x v="1"/>
    <x v="0"/>
    <x v="1"/>
    <x v="0"/>
    <s v="USD"/>
    <n v="1786.14"/>
    <n v="1786.14"/>
    <d v="2025-11-01T00:00:00"/>
    <x v="0"/>
    <n v="197"/>
    <s v="Over 90+ days"/>
    <s v="Monthly Billing"/>
    <d v="2025-12-02T00:00:00"/>
    <d v="2025-12-09T00:00:00"/>
    <s v="Outstanding"/>
    <s v="INV-021225201549"/>
    <s v="Yes"/>
    <s v="No"/>
    <x v="1"/>
    <m/>
  </r>
  <r>
    <x v="0"/>
    <x v="8"/>
    <x v="0"/>
    <x v="6"/>
    <x v="0"/>
    <x v="0"/>
    <x v="1"/>
    <x v="0"/>
    <s v="USD"/>
    <n v="2743"/>
    <n v="2743"/>
    <d v="2025-11-01T00:00:00"/>
    <x v="0"/>
    <n v="188"/>
    <s v="Over 90+ days"/>
    <s v="Monthly Billing"/>
    <d v="2025-12-03T00:00:00"/>
    <d v="2025-12-18T00:00:00"/>
    <s v="Outstanding"/>
    <s v="INV-031225170417"/>
    <s v="Yes"/>
    <s v="Yes"/>
    <x v="4"/>
    <m/>
  </r>
  <r>
    <x v="0"/>
    <x v="2"/>
    <x v="0"/>
    <x v="2"/>
    <x v="2"/>
    <x v="0"/>
    <x v="1"/>
    <x v="0"/>
    <s v="AUD"/>
    <n v="4906.1906041284556"/>
    <n v="6851.1689999999999"/>
    <d v="2025-11-01T00:00:00"/>
    <x v="0"/>
    <n v="195"/>
    <s v="Over 90+ days"/>
    <s v="Monthly Billing"/>
    <d v="2025-12-04T00:00:00"/>
    <d v="2025-12-11T00:00:00"/>
    <s v="Outstanding"/>
    <s v="INV-041225150054"/>
    <s v="Yes"/>
    <s v="Yes"/>
    <x v="2"/>
    <m/>
  </r>
  <r>
    <x v="1"/>
    <x v="9"/>
    <x v="2"/>
    <x v="3"/>
    <x v="2"/>
    <x v="0"/>
    <x v="1"/>
    <x v="0"/>
    <s v="USD"/>
    <n v="2217.6"/>
    <n v="2217.6"/>
    <d v="2025-12-01T00:00:00"/>
    <x v="10"/>
    <n v="158"/>
    <s v="Over 90+ days"/>
    <s v="Monthly Billing"/>
    <d v="2026-01-02T00:00:00"/>
    <d v="2026-01-17T00:00:00"/>
    <s v="Outstanding"/>
    <s v="US-GLOBAL ROOTS INC-12/2025"/>
    <s v="Yes"/>
    <s v="No"/>
    <x v="4"/>
    <m/>
  </r>
  <r>
    <x v="0"/>
    <x v="4"/>
    <x v="0"/>
    <x v="2"/>
    <x v="0"/>
    <x v="0"/>
    <x v="1"/>
    <x v="0"/>
    <s v="AUD"/>
    <n v="850.3935100467429"/>
    <n v="1187.5180000000037"/>
    <d v="2025-12-01T00:00:00"/>
    <x v="10"/>
    <n v="139"/>
    <s v="Over 90+ days"/>
    <s v="Monthly Billing"/>
    <d v="2026-01-06T00:00:00"/>
    <d v="2026-02-05T00:00:00"/>
    <s v="Outstanding"/>
    <s v="INV-060126122618"/>
    <s v="Yes"/>
    <s v="No"/>
    <x v="4"/>
    <m/>
  </r>
  <r>
    <x v="0"/>
    <x v="10"/>
    <x v="0"/>
    <x v="0"/>
    <x v="5"/>
    <x v="0"/>
    <x v="1"/>
    <x v="0"/>
    <s v="USD"/>
    <n v="1.72"/>
    <n v="1.72"/>
    <d v="2025-12-01T00:00:00"/>
    <x v="10"/>
    <n v="163"/>
    <s v="Over 90+ days"/>
    <s v="Monthly Billing"/>
    <d v="2026-01-05T00:00:00"/>
    <d v="2026-01-12T00:00:00"/>
    <s v="Outstanding"/>
    <s v="INV-050126095427"/>
    <s v="Yes"/>
    <s v="No"/>
    <x v="6"/>
    <m/>
  </r>
  <r>
    <x v="0"/>
    <x v="7"/>
    <x v="4"/>
    <x v="5"/>
    <x v="4"/>
    <x v="0"/>
    <x v="1"/>
    <x v="0"/>
    <s v="USD"/>
    <n v="2500"/>
    <n v="2500"/>
    <d v="2025-12-01T00:00:00"/>
    <x v="10"/>
    <n v="163"/>
    <s v="Over 90+ days"/>
    <s v="Monthly Billing"/>
    <d v="2026-01-05T00:00:00"/>
    <d v="2026-01-12T00:00:00"/>
    <s v="Force Settlement"/>
    <s v="INV-050126150313"/>
    <s v="Yes"/>
    <s v="No"/>
    <x v="4"/>
    <m/>
  </r>
  <r>
    <x v="0"/>
    <x v="5"/>
    <x v="3"/>
    <x v="4"/>
    <x v="2"/>
    <x v="0"/>
    <x v="1"/>
    <x v="0"/>
    <s v="USD"/>
    <n v="2.5"/>
    <n v="2.5"/>
    <d v="2025-12-01T00:00:00"/>
    <x v="10"/>
    <n v="163"/>
    <s v="Over 90+ days"/>
    <s v="Monthly Billing"/>
    <d v="2026-01-05T00:00:00"/>
    <d v="2026-01-12T00:00:00"/>
    <s v="Outstanding"/>
    <s v="INV-050126184308"/>
    <s v="Yes"/>
    <s v="No"/>
    <x v="5"/>
    <m/>
  </r>
  <r>
    <x v="0"/>
    <x v="1"/>
    <x v="1"/>
    <x v="1"/>
    <x v="1"/>
    <x v="0"/>
    <x v="1"/>
    <x v="0"/>
    <s v="USD"/>
    <n v="1659.6200000000001"/>
    <n v="1659.6200000000001"/>
    <d v="2025-12-01T00:00:00"/>
    <x v="10"/>
    <n v="163"/>
    <s v="Over 90+ days"/>
    <s v="Monthly Billing"/>
    <d v="2026-01-05T00:00:00"/>
    <d v="2026-01-12T00:00:00"/>
    <s v="Outstanding"/>
    <s v="INV-050126153219"/>
    <s v="Yes"/>
    <s v="No"/>
    <x v="1"/>
    <m/>
  </r>
  <r>
    <x v="0"/>
    <x v="8"/>
    <x v="0"/>
    <x v="6"/>
    <x v="0"/>
    <x v="0"/>
    <x v="1"/>
    <x v="0"/>
    <s v="USD"/>
    <n v="2034"/>
    <n v="2034"/>
    <d v="2025-12-01T00:00:00"/>
    <x v="10"/>
    <n v="163"/>
    <s v="Over 90+ days"/>
    <s v="Monthly Billing"/>
    <d v="2026-01-05T00:00:00"/>
    <d v="2026-01-12T00:00:00"/>
    <s v="Outstanding"/>
    <s v="INV-050126154823"/>
    <s v="Yes"/>
    <s v="Yes"/>
    <x v="4"/>
    <m/>
  </r>
  <r>
    <x v="0"/>
    <x v="2"/>
    <x v="0"/>
    <x v="2"/>
    <x v="2"/>
    <x v="0"/>
    <x v="1"/>
    <x v="0"/>
    <s v="AUD"/>
    <n v="4867.0594895154618"/>
    <n v="6796.5250000000005"/>
    <d v="2025-12-01T00:00:00"/>
    <x v="10"/>
    <n v="162"/>
    <s v="Over 90+ days"/>
    <s v="Monthly Billing"/>
    <d v="2026-01-06T00:00:00"/>
    <d v="2026-01-13T00:00:00"/>
    <s v="Outstanding"/>
    <s v="INV-060126181825"/>
    <s v="Yes"/>
    <s v="Yes"/>
    <x v="2"/>
    <m/>
  </r>
  <r>
    <x v="0"/>
    <x v="4"/>
    <x v="0"/>
    <x v="2"/>
    <x v="0"/>
    <x v="0"/>
    <x v="1"/>
    <x v="0"/>
    <s v="AUD"/>
    <n v="1592.8219804598018"/>
    <n v="2224.27"/>
    <d v="2025-12-01T00:00:00"/>
    <x v="10"/>
    <n v="121"/>
    <s v="Over 90+ days"/>
    <s v="Card Printing and Delivery"/>
    <d v="2026-01-23T00:00:00"/>
    <d v="2026-02-23T00:00:00"/>
    <s v="Outstanding"/>
    <s v="INV-230126170000"/>
    <s v="Yes"/>
    <s v="No"/>
    <x v="4"/>
    <m/>
  </r>
  <r>
    <x v="0"/>
    <x v="4"/>
    <x v="0"/>
    <x v="2"/>
    <x v="0"/>
    <x v="0"/>
    <x v="2"/>
    <x v="0"/>
    <s v="AUD"/>
    <n v="3814.9750313587629"/>
    <n v="5327.359000000004"/>
    <d v="2026-01-01T00:00:00"/>
    <x v="1"/>
    <n v="130"/>
    <s v="Over 90+ days"/>
    <s v="Monthly Billing"/>
    <d v="2026-02-07T00:00:00"/>
    <d v="2026-02-14T00:00:00"/>
    <s v="Outstanding"/>
    <s v="INV-070226133026"/>
    <s v="Yes"/>
    <s v="No"/>
    <x v="4"/>
    <m/>
  </r>
  <r>
    <x v="0"/>
    <x v="11"/>
    <x v="0"/>
    <x v="0"/>
    <x v="6"/>
    <x v="0"/>
    <x v="2"/>
    <x v="0"/>
    <s v="AUD"/>
    <n v="7131.2811382303735"/>
    <n v="9958.36"/>
    <d v="2026-01-01T00:00:00"/>
    <x v="1"/>
    <n v="131"/>
    <s v="Over 90+ days"/>
    <s v="Monthly Billing"/>
    <d v="2026-02-06T00:00:00"/>
    <d v="2026-02-13T00:00:00"/>
    <s v="Outstanding"/>
    <s v="INV-060226135736"/>
    <s v="Yes"/>
    <s v="No"/>
    <x v="4"/>
    <m/>
  </r>
  <r>
    <x v="0"/>
    <x v="10"/>
    <x v="0"/>
    <x v="0"/>
    <x v="5"/>
    <x v="0"/>
    <x v="2"/>
    <x v="0"/>
    <s v="USD"/>
    <n v="14.19"/>
    <n v="14.19"/>
    <d v="2026-01-01T00:00:00"/>
    <x v="1"/>
    <n v="131"/>
    <s v="Over 90+ days"/>
    <s v="Monthly Billing"/>
    <d v="2026-02-06T00:00:00"/>
    <d v="2026-02-13T00:00:00"/>
    <s v="Outstanding"/>
    <s v="INV-060226120820"/>
    <s v="Yes"/>
    <s v="No"/>
    <x v="6"/>
    <m/>
  </r>
  <r>
    <x v="0"/>
    <x v="7"/>
    <x v="4"/>
    <x v="5"/>
    <x v="4"/>
    <x v="0"/>
    <x v="2"/>
    <x v="0"/>
    <s v="USD"/>
    <n v="2500"/>
    <n v="2500"/>
    <d v="2026-01-01T00:00:00"/>
    <x v="1"/>
    <n v="135"/>
    <s v="Over 90+ days"/>
    <s v="Monthly Billing"/>
    <d v="2026-02-02T00:00:00"/>
    <d v="2026-02-09T00:00:00"/>
    <s v="Force Settlement"/>
    <s v="INV-020226182425"/>
    <s v="Yes"/>
    <s v="No"/>
    <x v="4"/>
    <m/>
  </r>
  <r>
    <x v="0"/>
    <x v="8"/>
    <x v="0"/>
    <x v="6"/>
    <x v="0"/>
    <x v="0"/>
    <x v="2"/>
    <x v="0"/>
    <s v="USD"/>
    <n v="2965"/>
    <n v="2965"/>
    <d v="2026-01-01T00:00:00"/>
    <x v="1"/>
    <n v="132"/>
    <s v="Over 90+ days"/>
    <s v="Monthly Billing"/>
    <d v="2026-02-05T00:00:00"/>
    <d v="2026-02-12T00:00:00"/>
    <s v="Outstanding"/>
    <s v="INV-050226133127"/>
    <s v="Yes"/>
    <s v="Yes"/>
    <x v="4"/>
    <m/>
  </r>
  <r>
    <x v="0"/>
    <x v="12"/>
    <x v="1"/>
    <x v="7"/>
    <x v="7"/>
    <x v="0"/>
    <x v="2"/>
    <x v="0"/>
    <s v="CAD"/>
    <n v="265.36476326938953"/>
    <n v="362.5"/>
    <d v="2026-01-01T00:00:00"/>
    <x v="1"/>
    <n v="133"/>
    <s v="Over 90+ days"/>
    <s v="Monthly Billing"/>
    <d v="2026-02-04T00:00:00"/>
    <d v="2026-02-11T00:00:00"/>
    <s v="Outstanding"/>
    <s v="INV-030226181855"/>
    <s v="Yes"/>
    <s v="No"/>
    <x v="4"/>
    <m/>
  </r>
  <r>
    <x v="0"/>
    <x v="13"/>
    <x v="1"/>
    <x v="7"/>
    <x v="7"/>
    <x v="0"/>
    <x v="2"/>
    <x v="0"/>
    <s v="USD"/>
    <n v="36.32"/>
    <n v="36.32"/>
    <d v="2026-01-01T00:00:00"/>
    <x v="1"/>
    <n v="133"/>
    <s v="Over 90+ days"/>
    <s v="Monthly Billing"/>
    <d v="2026-02-04T00:00:00"/>
    <d v="2026-02-11T00:00:00"/>
    <s v="Outstanding"/>
    <s v="INV-040226185603"/>
    <s v="Yes"/>
    <s v="No"/>
    <x v="4"/>
    <m/>
  </r>
  <r>
    <x v="0"/>
    <x v="2"/>
    <x v="0"/>
    <x v="2"/>
    <x v="2"/>
    <x v="0"/>
    <x v="2"/>
    <x v="0"/>
    <s v="AUD"/>
    <n v="5080.012699530087"/>
    <n v="7093.9"/>
    <d v="2026-01-01T00:00:00"/>
    <x v="1"/>
    <n v="131"/>
    <s v="Over 90+ days"/>
    <s v="Monthly Billing"/>
    <d v="2026-02-06T00:00:00"/>
    <d v="2026-02-13T00:00:00"/>
    <s v="Outstanding"/>
    <s v="INV-060226143545"/>
    <s v="Yes"/>
    <s v="Yes"/>
    <x v="2"/>
    <m/>
  </r>
  <r>
    <x v="0"/>
    <x v="4"/>
    <x v="0"/>
    <x v="2"/>
    <x v="0"/>
    <x v="0"/>
    <x v="2"/>
    <x v="0"/>
    <s v="AUD"/>
    <n v="39.758426969355433"/>
    <n v="55.52"/>
    <d v="2026-01-01T00:00:00"/>
    <x v="1"/>
    <n v="96"/>
    <s v="Over 90+ days"/>
    <s v="Card Printing and Delivery"/>
    <d v="2026-02-20T00:00:00"/>
    <d v="2026-03-20T00:00:00"/>
    <s v="Outstanding"/>
    <s v="INV-200226170000"/>
    <s v="Yes"/>
    <s v="No"/>
    <x v="4"/>
    <m/>
  </r>
  <r>
    <x v="1"/>
    <x v="14"/>
    <x v="0"/>
    <x v="2"/>
    <x v="0"/>
    <x v="0"/>
    <x v="2"/>
    <x v="0"/>
    <s v="AUD"/>
    <n v="1531.2221986171514"/>
    <n v="2138.25"/>
    <d v="2026-02-01T00:00:00"/>
    <x v="2"/>
    <n v="106"/>
    <s v="Over 90+ days"/>
    <s v="Monthly Billing"/>
    <d v="2026-03-03T00:00:00"/>
    <d v="2026-03-10T00:00:00"/>
    <s v="Outstanding"/>
    <s v="AU-CorporateAlliance-02/2026"/>
    <s v="Yes"/>
    <s v="No"/>
    <x v="4"/>
    <m/>
  </r>
  <r>
    <x v="0"/>
    <x v="4"/>
    <x v="0"/>
    <x v="2"/>
    <x v="0"/>
    <x v="0"/>
    <x v="2"/>
    <x v="0"/>
    <s v="AUD"/>
    <n v="2755.5003180449307"/>
    <n v="3847.8729999999996"/>
    <d v="2026-02-01T00:00:00"/>
    <x v="2"/>
    <n v="82"/>
    <s v="61-90 days"/>
    <s v="Monthly Billing"/>
    <d v="2026-03-04T00:00:00"/>
    <d v="2026-04-03T00:00:00"/>
    <s v="Invoice Sent"/>
    <s v="INV-040326125850"/>
    <s v="Yes"/>
    <s v="No"/>
    <x v="4"/>
    <m/>
  </r>
  <r>
    <x v="0"/>
    <x v="11"/>
    <x v="0"/>
    <x v="0"/>
    <x v="6"/>
    <x v="0"/>
    <x v="2"/>
    <x v="0"/>
    <s v="AUD"/>
    <n v="3550.9817975002243"/>
    <n v="4958.71"/>
    <d v="2026-02-01T00:00:00"/>
    <x v="2"/>
    <n v="106"/>
    <s v="Over 90+ days"/>
    <s v="Monthly Billing"/>
    <d v="2026-03-03T00:00:00"/>
    <d v="2026-03-10T00:00:00"/>
    <s v="Outstanding"/>
    <s v="INV-030326151733"/>
    <s v="Yes"/>
    <s v="No"/>
    <x v="4"/>
    <m/>
  </r>
  <r>
    <x v="0"/>
    <x v="10"/>
    <x v="0"/>
    <x v="0"/>
    <x v="5"/>
    <x v="0"/>
    <x v="2"/>
    <x v="0"/>
    <s v="USD"/>
    <n v="6.88"/>
    <n v="6.88"/>
    <d v="2026-02-01T00:00:00"/>
    <x v="2"/>
    <n v="105"/>
    <s v="Over 90+ days"/>
    <s v="Monthly Billing"/>
    <d v="2026-03-04T00:00:00"/>
    <d v="2026-03-11T00:00:00"/>
    <s v="Outstanding"/>
    <s v="INV-040326132912"/>
    <s v="Yes"/>
    <s v="No"/>
    <x v="6"/>
    <m/>
  </r>
  <r>
    <x v="0"/>
    <x v="7"/>
    <x v="4"/>
    <x v="5"/>
    <x v="4"/>
    <x v="0"/>
    <x v="2"/>
    <x v="0"/>
    <s v="USD"/>
    <n v="2500"/>
    <n v="2500"/>
    <d v="2026-02-01T00:00:00"/>
    <x v="2"/>
    <n v="107"/>
    <s v="Over 90+ days"/>
    <s v="Monthly Billing"/>
    <d v="2026-03-02T00:00:00"/>
    <d v="2026-03-09T00:00:00"/>
    <s v="Force Settlement"/>
    <s v="INV-020326191014"/>
    <s v="Yes"/>
    <s v="No"/>
    <x v="4"/>
    <m/>
  </r>
  <r>
    <x v="0"/>
    <x v="5"/>
    <x v="3"/>
    <x v="4"/>
    <x v="2"/>
    <x v="0"/>
    <x v="2"/>
    <x v="0"/>
    <s v="USD"/>
    <n v="89.8"/>
    <n v="89.8"/>
    <d v="2026-02-01T00:00:00"/>
    <x v="2"/>
    <n v="105"/>
    <s v="Over 90+ days"/>
    <s v="Monthly Billing"/>
    <d v="2026-03-04T00:00:00"/>
    <d v="2026-03-11T00:00:00"/>
    <s v="Outstanding"/>
    <s v="INV-040326132449"/>
    <s v="Yes"/>
    <s v="No"/>
    <x v="5"/>
    <m/>
  </r>
  <r>
    <x v="0"/>
    <x v="1"/>
    <x v="1"/>
    <x v="1"/>
    <x v="1"/>
    <x v="0"/>
    <x v="2"/>
    <x v="0"/>
    <s v="USD"/>
    <n v="608.9699999999998"/>
    <n v="608.9699999999998"/>
    <d v="2026-02-01T00:00:00"/>
    <x v="2"/>
    <n v="106"/>
    <s v="Over 90+ days"/>
    <s v="Monthly Billing"/>
    <d v="2026-03-03T00:00:00"/>
    <d v="2026-03-10T00:00:00"/>
    <s v="Outstanding"/>
    <s v="INV-030326144903"/>
    <s v="Yes"/>
    <s v="No"/>
    <x v="1"/>
    <m/>
  </r>
  <r>
    <x v="0"/>
    <x v="8"/>
    <x v="0"/>
    <x v="6"/>
    <x v="0"/>
    <x v="0"/>
    <x v="2"/>
    <x v="0"/>
    <s v="USD"/>
    <n v="2963.5"/>
    <n v="2963.5"/>
    <d v="2026-02-01T00:00:00"/>
    <x v="2"/>
    <n v="106"/>
    <s v="Over 90+ days"/>
    <s v="Monthly Billing"/>
    <d v="2026-03-03T00:00:00"/>
    <d v="2026-03-10T00:00:00"/>
    <s v="Outstanding"/>
    <s v="INV-030326180323"/>
    <s v="Yes"/>
    <s v="Yes"/>
    <x v="4"/>
    <m/>
  </r>
  <r>
    <x v="0"/>
    <x v="12"/>
    <x v="1"/>
    <x v="7"/>
    <x v="7"/>
    <x v="0"/>
    <x v="2"/>
    <x v="0"/>
    <s v="CAD"/>
    <n v="1020.4296930153743"/>
    <n v="1393.95208"/>
    <d v="2026-02-01T00:00:00"/>
    <x v="2"/>
    <n v="105"/>
    <s v="Over 90+ days"/>
    <s v="Monthly Billing"/>
    <d v="2026-03-04T00:00:00"/>
    <d v="2026-03-11T00:00:00"/>
    <s v="Outstanding"/>
    <s v="INV-040326160006"/>
    <s v="Yes"/>
    <s v="No"/>
    <x v="4"/>
    <m/>
  </r>
  <r>
    <x v="0"/>
    <x v="13"/>
    <x v="1"/>
    <x v="7"/>
    <x v="7"/>
    <x v="0"/>
    <x v="2"/>
    <x v="0"/>
    <s v="USD"/>
    <n v="43.5"/>
    <n v="43.5"/>
    <d v="2026-02-01T00:00:00"/>
    <x v="2"/>
    <n v="105"/>
    <s v="Over 90+ days"/>
    <s v="Monthly Billing"/>
    <d v="2026-03-04T00:00:00"/>
    <d v="2026-03-11T00:00:00"/>
    <s v="Outstanding"/>
    <s v="INV-040326095350"/>
    <s v="Yes"/>
    <s v="No"/>
    <x v="4"/>
    <m/>
  </r>
  <r>
    <x v="0"/>
    <x v="15"/>
    <x v="0"/>
    <x v="0"/>
    <x v="0"/>
    <x v="0"/>
    <x v="2"/>
    <x v="0"/>
    <s v="AUD"/>
    <n v="7774.8062248971883"/>
    <n v="10857"/>
    <d v="2026-03-01T00:00:00"/>
    <x v="3"/>
    <n v="98"/>
    <s v="Over 90+ days"/>
    <s v="Setup Fee"/>
    <d v="2026-03-11T00:00:00"/>
    <d v="2026-03-18T00:00:00"/>
    <s v="Outstanding"/>
    <s v="INV-110326113159"/>
    <s v="Yes"/>
    <s v="No"/>
    <x v="4"/>
    <m/>
  </r>
  <r>
    <x v="1"/>
    <x v="14"/>
    <x v="0"/>
    <x v="2"/>
    <x v="0"/>
    <x v="0"/>
    <x v="2"/>
    <x v="0"/>
    <s v="AUD"/>
    <n v="1561.9433174389337"/>
    <n v="2181.15"/>
    <d v="2026-03-01T00:00:00"/>
    <x v="3"/>
    <n v="76"/>
    <s v="61-90 days"/>
    <s v="Monthly Billing"/>
    <d v="2026-04-02T00:00:00"/>
    <d v="2026-04-09T00:00:00"/>
    <s v="Overdue"/>
    <s v="AU-CorporateAlliance-03/2026"/>
    <s v="Yes"/>
    <s v="No"/>
    <x v="4"/>
    <m/>
  </r>
  <r>
    <x v="1"/>
    <x v="16"/>
    <x v="0"/>
    <x v="0"/>
    <x v="8"/>
    <x v="0"/>
    <x v="2"/>
    <x v="0"/>
    <s v="USD"/>
    <n v="42"/>
    <n v="42"/>
    <d v="2026-03-01T00:00:00"/>
    <x v="3"/>
    <n v="76"/>
    <s v="61-90 days"/>
    <s v="Monthly Billing"/>
    <d v="2026-04-02T00:00:00"/>
    <d v="2026-04-09T00:00:00"/>
    <s v="Overdue"/>
    <s v="MY-EZ Money-03/2026"/>
    <s v="Yes"/>
    <s v="No"/>
    <x v="4"/>
    <m/>
  </r>
  <r>
    <x v="1"/>
    <x v="9"/>
    <x v="2"/>
    <x v="3"/>
    <x v="2"/>
    <x v="0"/>
    <x v="2"/>
    <x v="0"/>
    <s v="USD"/>
    <n v="2125.9"/>
    <n v="2125.9"/>
    <d v="2026-03-01T00:00:00"/>
    <x v="3"/>
    <n v="69"/>
    <s v="61-90 days"/>
    <s v="Monthly Billing"/>
    <d v="2026-04-01T00:00:00"/>
    <d v="2026-04-16T00:00:00"/>
    <s v="Overdue"/>
    <s v="US-GLOBAL ROOTS INC-03/2026"/>
    <s v="Yes"/>
    <s v="No"/>
    <x v="4"/>
    <m/>
  </r>
  <r>
    <x v="1"/>
    <x v="17"/>
    <x v="4"/>
    <x v="5"/>
    <x v="8"/>
    <x v="0"/>
    <x v="2"/>
    <x v="0"/>
    <s v="USD"/>
    <n v="2235.75"/>
    <n v="2235.75"/>
    <d v="2026-03-01T00:00:00"/>
    <x v="3"/>
    <n v="76"/>
    <s v="61-90 days"/>
    <s v="Monthly Billing"/>
    <d v="2026-04-02T00:00:00"/>
    <d v="2026-04-09T00:00:00"/>
    <s v="Overdue"/>
    <s v="SG-Qatar National Bank (Q.P.S.C.)-03/2026"/>
    <s v="Yes"/>
    <s v="No"/>
    <x v="4"/>
    <m/>
  </r>
  <r>
    <x v="1"/>
    <x v="18"/>
    <x v="2"/>
    <x v="8"/>
    <x v="7"/>
    <x v="0"/>
    <x v="2"/>
    <x v="1"/>
    <s v="USD"/>
    <n v="2000"/>
    <n v="2000"/>
    <d v="2026-03-01T00:00:00"/>
    <x v="3"/>
    <n v="78"/>
    <s v="61-90 days"/>
    <s v="Monthly Billing"/>
    <d v="2026-04-02T00:00:00"/>
    <d v="2026-04-07T00:00:00"/>
    <s v="Force Settlement"/>
    <s v="US-Stratos Payments, Inc-03/2026"/>
    <s v="Yes"/>
    <s v="No"/>
    <x v="4"/>
    <m/>
  </r>
  <r>
    <x v="1"/>
    <x v="19"/>
    <x v="0"/>
    <x v="9"/>
    <x v="2"/>
    <x v="0"/>
    <x v="2"/>
    <x v="0"/>
    <s v="USD"/>
    <n v="60745.5"/>
    <n v="60745.5"/>
    <d v="2026-03-01T00:00:00"/>
    <x v="3"/>
    <n v="71"/>
    <s v="61-90 days"/>
    <s v="Monthly Billing"/>
    <d v="2026-04-02T00:00:00"/>
    <d v="2026-04-14T00:00:00"/>
    <s v="Overdue"/>
    <s v="SG-youtech-03/2026"/>
    <s v="Yes"/>
    <s v="No"/>
    <x v="4"/>
    <m/>
  </r>
  <r>
    <x v="0"/>
    <x v="20"/>
    <x v="4"/>
    <x v="5"/>
    <x v="9"/>
    <x v="0"/>
    <x v="2"/>
    <x v="0"/>
    <s v="USD"/>
    <n v="3000"/>
    <n v="3000"/>
    <d v="2026-03-01T00:00:00"/>
    <x v="3"/>
    <n v="76"/>
    <s v="61-90 days"/>
    <s v="Monthly Billing"/>
    <d v="2026-04-02T00:00:00"/>
    <d v="2026-04-09T00:00:00"/>
    <s v="Force Settlement"/>
    <s v="INV-020426113526"/>
    <s v="Yes"/>
    <s v="No"/>
    <x v="7"/>
    <m/>
  </r>
  <r>
    <x v="0"/>
    <x v="4"/>
    <x v="0"/>
    <x v="2"/>
    <x v="0"/>
    <x v="0"/>
    <x v="2"/>
    <x v="0"/>
    <s v="AUD"/>
    <n v="1475.2030619721268"/>
    <n v="2060.0230000000001"/>
    <d v="2026-03-01T00:00:00"/>
    <x v="3"/>
    <n v="53"/>
    <s v="31-60 days"/>
    <s v="Monthly Billing"/>
    <d v="2026-04-03T00:00:00"/>
    <d v="2026-05-02T00:00:00"/>
    <s v="Invoice Sent"/>
    <s v="INV-030426112139"/>
    <s v="No"/>
    <s v="No"/>
    <x v="4"/>
    <m/>
  </r>
  <r>
    <x v="0"/>
    <x v="11"/>
    <x v="0"/>
    <x v="0"/>
    <x v="6"/>
    <x v="0"/>
    <x v="2"/>
    <x v="0"/>
    <s v="AUD"/>
    <n v="3646.9405369435535"/>
    <n v="5092.71"/>
    <d v="2026-03-01T00:00:00"/>
    <x v="3"/>
    <n v="76"/>
    <s v="61-90 days"/>
    <s v="Monthly Billing"/>
    <d v="2026-04-02T00:00:00"/>
    <d v="2026-04-09T00:00:00"/>
    <s v="Outstanding"/>
    <s v="INV-020426173052"/>
    <s v="Yes"/>
    <s v="No"/>
    <x v="4"/>
    <m/>
  </r>
  <r>
    <x v="0"/>
    <x v="10"/>
    <x v="0"/>
    <x v="0"/>
    <x v="5"/>
    <x v="0"/>
    <x v="2"/>
    <x v="0"/>
    <s v="USD"/>
    <n v="11.18"/>
    <n v="11.18"/>
    <d v="2026-03-01T00:00:00"/>
    <x v="3"/>
    <n v="75"/>
    <s v="61-90 days"/>
    <s v="Monthly Billing"/>
    <d v="2026-04-03T00:00:00"/>
    <d v="2026-04-10T00:00:00"/>
    <s v="Outstanding"/>
    <s v="INV-030426123312"/>
    <s v="Yes"/>
    <s v="No"/>
    <x v="6"/>
    <m/>
  </r>
  <r>
    <x v="0"/>
    <x v="21"/>
    <x v="4"/>
    <x v="0"/>
    <x v="4"/>
    <x v="0"/>
    <x v="2"/>
    <x v="0"/>
    <s v="USD"/>
    <n v="5000"/>
    <n v="5000"/>
    <d v="2026-04-01T00:00:00"/>
    <x v="4"/>
    <n v="70"/>
    <s v="61-90 days"/>
    <s v="Pay Out Service Integration Fee"/>
    <d v="2026-04-08T00:00:00"/>
    <d v="2026-04-15T00:00:00"/>
    <s v="Outstanding"/>
    <s v="INV-080426104349"/>
    <s v="Yes"/>
    <s v="No"/>
    <x v="4"/>
    <m/>
  </r>
  <r>
    <x v="0"/>
    <x v="22"/>
    <x v="0"/>
    <x v="0"/>
    <x v="10"/>
    <x v="0"/>
    <x v="2"/>
    <x v="0"/>
    <s v="USD"/>
    <n v="40"/>
    <n v="40"/>
    <d v="2026-03-01T00:00:00"/>
    <x v="3"/>
    <n v="76"/>
    <s v="61-90 days"/>
    <s v="Monthly Billing"/>
    <d v="2026-04-02T00:00:00"/>
    <d v="2026-04-09T00:00:00"/>
    <s v="Outstanding"/>
    <s v="INV-020426180801"/>
    <s v="Yes"/>
    <s v="No"/>
    <x v="4"/>
    <m/>
  </r>
  <r>
    <x v="0"/>
    <x v="5"/>
    <x v="3"/>
    <x v="4"/>
    <x v="2"/>
    <x v="0"/>
    <x v="2"/>
    <x v="0"/>
    <s v="USD"/>
    <n v="21.1"/>
    <n v="21.1"/>
    <d v="2026-03-01T00:00:00"/>
    <x v="3"/>
    <n v="75"/>
    <s v="61-90 days"/>
    <s v="Monthly Billing"/>
    <d v="2026-04-03T00:00:00"/>
    <d v="2026-04-10T00:00:00"/>
    <s v="Outstanding"/>
    <s v="INV-030426152534"/>
    <s v="Yes"/>
    <s v="No"/>
    <x v="5"/>
    <m/>
  </r>
  <r>
    <x v="0"/>
    <x v="23"/>
    <x v="4"/>
    <x v="5"/>
    <x v="8"/>
    <x v="0"/>
    <x v="2"/>
    <x v="0"/>
    <s v="USD"/>
    <n v="1483.54"/>
    <n v="1483.54"/>
    <d v="2026-03-01T00:00:00"/>
    <x v="3"/>
    <n v="75"/>
    <s v="61-90 days"/>
    <s v="Monthly Billing"/>
    <d v="2026-04-03T00:00:00"/>
    <d v="2026-04-10T00:00:00"/>
    <s v="Outstanding"/>
    <s v="INV-030426095657"/>
    <s v="Yes"/>
    <s v="No"/>
    <x v="4"/>
    <m/>
  </r>
  <r>
    <x v="0"/>
    <x v="8"/>
    <x v="0"/>
    <x v="6"/>
    <x v="0"/>
    <x v="0"/>
    <x v="2"/>
    <x v="0"/>
    <s v="USD"/>
    <n v="2952"/>
    <n v="2952"/>
    <d v="2026-03-01T00:00:00"/>
    <x v="3"/>
    <n v="76"/>
    <s v="61-90 days"/>
    <s v="Monthly Billing"/>
    <d v="2026-04-02T00:00:00"/>
    <d v="2026-04-09T00:00:00"/>
    <s v="Outstanding"/>
    <s v="INV-020426170424"/>
    <s v="Yes"/>
    <s v="Yes"/>
    <x v="4"/>
    <m/>
  </r>
  <r>
    <x v="0"/>
    <x v="12"/>
    <x v="1"/>
    <x v="7"/>
    <x v="7"/>
    <x v="0"/>
    <x v="2"/>
    <x v="0"/>
    <s v="CAD"/>
    <n v="5219.948165930402"/>
    <n v="7130.68"/>
    <d v="2026-03-01T00:00:00"/>
    <x v="3"/>
    <n v="72"/>
    <s v="61-90 days"/>
    <s v="Monthly Billing"/>
    <d v="2026-04-06T00:00:00"/>
    <d v="2026-04-13T00:00:00"/>
    <s v="Outstanding"/>
    <s v="INV-030426231221"/>
    <s v="Yes"/>
    <s v="No"/>
    <x v="4"/>
    <m/>
  </r>
  <r>
    <x v="0"/>
    <x v="13"/>
    <x v="1"/>
    <x v="7"/>
    <x v="7"/>
    <x v="0"/>
    <x v="2"/>
    <x v="0"/>
    <s v="USD"/>
    <n v="7.5"/>
    <n v="7.5"/>
    <d v="2026-03-01T00:00:00"/>
    <x v="3"/>
    <n v="77"/>
    <s v="61-90 days"/>
    <s v="Monthly Billing"/>
    <d v="2026-04-01T00:00:00"/>
    <d v="2026-04-08T00:00:00"/>
    <s v="Outstanding"/>
    <s v="INV-010426201156"/>
    <s v="Yes"/>
    <s v="No"/>
    <x v="4"/>
    <m/>
  </r>
  <r>
    <x v="0"/>
    <x v="24"/>
    <x v="1"/>
    <x v="10"/>
    <x v="2"/>
    <x v="0"/>
    <x v="2"/>
    <x v="0"/>
    <s v="USD"/>
    <n v="250"/>
    <n v="250"/>
    <d v="2026-03-01T00:00:00"/>
    <x v="3"/>
    <n v="77"/>
    <s v="61-90 days"/>
    <s v="Monthly Billing"/>
    <d v="2026-04-01T00:00:00"/>
    <d v="2026-04-08T00:00:00"/>
    <s v="Outstanding"/>
    <s v="INV-010426152406"/>
    <s v="Yes"/>
    <s v="No"/>
    <x v="4"/>
    <m/>
  </r>
  <r>
    <x v="0"/>
    <x v="25"/>
    <x v="3"/>
    <x v="4"/>
    <x v="11"/>
    <x v="0"/>
    <x v="2"/>
    <x v="0"/>
    <s v="GBP"/>
    <n v="4102.1855725513351"/>
    <n v="3037.8"/>
    <d v="2026-03-01T00:00:00"/>
    <x v="3"/>
    <n v="68"/>
    <s v="61-90 days"/>
    <s v="Monthly Billing"/>
    <d v="2026-04-03T00:00:00"/>
    <d v="2026-04-17T00:00:00"/>
    <s v="Invoice Sent"/>
    <s v="INV-030426101140"/>
    <s v="Yes"/>
    <s v="No"/>
    <x v="4"/>
    <m/>
  </r>
  <r>
    <x v="0"/>
    <x v="6"/>
    <x v="2"/>
    <x v="0"/>
    <x v="3"/>
    <x v="0"/>
    <x v="2"/>
    <x v="0"/>
    <s v="USD"/>
    <n v="500"/>
    <n v="500"/>
    <d v="2026-03-01T00:00:00"/>
    <x v="3"/>
    <n v="76"/>
    <s v="61-90 days"/>
    <s v="Monthly Billing"/>
    <d v="2026-04-02T00:00:00"/>
    <d v="2026-04-09T00:00:00"/>
    <s v="Outstanding"/>
    <s v="INV-020426160801"/>
    <s v="Yes"/>
    <s v="No"/>
    <x v="4"/>
    <m/>
  </r>
  <r>
    <x v="0"/>
    <x v="26"/>
    <x v="0"/>
    <x v="2"/>
    <x v="0"/>
    <x v="0"/>
    <x v="2"/>
    <x v="0"/>
    <s v="AUD"/>
    <n v="1508.4785451490905"/>
    <n v="2106.4899999999998"/>
    <d v="2026-03-01T00:00:00"/>
    <x v="3"/>
    <n v="31"/>
    <s v="31-60 days"/>
    <s v="Card Printing and Delivery"/>
    <d v="2026-04-24T00:00:00"/>
    <d v="2026-05-24T00:00:00"/>
    <s v="Invoice Sent"/>
    <s v="INV-240426132000"/>
    <s v="No"/>
    <s v="No"/>
    <x v="8"/>
    <m/>
  </r>
  <r>
    <x v="1"/>
    <x v="27"/>
    <x v="1"/>
    <x v="11"/>
    <x v="1"/>
    <x v="0"/>
    <x v="2"/>
    <x v="0"/>
    <s v="USD"/>
    <n v="500"/>
    <n v="500"/>
    <d v="2026-04-01T00:00:00"/>
    <x v="4"/>
    <n v="46"/>
    <s v="31-60 days"/>
    <s v="Monthly Billing"/>
    <d v="2026-05-02T00:00:00"/>
    <d v="2026-05-09T00:00:00"/>
    <s v="Overdue"/>
    <s v="SG-BEXS BANCO DE CAMBIO-04/2026"/>
    <s v="Yes"/>
    <s v="No"/>
    <x v="4"/>
    <m/>
  </r>
  <r>
    <x v="1"/>
    <x v="14"/>
    <x v="0"/>
    <x v="2"/>
    <x v="0"/>
    <x v="0"/>
    <x v="2"/>
    <x v="0"/>
    <s v="AUD"/>
    <n v="1491.2632608489589"/>
    <n v="2082.4499999999998"/>
    <d v="2026-04-01T00:00:00"/>
    <x v="4"/>
    <n v="46"/>
    <s v="31-60 days"/>
    <s v="Monthly Billing"/>
    <d v="2026-05-02T00:00:00"/>
    <d v="2026-05-09T00:00:00"/>
    <s v="Overdue"/>
    <s v="AU-CorporateAlliance-04/2026"/>
    <s v="Yes"/>
    <s v="No"/>
    <x v="4"/>
    <m/>
  </r>
  <r>
    <x v="1"/>
    <x v="28"/>
    <x v="0"/>
    <x v="0"/>
    <x v="12"/>
    <x v="0"/>
    <x v="2"/>
    <x v="0"/>
    <s v="USD"/>
    <n v="5000"/>
    <n v="5000"/>
    <d v="2026-04-01T00:00:00"/>
    <x v="4"/>
    <n v="46"/>
    <s v="31-60 days"/>
    <s v="Monthly Billing"/>
    <d v="2026-05-02T00:00:00"/>
    <d v="2026-05-09T00:00:00"/>
    <s v="Overdue"/>
    <s v="HK-Everpro-04/2026"/>
    <m/>
    <m/>
    <x v="9"/>
    <m/>
  </r>
  <r>
    <x v="1"/>
    <x v="16"/>
    <x v="0"/>
    <x v="0"/>
    <x v="8"/>
    <x v="0"/>
    <x v="2"/>
    <x v="0"/>
    <s v="USD"/>
    <n v="47"/>
    <n v="47"/>
    <d v="2026-04-01T00:00:00"/>
    <x v="4"/>
    <n v="46"/>
    <s v="31-60 days"/>
    <s v="Monthly Billing"/>
    <d v="2026-05-02T00:00:00"/>
    <d v="2026-05-09T00:00:00"/>
    <s v="Overdue"/>
    <s v="MY-EZ Money-04/2026"/>
    <s v="Yes"/>
    <s v="No"/>
    <x v="4"/>
    <m/>
  </r>
  <r>
    <x v="1"/>
    <x v="29"/>
    <x v="0"/>
    <x v="2"/>
    <x v="13"/>
    <x v="0"/>
    <x v="2"/>
    <x v="0"/>
    <s v="IDR"/>
    <n v="370.74141421444534"/>
    <n v="6382500"/>
    <d v="2026-04-01T00:00:00"/>
    <x v="4"/>
    <n v="23"/>
    <s v="0-30 days"/>
    <s v="Monthly Billing"/>
    <d v="2026-05-01T00:00:00"/>
    <d v="2026-06-01T00:00:00"/>
    <s v="Invoice Sent"/>
    <s v="ID-PT Midtrans-04/2026"/>
    <s v="No"/>
    <s v="No"/>
    <x v="4"/>
    <m/>
  </r>
  <r>
    <x v="1"/>
    <x v="30"/>
    <x v="0"/>
    <x v="12"/>
    <x v="2"/>
    <x v="0"/>
    <x v="2"/>
    <x v="0"/>
    <s v="IDR"/>
    <n v="5.5440726264447351"/>
    <n v="95444"/>
    <d v="2026-04-01T00:00:00"/>
    <x v="4"/>
    <n v="33"/>
    <s v="31-60 days"/>
    <s v="Monthly Billing"/>
    <d v="2026-05-01T00:00:00"/>
    <d v="2026-05-22T00:00:00"/>
    <s v="Invoice Sent"/>
    <s v="ID-ptpelita-04/2026"/>
    <m/>
    <m/>
    <x v="9"/>
    <m/>
  </r>
  <r>
    <x v="1"/>
    <x v="17"/>
    <x v="4"/>
    <x v="5"/>
    <x v="8"/>
    <x v="0"/>
    <x v="2"/>
    <x v="0"/>
    <s v="USD"/>
    <n v="4029.75"/>
    <n v="4029.75"/>
    <d v="2026-04-01T00:00:00"/>
    <x v="4"/>
    <n v="44"/>
    <s v="31-60 days"/>
    <s v="Monthly Billing"/>
    <d v="2026-05-04T00:00:00"/>
    <d v="2026-05-11T00:00:00"/>
    <s v="Overdue"/>
    <s v="SG-Qatar National Bank (Q.P.S.C.)-04/2026"/>
    <s v="Yes"/>
    <s v="No"/>
    <x v="4"/>
    <m/>
  </r>
  <r>
    <x v="0"/>
    <x v="31"/>
    <x v="4"/>
    <x v="5"/>
    <x v="8"/>
    <x v="0"/>
    <x v="2"/>
    <x v="0"/>
    <s v="USD"/>
    <n v="3736.5"/>
    <n v="3736.5"/>
    <d v="2026-04-01T00:00:00"/>
    <x v="4"/>
    <n v="44"/>
    <s v="31-60 days"/>
    <s v="Monthly Billing"/>
    <d v="2026-05-04T00:00:00"/>
    <d v="2026-05-11T00:00:00"/>
    <s v="Outstanding"/>
    <s v="INV-040526204049"/>
    <m/>
    <m/>
    <x v="9"/>
    <m/>
  </r>
  <r>
    <x v="0"/>
    <x v="32"/>
    <x v="4"/>
    <x v="5"/>
    <x v="8"/>
    <x v="0"/>
    <x v="2"/>
    <x v="0"/>
    <s v="USD"/>
    <n v="42610.5"/>
    <n v="42610.5"/>
    <d v="2026-04-01T00:00:00"/>
    <x v="4"/>
    <n v="44"/>
    <s v="31-60 days"/>
    <s v="Monthly Billing"/>
    <d v="2026-05-04T00:00:00"/>
    <d v="2026-05-11T00:00:00"/>
    <s v="Outstanding"/>
    <s v="INV-040526222935"/>
    <m/>
    <m/>
    <x v="9"/>
    <m/>
  </r>
  <r>
    <x v="0"/>
    <x v="33"/>
    <x v="0"/>
    <x v="0"/>
    <x v="12"/>
    <x v="0"/>
    <x v="2"/>
    <x v="0"/>
    <s v="USD"/>
    <n v="61001.45"/>
    <n v="61001.45"/>
    <d v="2026-05-01T00:00:00"/>
    <x v="5"/>
    <n v="37"/>
    <s v="31-60 days"/>
    <s v="Monthly Billing"/>
    <d v="2026-05-11T00:00:00"/>
    <d v="2026-05-18T00:00:00"/>
    <s v="Outstanding"/>
    <s v="INV-110526145754"/>
    <m/>
    <m/>
    <x v="9"/>
    <m/>
  </r>
  <r>
    <x v="0"/>
    <x v="11"/>
    <x v="0"/>
    <x v="0"/>
    <x v="6"/>
    <x v="0"/>
    <x v="2"/>
    <x v="0"/>
    <s v="AUD"/>
    <n v="3501.1047362895688"/>
    <n v="4889.0600000000004"/>
    <d v="2026-04-01T00:00:00"/>
    <x v="4"/>
    <n v="43"/>
    <s v="31-60 days"/>
    <s v="Monthly Billing"/>
    <d v="2026-05-05T00:00:00"/>
    <d v="2026-05-12T00:00:00"/>
    <s v="Outstanding"/>
    <s v="INV-050526150527"/>
    <s v="Yes"/>
    <s v="No"/>
    <x v="4"/>
    <m/>
  </r>
  <r>
    <x v="0"/>
    <x v="10"/>
    <x v="0"/>
    <x v="0"/>
    <x v="5"/>
    <x v="0"/>
    <x v="2"/>
    <x v="0"/>
    <s v="USD"/>
    <n v="37.840000000000003"/>
    <n v="37.840000000000003"/>
    <d v="2026-04-01T00:00:00"/>
    <x v="4"/>
    <n v="44"/>
    <s v="31-60 days"/>
    <s v="Monthly Billing"/>
    <d v="2026-05-04T00:00:00"/>
    <d v="2026-05-11T00:00:00"/>
    <s v="Outstanding"/>
    <s v="INV-040526162158"/>
    <s v="Yes"/>
    <s v="No"/>
    <x v="6"/>
    <m/>
  </r>
  <r>
    <x v="0"/>
    <x v="34"/>
    <x v="0"/>
    <x v="13"/>
    <x v="14"/>
    <x v="0"/>
    <x v="2"/>
    <x v="0"/>
    <s v="USD"/>
    <n v="16152.5"/>
    <n v="16152.5"/>
    <d v="2026-04-01T00:00:00"/>
    <x v="4"/>
    <n v="41"/>
    <s v="31-60 days"/>
    <s v="Monthly Billing"/>
    <d v="2026-05-07T00:00:00"/>
    <d v="2026-05-14T00:00:00"/>
    <s v="Outstanding"/>
    <s v="INV-070526124101"/>
    <s v="Yes"/>
    <s v="No"/>
    <x v="4"/>
    <m/>
  </r>
  <r>
    <x v="0"/>
    <x v="21"/>
    <x v="4"/>
    <x v="0"/>
    <x v="4"/>
    <x v="0"/>
    <x v="2"/>
    <x v="0"/>
    <s v="USD"/>
    <n v="5000"/>
    <n v="5000"/>
    <d v="2026-05-01T00:00:00"/>
    <x v="5"/>
    <n v="37"/>
    <s v="31-60 days"/>
    <s v="Pay Out Service Integration Fee"/>
    <d v="2026-05-11T00:00:00"/>
    <d v="2026-05-18T00:00:00"/>
    <s v="Outstanding"/>
    <s v="INV-110526134838"/>
    <s v="Yes"/>
    <s v="No"/>
    <x v="4"/>
    <m/>
  </r>
  <r>
    <x v="0"/>
    <x v="5"/>
    <x v="3"/>
    <x v="4"/>
    <x v="2"/>
    <x v="0"/>
    <x v="2"/>
    <x v="0"/>
    <s v="USD"/>
    <n v="99.6"/>
    <n v="99.6"/>
    <d v="2026-04-01T00:00:00"/>
    <x v="4"/>
    <n v="44"/>
    <s v="31-60 days"/>
    <s v="Monthly Billing"/>
    <d v="2026-05-04T00:00:00"/>
    <d v="2026-05-11T00:00:00"/>
    <s v="Outstanding"/>
    <s v="INV-040526200003"/>
    <s v="Yes"/>
    <s v="No"/>
    <x v="5"/>
    <m/>
  </r>
  <r>
    <x v="0"/>
    <x v="35"/>
    <x v="1"/>
    <x v="7"/>
    <x v="0"/>
    <x v="0"/>
    <x v="2"/>
    <x v="0"/>
    <s v="USD"/>
    <n v="1412.24"/>
    <n v="1412.24"/>
    <d v="2026-04-01T00:00:00"/>
    <x v="4"/>
    <n v="44"/>
    <s v="31-60 days"/>
    <s v="Monthly Billing"/>
    <d v="2026-05-04T00:00:00"/>
    <d v="2026-05-11T00:00:00"/>
    <s v="Outstanding"/>
    <s v="INV-040526165805"/>
    <s v="Yes"/>
    <s v="No"/>
    <x v="4"/>
    <m/>
  </r>
  <r>
    <x v="0"/>
    <x v="36"/>
    <x v="1"/>
    <x v="7"/>
    <x v="0"/>
    <x v="0"/>
    <x v="2"/>
    <x v="0"/>
    <s v="USD"/>
    <n v="312"/>
    <n v="312"/>
    <d v="2026-04-01T00:00:00"/>
    <x v="4"/>
    <n v="44"/>
    <s v="31-60 days"/>
    <s v="Monthly Billing"/>
    <d v="2026-05-04T00:00:00"/>
    <d v="2026-05-11T00:00:00"/>
    <s v="Outstanding"/>
    <s v="INV-040526185154"/>
    <s v="Yes"/>
    <s v="No"/>
    <x v="4"/>
    <m/>
  </r>
  <r>
    <x v="0"/>
    <x v="37"/>
    <x v="3"/>
    <x v="4"/>
    <x v="14"/>
    <x v="0"/>
    <x v="2"/>
    <x v="0"/>
    <s v="USD"/>
    <n v="15540.78"/>
    <n v="15540.78"/>
    <d v="2026-04-01T00:00:00"/>
    <x v="4"/>
    <n v="34"/>
    <s v="31-60 days"/>
    <s v="Monthly Billing"/>
    <d v="2026-05-06T00:00:00"/>
    <d v="2026-05-21T00:00:00"/>
    <s v="Outstanding"/>
    <s v="INV-060526163836"/>
    <m/>
    <m/>
    <x v="9"/>
    <m/>
  </r>
  <r>
    <x v="0"/>
    <x v="23"/>
    <x v="4"/>
    <x v="5"/>
    <x v="8"/>
    <x v="0"/>
    <x v="2"/>
    <x v="0"/>
    <s v="USD"/>
    <n v="1185.58"/>
    <n v="1185.58"/>
    <d v="2026-04-01T00:00:00"/>
    <x v="4"/>
    <n v="43"/>
    <s v="31-60 days"/>
    <s v="Monthly Billing"/>
    <d v="2026-05-05T00:00:00"/>
    <d v="2026-05-12T00:00:00"/>
    <s v="Outstanding"/>
    <s v="INV-050526130450"/>
    <s v="Yes"/>
    <s v="No"/>
    <x v="4"/>
    <m/>
  </r>
  <r>
    <x v="0"/>
    <x v="8"/>
    <x v="0"/>
    <x v="6"/>
    <x v="0"/>
    <x v="0"/>
    <x v="2"/>
    <x v="0"/>
    <s v="USD"/>
    <n v="2954.5"/>
    <n v="2954.5"/>
    <d v="2026-04-01T00:00:00"/>
    <x v="4"/>
    <n v="44"/>
    <s v="31-60 days"/>
    <s v="Monthly Billing"/>
    <d v="2026-05-04T00:00:00"/>
    <d v="2026-05-11T00:00:00"/>
    <s v="Outstanding"/>
    <s v="INV-040526195142"/>
    <s v="Yes"/>
    <s v="Yes"/>
    <x v="4"/>
    <m/>
  </r>
  <r>
    <x v="0"/>
    <x v="12"/>
    <x v="1"/>
    <x v="7"/>
    <x v="7"/>
    <x v="0"/>
    <x v="2"/>
    <x v="0"/>
    <s v="CAD"/>
    <n v="39.566801254373807"/>
    <n v="54.05"/>
    <d v="2026-04-01T00:00:00"/>
    <x v="4"/>
    <n v="43"/>
    <s v="31-60 days"/>
    <s v="Monthly Billing"/>
    <d v="2026-05-05T00:00:00"/>
    <d v="2026-05-12T00:00:00"/>
    <s v="Outstanding"/>
    <s v="INV-050526163450"/>
    <s v="Yes"/>
    <s v="No"/>
    <x v="4"/>
    <m/>
  </r>
  <r>
    <x v="0"/>
    <x v="24"/>
    <x v="1"/>
    <x v="10"/>
    <x v="2"/>
    <x v="0"/>
    <x v="2"/>
    <x v="0"/>
    <s v="USD"/>
    <n v="130"/>
    <n v="130"/>
    <d v="2026-04-01T00:00:00"/>
    <x v="4"/>
    <n v="44"/>
    <s v="31-60 days"/>
    <s v="Monthly Billing"/>
    <d v="2026-05-04T00:00:00"/>
    <d v="2026-05-11T00:00:00"/>
    <s v="Outstanding"/>
    <s v="INV-040526102628"/>
    <s v="Yes"/>
    <s v="No"/>
    <x v="4"/>
    <m/>
  </r>
  <r>
    <x v="0"/>
    <x v="25"/>
    <x v="3"/>
    <x v="4"/>
    <x v="11"/>
    <x v="0"/>
    <x v="2"/>
    <x v="0"/>
    <s v="GBP"/>
    <n v="4102.455648630902"/>
    <n v="3038"/>
    <d v="2026-04-01T00:00:00"/>
    <x v="4"/>
    <n v="36"/>
    <s v="31-60 days"/>
    <s v="Monthly Billing"/>
    <d v="2026-05-05T00:00:00"/>
    <d v="2026-05-19T00:00:00"/>
    <s v="Outstanding"/>
    <s v="INV-050526184408"/>
    <s v="Yes"/>
    <s v="No"/>
    <x v="4"/>
    <m/>
  </r>
  <r>
    <x v="0"/>
    <x v="38"/>
    <x v="0"/>
    <x v="0"/>
    <x v="12"/>
    <x v="0"/>
    <x v="2"/>
    <x v="0"/>
    <s v="USD"/>
    <n v="15125"/>
    <n v="15125"/>
    <d v="2026-04-01T00:00:00"/>
    <x v="4"/>
    <n v="42"/>
    <s v="31-60 days"/>
    <s v="Monthly Billing"/>
    <d v="2026-05-06T00:00:00"/>
    <d v="2026-05-13T00:00:00"/>
    <s v="Outstanding"/>
    <s v="INV-060526134523"/>
    <m/>
    <m/>
    <x v="9"/>
    <m/>
  </r>
  <r>
    <x v="0"/>
    <x v="6"/>
    <x v="2"/>
    <x v="0"/>
    <x v="3"/>
    <x v="0"/>
    <x v="2"/>
    <x v="0"/>
    <s v="USD"/>
    <n v="503"/>
    <n v="503"/>
    <d v="2026-04-01T00:00:00"/>
    <x v="4"/>
    <n v="41"/>
    <s v="31-60 days"/>
    <s v="Monthly Billing"/>
    <d v="2026-05-07T00:00:00"/>
    <d v="2026-05-14T00:00:00"/>
    <s v="Outstanding"/>
    <s v="INV-070526092521"/>
    <s v="Yes"/>
    <s v="No"/>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s v="N1"/>
    <s v="SWiM Pay Pty Ltd"/>
    <x v="0"/>
    <s v=" Simrn"/>
    <s v="Vinoth M"/>
    <s v="Active"/>
    <n v="2024"/>
    <s v="Bank Transfer"/>
    <s v="USD"/>
    <n v="5500"/>
    <n v="5500"/>
    <d v="2024-11-01T00:00:00"/>
    <s v="Nov"/>
    <n v="588"/>
    <x v="0"/>
    <s v="Monthly Billing"/>
    <d v="2024-11-01T00:00:00"/>
    <d v="2024-12-11T00:00:00"/>
    <s v="Outstanding"/>
    <s v="INV-041224105640"/>
  </r>
  <r>
    <s v="N1"/>
    <s v="SWiM Pay Pty Ltd"/>
    <x v="0"/>
    <s v=" Simrn"/>
    <s v="Vinoth M"/>
    <s v="Active"/>
    <n v="2025"/>
    <s v="Bank Transfer"/>
    <s v="USD"/>
    <n v="9930"/>
    <n v="9930"/>
    <d v="2025-01-01T00:00:00"/>
    <s v="Jan"/>
    <n v="525"/>
    <x v="0"/>
    <s v="Monthly Billing"/>
    <d v="2025-02-05T00:00:00"/>
    <d v="2025-02-12T00:00:00"/>
    <s v="Outstanding"/>
    <s v="INV-050225183406"/>
  </r>
  <r>
    <s v="N1"/>
    <s v="SWiM Pay Pty Ltd"/>
    <x v="0"/>
    <s v=" Simrn"/>
    <s v="Vinoth M"/>
    <s v="Active"/>
    <n v="2025"/>
    <s v="Bank Transfer"/>
    <s v="USD"/>
    <n v="10000"/>
    <n v="10000"/>
    <d v="2025-02-01T00:00:00"/>
    <s v="Feb"/>
    <n v="497"/>
    <x v="0"/>
    <s v="Monthly Billing"/>
    <d v="2025-03-05T00:00:00"/>
    <d v="2025-03-12T00:00:00"/>
    <s v="Outstanding"/>
    <s v="INV-050325103203"/>
  </r>
  <r>
    <s v="N1"/>
    <s v="SWiM Pay Pty Ltd"/>
    <x v="0"/>
    <s v=" Simrn"/>
    <s v="Vinoth M"/>
    <s v="Active"/>
    <n v="2025"/>
    <s v="Bank Transfer"/>
    <s v="USD"/>
    <n v="10000"/>
    <n v="10000"/>
    <d v="2025-03-01T00:00:00"/>
    <s v="Mar"/>
    <n v="469"/>
    <x v="0"/>
    <s v="Monthly Billing"/>
    <d v="2025-04-02T00:00:00"/>
    <d v="2025-04-09T00:00:00"/>
    <s v="Outstanding"/>
    <s v="INV-020425174717"/>
  </r>
  <r>
    <s v="N1"/>
    <s v="SWiM Pay Pty Ltd"/>
    <x v="0"/>
    <s v=" Simrn"/>
    <s v="Vinoth M"/>
    <s v="Active"/>
    <n v="2025"/>
    <s v="Bank Transfer"/>
    <s v="USD"/>
    <n v="10000"/>
    <n v="10000"/>
    <d v="2025-04-01T00:00:00"/>
    <s v="Apr"/>
    <n v="436"/>
    <x v="0"/>
    <s v="Monthly Billing"/>
    <d v="2025-05-05T00:00:00"/>
    <d v="2025-05-12T00:00:00"/>
    <s v="Outstanding"/>
    <s v="INV-050525114818"/>
  </r>
  <r>
    <s v="N1"/>
    <s v="SWiM Pay Pty Ltd"/>
    <x v="0"/>
    <s v=" Simrn"/>
    <s v="Vinoth M"/>
    <s v="Active"/>
    <n v="2025"/>
    <s v="Bank Transfer"/>
    <s v="USD"/>
    <n v="10000"/>
    <n v="10000"/>
    <d v="2025-05-01T00:00:00"/>
    <s v="May"/>
    <n v="406"/>
    <x v="0"/>
    <s v="Monthly Billing"/>
    <d v="2025-06-04T00:00:00"/>
    <d v="2025-06-11T00:00:00"/>
    <s v="Outstanding"/>
    <s v="INV-040625165635"/>
  </r>
  <r>
    <s v="N1"/>
    <s v="Loadpass LTDA"/>
    <x v="1"/>
    <s v="Lia Susin"/>
    <s v="Christina Hutchinson"/>
    <s v="Active"/>
    <n v="2025"/>
    <s v="Bank Transfer"/>
    <s v="USD"/>
    <n v="3495.5"/>
    <n v="3495.5"/>
    <d v="2025-07-01T00:00:00"/>
    <s v="Jul"/>
    <n v="344"/>
    <x v="0"/>
    <s v="Monthly Billing"/>
    <d v="2025-08-05T00:00:00"/>
    <d v="2025-08-12T00:00:00"/>
    <s v="Outstanding"/>
    <s v="INV-050825115818"/>
  </r>
  <r>
    <s v="N1"/>
    <s v="Yondr Money Pty Ltd"/>
    <x v="2"/>
    <s v="Hao Nguyen"/>
    <s v="NA"/>
    <s v="Active"/>
    <n v="2025"/>
    <s v="Bank Transfer"/>
    <s v="AUD"/>
    <n v="1381.5919702592164"/>
    <n v="1971.5749999999998"/>
    <d v="2025-07-01T00:00:00"/>
    <s v="Jul"/>
    <n v="344"/>
    <x v="0"/>
    <s v="Monthly Billing"/>
    <d v="2025-08-05T00:00:00"/>
    <d v="2025-08-12T00:00:00"/>
    <s v="Partially Paid"/>
    <s v="INV-050825195438"/>
  </r>
  <r>
    <s v="N1"/>
    <s v="Loadpass LTDA"/>
    <x v="1"/>
    <s v="Lia Susin"/>
    <s v="Christina Hutchinson"/>
    <s v="Active"/>
    <n v="2025"/>
    <s v="Bank Transfer"/>
    <s v="USD"/>
    <n v="3485"/>
    <n v="3485"/>
    <d v="2025-08-01T00:00:00"/>
    <s v="Aug"/>
    <n v="316"/>
    <x v="0"/>
    <s v="Monthly Billing"/>
    <d v="2025-09-02T00:00:00"/>
    <d v="2025-09-09T00:00:00"/>
    <s v="Outstanding"/>
    <s v="INV-020925171323"/>
  </r>
  <r>
    <s v="N1"/>
    <s v="Yondr Money Pty Ltd"/>
    <x v="2"/>
    <s v="Hao Nguyen"/>
    <s v="NA"/>
    <s v="Active"/>
    <n v="2025"/>
    <s v="Bank Transfer"/>
    <s v="AUD"/>
    <n v="4815.2517390998373"/>
    <n v="6871.5150000000003"/>
    <d v="2025-08-01T00:00:00"/>
    <s v="Aug"/>
    <n v="315"/>
    <x v="0"/>
    <s v="Monthly Billing"/>
    <d v="2025-09-03T00:00:00"/>
    <d v="2025-09-10T00:00:00"/>
    <s v="Outstanding"/>
    <s v="INV-030925145658"/>
  </r>
  <r>
    <s v="Masspay"/>
    <s v="FTB HUB S.A.C "/>
    <x v="0"/>
    <s v="Bhavani"/>
    <s v="NA"/>
    <s v="Active"/>
    <n v="2025"/>
    <s v="Wallet Debit"/>
    <s v="USD"/>
    <n v="1020"/>
    <n v="1020"/>
    <d v="2025-09-01T00:00:00"/>
    <s v="Sep"/>
    <n v="288"/>
    <x v="0"/>
    <s v="Monthly Billing"/>
    <d v="2025-10-01T00:00:00"/>
    <d v="2025-10-07T00:00:00"/>
    <s v="Force Settlement"/>
    <s v="SG-FTBHUB-09/2025"/>
  </r>
  <r>
    <s v="N1"/>
    <s v="Loadpass LTDA"/>
    <x v="1"/>
    <s v="Lia Susin"/>
    <s v="Christina Hutchinson"/>
    <s v="Active"/>
    <n v="2025"/>
    <s v="Bank Transfer"/>
    <s v="USD"/>
    <n v="3487.5"/>
    <n v="3487.5"/>
    <d v="2025-09-01T00:00:00"/>
    <s v="Sep"/>
    <n v="286"/>
    <x v="0"/>
    <s v="Monthly Billing"/>
    <d v="2025-10-02T00:00:00"/>
    <d v="2025-10-09T00:00:00"/>
    <s v="Outstanding"/>
    <s v="INV-021025184847"/>
  </r>
  <r>
    <s v="N1"/>
    <s v="Yondr Money Pty Ltd"/>
    <x v="2"/>
    <s v="Hao Nguyen"/>
    <s v="NA"/>
    <s v="Active"/>
    <n v="2025"/>
    <s v="Bank Transfer"/>
    <s v="AUD"/>
    <n v="4705.7271625599305"/>
    <n v="6715.2199999999993"/>
    <d v="2025-09-01T00:00:00"/>
    <s v="Sep"/>
    <n v="282"/>
    <x v="0"/>
    <s v="Monthly Billing"/>
    <d v="2025-10-06T00:00:00"/>
    <d v="2025-10-13T00:00:00"/>
    <s v="Outstanding"/>
    <s v="INV-061025125629"/>
  </r>
  <r>
    <s v="Masspay"/>
    <s v="FTB HUB S.A.C "/>
    <x v="0"/>
    <s v="Bhavani"/>
    <s v="NA"/>
    <s v="Active"/>
    <n v="2025"/>
    <s v="Wallet Debit"/>
    <s v="USD"/>
    <n v="1000"/>
    <n v="1000"/>
    <d v="2025-10-01T00:00:00"/>
    <s v="Oct"/>
    <n v="257"/>
    <x v="0"/>
    <s v="Monthly Billing"/>
    <d v="2025-11-01T00:00:00"/>
    <d v="2025-11-07T00:00:00"/>
    <s v="Force Settlement"/>
    <s v="SG-FTBHUB-10/2025"/>
  </r>
  <r>
    <s v="N1"/>
    <s v="Budgetly Pty Ltd"/>
    <x v="2"/>
    <s v="Hao Nguyen"/>
    <s v="Vinoth M"/>
    <s v="Active"/>
    <n v="2025"/>
    <s v="Bank Transfer"/>
    <s v="AUD"/>
    <n v="962.06718789235924"/>
    <n v="1372.8999999999999"/>
    <d v="2025-09-01T00:00:00"/>
    <s v="Sep"/>
    <n v="236"/>
    <x v="0"/>
    <s v="Card Printing and Delivery"/>
    <d v="2025-10-28T00:00:00"/>
    <d v="2025-11-28T00:00:00"/>
    <s v="Partially Paid"/>
    <s v="INV-281025170000"/>
  </r>
  <r>
    <s v="N1"/>
    <s v="JPMORGAN CHASE BANK"/>
    <x v="3"/>
    <s v="Sachli Zare"/>
    <s v="NA"/>
    <s v="Active"/>
    <n v="2025"/>
    <s v="Bank Transfer"/>
    <s v="USD"/>
    <n v="75.300000000000011"/>
    <n v="75.300000000000011"/>
    <d v="2025-10-01T00:00:00"/>
    <s v="Oct"/>
    <n v="252"/>
    <x v="0"/>
    <s v="Monthly Billing"/>
    <d v="2025-11-05T00:00:00"/>
    <d v="2025-11-12T00:00:00"/>
    <s v="Partially Paid"/>
    <s v="INV-051125174218"/>
  </r>
  <r>
    <s v="N1"/>
    <s v="Loadpass LTDA"/>
    <x v="1"/>
    <s v="Lia Susin"/>
    <s v="Christina Hutchinson"/>
    <s v="Active"/>
    <n v="2025"/>
    <s v="Bank Transfer"/>
    <s v="USD"/>
    <n v="2602.25"/>
    <n v="2602.25"/>
    <d v="2025-10-01T00:00:00"/>
    <s v="Oct"/>
    <n v="252"/>
    <x v="0"/>
    <s v="Monthly Billing"/>
    <d v="2025-11-05T00:00:00"/>
    <d v="2025-11-12T00:00:00"/>
    <s v="Outstanding"/>
    <s v="INV-051125173213"/>
  </r>
  <r>
    <s v="N1"/>
    <s v="Yondr Money Pty Ltd"/>
    <x v="2"/>
    <s v="Hao Nguyen"/>
    <s v="NA"/>
    <s v="Active"/>
    <n v="2025"/>
    <s v="Bank Transfer"/>
    <s v="AUD"/>
    <n v="4682.4795997670626"/>
    <n v="6682.0450000000001"/>
    <d v="2025-10-01T00:00:00"/>
    <s v="Oct"/>
    <n v="251"/>
    <x v="0"/>
    <s v="Monthly Billing"/>
    <d v="2025-11-06T00:00:00"/>
    <d v="2025-11-13T00:00:00"/>
    <s v="Outstanding"/>
    <s v="INV-061125104927"/>
  </r>
  <r>
    <s v="N1"/>
    <s v="Zeni, Inc."/>
    <x v="0"/>
    <s v=" Mrinal"/>
    <s v="Tyler Reed"/>
    <s v="Active"/>
    <n v="2025"/>
    <s v="Bank Transfer"/>
    <s v="USD"/>
    <n v="0.5"/>
    <n v="0.5"/>
    <d v="2025-10-01T00:00:00"/>
    <s v="Oct"/>
    <n v="252"/>
    <x v="0"/>
    <s v="Monthly Billing"/>
    <d v="2025-11-05T00:00:00"/>
    <d v="2025-11-12T00:00:00"/>
    <s v="Outstanding"/>
    <s v="INV-041125182344"/>
  </r>
  <r>
    <s v="N1"/>
    <s v="Budgetly Pty Ltd"/>
    <x v="2"/>
    <s v="Hao Nguyen"/>
    <s v="Vinoth M"/>
    <s v="Active"/>
    <n v="2025"/>
    <s v="Bank Transfer"/>
    <s v="AUD"/>
    <n v="1811.5089562799769"/>
    <n v="2585.08"/>
    <d v="2025-10-01T00:00:00"/>
    <s v="Oct"/>
    <n v="217"/>
    <x v="0"/>
    <s v="Card Printing and Delivery"/>
    <d v="2025-11-17T00:00:00"/>
    <d v="2025-12-17T00:00:00"/>
    <s v="Outstanding"/>
    <s v="INV-171125170000"/>
  </r>
  <r>
    <s v="Masspay"/>
    <s v="FTB HUB S.A.C "/>
    <x v="0"/>
    <s v="Bhavani"/>
    <s v="NA"/>
    <s v="Active"/>
    <n v="2025"/>
    <s v="Wallet Debit"/>
    <s v="USD"/>
    <n v="1000"/>
    <n v="1000"/>
    <d v="2025-11-01T00:00:00"/>
    <s v="Nov"/>
    <n v="226"/>
    <x v="0"/>
    <s v="Monthly Billing"/>
    <d v="2025-12-01T00:00:00"/>
    <d v="2025-12-08T00:00:00"/>
    <s v="Force Settlement"/>
    <s v="SG-FTBHUB-11/2025"/>
  </r>
  <r>
    <s v="N1"/>
    <s v="Budgetly Pty Ltd"/>
    <x v="2"/>
    <s v="Hao Nguyen"/>
    <s v="Vinoth M"/>
    <s v="Active"/>
    <n v="2025"/>
    <s v="Bank Transfer"/>
    <s v="AUD"/>
    <n v="1810.3246795318248"/>
    <n v="2583.39"/>
    <d v="2025-11-01T00:00:00"/>
    <s v="Nov"/>
    <n v="188"/>
    <x v="0"/>
    <s v="Card Printing and Delivery"/>
    <d v="2025-12-15T00:00:00"/>
    <d v="2026-01-15T00:00:00"/>
    <s v="Outstanding"/>
    <s v="INV-151225170000"/>
  </r>
  <r>
    <s v="N1"/>
    <s v="Istanbul Ödeme ve Elektronik Para A.S"/>
    <x v="4"/>
    <s v="Jerome Coelho"/>
    <s v="Ashraf Omran"/>
    <s v="Active"/>
    <n v="2025"/>
    <s v="Bank Transfer"/>
    <s v="USD"/>
    <n v="57.489999999999782"/>
    <n v="57.489999999999782"/>
    <d v="2025-11-01T00:00:00"/>
    <s v="Nov"/>
    <n v="225"/>
    <x v="0"/>
    <s v="Monthly Billing"/>
    <d v="2025-12-02T00:00:00"/>
    <d v="2025-12-09T00:00:00"/>
    <s v="Partially Paid"/>
    <s v="INV-021225185612"/>
  </r>
  <r>
    <s v="N1"/>
    <s v="Loadpass LTDA"/>
    <x v="1"/>
    <s v="Lia Susin"/>
    <s v="Christina Hutchinson"/>
    <s v="Active"/>
    <n v="2025"/>
    <s v="Bank Transfer"/>
    <s v="USD"/>
    <n v="1786.14"/>
    <n v="1786.14"/>
    <d v="2025-11-01T00:00:00"/>
    <s v="Nov"/>
    <n v="225"/>
    <x v="0"/>
    <s v="Monthly Billing"/>
    <d v="2025-12-02T00:00:00"/>
    <d v="2025-12-09T00:00:00"/>
    <s v="Outstanding"/>
    <s v="INV-021225201549"/>
  </r>
  <r>
    <s v="N1"/>
    <s v="MULTIPLIER TECHNOLOGIES PTE. LTD"/>
    <x v="0"/>
    <s v="Sanat Patakar"/>
    <s v="Vinoth M"/>
    <s v="Active"/>
    <n v="2025"/>
    <s v="Bank Transfer"/>
    <s v="USD"/>
    <n v="2743"/>
    <n v="2743"/>
    <d v="2025-11-01T00:00:00"/>
    <s v="Nov"/>
    <n v="216"/>
    <x v="0"/>
    <s v="Monthly Billing"/>
    <d v="2025-12-03T00:00:00"/>
    <d v="2025-12-18T00:00:00"/>
    <s v="Outstanding"/>
    <s v="INV-031225170417"/>
  </r>
  <r>
    <s v="N1"/>
    <s v="Yondr Money Pty Ltd"/>
    <x v="2"/>
    <s v="Hao Nguyen"/>
    <s v="NA"/>
    <s v="Active"/>
    <n v="2025"/>
    <s v="Bank Transfer"/>
    <s v="AUD"/>
    <n v="4800.9941682608405"/>
    <n v="6851.1689999999999"/>
    <d v="2025-11-01T00:00:00"/>
    <s v="Nov"/>
    <n v="223"/>
    <x v="0"/>
    <s v="Monthly Billing"/>
    <d v="2025-12-04T00:00:00"/>
    <d v="2025-12-11T00:00:00"/>
    <s v="Outstanding"/>
    <s v="INV-041225150054"/>
  </r>
  <r>
    <s v="Masspay"/>
    <s v="GLOBAL ROOTS INC"/>
    <x v="0"/>
    <s v="Bhavani"/>
    <s v="NA"/>
    <s v="Active"/>
    <n v="2025"/>
    <s v="Bank Transfer"/>
    <s v="USD"/>
    <n v="2217.6"/>
    <n v="2217.6"/>
    <d v="2025-12-01T00:00:00"/>
    <s v="Dec"/>
    <n v="186"/>
    <x v="0"/>
    <s v="Monthly Billing"/>
    <d v="2026-01-02T00:00:00"/>
    <d v="2026-01-17T00:00:00"/>
    <s v="Outstanding"/>
    <s v="US-GLOBAL ROOTS INC-12/2025"/>
  </r>
  <r>
    <s v="N1"/>
    <s v="Budgetly Pty Ltd"/>
    <x v="2"/>
    <s v="Hao Nguyen"/>
    <s v="Vinoth M"/>
    <s v="Active"/>
    <n v="2025"/>
    <s v="Bank Transfer"/>
    <s v="AUD"/>
    <n v="832.15973693026615"/>
    <n v="1187.5180000000037"/>
    <d v="2025-12-01T00:00:00"/>
    <s v="Dec"/>
    <n v="167"/>
    <x v="0"/>
    <s v="Monthly Billing"/>
    <d v="2026-01-06T00:00:00"/>
    <d v="2026-02-05T00:00:00"/>
    <s v="Outstanding"/>
    <s v="INV-060126122618"/>
  </r>
  <r>
    <s v="N1"/>
    <s v="FIRSTKYC PTE. LTD."/>
    <x v="2"/>
    <s v="NA"/>
    <s v="Denis Tan"/>
    <s v="Active"/>
    <n v="2025"/>
    <s v="Bank Transfer"/>
    <s v="USD"/>
    <n v="1.72"/>
    <n v="1.72"/>
    <d v="2025-12-01T00:00:00"/>
    <s v="Dec"/>
    <n v="191"/>
    <x v="0"/>
    <s v="Monthly Billing"/>
    <d v="2026-01-05T00:00:00"/>
    <d v="2026-01-12T00:00:00"/>
    <s v="Outstanding"/>
    <s v="INV-050126095427"/>
  </r>
  <r>
    <s v="N1"/>
    <s v="Istanbul Ödeme ve Elektronik Para A.S"/>
    <x v="4"/>
    <s v="Jerome Coelho"/>
    <s v="Ashraf Omran"/>
    <s v="Active"/>
    <n v="2025"/>
    <s v="Bank Transfer"/>
    <s v="USD"/>
    <n v="2500"/>
    <n v="2500"/>
    <d v="2025-12-01T00:00:00"/>
    <s v="Dec"/>
    <n v="191"/>
    <x v="0"/>
    <s v="Monthly Billing"/>
    <d v="2026-01-05T00:00:00"/>
    <d v="2026-01-12T00:00:00"/>
    <s v="Force Settlement"/>
    <s v="INV-050126150313"/>
  </r>
  <r>
    <s v="N1"/>
    <s v="JPMORGAN CHASE BANK"/>
    <x v="3"/>
    <s v="Sachli Zare"/>
    <s v="NA"/>
    <s v="Active"/>
    <n v="2025"/>
    <s v="Bank Transfer"/>
    <s v="USD"/>
    <n v="2.5"/>
    <n v="2.5"/>
    <d v="2025-12-01T00:00:00"/>
    <s v="Dec"/>
    <n v="191"/>
    <x v="0"/>
    <s v="Monthly Billing"/>
    <d v="2026-01-05T00:00:00"/>
    <d v="2026-01-12T00:00:00"/>
    <s v="Outstanding"/>
    <s v="INV-050126184308"/>
  </r>
  <r>
    <s v="N1"/>
    <s v="Loadpass LTDA"/>
    <x v="1"/>
    <s v="Lia Susin"/>
    <s v="Christina Hutchinson"/>
    <s v="Active"/>
    <n v="2025"/>
    <s v="Bank Transfer"/>
    <s v="USD"/>
    <n v="1659.6200000000001"/>
    <n v="1659.6200000000001"/>
    <d v="2025-12-01T00:00:00"/>
    <s v="Dec"/>
    <n v="191"/>
    <x v="0"/>
    <s v="Monthly Billing"/>
    <d v="2026-01-05T00:00:00"/>
    <d v="2026-01-12T00:00:00"/>
    <s v="Outstanding"/>
    <s v="INV-050126153219"/>
  </r>
  <r>
    <s v="N1"/>
    <s v="MULTIPLIER TECHNOLOGIES PTE. LTD"/>
    <x v="0"/>
    <s v="Sanat Patakar"/>
    <s v="Vinoth M"/>
    <s v="Active"/>
    <n v="2025"/>
    <s v="Bank Transfer"/>
    <s v="USD"/>
    <n v="2034"/>
    <n v="2034"/>
    <d v="2025-12-01T00:00:00"/>
    <s v="Dec"/>
    <n v="191"/>
    <x v="0"/>
    <s v="Monthly Billing"/>
    <d v="2026-01-05T00:00:00"/>
    <d v="2026-01-12T00:00:00"/>
    <s v="Outstanding"/>
    <s v="INV-050126154823"/>
  </r>
  <r>
    <s v="N1"/>
    <s v="Yondr Money Pty Ltd"/>
    <x v="2"/>
    <s v="Hao Nguyen"/>
    <s v="NA"/>
    <s v="Active"/>
    <n v="2025"/>
    <s v="Bank Transfer"/>
    <s v="AUD"/>
    <n v="4762.7020862336067"/>
    <n v="6796.5250000000005"/>
    <d v="2025-12-01T00:00:00"/>
    <s v="Dec"/>
    <n v="190"/>
    <x v="0"/>
    <s v="Monthly Billing"/>
    <d v="2026-01-06T00:00:00"/>
    <d v="2026-01-13T00:00:00"/>
    <s v="Outstanding"/>
    <s v="INV-060126181825"/>
  </r>
  <r>
    <s v="N1"/>
    <s v="Budgetly Pty Ltd"/>
    <x v="2"/>
    <s v="Hao Nguyen"/>
    <s v="Vinoth M"/>
    <s v="Active"/>
    <n v="2025"/>
    <s v="Bank Transfer"/>
    <s v="AUD"/>
    <n v="1558.6693743268543"/>
    <n v="2224.27"/>
    <d v="2025-12-01T00:00:00"/>
    <s v="Dec"/>
    <n v="149"/>
    <x v="0"/>
    <s v="Card Printing and Delivery"/>
    <d v="2026-01-23T00:00:00"/>
    <d v="2026-02-23T00:00:00"/>
    <s v="Outstanding"/>
    <s v="INV-230126170000"/>
  </r>
  <r>
    <s v="N1"/>
    <s v="Budgetly Pty Ltd"/>
    <x v="2"/>
    <s v="Hao Nguyen"/>
    <s v="Vinoth M"/>
    <s v="Active"/>
    <n v="2026"/>
    <s v="Bank Transfer"/>
    <s v="AUD"/>
    <n v="3733.1759720468026"/>
    <n v="5327.359000000004"/>
    <d v="2026-01-01T00:00:00"/>
    <s v="Jan"/>
    <n v="158"/>
    <x v="0"/>
    <s v="Monthly Billing"/>
    <d v="2026-02-07T00:00:00"/>
    <d v="2026-02-14T00:00:00"/>
    <s v="Outstanding"/>
    <s v="INV-070226133026"/>
  </r>
  <r>
    <s v="N1"/>
    <s v="FIRSTKYC PTE. LTD."/>
    <x v="2"/>
    <s v="NA"/>
    <s v="Denis Tan"/>
    <s v="Active"/>
    <n v="2026"/>
    <s v="Bank Transfer"/>
    <s v="USD"/>
    <n v="14.19"/>
    <n v="14.19"/>
    <d v="2026-01-01T00:00:00"/>
    <s v="Jan"/>
    <n v="159"/>
    <x v="0"/>
    <s v="Monthly Billing"/>
    <d v="2026-02-06T00:00:00"/>
    <d v="2026-02-13T00:00:00"/>
    <s v="Outstanding"/>
    <s v="INV-060226120820"/>
  </r>
  <r>
    <s v="N1"/>
    <s v="Istanbul Ödeme ve Elektronik Para A.S"/>
    <x v="4"/>
    <s v="Jerome Coelho"/>
    <s v="Ashraf Omran"/>
    <s v="Active"/>
    <n v="2026"/>
    <s v="Bank Transfer"/>
    <s v="USD"/>
    <n v="2500"/>
    <n v="2500"/>
    <d v="2026-01-01T00:00:00"/>
    <s v="Jan"/>
    <n v="163"/>
    <x v="0"/>
    <s v="Monthly Billing"/>
    <d v="2026-02-02T00:00:00"/>
    <d v="2026-02-09T00:00:00"/>
    <s v="Force Settlement"/>
    <s v="INV-020226182425"/>
  </r>
  <r>
    <s v="N1"/>
    <s v="MULTIPLIER TECHNOLOGIES PTE. LTD"/>
    <x v="0"/>
    <s v="Sanat Patakar"/>
    <s v="Vinoth M"/>
    <s v="Active"/>
    <n v="2026"/>
    <s v="Bank Transfer"/>
    <s v="USD"/>
    <n v="2965"/>
    <n v="2965"/>
    <d v="2026-01-01T00:00:00"/>
    <s v="Jan"/>
    <n v="160"/>
    <x v="0"/>
    <s v="Monthly Billing"/>
    <d v="2026-02-05T00:00:00"/>
    <d v="2026-02-12T00:00:00"/>
    <s v="Outstanding"/>
    <s v="INV-050226133127"/>
  </r>
  <r>
    <s v="N1"/>
    <s v="MyBeacon Services Inc.-Verify"/>
    <x v="1"/>
    <s v="Tanu Arora"/>
    <s v="Michael Bermingham"/>
    <s v="Active"/>
    <n v="2026"/>
    <s v="Bank Transfer"/>
    <s v="USD"/>
    <n v="36.32"/>
    <n v="36.32"/>
    <d v="2026-01-01T00:00:00"/>
    <s v="Jan"/>
    <n v="161"/>
    <x v="0"/>
    <s v="Monthly Billing"/>
    <d v="2026-02-04T00:00:00"/>
    <d v="2026-02-11T00:00:00"/>
    <s v="Outstanding"/>
    <s v="INV-040226185603"/>
  </r>
  <r>
    <s v="N1"/>
    <s v="Yondr Money Pty Ltd"/>
    <x v="2"/>
    <s v="Hao Nguyen"/>
    <s v="NA"/>
    <s v="Active"/>
    <n v="2026"/>
    <s v="Bank Transfer"/>
    <s v="AUD"/>
    <n v="4971.0892448026862"/>
    <n v="7093.9"/>
    <d v="2026-01-01T00:00:00"/>
    <s v="Jan"/>
    <n v="159"/>
    <x v="0"/>
    <s v="Monthly Billing"/>
    <d v="2026-02-06T00:00:00"/>
    <d v="2026-02-13T00:00:00"/>
    <s v="Outstanding"/>
    <s v="INV-060226143545"/>
  </r>
  <r>
    <s v="N1"/>
    <s v="Budgetly Pty Ltd"/>
    <x v="2"/>
    <s v="Hao Nguyen"/>
    <s v="Vinoth M"/>
    <s v="Active"/>
    <n v="2026"/>
    <s v="Bank Transfer"/>
    <s v="AUD"/>
    <n v="38.905943820951123"/>
    <n v="55.52"/>
    <d v="2026-01-01T00:00:00"/>
    <s v="Jan"/>
    <n v="124"/>
    <x v="0"/>
    <s v="Card Printing and Delivery"/>
    <d v="2026-02-20T00:00:00"/>
    <d v="2026-03-20T00:00:00"/>
    <s v="Outstanding"/>
    <s v="INV-200226170000"/>
  </r>
  <r>
    <s v="N1"/>
    <s v="Budgetly Pty Ltd"/>
    <x v="2"/>
    <s v="Hao Nguyen"/>
    <s v="Vinoth M"/>
    <s v="Active"/>
    <n v="2026"/>
    <s v="Bank Transfer"/>
    <s v="AUD"/>
    <n v="2696.4180613860703"/>
    <n v="3847.8729999999996"/>
    <d v="2026-02-01T00:00:00"/>
    <s v="Feb"/>
    <n v="110"/>
    <x v="0"/>
    <s v="Monthly Billing"/>
    <d v="2026-03-04T00:00:00"/>
    <d v="2026-04-03T00:00:00"/>
    <s v="Invoice Sent"/>
    <s v="INV-040326125850"/>
  </r>
  <r>
    <s v="N1"/>
    <s v="FIRSTKYC PTE. LTD."/>
    <x v="2"/>
    <s v="NA"/>
    <s v="Denis Tan"/>
    <s v="Active"/>
    <n v="2026"/>
    <s v="Bank Transfer"/>
    <s v="USD"/>
    <n v="6.88"/>
    <n v="6.88"/>
    <d v="2026-02-01T00:00:00"/>
    <s v="Feb"/>
    <n v="133"/>
    <x v="0"/>
    <s v="Monthly Billing"/>
    <d v="2026-03-04T00:00:00"/>
    <d v="2026-03-11T00:00:00"/>
    <s v="Outstanding"/>
    <s v="INV-040326132912"/>
  </r>
  <r>
    <s v="N1"/>
    <s v="Istanbul Ödeme ve Elektronik Para A.S"/>
    <x v="4"/>
    <s v="Jerome Coelho"/>
    <s v="Ashraf Omran"/>
    <s v="Active"/>
    <n v="2026"/>
    <s v="Bank Transfer"/>
    <s v="USD"/>
    <n v="2500"/>
    <n v="2500"/>
    <d v="2026-02-01T00:00:00"/>
    <s v="Feb"/>
    <n v="135"/>
    <x v="0"/>
    <s v="Monthly Billing"/>
    <d v="2026-03-02T00:00:00"/>
    <d v="2026-03-09T00:00:00"/>
    <s v="Force Settlement"/>
    <s v="INV-020326191014"/>
  </r>
  <r>
    <s v="N1"/>
    <s v="JPMORGAN CHASE BANK"/>
    <x v="3"/>
    <s v="Sachli Zare"/>
    <s v="NA"/>
    <s v="Active"/>
    <n v="2026"/>
    <s v="Bank Transfer"/>
    <s v="USD"/>
    <n v="89.8"/>
    <n v="89.8"/>
    <d v="2026-02-01T00:00:00"/>
    <s v="Feb"/>
    <n v="133"/>
    <x v="0"/>
    <s v="Monthly Billing"/>
    <d v="2026-03-04T00:00:00"/>
    <d v="2026-03-11T00:00:00"/>
    <s v="Outstanding"/>
    <s v="INV-040326132449"/>
  </r>
  <r>
    <s v="N1"/>
    <s v="Loadpass LTDA"/>
    <x v="1"/>
    <s v="Lia Susin"/>
    <s v="Christina Hutchinson"/>
    <s v="Active"/>
    <n v="2026"/>
    <s v="Bank Transfer"/>
    <s v="USD"/>
    <n v="608.9699999999998"/>
    <n v="608.9699999999998"/>
    <d v="2026-02-01T00:00:00"/>
    <s v="Feb"/>
    <n v="134"/>
    <x v="0"/>
    <s v="Monthly Billing"/>
    <d v="2026-03-03T00:00:00"/>
    <d v="2026-03-10T00:00:00"/>
    <s v="Outstanding"/>
    <s v="INV-030326144903"/>
  </r>
  <r>
    <s v="N1"/>
    <s v="MULTIPLIER TECHNOLOGIES PTE. LTD"/>
    <x v="0"/>
    <s v="Sanat Patakar"/>
    <s v="Vinoth M"/>
    <s v="Active"/>
    <n v="2026"/>
    <s v="Bank Transfer"/>
    <s v="USD"/>
    <n v="2963.5"/>
    <n v="2963.5"/>
    <d v="2026-02-01T00:00:00"/>
    <s v="Feb"/>
    <n v="134"/>
    <x v="0"/>
    <s v="Monthly Billing"/>
    <d v="2026-03-03T00:00:00"/>
    <d v="2026-03-10T00:00:00"/>
    <s v="Outstanding"/>
    <s v="INV-030326180323"/>
  </r>
  <r>
    <s v="N1"/>
    <s v="MyBeacon Services Inc.-Verify"/>
    <x v="1"/>
    <s v="Tanu Arora"/>
    <s v="Michael Bermingham"/>
    <s v="Active"/>
    <n v="2026"/>
    <s v="Bank Transfer"/>
    <s v="USD"/>
    <n v="43.5"/>
    <n v="43.5"/>
    <d v="2026-02-01T00:00:00"/>
    <s v="Feb"/>
    <n v="133"/>
    <x v="0"/>
    <s v="Monthly Billing"/>
    <d v="2026-03-04T00:00:00"/>
    <d v="2026-03-11T00:00:00"/>
    <s v="Outstanding"/>
    <s v="INV-040326095350"/>
  </r>
  <r>
    <s v="N1"/>
    <s v="Red Owl Pty Ltd"/>
    <x v="2"/>
    <s v="NA"/>
    <s v="Vinoth M"/>
    <s v="Active"/>
    <n v="2026"/>
    <s v="Bank Transfer"/>
    <s v="AUD"/>
    <n v="7608.1021625372177"/>
    <n v="10857"/>
    <d v="2026-03-01T00:00:00"/>
    <s v="Mar"/>
    <n v="126"/>
    <x v="0"/>
    <s v="Setup Fee"/>
    <d v="2026-03-11T00:00:00"/>
    <d v="2026-03-18T00:00:00"/>
    <s v="Outstanding"/>
    <s v="INV-110326113159"/>
  </r>
  <r>
    <s v="Masspay"/>
    <s v="EZ Money Sdn Bhd."/>
    <x v="0"/>
    <s v=" Mrinal"/>
    <s v="Rohit Bammi"/>
    <s v="Active"/>
    <n v="2026"/>
    <s v="Bank Transfer"/>
    <s v="USD"/>
    <n v="42"/>
    <n v="42"/>
    <d v="2026-03-01T00:00:00"/>
    <s v="Mar"/>
    <n v="104"/>
    <x v="0"/>
    <s v="Monthly Billing"/>
    <d v="2026-04-02T00:00:00"/>
    <d v="2026-04-09T00:00:00"/>
    <s v="Outstanding"/>
    <s v="MY-EZ Money-03/2026"/>
  </r>
  <r>
    <s v="Masspay"/>
    <s v="GLOBAL ROOTS INC"/>
    <x v="0"/>
    <s v="Bhavani"/>
    <s v="NA"/>
    <s v="Active"/>
    <n v="2026"/>
    <s v="Bank Transfer"/>
    <s v="USD"/>
    <n v="2125.9"/>
    <n v="2125.9"/>
    <d v="2026-03-01T00:00:00"/>
    <s v="Mar"/>
    <n v="97"/>
    <x v="0"/>
    <s v="Monthly Billing"/>
    <d v="2026-04-01T00:00:00"/>
    <d v="2026-04-16T00:00:00"/>
    <s v="Outstanding"/>
    <s v="US-GLOBAL ROOTS INC-03/2026"/>
  </r>
  <r>
    <s v="Masspay"/>
    <s v="Qatar National Bank (Q.P.S.C.)"/>
    <x v="4"/>
    <s v="Jerome Coelho"/>
    <s v="Rohit Bammi"/>
    <s v="Active"/>
    <n v="2026"/>
    <s v="Bank Transfer"/>
    <s v="USD"/>
    <n v="2235.75"/>
    <n v="2235.75"/>
    <d v="2026-03-01T00:00:00"/>
    <s v="Mar"/>
    <n v="104"/>
    <x v="0"/>
    <s v="Monthly Billing"/>
    <d v="2026-04-02T00:00:00"/>
    <d v="2026-04-09T00:00:00"/>
    <s v="Outstanding"/>
    <s v="SG-Qatar National Bank (Q.P.S.C.)-03/2026"/>
  </r>
  <r>
    <s v="Masspay"/>
    <s v="Stratos Payments, Inc"/>
    <x v="0"/>
    <s v="Mrinal "/>
    <s v="Michael Bermingham"/>
    <s v="Active"/>
    <n v="2026"/>
    <s v="Wallet Debit"/>
    <s v="USD"/>
    <n v="2000"/>
    <n v="2000"/>
    <d v="2026-03-01T00:00:00"/>
    <s v="Mar"/>
    <n v="106"/>
    <x v="0"/>
    <s v="Monthly Billing"/>
    <d v="2026-04-02T00:00:00"/>
    <d v="2026-04-07T00:00:00"/>
    <s v="Force Settlement"/>
    <s v="US-Stratos Payments, Inc-03/2026"/>
  </r>
  <r>
    <s v="N1"/>
    <s v="AL FUAD EXCHANGE"/>
    <x v="4"/>
    <s v="Jerome Coelho"/>
    <s v="Saikat Roy"/>
    <s v="Active"/>
    <n v="2026"/>
    <s v="Bank Transfer"/>
    <s v="USD"/>
    <n v="3000"/>
    <n v="3000"/>
    <d v="2026-03-01T00:00:00"/>
    <s v="Mar"/>
    <n v="104"/>
    <x v="0"/>
    <s v="Monthly Billing"/>
    <d v="2026-04-02T00:00:00"/>
    <d v="2026-04-09T00:00:00"/>
    <s v="Force Settlement"/>
    <s v="INV-020426113526"/>
  </r>
  <r>
    <s v="N1"/>
    <s v="Budgetly Pty Ltd"/>
    <x v="2"/>
    <s v="Hao Nguyen"/>
    <s v="Vinoth M"/>
    <s v="Active"/>
    <n v="2026"/>
    <s v="Bank Transfer"/>
    <s v="AUD"/>
    <n v="1443.5723902713833"/>
    <n v="2060.0230000000001"/>
    <d v="2026-03-01T00:00:00"/>
    <s v="Mar"/>
    <n v="81"/>
    <x v="1"/>
    <s v="Monthly Billing"/>
    <d v="2026-04-03T00:00:00"/>
    <d v="2026-05-02T00:00:00"/>
    <s v="Invoice Sent"/>
    <s v="INV-030426112139"/>
  </r>
  <r>
    <s v="N1"/>
    <s v="FIRSTKYC PTE. LTD."/>
    <x v="2"/>
    <s v="NA"/>
    <s v="Denis Tan"/>
    <s v="Active"/>
    <n v="2026"/>
    <s v="Bank Transfer"/>
    <s v="USD"/>
    <n v="11.18"/>
    <n v="11.18"/>
    <d v="2026-03-01T00:00:00"/>
    <s v="Mar"/>
    <n v="103"/>
    <x v="0"/>
    <s v="Monthly Billing"/>
    <d v="2026-04-03T00:00:00"/>
    <d v="2026-04-10T00:00:00"/>
    <s v="Outstanding"/>
    <s v="INV-030426123312"/>
  </r>
  <r>
    <s v="N1"/>
    <s v="HONGKONG FORTUNETECH LIMITED"/>
    <x v="2"/>
    <s v="NA"/>
    <s v="Edward Li"/>
    <s v="Active"/>
    <n v="2026"/>
    <s v="Bank Transfer"/>
    <s v="USD"/>
    <n v="40"/>
    <n v="40"/>
    <d v="2026-03-01T00:00:00"/>
    <s v="Mar"/>
    <n v="104"/>
    <x v="0"/>
    <s v="Monthly Billing"/>
    <d v="2026-04-02T00:00:00"/>
    <d v="2026-04-09T00:00:00"/>
    <s v="Outstanding"/>
    <s v="INV-020426180801"/>
  </r>
  <r>
    <s v="N1"/>
    <s v="JPMORGAN CHASE BANK"/>
    <x v="3"/>
    <s v="Sachli Zare"/>
    <s v="NA"/>
    <s v="Active"/>
    <n v="2026"/>
    <s v="Bank Transfer"/>
    <s v="USD"/>
    <n v="21.1"/>
    <n v="21.1"/>
    <d v="2026-03-01T00:00:00"/>
    <s v="Mar"/>
    <n v="103"/>
    <x v="0"/>
    <s v="Monthly Billing"/>
    <d v="2026-04-03T00:00:00"/>
    <d v="2026-04-10T00:00:00"/>
    <s v="Outstanding"/>
    <s v="INV-030426152534"/>
  </r>
  <r>
    <s v="N1"/>
    <s v="MULTIPLIER TECHNOLOGIES PTE. LTD"/>
    <x v="0"/>
    <s v="Sanat Patakar"/>
    <s v="Vinoth M"/>
    <s v="Active"/>
    <n v="2026"/>
    <s v="Bank Transfer"/>
    <s v="USD"/>
    <n v="2952"/>
    <n v="2952"/>
    <d v="2026-03-01T00:00:00"/>
    <s v="Mar"/>
    <n v="104"/>
    <x v="0"/>
    <s v="Monthly Billing"/>
    <d v="2026-04-02T00:00:00"/>
    <d v="2026-04-09T00:00:00"/>
    <s v="Outstanding"/>
    <s v="INV-020426170424"/>
  </r>
  <r>
    <s v="N1"/>
    <s v="MyBeacon Services Inc."/>
    <x v="1"/>
    <s v="Tanu Arora"/>
    <s v="Michael Bermingham"/>
    <s v="Active"/>
    <n v="2026"/>
    <s v="Bank Transfer"/>
    <s v="CAD"/>
    <n v="1578.9972136506681"/>
    <n v="2226.13"/>
    <d v="2026-03-01T00:00:00"/>
    <s v="Mar"/>
    <n v="100"/>
    <x v="0"/>
    <s v="Monthly Billing"/>
    <d v="2026-04-06T00:00:00"/>
    <d v="2026-04-13T00:00:00"/>
    <s v="Outstanding"/>
    <s v="INV-030426231221"/>
  </r>
  <r>
    <s v="N1"/>
    <s v="MyBeacon Services Inc.-Verify"/>
    <x v="1"/>
    <s v="Tanu Arora"/>
    <s v="Michael Bermingham"/>
    <s v="Active"/>
    <n v="2026"/>
    <s v="Bank Transfer"/>
    <s v="USD"/>
    <n v="7.5"/>
    <n v="7.5"/>
    <d v="2026-03-01T00:00:00"/>
    <s v="Mar"/>
    <n v="105"/>
    <x v="0"/>
    <s v="Monthly Billing"/>
    <d v="2026-04-01T00:00:00"/>
    <d v="2026-04-08T00:00:00"/>
    <s v="Outstanding"/>
    <s v="INV-010426201156"/>
  </r>
  <r>
    <s v="N1"/>
    <s v="Poaster Technologies Inc. DBA Warp"/>
    <x v="1"/>
    <s v="Tulio Lima"/>
    <s v="NA"/>
    <s v="Active"/>
    <n v="2026"/>
    <s v="Bank Transfer"/>
    <s v="USD"/>
    <n v="250"/>
    <n v="250"/>
    <d v="2026-03-01T00:00:00"/>
    <s v="Mar"/>
    <n v="105"/>
    <x v="0"/>
    <s v="Monthly Billing"/>
    <d v="2026-04-01T00:00:00"/>
    <d v="2026-04-08T00:00:00"/>
    <s v="Outstanding"/>
    <s v="INV-010426152406"/>
  </r>
  <r>
    <s v="N1"/>
    <s v="Travel Ledger UK"/>
    <x v="3"/>
    <s v="Will Turner "/>
    <s v="Danny May"/>
    <s v="Active"/>
    <n v="2026"/>
    <s v="Bank Transfer"/>
    <s v="GBP"/>
    <n v="4062.268429278945"/>
    <n v="3037.8"/>
    <d v="2026-03-01T00:00:00"/>
    <s v="Mar"/>
    <n v="96"/>
    <x v="0"/>
    <s v="Monthly Billing"/>
    <d v="2026-04-03T00:00:00"/>
    <d v="2026-04-17T00:00:00"/>
    <s v="Invoice Sent"/>
    <s v="INV-030426101140"/>
  </r>
  <r>
    <s v="N1"/>
    <s v="Zeni, Inc."/>
    <x v="0"/>
    <s v=" Mrinal"/>
    <s v="Tyler Reed"/>
    <s v="Active"/>
    <n v="2026"/>
    <s v="Bank Transfer"/>
    <s v="USD"/>
    <n v="500"/>
    <n v="500"/>
    <d v="2026-03-01T00:00:00"/>
    <s v="Mar"/>
    <n v="104"/>
    <x v="0"/>
    <s v="Monthly Billing"/>
    <d v="2026-04-02T00:00:00"/>
    <d v="2026-04-09T00:00:00"/>
    <s v="Outstanding"/>
    <s v="INV-020426160801"/>
  </r>
  <r>
    <s v="Masspay"/>
    <s v="Everpro Holdings Limited"/>
    <x v="0"/>
    <s v=" Simrn"/>
    <s v="Lisa Sung"/>
    <s v="Active"/>
    <n v="2026"/>
    <s v="Bank Transfer"/>
    <s v="USD"/>
    <n v="5000"/>
    <n v="5000"/>
    <d v="2026-04-01T00:00:00"/>
    <s v="Apr"/>
    <n v="74"/>
    <x v="1"/>
    <s v="Monthly Billing"/>
    <d v="2026-05-02T00:00:00"/>
    <d v="2026-05-09T00:00:00"/>
    <s v="Outstanding"/>
    <s v="HK-Everpro-04/2026"/>
  </r>
  <r>
    <s v="Masspay"/>
    <s v="EZ Money Sdn Bhd."/>
    <x v="0"/>
    <s v=" Mrinal"/>
    <s v="Rohit Bammi"/>
    <s v="Active"/>
    <n v="2026"/>
    <s v="Bank Transfer"/>
    <s v="USD"/>
    <n v="47"/>
    <n v="47"/>
    <d v="2026-04-01T00:00:00"/>
    <s v="Apr"/>
    <n v="74"/>
    <x v="1"/>
    <s v="Monthly Billing"/>
    <d v="2026-05-02T00:00:00"/>
    <d v="2026-05-09T00:00:00"/>
    <s v="Outstanding"/>
    <s v="MY-EZ Money-04/2026"/>
  </r>
  <r>
    <s v="Masspay"/>
    <s v="Qatar National Bank (Q.P.S.C.)"/>
    <x v="4"/>
    <s v="Jerome Coelho"/>
    <s v="Rohit Bammi"/>
    <s v="Active"/>
    <n v="2026"/>
    <s v="Bank Transfer"/>
    <s v="USD"/>
    <n v="4029.75"/>
    <n v="4029.75"/>
    <d v="2026-04-01T00:00:00"/>
    <s v="Apr"/>
    <n v="72"/>
    <x v="1"/>
    <s v="Monthly Billing"/>
    <d v="2026-05-04T00:00:00"/>
    <d v="2026-05-11T00:00:00"/>
    <s v="Outstanding"/>
    <s v="SG-Qatar National Bank (Q.P.S.C.)-04/2026"/>
  </r>
  <r>
    <s v="N1"/>
    <s v="Emirates Islamic Bank PJSC"/>
    <x v="4"/>
    <s v="Jerome Coelho"/>
    <s v="Rohit Bammi"/>
    <s v="Active"/>
    <n v="2026"/>
    <s v="Bank Transfer"/>
    <s v="USD"/>
    <n v="3736.5"/>
    <n v="3736.5"/>
    <d v="2026-04-01T00:00:00"/>
    <s v="Apr"/>
    <n v="72"/>
    <x v="1"/>
    <s v="Monthly Billing"/>
    <d v="2026-05-04T00:00:00"/>
    <d v="2026-05-11T00:00:00"/>
    <s v="Outstanding"/>
    <s v="INV-040526204049"/>
  </r>
  <r>
    <s v="N1"/>
    <s v="EVERWIN REMITTANCE AND EXCHANGE CO LIMITED"/>
    <x v="2"/>
    <s v="NA"/>
    <s v="Lisa Sung"/>
    <s v="Active"/>
    <n v="2026"/>
    <s v="Bank Transfer"/>
    <s v="USD"/>
    <n v="46001.45"/>
    <n v="46001.45"/>
    <d v="2026-05-01T00:00:00"/>
    <s v="May"/>
    <n v="65"/>
    <x v="1"/>
    <s v="Monthly Billing"/>
    <d v="2026-05-11T00:00:00"/>
    <d v="2026-05-18T00:00:00"/>
    <s v="Outstanding"/>
    <s v="INV-110526145754"/>
  </r>
  <r>
    <s v="N1"/>
    <s v="Express Hub Services Pty Ltd"/>
    <x v="2"/>
    <s v="NA"/>
    <s v="Wendy zhai"/>
    <s v="Active"/>
    <n v="2026"/>
    <s v="Bank Transfer"/>
    <s v="AUD"/>
    <n v="2804.7737777982147"/>
    <n v="4002.5000000000005"/>
    <d v="2026-04-01T00:00:00"/>
    <s v="Apr"/>
    <n v="71"/>
    <x v="1"/>
    <s v="Monthly Billing"/>
    <d v="2026-05-05T00:00:00"/>
    <d v="2026-05-12T00:00:00"/>
    <s v="Outstanding"/>
    <s v="INV-050526150527"/>
  </r>
  <r>
    <s v="N1"/>
    <s v="FIRSTKYC PTE. LTD."/>
    <x v="2"/>
    <s v="NA"/>
    <s v="Denis Tan"/>
    <s v="Active"/>
    <n v="2026"/>
    <s v="Bank Transfer"/>
    <s v="USD"/>
    <n v="37.840000000000003"/>
    <n v="37.840000000000003"/>
    <d v="2026-04-01T00:00:00"/>
    <s v="Apr"/>
    <n v="72"/>
    <x v="1"/>
    <s v="Monthly Billing"/>
    <d v="2026-05-04T00:00:00"/>
    <d v="2026-05-11T00:00:00"/>
    <s v="Outstanding"/>
    <s v="INV-040526162158"/>
  </r>
  <r>
    <s v="N1"/>
    <s v="JPMORGAN CHASE BANK"/>
    <x v="3"/>
    <s v="Sachli Zare"/>
    <s v="NA"/>
    <s v="Active"/>
    <n v="2026"/>
    <s v="Bank Transfer"/>
    <s v="USD"/>
    <n v="99.6"/>
    <n v="99.6"/>
    <d v="2026-04-01T00:00:00"/>
    <s v="Apr"/>
    <n v="72"/>
    <x v="1"/>
    <s v="Monthly Billing"/>
    <d v="2026-05-04T00:00:00"/>
    <d v="2026-05-11T00:00:00"/>
    <s v="Outstanding"/>
    <s v="INV-040526200003"/>
  </r>
  <r>
    <s v="N1"/>
    <s v="MULTIPLIER TECHNOLOGIES PTE. LTD"/>
    <x v="0"/>
    <s v="Sanat Patakar"/>
    <s v="Vinoth M"/>
    <s v="Active"/>
    <n v="2026"/>
    <s v="Bank Transfer"/>
    <s v="USD"/>
    <n v="2954.5"/>
    <n v="2954.5"/>
    <d v="2026-04-01T00:00:00"/>
    <s v="Apr"/>
    <n v="72"/>
    <x v="1"/>
    <s v="Monthly Billing"/>
    <d v="2026-05-04T00:00:00"/>
    <d v="2026-05-11T00:00:00"/>
    <s v="Outstanding"/>
    <s v="INV-040526195142"/>
  </r>
  <r>
    <s v="N1"/>
    <s v="MyBeacon Services Inc."/>
    <x v="1"/>
    <s v="Tanu Arora"/>
    <s v="Michael Bermingham"/>
    <s v="Active"/>
    <n v="2026"/>
    <s v="Bank Transfer"/>
    <s v="CAD"/>
    <n v="38.337742808289988"/>
    <n v="54.05"/>
    <d v="2026-04-01T00:00:00"/>
    <s v="Apr"/>
    <n v="71"/>
    <x v="1"/>
    <s v="Monthly Billing"/>
    <d v="2026-05-05T00:00:00"/>
    <d v="2026-05-12T00:00:00"/>
    <s v="Outstanding"/>
    <s v="INV-050526163450"/>
  </r>
  <r>
    <s v="N1"/>
    <s v="Poaster Technologies Inc. DBA Warp"/>
    <x v="1"/>
    <s v="Tulio Lima"/>
    <s v="NA"/>
    <s v="Active"/>
    <n v="2026"/>
    <s v="Bank Transfer"/>
    <s v="USD"/>
    <n v="130"/>
    <n v="130"/>
    <d v="2026-04-01T00:00:00"/>
    <s v="Apr"/>
    <n v="72"/>
    <x v="1"/>
    <s v="Monthly Billing"/>
    <d v="2026-05-04T00:00:00"/>
    <d v="2026-05-11T00:00:00"/>
    <s v="Outstanding"/>
    <s v="INV-040526102628"/>
  </r>
  <r>
    <s v="N1"/>
    <s v="Travel Ledger UK"/>
    <x v="3"/>
    <s v="Will Turner "/>
    <s v="Danny May"/>
    <s v="Active"/>
    <n v="2026"/>
    <s v="Bank Transfer"/>
    <s v="GBP"/>
    <n v="4062.5358773288021"/>
    <n v="3038"/>
    <d v="2026-04-01T00:00:00"/>
    <s v="Apr"/>
    <n v="64"/>
    <x v="1"/>
    <s v="Monthly Billing"/>
    <d v="2026-05-05T00:00:00"/>
    <d v="2026-05-19T00:00:00"/>
    <s v="Outstanding"/>
    <s v="INV-050526184408"/>
  </r>
  <r>
    <s v="N1"/>
    <s v="VPLUS GREATER BAY EXCHANGE LIMITED"/>
    <x v="2"/>
    <s v="NA"/>
    <s v="Lisa Sung"/>
    <s v="Active"/>
    <n v="2026"/>
    <s v="Bank Transfer"/>
    <s v="USD"/>
    <n v="15125"/>
    <n v="15125"/>
    <d v="2026-04-01T00:00:00"/>
    <s v="Apr"/>
    <n v="70"/>
    <x v="1"/>
    <s v="Monthly Billing"/>
    <d v="2026-05-06T00:00:00"/>
    <d v="2026-05-13T00:00:00"/>
    <s v="Outstanding"/>
    <s v="INV-060526134523"/>
  </r>
  <r>
    <s v="N1"/>
    <s v="Zeni, Inc."/>
    <x v="0"/>
    <s v=" Mrinal"/>
    <s v="Tyler Reed"/>
    <s v="Active"/>
    <n v="2026"/>
    <s v="Bank Transfer"/>
    <s v="USD"/>
    <n v="503"/>
    <n v="503"/>
    <d v="2026-04-01T00:00:00"/>
    <s v="Apr"/>
    <n v="69"/>
    <x v="1"/>
    <s v="Monthly Billing"/>
    <d v="2026-05-07T00:00:00"/>
    <d v="2026-05-14T00:00:00"/>
    <s v="Outstanding"/>
    <s v="INV-070526092521"/>
  </r>
  <r>
    <s v="N1"/>
    <s v="Aspire FT Pte Ltd"/>
    <x v="2"/>
    <s v="Shi Yin"/>
    <s v="Gitesh Athavale"/>
    <s v="Active"/>
    <n v="2026"/>
    <s v="Bank Transfer"/>
    <s v="SGD"/>
    <n v="107062.17542532706"/>
    <n v="138295.49166"/>
    <d v="2026-05-01T00:00:00"/>
    <s v="May"/>
    <n v="26"/>
    <x v="2"/>
    <s v="Quarterly Scheme Fees"/>
    <d v="2026-05-27T00:00:00"/>
    <d v="2026-06-26T00:00:00"/>
    <s v="Invoice Sent"/>
    <s v="INV-270526152527"/>
  </r>
  <r>
    <s v="N1"/>
    <s v="Budgetly Pty Ltd"/>
    <x v="2"/>
    <s v="Hao Nguyen"/>
    <s v="Vinoth M"/>
    <s v="Active"/>
    <n v="2026"/>
    <s v="Bank Transfer"/>
    <s v="AUD"/>
    <n v="22031.093338319733"/>
    <n v="31439.06"/>
    <d v="2026-04-01T00:00:00"/>
    <s v="Apr"/>
    <n v="24"/>
    <x v="2"/>
    <s v="Monthly Billing"/>
    <d v="2026-05-29T00:00:00"/>
    <d v="2026-06-28T00:00:00"/>
    <s v="Invoice Sent"/>
    <s v="INV-290526111409"/>
  </r>
  <r>
    <s v="Masspay"/>
    <s v="Corporate Alliance Payments Pty Ltd - NSP"/>
    <x v="0"/>
    <s v=" Simrn"/>
    <s v="Vinoth M"/>
    <s v="Active"/>
    <n v="2026"/>
    <s v="Bank Transfer"/>
    <s v="AUD"/>
    <n v="1465.3848058570234"/>
    <n v="2091.15"/>
    <d v="2026-05-01T00:00:00"/>
    <s v="May"/>
    <n v="43"/>
    <x v="3"/>
    <s v="Monthly Billing"/>
    <d v="2026-06-02T00:00:00"/>
    <d v="2026-06-09T00:00:00"/>
    <s v="Outstanding"/>
    <s v="AU-CorporateAlliance-05/2026"/>
  </r>
  <r>
    <s v="Masspay"/>
    <s v="Everpro Holdings Limited"/>
    <x v="0"/>
    <s v=" Simrn"/>
    <s v="Lisa Sung"/>
    <s v="Active"/>
    <n v="2026"/>
    <s v="Bank Transfer"/>
    <s v="USD"/>
    <n v="5000"/>
    <n v="5000"/>
    <d v="2026-05-01T00:00:00"/>
    <s v="May"/>
    <n v="43"/>
    <x v="3"/>
    <s v="Monthly Billing"/>
    <d v="2026-06-02T00:00:00"/>
    <d v="2026-06-09T00:00:00"/>
    <s v="Outstanding"/>
    <s v="HK-Everpro-05/2026"/>
  </r>
  <r>
    <s v="Masspay"/>
    <s v="PT FLIPTECH LENTERA INSPIRASI PERTIWI"/>
    <x v="2"/>
    <s v="Hao Nguyen"/>
    <s v="NA"/>
    <s v="Active"/>
    <n v="2026"/>
    <s v="Bank Transfer"/>
    <s v="USD"/>
    <n v="283.43"/>
    <n v="283.43"/>
    <d v="2026-05-01T00:00:00"/>
    <s v="May"/>
    <n v="35"/>
    <x v="3"/>
    <s v="Debit note - Incremental FX margin charges"/>
    <d v="2026-06-02T00:00:00"/>
    <d v="2026-06-17T00:00:00"/>
    <s v="Outstanding"/>
    <s v="ID-DN-PT FLIPTECH-05-2026"/>
  </r>
  <r>
    <s v="Masspay"/>
    <s v="PT FLIPTECH LENTERA INSPIRASI PERTIWI"/>
    <x v="2"/>
    <s v="Hao Nguyen"/>
    <s v="NA"/>
    <s v="Active"/>
    <n v="2026"/>
    <s v="Bank Transfer"/>
    <s v="USD"/>
    <n v="980.96"/>
    <n v="980.96"/>
    <d v="2026-05-01T00:00:00"/>
    <s v="May"/>
    <n v="35"/>
    <x v="3"/>
    <s v="Monthly Billing"/>
    <d v="2026-06-02T00:00:00"/>
    <d v="2026-06-17T00:00:00"/>
    <s v="Outstanding"/>
    <s v="ID-PT FLIPTECH-05/2026"/>
  </r>
  <r>
    <s v="Masspay"/>
    <s v="PT Midtrans"/>
    <x v="2"/>
    <s v="Hao Nguyen"/>
    <s v="Hari Budiman"/>
    <s v="Active"/>
    <n v="2026"/>
    <s v="Bank Transfer"/>
    <s v="IDR"/>
    <n v="238.97250751611281"/>
    <n v="4281428"/>
    <d v="2026-05-01T00:00:00"/>
    <s v="May"/>
    <n v="20"/>
    <x v="2"/>
    <s v="Monthly Billing"/>
    <d v="2026-06-02T00:00:00"/>
    <d v="2026-07-02T00:00:00"/>
    <s v="Invoice Sent"/>
    <s v="ID-PT Midtrans-05/2026"/>
  </r>
  <r>
    <s v="Masspay"/>
    <s v="Qatar National Bank (Q.P.S.C.)"/>
    <x v="4"/>
    <s v="Jerome Coelho"/>
    <s v="Rohit Bammi"/>
    <s v="Active"/>
    <n v="2026"/>
    <s v="Bank Transfer"/>
    <s v="USD"/>
    <n v="4441.75"/>
    <n v="4441.75"/>
    <d v="2026-05-01T00:00:00"/>
    <s v="May"/>
    <n v="42"/>
    <x v="3"/>
    <s v="Monthly Billing"/>
    <d v="2026-06-03T00:00:00"/>
    <d v="2026-06-10T00:00:00"/>
    <s v="Outstanding"/>
    <s v="SG-Qatar National Bank (Q.P.S.C.)-05/2026"/>
  </r>
  <r>
    <s v="Masspay"/>
    <s v="Stratos Payments, Inc"/>
    <x v="0"/>
    <s v="Mrinal "/>
    <s v="Michael Bermingham"/>
    <s v="Active"/>
    <n v="2026"/>
    <s v="Wallet Debit"/>
    <s v="USD"/>
    <n v="4000"/>
    <n v="4000"/>
    <d v="2026-05-01T00:00:00"/>
    <s v="May"/>
    <n v="44"/>
    <x v="3"/>
    <s v="Monthly Billing"/>
    <d v="2026-06-02T00:00:00"/>
    <d v="2026-06-08T00:00:00"/>
    <s v="Force Settlement"/>
    <s v="US-Stratos Payments, Inc-05/2026"/>
  </r>
  <r>
    <s v="N1"/>
    <s v="AtoB Canada Ltd."/>
    <x v="1"/>
    <s v="Tanu Arora"/>
    <s v="Michael Bermingham"/>
    <s v="Active"/>
    <n v="2026"/>
    <s v="Bank Transfer"/>
    <s v="USD"/>
    <n v="10004.1"/>
    <n v="10004.1"/>
    <d v="2026-05-01T00:00:00"/>
    <s v="May"/>
    <n v="39"/>
    <x v="3"/>
    <s v="Monthly Billing"/>
    <d v="2026-06-06T00:00:00"/>
    <d v="2026-06-13T00:00:00"/>
    <s v="Outstanding"/>
    <s v="INV-060626213209"/>
  </r>
  <r>
    <s v="N1"/>
    <s v="Bivo Cash Inc"/>
    <x v="1"/>
    <s v="Unmanaged"/>
    <s v="Michael Bermingham"/>
    <s v="Active"/>
    <n v="2026"/>
    <s v="Bank Transfer"/>
    <s v="USD"/>
    <n v="1000"/>
    <n v="1000"/>
    <d v="2026-06-01T00:00:00"/>
    <s v="Jun"/>
    <n v="37"/>
    <x v="3"/>
    <s v="Integration Fee"/>
    <d v="2026-06-08T00:00:00"/>
    <d v="2026-06-15T00:00:00"/>
    <s v="Outstanding"/>
    <s v="INV-080626181247"/>
  </r>
  <r>
    <s v="N1"/>
    <s v="Budgetly Pty Ltd"/>
    <x v="2"/>
    <s v="Hao Nguyen"/>
    <s v="Vinoth M"/>
    <s v="Active"/>
    <n v="2026"/>
    <s v="Bank Transfer"/>
    <s v="AUD"/>
    <n v="7722.7485608240122"/>
    <n v="11020.603999999999"/>
    <d v="2026-05-01T00:00:00"/>
    <s v="May"/>
    <n v="19"/>
    <x v="2"/>
    <s v="Monthly Billing"/>
    <d v="2026-06-03T00:00:00"/>
    <d v="2026-07-03T00:00:00"/>
    <s v="Invoice Sent"/>
    <s v="INV-030626161636"/>
  </r>
  <r>
    <s v="N1"/>
    <s v="CashD Pty Ltd"/>
    <x v="0"/>
    <s v=" Bhavani"/>
    <s v="Vinoth M"/>
    <s v="Active"/>
    <n v="2026"/>
    <s v="Bank Transfer"/>
    <s v="AUD"/>
    <n v="2203.8759603186468"/>
    <n v="3145"/>
    <d v="2026-05-01T00:00:00"/>
    <s v="May"/>
    <n v="43"/>
    <x v="3"/>
    <s v="Monthly Billing"/>
    <d v="2026-06-02T00:00:00"/>
    <d v="2026-06-09T00:00:00"/>
    <s v="Outstanding"/>
    <s v="INV-020626161624"/>
  </r>
  <r>
    <s v="N1"/>
    <s v="Emirates Islamic Bank PJSC"/>
    <x v="4"/>
    <s v="Jerome Coelho"/>
    <s v="Rohit Bammi"/>
    <s v="Active"/>
    <n v="2026"/>
    <s v="Bank Transfer"/>
    <s v="USD"/>
    <n v="3681"/>
    <n v="3681"/>
    <d v="2026-05-01T00:00:00"/>
    <s v="May"/>
    <n v="42"/>
    <x v="3"/>
    <s v="Monthly Billing"/>
    <d v="2026-06-03T00:00:00"/>
    <d v="2026-06-10T00:00:00"/>
    <s v="Outstanding"/>
    <s v="INV-030626161519"/>
  </r>
  <r>
    <s v="N1"/>
    <s v="Express Hub Services Pty Ltd"/>
    <x v="2"/>
    <s v="NA"/>
    <s v="Wendy zhai"/>
    <s v="Active"/>
    <n v="2026"/>
    <s v="Bank Transfer"/>
    <s v="AUD"/>
    <n v="3364.1378184357827"/>
    <n v="4800.7299999999996"/>
    <d v="2026-05-01T00:00:00"/>
    <s v="May"/>
    <n v="43"/>
    <x v="3"/>
    <s v="Monthly Billing"/>
    <d v="2026-06-02T00:00:00"/>
    <d v="2026-06-09T00:00:00"/>
    <s v="Outstanding"/>
    <s v="INV-020626125728"/>
  </r>
  <r>
    <s v="N1"/>
    <s v="Futurepay Global Limited"/>
    <x v="0"/>
    <s v="Sanat Patakar"/>
    <s v="Edward Li"/>
    <s v="Active"/>
    <n v="2026"/>
    <s v="Bank Transfer"/>
    <s v="USD"/>
    <n v="1356.08"/>
    <n v="1356.08"/>
    <d v="2026-05-01T00:00:00"/>
    <s v="May"/>
    <n v="44"/>
    <x v="3"/>
    <s v="Monthly Billing"/>
    <d v="2026-06-01T00:00:00"/>
    <d v="2026-06-08T00:00:00"/>
    <s v="Outstanding"/>
    <s v="INV-010626194231"/>
  </r>
  <r>
    <s v="N1"/>
    <s v="Genieum Services Pty Ltd"/>
    <x v="0"/>
    <s v="Sakshi Shanbhag"/>
    <s v="Vinoth M"/>
    <s v="Active"/>
    <n v="2026"/>
    <s v="Bank Transfer"/>
    <s v="AUD"/>
    <n v="4878.3512656012335"/>
    <n v="6961.56"/>
    <d v="2026-05-01T00:00:00"/>
    <s v="May"/>
    <n v="43"/>
    <x v="3"/>
    <s v="Monthly Billing"/>
    <d v="2026-06-02T00:00:00"/>
    <d v="2026-06-09T00:00:00"/>
    <s v="Outstanding"/>
    <s v="INV-020626150926"/>
  </r>
  <r>
    <s v="N1"/>
    <s v="HONGKONG FORTUNETECH LIMITED"/>
    <x v="2"/>
    <s v="NA"/>
    <s v="Edward Li"/>
    <s v="Active"/>
    <n v="2026"/>
    <s v="Bank Transfer"/>
    <s v="USD"/>
    <n v="1420"/>
    <n v="1420"/>
    <d v="2026-05-01T00:00:00"/>
    <s v="May"/>
    <n v="43"/>
    <x v="3"/>
    <s v="Monthly Billing"/>
    <d v="2026-06-02T00:00:00"/>
    <d v="2026-06-09T00:00:00"/>
    <s v="Outstanding"/>
    <s v="INV-020626105038"/>
  </r>
  <r>
    <s v="N1"/>
    <s v="JPMORGAN CHASE BANK"/>
    <x v="3"/>
    <s v="Sachli Zare"/>
    <s v="NA"/>
    <s v="Active"/>
    <n v="2026"/>
    <s v="Bank Transfer"/>
    <s v="USD"/>
    <n v="33.9"/>
    <n v="33.9"/>
    <d v="2026-05-01T00:00:00"/>
    <s v="May"/>
    <n v="41"/>
    <x v="3"/>
    <s v="Monthly Billing"/>
    <d v="2026-06-04T00:00:00"/>
    <d v="2026-06-11T00:00:00"/>
    <s v="Outstanding"/>
    <s v="INV-040626125713"/>
  </r>
  <r>
    <s v="N1"/>
    <s v="Loadpass LTDA"/>
    <x v="1"/>
    <s v="Lia Susin"/>
    <s v="Christina Hutchinson"/>
    <s v="Active"/>
    <n v="2026"/>
    <s v="Bank Transfer"/>
    <s v="USD"/>
    <n v="7821.2098000000005"/>
    <n v="7821.2098000000005"/>
    <d v="2026-05-01T00:00:00"/>
    <s v="May"/>
    <n v="42"/>
    <x v="3"/>
    <s v="Monthly Billing"/>
    <d v="2026-06-03T00:00:00"/>
    <d v="2026-06-10T00:00:00"/>
    <s v="Outstanding"/>
    <s v="INV-030626112352"/>
  </r>
  <r>
    <s v="N1"/>
    <s v="MULTIPLIER TECHNOLOGIES PTE. LTD"/>
    <x v="0"/>
    <s v="Sanat Patakar"/>
    <s v="Vinoth M"/>
    <s v="Active"/>
    <n v="2026"/>
    <s v="Bank Transfer"/>
    <s v="USD"/>
    <n v="2956.5"/>
    <n v="2956.5"/>
    <d v="2026-05-01T00:00:00"/>
    <s v="May"/>
    <n v="35"/>
    <x v="3"/>
    <s v="Monthly Billing"/>
    <d v="2026-06-02T00:00:00"/>
    <d v="2026-06-17T00:00:00"/>
    <s v="Outstanding"/>
    <s v="INV-020626175858"/>
  </r>
  <r>
    <s v="N1"/>
    <s v="MyBeacon Services Inc."/>
    <x v="1"/>
    <s v="Tanu Arora"/>
    <s v="Michael Bermingham"/>
    <s v="Active"/>
    <n v="2026"/>
    <s v="Bank Transfer"/>
    <s v="CAD"/>
    <n v="2125.2626815186663"/>
    <n v="2996.2757200000001"/>
    <d v="2026-05-01T00:00:00"/>
    <s v="May"/>
    <n v="41"/>
    <x v="3"/>
    <s v="Monthly Billing"/>
    <d v="2026-06-04T00:00:00"/>
    <d v="2026-06-11T00:00:00"/>
    <s v="Outstanding"/>
    <s v="INV-040626193129"/>
  </r>
  <r>
    <s v="N1"/>
    <s v="MyBeacon Services Inc.-Verify"/>
    <x v="1"/>
    <s v="Tanu Arora"/>
    <s v="Michael Bermingham"/>
    <s v="Active"/>
    <n v="2026"/>
    <s v="Bank Transfer"/>
    <s v="USD"/>
    <n v="342.54048"/>
    <n v="342.54048"/>
    <d v="2026-05-01T00:00:00"/>
    <s v="May"/>
    <n v="43"/>
    <x v="3"/>
    <s v="Monthly Billing"/>
    <d v="2026-06-02T00:00:00"/>
    <d v="2026-06-09T00:00:00"/>
    <s v="Outstanding"/>
    <s v="INV-020626113157"/>
  </r>
  <r>
    <s v="N1"/>
    <s v="Poaster Technologies Inc. DBA Warp"/>
    <x v="1"/>
    <s v="Tulio Lima"/>
    <s v="NA"/>
    <s v="Active"/>
    <n v="2026"/>
    <s v="Bank Transfer"/>
    <s v="USD"/>
    <n v="210"/>
    <n v="210"/>
    <d v="2026-05-01T00:00:00"/>
    <s v="May"/>
    <n v="44"/>
    <x v="3"/>
    <s v="Monthly Billing"/>
    <d v="2026-06-01T00:00:00"/>
    <d v="2026-06-08T00:00:00"/>
    <s v="Outstanding"/>
    <s v="INV-010626164441"/>
  </r>
  <r>
    <s v="N1"/>
    <s v="Relay Financial (US), Corp-SG"/>
    <x v="1"/>
    <s v="Tulio Lima"/>
    <s v="Michael Bermingham"/>
    <s v="Active"/>
    <n v="2026"/>
    <s v="Bank Transfer"/>
    <s v="USD"/>
    <n v="2500"/>
    <n v="2500"/>
    <d v="2026-06-01T00:00:00"/>
    <s v="Jun"/>
    <n v="27"/>
    <x v="2"/>
    <s v="Pay In Service Integration Fee"/>
    <d v="2026-06-18T00:00:00"/>
    <d v="2026-06-25T00:00:00"/>
    <s v="Invoice Sent"/>
    <s v="INV-180626165925"/>
  </r>
  <r>
    <s v="N1"/>
    <s v="SHUN TUNG CENTURY LIMITED"/>
    <x v="2"/>
    <s v="NA"/>
    <s v="Edward Li"/>
    <s v="Active"/>
    <n v="2026"/>
    <s v="Bank Transfer"/>
    <s v="USD"/>
    <n v="304.5"/>
    <n v="304.5"/>
    <d v="2026-05-01T00:00:00"/>
    <s v="May"/>
    <n v="40"/>
    <x v="3"/>
    <s v="Monthly Billing"/>
    <d v="2026-06-05T00:00:00"/>
    <d v="2026-06-12T00:00:00"/>
    <s v="Outstanding"/>
    <s v="INV-050626121629"/>
  </r>
  <r>
    <s v="N1"/>
    <s v="Travel Ledger UK"/>
    <x v="3"/>
    <s v="Will Turner "/>
    <s v="Danny May"/>
    <s v="Active"/>
    <n v="2026"/>
    <s v="Bank Transfer"/>
    <s v="GBP"/>
    <n v="4062.1347052540159"/>
    <n v="3037.7"/>
    <d v="2026-05-01T00:00:00"/>
    <s v="May"/>
    <n v="36"/>
    <x v="3"/>
    <s v="Monthly Billing"/>
    <d v="2026-06-02T00:00:00"/>
    <d v="2026-06-16T00:00:00"/>
    <s v="Outstanding"/>
    <s v="INV-020626190918"/>
  </r>
  <r>
    <s v="N1"/>
    <s v="Tremendous, LLC"/>
    <x v="0"/>
    <s v="Sakshi Shanbhag"/>
    <s v="Michael Bermingham"/>
    <s v="Active"/>
    <n v="2026"/>
    <s v="Bank Transfer"/>
    <s v="USD"/>
    <n v="1505.67"/>
    <n v="1505.67"/>
    <d v="2026-05-01T00:00:00"/>
    <s v="May"/>
    <n v="43"/>
    <x v="3"/>
    <s v="Monthly Billing"/>
    <d v="2026-06-02T00:00:00"/>
    <d v="2026-06-09T00:00:00"/>
    <s v="Outstanding"/>
    <s v="INV-020626151734"/>
  </r>
  <r>
    <s v="N1"/>
    <s v="Volopay Co Pte Ltd."/>
    <x v="2"/>
    <s v="XiaoXiao"/>
    <s v="Gitesh Athavale"/>
    <s v="Active"/>
    <n v="2026"/>
    <s v="Bank Transfer"/>
    <s v="USD"/>
    <n v="7924.32809"/>
    <n v="7924.32809"/>
    <d v="2026-06-01T00:00:00"/>
    <s v="Jun"/>
    <n v="34"/>
    <x v="3"/>
    <s v="Visa Scheme fee Revision"/>
    <d v="2026-06-04T00:00:00"/>
    <d v="2026-06-18T00:00:00"/>
    <s v="Outstanding"/>
    <s v="INV-040626193255"/>
  </r>
  <r>
    <s v="N1"/>
    <s v="Volopay Co Pte Ltd."/>
    <x v="2"/>
    <s v="XiaoXiao"/>
    <s v="Gitesh Athavale"/>
    <s v="Active"/>
    <n v="2026"/>
    <s v="Bank Transfer"/>
    <s v="USD"/>
    <n v="26670.12384"/>
    <n v="26670.12384"/>
    <d v="2026-06-01T00:00:00"/>
    <s v="Jun"/>
    <n v="34"/>
    <x v="3"/>
    <s v="Visa Scheme fee Revision"/>
    <d v="2026-06-11T00:00:00"/>
    <d v="2026-06-18T00:00:00"/>
    <s v="Outstanding"/>
    <s v="INV-110626174025"/>
  </r>
  <r>
    <s v="N1"/>
    <s v="Yorbis Inc."/>
    <x v="0"/>
    <s v="Sakshi Shanbhag"/>
    <s v="Andrew Gyenis"/>
    <s v="Active"/>
    <n v="2026"/>
    <s v="Bank Transfer"/>
    <s v="USD"/>
    <n v="2500.31"/>
    <n v="2500.31"/>
    <d v="2026-05-01T00:00:00"/>
    <s v="May"/>
    <n v="22"/>
    <x v="2"/>
    <s v="Monthly Billing"/>
    <d v="2026-06-01T00:00:00"/>
    <d v="2026-06-30T00:00:00"/>
    <s v="Invoice Sent"/>
    <s v="INV-010626172437"/>
  </r>
  <r>
    <s v="N1"/>
    <s v="Zeni, Inc."/>
    <x v="0"/>
    <s v=" Mrinal"/>
    <s v="Tyler Reed"/>
    <s v="Active"/>
    <n v="2026"/>
    <s v="Bank Transfer"/>
    <s v="USD"/>
    <n v="503.5"/>
    <n v="503.5"/>
    <d v="2026-05-01T00:00:00"/>
    <s v="May"/>
    <n v="41"/>
    <x v="3"/>
    <s v="Monthly Billing"/>
    <d v="2026-06-04T00:00:00"/>
    <d v="2026-06-11T00:00:00"/>
    <s v="Outstanding"/>
    <s v="INV-040626114112"/>
  </r>
  <r>
    <s v="Masspay"/>
    <s v="al fardan exchange llc"/>
    <x v="4"/>
    <s v="Jerome Coelho"/>
    <s v="NA"/>
    <s v="Active"/>
    <n v="2026"/>
    <s v="Wallet Debit"/>
    <s v="USD"/>
    <n v="808"/>
    <n v="808"/>
    <d v="2026-06-01T00:00:00"/>
    <s v="Jun"/>
    <n v="15"/>
    <x v="2"/>
    <s v="Monthly Billing"/>
    <d v="2026-07-02T00:00:00"/>
    <d v="2026-07-07T00:00:00"/>
    <s v="Force Settlement"/>
    <s v="SG-alfardan-06/2026"/>
  </r>
  <r>
    <s v="Masspay"/>
    <s v="borderless llc"/>
    <x v="1"/>
    <s v="Lia Susin"/>
    <s v="NA"/>
    <s v="Active"/>
    <n v="2026"/>
    <s v="Wallet Debit"/>
    <s v="USD"/>
    <n v="-1080.78"/>
    <n v="-1080.78"/>
    <d v="2026-06-01T00:00:00"/>
    <s v="Jun"/>
    <n v="-8"/>
    <x v="2"/>
    <s v="Credit Note-Rebate"/>
    <d v="2026-07-07T00:00:00"/>
    <d v="2026-07-30T00:00:00"/>
    <s v="Invoice Sent"/>
    <s v="US-CN-Borderless-06-2026"/>
  </r>
  <r>
    <s v="Masspay"/>
    <s v="Corporate Alliance Payments Pty Ltd - NSP"/>
    <x v="0"/>
    <s v=" Simrn"/>
    <s v="Vinoth M"/>
    <s v="Active"/>
    <n v="2026"/>
    <s v="Bank Transfer"/>
    <s v="AUD"/>
    <n v="1516.9954463903996"/>
    <n v="2164.8000000000002"/>
    <d v="2026-06-01T00:00:00"/>
    <s v="Jun"/>
    <n v="13"/>
    <x v="2"/>
    <s v="Monthly Billing"/>
    <d v="2026-07-02T00:00:00"/>
    <d v="2026-07-09T00:00:00"/>
    <s v="Outstanding"/>
    <s v="AU-CorporateAlliance-06/2026"/>
  </r>
  <r>
    <s v="Masspay"/>
    <s v="Everpro Holdings Limited"/>
    <x v="0"/>
    <s v=" Simrn"/>
    <s v="Lisa Sung"/>
    <s v="Active"/>
    <n v="2026"/>
    <s v="Bank Transfer"/>
    <s v="USD"/>
    <n v="5000"/>
    <n v="5000"/>
    <d v="2026-06-01T00:00:00"/>
    <s v="Jun"/>
    <n v="13"/>
    <x v="2"/>
    <s v="Monthly Billing"/>
    <d v="2026-07-02T00:00:00"/>
    <d v="2026-07-09T00:00:00"/>
    <s v="Outstanding"/>
    <s v="HK-Everpro-06/2026"/>
  </r>
  <r>
    <s v="Masspay"/>
    <s v="EZ MONEY"/>
    <x v="0"/>
    <s v=" Mrinal"/>
    <s v="Michael Minassian"/>
    <s v="Active"/>
    <n v="2026"/>
    <s v="Bank Transfer"/>
    <s v="USD"/>
    <n v="4.25"/>
    <n v="4.25"/>
    <d v="2026-06-01T00:00:00"/>
    <s v="Jun"/>
    <n v="12"/>
    <x v="2"/>
    <s v="Monthly Billing"/>
    <d v="2026-07-03T00:00:00"/>
    <d v="2026-07-10T00:00:00"/>
    <s v="Outstanding"/>
    <s v="MY-EZ MONEY-06/2026"/>
  </r>
  <r>
    <s v="Masspay"/>
    <s v="Fifth American Corporation o/a Remit5 - Verify"/>
    <x v="0"/>
    <s v="Sakshi Shanbhag"/>
    <s v="NA"/>
    <s v="Active"/>
    <n v="2026"/>
    <s v="Bank Transfer"/>
    <s v="USD"/>
    <n v="1000"/>
    <n v="1000"/>
    <d v="2026-06-01T00:00:00"/>
    <s v="Jun"/>
    <n v="15"/>
    <x v="2"/>
    <s v="Integration Fee Invoice"/>
    <d v="2026-06-30T00:00:00"/>
    <d v="2026-07-07T00:00:00"/>
    <s v="Outstanding"/>
    <s v="US-AD-REMIT5-06-2026"/>
  </r>
  <r>
    <s v="Masspay"/>
    <s v="Ichange Pte Ltd"/>
    <x v="2"/>
    <s v="Shi Yin"/>
    <s v="Gitesh Athavale"/>
    <s v="Active"/>
    <n v="2026"/>
    <s v="Wallet Debit"/>
    <s v="USD"/>
    <n v="20.5"/>
    <n v="20.5"/>
    <d v="2026-06-01T00:00:00"/>
    <s v="Jun"/>
    <n v="13"/>
    <x v="2"/>
    <s v="Monthly Billing"/>
    <d v="2026-07-02T00:00:00"/>
    <d v="2026-07-09T00:00:00"/>
    <s v="Force Settlement"/>
    <s v="SG-Ichange Pte Ltd-06/2026"/>
  </r>
  <r>
    <s v="Masspay"/>
    <s v="moin 2"/>
    <x v="2"/>
    <s v="Hao Nguyen"/>
    <s v="NA"/>
    <s v="Active"/>
    <n v="2026"/>
    <s v="Bank Transfer"/>
    <s v="USD"/>
    <n v="-8139.09"/>
    <n v="-8139.09"/>
    <d v="2026-07-01T00:00:00"/>
    <s v="Jul"/>
    <n v="-1"/>
    <x v="2"/>
    <s v="Credit Note-Rebate"/>
    <d v="2026-07-16T00:00:00"/>
    <d v="2026-07-23T00:00:00"/>
    <s v="Invoice Sent"/>
    <s v="SG-CN-moin 2-07-2026"/>
  </r>
  <r>
    <s v="Masspay"/>
    <s v="moin 2"/>
    <x v="2"/>
    <s v="Hao Nguyen"/>
    <s v="NA"/>
    <s v="Active"/>
    <n v="2026"/>
    <s v="Bank Transfer"/>
    <s v="USD"/>
    <n v="-675.93"/>
    <n v="-675.93"/>
    <d v="2026-07-01T00:00:00"/>
    <s v="Jul"/>
    <n v="-1"/>
    <x v="2"/>
    <s v="Credit Note-Rebate"/>
    <d v="2026-07-16T00:00:00"/>
    <d v="2026-07-23T00:00:00"/>
    <s v="Invoice Sent"/>
    <s v="SG-CN-moin 2-07-2026_1"/>
  </r>
  <r>
    <s v="Masspay"/>
    <s v="Nuvei Limited"/>
    <x v="2"/>
    <s v="XiaoXiao"/>
    <s v="Rohit Bammi"/>
    <s v="Active"/>
    <n v="2026"/>
    <s v="Bank Transfer"/>
    <s v="USD"/>
    <n v="5567.5"/>
    <n v="5567.5"/>
    <d v="2026-06-01T00:00:00"/>
    <s v="Jun"/>
    <n v="13"/>
    <x v="2"/>
    <s v="Monthly Billing"/>
    <d v="2026-07-02T00:00:00"/>
    <d v="2026-07-09T00:00:00"/>
    <s v="Outstanding"/>
    <s v="SG-Nuvei-06/2026"/>
  </r>
  <r>
    <s v="Masspay"/>
    <s v="Paysafe Financial Services Limited"/>
    <x v="3"/>
    <s v="Will Turner "/>
    <s v="NA"/>
    <s v="Active"/>
    <n v="2026"/>
    <s v="Bank Transfer"/>
    <s v="EUR"/>
    <n v="1345.4801882320498"/>
    <n v="1179.5"/>
    <d v="2026-06-01T00:00:00"/>
    <s v="Jun"/>
    <n v="-10"/>
    <x v="2"/>
    <s v="Monthly Billing"/>
    <d v="2026-07-02T00:00:00"/>
    <d v="2026-08-01T00:00:00"/>
    <s v="Invoice Sent"/>
    <s v="HK-Paysafe-06/2026"/>
  </r>
  <r>
    <s v="Masspay"/>
    <s v="ppsl paysafe"/>
    <x v="3"/>
    <s v="Will Turner "/>
    <s v="NA"/>
    <s v="Active"/>
    <n v="2026"/>
    <s v="Bank Transfer"/>
    <s v="EUR"/>
    <n v="82.303006003342432"/>
    <n v="72.150000000000006"/>
    <d v="2026-06-01T00:00:00"/>
    <s v="Jun"/>
    <n v="-12"/>
    <x v="2"/>
    <s v="Monthly Billing"/>
    <d v="2026-07-03T00:00:00"/>
    <d v="2026-08-03T00:00:00"/>
    <s v="Invoice Sent"/>
    <s v="HK-Ppsl Paysafe-06/2026"/>
  </r>
  <r>
    <s v="Masspay"/>
    <s v="ppsl skrill"/>
    <x v="3"/>
    <s v="Will Turner "/>
    <s v="NA"/>
    <s v="Active"/>
    <n v="2026"/>
    <s v="Bank Transfer"/>
    <s v="EUR"/>
    <n v="1785.5132383469402"/>
    <n v="1565.25"/>
    <d v="2026-06-01T00:00:00"/>
    <s v="Jun"/>
    <n v="-12"/>
    <x v="2"/>
    <s v="Monthly Billing"/>
    <d v="2026-07-03T00:00:00"/>
    <d v="2026-08-03T00:00:00"/>
    <s v="Invoice Sent"/>
    <s v="HK-Ppsl Skrill-06/2026"/>
  </r>
  <r>
    <s v="Masspay"/>
    <s v="PT Dhanapatra Loka Abadi"/>
    <x v="0"/>
    <s v=" Bhavani"/>
    <s v="Hari Budiman"/>
    <s v="Active"/>
    <n v="2026"/>
    <s v="Wallet Debit"/>
    <s v="USD"/>
    <n v="109.89"/>
    <n v="109.89"/>
    <d v="2026-06-01T00:00:00"/>
    <s v="Jun"/>
    <n v="1"/>
    <x v="2"/>
    <s v="Monthly Billing"/>
    <d v="2026-07-02T00:00:00"/>
    <d v="2026-07-21T00:00:00"/>
    <s v="Invoice Sent"/>
    <s v="ID-PT Dhanapatra-06/2026"/>
  </r>
  <r>
    <s v="Masspay"/>
    <s v="PT FLIPTECH LENTERA INSPIRASI PERTIWI"/>
    <x v="2"/>
    <s v="Hao Nguyen"/>
    <s v="NA"/>
    <s v="Active"/>
    <n v="2026"/>
    <s v="Bank Transfer"/>
    <s v="USD"/>
    <n v="1618.6"/>
    <n v="1618.6"/>
    <d v="2026-06-01T00:00:00"/>
    <s v="Jun"/>
    <n v="0"/>
    <x v="2"/>
    <s v="Debit note - Incremental FX margin charges"/>
    <d v="2026-07-07T00:00:00"/>
    <d v="2026-07-22T00:00:00"/>
    <s v="Invoice Sent"/>
    <s v="ID-DN-PT FLIPTECH-06-2026"/>
  </r>
  <r>
    <s v="Masspay"/>
    <s v="PT FLIPTECH LENTERA INSPIRASI PERTIWI"/>
    <x v="2"/>
    <s v="Hao Nguyen"/>
    <s v="NA"/>
    <s v="Active"/>
    <n v="2026"/>
    <s v="Bank Transfer"/>
    <s v="USD"/>
    <n v="1229.71"/>
    <n v="1229.71"/>
    <d v="2026-06-01T00:00:00"/>
    <s v="Jun"/>
    <n v="0"/>
    <x v="2"/>
    <s v="Monthly Billing"/>
    <d v="2026-07-07T00:00:00"/>
    <d v="2026-07-22T00:00:00"/>
    <s v="Invoice Sent"/>
    <s v="ID-PT FLIPTECH-06/2026"/>
  </r>
  <r>
    <s v="Masspay"/>
    <s v="PT Midtrans"/>
    <x v="2"/>
    <s v="Hao Nguyen"/>
    <s v="Hari Budiman"/>
    <s v="Active"/>
    <n v="2026"/>
    <s v="Bank Transfer"/>
    <s v="IDR"/>
    <n v="79.657500458781499"/>
    <n v="1427142.63"/>
    <d v="2026-06-01T00:00:00"/>
    <s v="Jun"/>
    <n v="-15"/>
    <x v="2"/>
    <s v="Monthly Billing"/>
    <d v="2026-07-07T00:00:00"/>
    <d v="2026-08-06T00:00:00"/>
    <s v="Invoice Sent"/>
    <s v="ID-PT Midtrans-06/2026"/>
  </r>
  <r>
    <s v="Masspay"/>
    <s v="Qatar National Bank (Q.P.S.C.)"/>
    <x v="4"/>
    <s v="Jerome Coelho"/>
    <s v="Rohit Bammi"/>
    <s v="Active"/>
    <n v="2026"/>
    <s v="Bank Transfer"/>
    <s v="USD"/>
    <n v="5837.25"/>
    <n v="5837.25"/>
    <d v="2026-06-01T00:00:00"/>
    <s v="Jun"/>
    <n v="12"/>
    <x v="2"/>
    <s v="Monthly Billing"/>
    <d v="2026-07-03T00:00:00"/>
    <d v="2026-07-10T00:00:00"/>
    <s v="Outstanding"/>
    <s v="SG-Qatar National Bank (Q.P.S.C.)-06/2026"/>
  </r>
  <r>
    <s v="Masspay"/>
    <s v="Remofirst, Inc."/>
    <x v="3"/>
    <s v="Will Turner "/>
    <s v="Kyle Reny"/>
    <s v="Active"/>
    <n v="2026"/>
    <s v="Bank Transfer"/>
    <s v="USD"/>
    <n v="8400"/>
    <n v="8400"/>
    <d v="2026-06-01T00:00:00"/>
    <s v="Jun"/>
    <n v="15"/>
    <x v="2"/>
    <s v="Monthly Billing"/>
    <d v="2026-07-01T00:00:00"/>
    <d v="2026-07-07T00:00:00"/>
    <s v="Outstanding"/>
    <s v="US-Remofirst, Inc.-06/2026"/>
  </r>
  <r>
    <s v="Masspay"/>
    <s v="Rippling Payments Inc"/>
    <x v="1"/>
    <s v="Tanu Arora"/>
    <s v="Oren Cohen"/>
    <s v="Active"/>
    <n v="2026"/>
    <s v="Bank Transfer"/>
    <s v="USD"/>
    <n v="44854.74"/>
    <n v="44854.74"/>
    <d v="2026-06-01T00:00:00"/>
    <s v="Jun"/>
    <n v="14"/>
    <x v="2"/>
    <s v="Monthly Billing"/>
    <d v="2026-07-01T00:00:00"/>
    <d v="2026-07-08T00:00:00"/>
    <s v="Outstanding"/>
    <s v="US-Rippling-06/2026"/>
  </r>
  <r>
    <s v="Masspay"/>
    <s v="Rippling Payments Inc FI SG"/>
    <x v="1"/>
    <s v="Tanu Arora"/>
    <s v="Oren Cohen"/>
    <s v="Active"/>
    <n v="2026"/>
    <s v="Bank Transfer"/>
    <s v="USD"/>
    <n v="24889.89"/>
    <n v="24889.89"/>
    <d v="2026-06-01T00:00:00"/>
    <s v="Jun"/>
    <n v="14"/>
    <x v="2"/>
    <s v="Monthly Billing"/>
    <d v="2026-07-01T00:00:00"/>
    <d v="2026-07-08T00:00:00"/>
    <s v="Outstanding"/>
    <s v="SG-Rippling-FI-SG-06/2026"/>
  </r>
  <r>
    <s v="Masspay"/>
    <s v="Skrill Ltd"/>
    <x v="3"/>
    <s v="Will Turner "/>
    <s v="NA"/>
    <s v="Active"/>
    <n v="2026"/>
    <s v="Bank Transfer"/>
    <s v="EUR"/>
    <n v="17435.860451985987"/>
    <n v="15284.95"/>
    <d v="2026-06-01T00:00:00"/>
    <s v="Jun"/>
    <n v="-10"/>
    <x v="2"/>
    <s v="Monthly Billing"/>
    <d v="2026-07-02T00:00:00"/>
    <d v="2026-08-01T00:00:00"/>
    <s v="Invoice Sent"/>
    <s v="HK-Skrill Ltd-06/2026"/>
  </r>
  <r>
    <s v="Masspay"/>
    <s v="Stratos Payments, Inc"/>
    <x v="0"/>
    <s v="Mrinal "/>
    <s v="Michael Bermingham"/>
    <s v="Active"/>
    <n v="2026"/>
    <s v="Wallet Debit"/>
    <s v="USD"/>
    <n v="2000"/>
    <n v="2000"/>
    <d v="2026-06-01T00:00:00"/>
    <s v="Jun"/>
    <n v="15"/>
    <x v="2"/>
    <s v="Monthly Billing"/>
    <d v="2026-07-02T00:00:00"/>
    <d v="2026-07-07T00:00:00"/>
    <s v="Force Settlement"/>
    <s v="US-Stratos Payments, Inc-06/2026"/>
  </r>
  <r>
    <s v="Masspay"/>
    <s v="The CurrencyCloud Limited"/>
    <x v="2"/>
    <s v="XiaoXiao"/>
    <s v="NA"/>
    <s v="Active"/>
    <n v="2026"/>
    <s v="Bank Transfer"/>
    <s v="USD"/>
    <n v="58196.5"/>
    <n v="58196.5"/>
    <d v="2026-06-01T00:00:00"/>
    <s v="Jun"/>
    <n v="7"/>
    <x v="2"/>
    <s v="Monthly Billing"/>
    <d v="2026-07-01T00:00:00"/>
    <d v="2026-07-15T00:00:00"/>
    <s v="Outstanding"/>
    <s v="SG-Currency Cloud-06/2026"/>
  </r>
  <r>
    <s v="Masspay"/>
    <s v="you technologies group (singapore) pte. Ltd - Verify"/>
    <x v="2"/>
    <s v="XiaoXiao"/>
    <s v="NA"/>
    <s v="Active"/>
    <n v="2026"/>
    <s v="Bank Transfer"/>
    <s v="USD"/>
    <n v="3778"/>
    <n v="3778"/>
    <d v="2026-06-01T00:00:00"/>
    <s v="Jun"/>
    <n v="8"/>
    <x v="2"/>
    <s v="Monthly Billing"/>
    <d v="2026-07-03T00:00:00"/>
    <d v="2026-07-14T00:00:00"/>
    <s v="Outstanding"/>
    <s v="US-youtech-Verify-06/2026"/>
  </r>
  <r>
    <s v="Masspay"/>
    <s v="zenus bank international, inc"/>
    <x v="0"/>
    <s v=" Mrinal"/>
    <s v="Michael Bermingham"/>
    <s v="Active"/>
    <n v="2026"/>
    <s v="Bank Transfer"/>
    <s v="USD"/>
    <n v="2500"/>
    <n v="2500"/>
    <d v="2026-06-01T00:00:00"/>
    <s v="Jun"/>
    <n v="15"/>
    <x v="2"/>
    <s v="Monthly Billing"/>
    <d v="2026-07-02T00:00:00"/>
    <d v="2026-07-07T00:00:00"/>
    <s v="Outstanding"/>
    <s v="SG-Zenusbank-06/2026"/>
  </r>
  <r>
    <s v="N1"/>
    <s v="Ailingual Limited"/>
    <x v="2"/>
    <s v="Pat Sarisa"/>
    <s v="NA"/>
    <s v="Active"/>
    <n v="2026"/>
    <s v="Bank Transfer"/>
    <s v="USD"/>
    <n v="3319.7060000000001"/>
    <n v="3319.7060000000001"/>
    <d v="2026-06-01T00:00:00"/>
    <s v="Jun"/>
    <n v="8"/>
    <x v="2"/>
    <s v="Monthly Billing"/>
    <d v="2026-07-07T00:00:00"/>
    <d v="2026-07-14T00:00:00"/>
    <s v="Outstanding"/>
    <s v="INV-060726201224"/>
  </r>
  <r>
    <s v="N1"/>
    <s v="AL FARDAN EXCHANGE LLC"/>
    <x v="4"/>
    <s v="Jerome Coelho"/>
    <s v="NA"/>
    <s v="Active"/>
    <n v="2026"/>
    <s v="Bank Transfer"/>
    <s v="USD"/>
    <n v="12"/>
    <n v="12"/>
    <d v="2026-06-01T00:00:00"/>
    <s v="Jun"/>
    <n v="8"/>
    <x v="2"/>
    <s v="Monthly Billing"/>
    <d v="2026-07-07T00:00:00"/>
    <d v="2026-07-14T00:00:00"/>
    <s v="Outstanding"/>
    <s v="INV-070726143935"/>
  </r>
  <r>
    <s v="N1"/>
    <s v="Al Muzaini Exchange"/>
    <x v="4"/>
    <s v="Jerome Coelho"/>
    <s v="Ashraf Omran"/>
    <s v="Active"/>
    <n v="2026"/>
    <s v="Bank Transfer"/>
    <s v="USD"/>
    <n v="-48"/>
    <n v="-48"/>
    <d v="2026-08-01T00:00:00"/>
    <s v="Aug"/>
    <n v="315"/>
    <x v="0"/>
    <s v="Credit Note-Waive off"/>
    <d v="2025-09-03T00:00:00"/>
    <d v="2025-09-10T00:00:00"/>
    <s v="Partially Paid"/>
    <s v="CN-INV-030925182457"/>
  </r>
  <r>
    <s v="N1"/>
    <s v="APAYLATER FINANCIALS PTE. LTD."/>
    <x v="0"/>
    <s v=" Simrn"/>
    <s v="Febriali Tan"/>
    <s v="Active"/>
    <n v="2026"/>
    <s v="Bank Transfer"/>
    <s v="SGD"/>
    <n v="14.708948995114438"/>
    <n v="19"/>
    <d v="2026-06-01T00:00:00"/>
    <s v="Jun"/>
    <n v="-12"/>
    <x v="2"/>
    <s v="Monthly Billing"/>
    <d v="2026-07-03T00:00:00"/>
    <d v="2026-08-03T00:00:00"/>
    <s v="Invoice Sent"/>
    <s v="INV-030726223433"/>
  </r>
  <r>
    <s v="N1"/>
    <s v="Aspire FT Pte Ltd"/>
    <x v="2"/>
    <s v="Shi Yin"/>
    <s v="Gitesh Athavale"/>
    <s v="Active"/>
    <n v="2026"/>
    <s v="Bank Transfer"/>
    <s v="SGD"/>
    <n v="-25456.766939941925"/>
    <n v="-32883.285679999972"/>
    <d v="2026-05-01T00:00:00"/>
    <s v="May"/>
    <n v="18"/>
    <x v="2"/>
    <s v="Monthly Billing"/>
    <d v="2026-06-04T00:00:00"/>
    <d v="2026-07-04T00:00:00"/>
    <s v="Outstanding"/>
    <s v="INV-040626125945"/>
  </r>
  <r>
    <s v="N1"/>
    <s v="Aspire FT Pte Ltd"/>
    <x v="2"/>
    <s v="Shi Yin"/>
    <s v="Gitesh Athavale"/>
    <s v="Active"/>
    <n v="2026"/>
    <s v="Bank Transfer"/>
    <s v="SGD"/>
    <n v="1618.7043538081384"/>
    <n v="2090.9299999999998"/>
    <d v="2026-05-01T00:00:00"/>
    <s v="May"/>
    <n v="-4"/>
    <x v="2"/>
    <s v="Card Printing and Delivery"/>
    <d v="2026-06-26T00:00:00"/>
    <d v="2026-07-26T00:00:00"/>
    <s v="Invoice Sent"/>
    <s v="INV-260426220000"/>
  </r>
  <r>
    <s v="N1"/>
    <s v="Aspire FT Pte Ltd"/>
    <x v="2"/>
    <s v="Shi Yin"/>
    <s v="Gitesh Athavale"/>
    <s v="Active"/>
    <n v="2026"/>
    <s v="Bank Transfer"/>
    <s v="SGD"/>
    <n v="861.81741095146299"/>
    <n v="1113.235950000002"/>
    <d v="2026-06-01T00:00:00"/>
    <s v="Jun"/>
    <n v="-14"/>
    <x v="2"/>
    <s v="Monthly Billing"/>
    <d v="2026-07-06T00:00:00"/>
    <d v="2026-08-05T00:00:00"/>
    <s v="Invoice Sent"/>
    <s v="INV-060726122542"/>
  </r>
  <r>
    <s v="N1"/>
    <s v="AtoB Canada Ltd."/>
    <x v="1"/>
    <s v="Tanu Arora"/>
    <s v="Michael Bermingham"/>
    <s v="Active"/>
    <n v="2026"/>
    <s v="Bank Transfer"/>
    <s v="USD"/>
    <n v="10000"/>
    <n v="10000"/>
    <d v="2026-06-01T00:00:00"/>
    <s v="Jun"/>
    <n v="12"/>
    <x v="2"/>
    <s v="Monthly Billing"/>
    <d v="2026-07-03T00:00:00"/>
    <d v="2026-07-10T00:00:00"/>
    <s v="Outstanding"/>
    <s v="INV-030726143911"/>
  </r>
  <r>
    <s v="N1"/>
    <s v="Back Market Japan K.K"/>
    <x v="0"/>
    <s v="Sanat Patakar"/>
    <s v="NA"/>
    <s v="Active"/>
    <n v="2026"/>
    <s v="Bank Transfer"/>
    <s v="JPY"/>
    <n v="1090.296721208113"/>
    <n v="177742.98"/>
    <d v="2026-06-01T00:00:00"/>
    <s v="Jun"/>
    <n v="8"/>
    <x v="2"/>
    <s v="Monthly Billing"/>
    <d v="2026-07-07T00:00:00"/>
    <d v="2026-07-14T00:00:00"/>
    <s v="Outstanding"/>
    <s v="INV-070726165445"/>
  </r>
  <r>
    <s v="N1"/>
    <s v="Budgetly Pty Ltd"/>
    <x v="2"/>
    <s v="Hao Nguyen"/>
    <s v="Vinoth M"/>
    <s v="Active"/>
    <n v="2026"/>
    <s v="Bank Transfer"/>
    <s v="AUD"/>
    <n v="7719.2917340792592"/>
    <n v="11015.671"/>
    <d v="2026-06-01T00:00:00"/>
    <s v="Jun"/>
    <n v="-8"/>
    <x v="2"/>
    <s v="Monthly Billing"/>
    <d v="2026-06-30T00:00:00"/>
    <d v="2026-07-30T00:00:00"/>
    <s v="Invoice Sent"/>
    <s v="INV-300626113847"/>
  </r>
  <r>
    <s v="N1"/>
    <s v="Budgetly Pty Ltd"/>
    <x v="2"/>
    <s v="Hao Nguyen"/>
    <s v="Vinoth M"/>
    <s v="Active"/>
    <n v="2026"/>
    <s v="Bank Transfer"/>
    <s v="AUD"/>
    <n v="981.82148465591501"/>
    <n v="1401.09"/>
    <d v="2026-06-01T00:00:00"/>
    <s v="Jun"/>
    <n v="12"/>
    <x v="2"/>
    <s v="Card destruction"/>
    <d v="2026-06-24T00:00:00"/>
    <d v="2026-07-10T00:00:00"/>
    <s v="Outstanding"/>
    <s v="INV240620260000"/>
  </r>
  <r>
    <s v="N1"/>
    <s v="CashD Pty Ltd"/>
    <x v="0"/>
    <s v=" Bhavani"/>
    <s v="Vinoth M"/>
    <s v="Active"/>
    <n v="2026"/>
    <s v="Bank Transfer"/>
    <s v="AUD"/>
    <n v="2203.8759603186468"/>
    <n v="3145"/>
    <d v="2026-06-01T00:00:00"/>
    <s v="Jun"/>
    <n v="13"/>
    <x v="2"/>
    <s v="Monthly Billing"/>
    <d v="2026-07-02T00:00:00"/>
    <d v="2026-07-09T00:00:00"/>
    <s v="Outstanding"/>
    <s v="INV-020726133208"/>
  </r>
  <r>
    <s v="N1"/>
    <s v="CIRCLE TECHNOLOGY SERVICES, LLC"/>
    <x v="1"/>
    <s v="Lia Susin"/>
    <s v="NA"/>
    <s v="Active"/>
    <n v="2026"/>
    <s v="Bank Transfer"/>
    <s v="USD"/>
    <n v="48865.401279999998"/>
    <n v="48865.401279999998"/>
    <d v="2026-06-01T00:00:00"/>
    <s v="Jun"/>
    <n v="9"/>
    <x v="2"/>
    <s v="Monthly Billing"/>
    <d v="2026-07-06T00:00:00"/>
    <d v="2026-07-13T00:00:00"/>
    <s v="Outstanding"/>
    <s v="INV-030726163843"/>
  </r>
  <r>
    <s v="N1"/>
    <s v="Commercial Bank of Kuwait KPSC"/>
    <x v="4"/>
    <s v="Jerome Coelho"/>
    <s v="Ashraf Omran"/>
    <s v="Active"/>
    <n v="2026"/>
    <s v="Bank Transfer"/>
    <s v="USD"/>
    <n v="7953.8"/>
    <n v="7953.8"/>
    <d v="2026-06-01T00:00:00"/>
    <s v="Jun"/>
    <n v="13"/>
    <x v="2"/>
    <s v="Monthly Billing"/>
    <d v="2026-07-02T00:00:00"/>
    <d v="2026-07-09T00:00:00"/>
    <s v="Outstanding"/>
    <s v="INV-020726153035"/>
  </r>
  <r>
    <s v="N1"/>
    <s v="DK Limited"/>
    <x v="0"/>
    <s v="Sanat Patakar"/>
    <s v="Gitesh Athavale"/>
    <s v="Active"/>
    <n v="2026"/>
    <s v="Bank Transfer"/>
    <s v="USD"/>
    <n v="5450.3032300000004"/>
    <n v="5450.3032300000004"/>
    <d v="2026-06-01T00:00:00"/>
    <s v="Jun"/>
    <n v="13"/>
    <x v="2"/>
    <s v="Monthly Billing"/>
    <d v="2026-07-02T00:00:00"/>
    <d v="2026-07-09T00:00:00"/>
    <s v="Outstanding"/>
    <s v="INV-020726155201"/>
  </r>
  <r>
    <s v="N1"/>
    <s v="Emirates Islamic Bank PJSC"/>
    <x v="4"/>
    <s v="Jerome Coelho"/>
    <s v="Rohit Bammi"/>
    <s v="Active"/>
    <n v="2026"/>
    <s v="Bank Transfer"/>
    <s v="USD"/>
    <n v="3881.5"/>
    <n v="3881.5"/>
    <d v="2026-06-01T00:00:00"/>
    <s v="Jun"/>
    <n v="12"/>
    <x v="2"/>
    <s v="Monthly Billing"/>
    <d v="2026-07-03T00:00:00"/>
    <d v="2026-07-10T00:00:00"/>
    <s v="Outstanding"/>
    <s v="INV-030726203919"/>
  </r>
  <r>
    <s v="N1"/>
    <s v="Emirates NBD Bank PJSC"/>
    <x v="4"/>
    <s v="Jerome Coelho"/>
    <s v="Rohit Bammi"/>
    <s v="Active"/>
    <n v="2026"/>
    <s v="Bank Transfer"/>
    <s v="USD"/>
    <n v="41939.5"/>
    <n v="41939.5"/>
    <d v="2026-06-01T00:00:00"/>
    <s v="Jun"/>
    <n v="12"/>
    <x v="2"/>
    <s v="Monthly Billing"/>
    <d v="2026-07-03T00:00:00"/>
    <d v="2026-07-10T00:00:00"/>
    <s v="Outstanding"/>
    <s v="INV-030726211346"/>
  </r>
  <r>
    <s v="N1"/>
    <s v="EVERWIN REMITTANCE AND EXCHANGE CO LIMITED"/>
    <x v="2"/>
    <s v="NA"/>
    <s v="Lisa Sung"/>
    <s v="Active"/>
    <n v="2026"/>
    <s v="Bank Transfer"/>
    <s v="USD"/>
    <n v="330"/>
    <n v="330"/>
    <d v="2026-06-01T00:00:00"/>
    <s v="Jun"/>
    <n v="12"/>
    <x v="2"/>
    <s v="Monthly Billing"/>
    <d v="2026-07-03T00:00:00"/>
    <d v="2026-07-10T00:00:00"/>
    <s v="Partially Paid"/>
    <s v="INV-030726161401"/>
  </r>
  <r>
    <s v="N1"/>
    <s v="Express Hub Services Pty Ltd"/>
    <x v="2"/>
    <s v="NA"/>
    <s v="Wendy zhai"/>
    <s v="Active"/>
    <n v="2026"/>
    <s v="Bank Transfer"/>
    <s v="AUD"/>
    <n v="3556.9717092976225"/>
    <n v="5075.91"/>
    <d v="2026-06-01T00:00:00"/>
    <s v="Jun"/>
    <n v="13"/>
    <x v="2"/>
    <s v="Monthly Billing"/>
    <d v="2026-07-02T00:00:00"/>
    <d v="2026-07-09T00:00:00"/>
    <s v="Outstanding"/>
    <s v="INV-020726173407"/>
  </r>
  <r>
    <s v="N1"/>
    <s v="FIRSTKYC PTE. LTD."/>
    <x v="2"/>
    <s v="NA"/>
    <s v="Denis Tan"/>
    <s v="Active"/>
    <n v="2026"/>
    <s v="Bank Transfer"/>
    <s v="USD"/>
    <n v="0.43"/>
    <n v="0.43"/>
    <d v="2026-06-01T00:00:00"/>
    <s v="Jun"/>
    <n v="12"/>
    <x v="2"/>
    <s v="Monthly Billing"/>
    <d v="2026-07-03T00:00:00"/>
    <d v="2026-07-10T00:00:00"/>
    <s v="Outstanding"/>
    <s v="INV-030726195704"/>
  </r>
  <r>
    <s v="N1"/>
    <s v="Futurepay Global Limited"/>
    <x v="0"/>
    <s v="Sanat Patakar"/>
    <s v="Edward Li"/>
    <s v="Active"/>
    <n v="2026"/>
    <s v="Bank Transfer"/>
    <s v="USD"/>
    <n v="1168.1099999999999"/>
    <n v="1168.1099999999999"/>
    <d v="2026-06-01T00:00:00"/>
    <s v="Jun"/>
    <n v="13"/>
    <x v="2"/>
    <s v="Monthly Billing"/>
    <d v="2026-07-02T00:00:00"/>
    <d v="2026-07-09T00:00:00"/>
    <s v="Outstanding"/>
    <s v="INV-020726133753"/>
  </r>
  <r>
    <s v="N1"/>
    <s v="Genieum Services Pty Ltd"/>
    <x v="0"/>
    <s v="Sakshi Shanbhag"/>
    <s v="Vinoth M"/>
    <s v="Active"/>
    <n v="2026"/>
    <s v="Bank Transfer"/>
    <s v="AUD"/>
    <n v="5081.388156139461"/>
    <n v="7251.3"/>
    <d v="2026-06-01T00:00:00"/>
    <s v="Jun"/>
    <n v="13"/>
    <x v="2"/>
    <s v="Monthly Billing"/>
    <d v="2026-07-02T00:00:00"/>
    <d v="2026-07-09T00:00:00"/>
    <s v="Outstanding"/>
    <s v="INV-020726190118"/>
  </r>
  <r>
    <s v="N1"/>
    <s v="Global E-Payment Limited"/>
    <x v="2"/>
    <s v="Pat Sarisa"/>
    <s v="Gitesh Athavale"/>
    <s v="Active"/>
    <n v="2026"/>
    <s v="Bank Transfer"/>
    <s v="USD"/>
    <n v="8800.4500000000007"/>
    <n v="8800.4500000000007"/>
    <d v="2026-06-01T00:00:00"/>
    <s v="Jun"/>
    <n v="9"/>
    <x v="2"/>
    <s v="Monthly Billing"/>
    <d v="2026-07-06T00:00:00"/>
    <d v="2026-07-13T00:00:00"/>
    <s v="Outstanding"/>
    <s v="INV-060726195606"/>
  </r>
  <r>
    <s v="N1"/>
    <s v="Global E-Payment Limited-SG"/>
    <x v="2"/>
    <s v="Pat Sarisa"/>
    <s v="NA"/>
    <s v="Active"/>
    <n v="2026"/>
    <s v="Bank Transfer"/>
    <s v="USD"/>
    <n v="10010"/>
    <n v="10010"/>
    <d v="2026-06-01T00:00:00"/>
    <s v="Jun"/>
    <n v="9"/>
    <x v="2"/>
    <s v="Monthly Billing"/>
    <d v="2026-07-06T00:00:00"/>
    <d v="2026-07-13T00:00:00"/>
    <s v="Outstanding"/>
    <s v="INV-060726135832"/>
  </r>
  <r>
    <s v="N1"/>
    <s v="HONGKONG FORTUNETECH LIMITED"/>
    <x v="2"/>
    <s v="NA"/>
    <s v="Edward Li"/>
    <s v="Active"/>
    <n v="2026"/>
    <s v="Bank Transfer"/>
    <s v="USD"/>
    <n v="1340"/>
    <n v="1340"/>
    <d v="2026-06-01T00:00:00"/>
    <s v="Jun"/>
    <n v="13"/>
    <x v="2"/>
    <s v="Monthly Billing"/>
    <d v="2026-07-02T00:00:00"/>
    <d v="2026-07-09T00:00:00"/>
    <s v="Outstanding"/>
    <s v="INV-020726193235"/>
  </r>
  <r>
    <s v="N1"/>
    <s v="JPMORGAN CHASE BANK"/>
    <x v="3"/>
    <s v="Sachli Zare"/>
    <s v="NA"/>
    <s v="Active"/>
    <n v="2026"/>
    <s v="Bank Transfer"/>
    <s v="USD"/>
    <n v="39.100000000000023"/>
    <n v="39.100000000000023"/>
    <d v="2026-06-01T00:00:00"/>
    <s v="Jun"/>
    <n v="12"/>
    <x v="2"/>
    <s v="Monthly Billing"/>
    <d v="2026-07-03T00:00:00"/>
    <d v="2026-07-10T00:00:00"/>
    <s v="Partially Paid"/>
    <s v="INV-030726183830"/>
  </r>
  <r>
    <s v="N1"/>
    <s v="KOHO Financial Inc."/>
    <x v="1"/>
    <s v="Lia Susin"/>
    <s v="Vinoth M"/>
    <s v="Active"/>
    <n v="2026"/>
    <s v="Bank Transfer"/>
    <s v="USD"/>
    <n v="259.86"/>
    <n v="259.86"/>
    <d v="2026-06-01T00:00:00"/>
    <s v="Jun"/>
    <n v="13"/>
    <x v="2"/>
    <s v="Monthly Billing"/>
    <d v="2026-07-02T00:00:00"/>
    <d v="2026-07-09T00:00:00"/>
    <s v="Outstanding"/>
    <s v="INV-020726150842"/>
  </r>
  <r>
    <s v="N1"/>
    <s v="KOHO Financial Inc.-Verify"/>
    <x v="1"/>
    <s v="Tanu Arora"/>
    <s v="Vinoth M"/>
    <s v="Active"/>
    <n v="2026"/>
    <s v="Bank Transfer"/>
    <s v="USD"/>
    <n v="225.6"/>
    <n v="225.6"/>
    <d v="2026-06-01T00:00:00"/>
    <s v="Jun"/>
    <n v="12"/>
    <x v="2"/>
    <s v="Monthly Billing"/>
    <d v="2026-07-03T00:00:00"/>
    <d v="2026-07-10T00:00:00"/>
    <s v="Outstanding"/>
    <s v="INV-030726092745"/>
  </r>
  <r>
    <s v="N1"/>
    <s v="Loadpass LTDA"/>
    <x v="1"/>
    <s v="Lia Susin"/>
    <s v="Christina Hutchinson"/>
    <s v="Active"/>
    <n v="2026"/>
    <s v="Bank Transfer"/>
    <s v="USD"/>
    <n v="-152.90999999999985"/>
    <n v="-152.90999999999985"/>
    <d v="2026-01-01T00:00:00"/>
    <s v="Jan"/>
    <n v="162"/>
    <x v="0"/>
    <s v="Monthly Billing"/>
    <d v="2026-02-03T00:00:00"/>
    <d v="2026-02-10T00:00:00"/>
    <s v="Outstanding"/>
    <s v="INV-030226233006"/>
  </r>
  <r>
    <s v="N1"/>
    <s v="Loadpass LTDA"/>
    <x v="1"/>
    <s v="Lia Susin"/>
    <s v="Christina Hutchinson"/>
    <s v="Active"/>
    <n v="2026"/>
    <s v="Bank Transfer"/>
    <s v="USD"/>
    <n v="3442.49"/>
    <n v="3442.49"/>
    <d v="2026-06-01T00:00:00"/>
    <s v="Jun"/>
    <n v="13"/>
    <x v="2"/>
    <s v="Monthly Billing"/>
    <d v="2026-07-02T00:00:00"/>
    <d v="2026-07-09T00:00:00"/>
    <s v="Outstanding"/>
    <s v="INV-020726153610"/>
  </r>
  <r>
    <s v="N1"/>
    <s v="MARTRUST CORPORATION LIMITED"/>
    <x v="3"/>
    <s v="NA"/>
    <s v="James Winter"/>
    <s v="Active"/>
    <n v="2026"/>
    <s v="Bank Transfer"/>
    <s v="GBP"/>
    <n v="2189.3698533374045"/>
    <n v="1637.23"/>
    <d v="2026-06-01T00:00:00"/>
    <s v="Jun"/>
    <n v="8"/>
    <x v="2"/>
    <s v="Monthly Billing"/>
    <d v="2026-07-07T00:00:00"/>
    <d v="2026-07-14T00:00:00"/>
    <s v="Outstanding"/>
    <s v="INV-070726150133"/>
  </r>
  <r>
    <s v="N1"/>
    <s v="Mizzen Digital DMCC"/>
    <x v="4"/>
    <s v="Jerome Coelho"/>
    <s v="Rohit Bammi"/>
    <s v="Active"/>
    <n v="2026"/>
    <s v="Bank Transfer"/>
    <s v="USD"/>
    <n v="824.31"/>
    <n v="824.31"/>
    <d v="2026-06-01T00:00:00"/>
    <s v="Jun"/>
    <n v="12"/>
    <x v="2"/>
    <s v="Monthly Billing"/>
    <d v="2026-07-03T00:00:00"/>
    <d v="2026-07-10T00:00:00"/>
    <s v="Outstanding"/>
    <s v="INV-030726163213"/>
  </r>
  <r>
    <s v="N1"/>
    <s v="Monex Canada Inc"/>
    <x v="1"/>
    <s v="Tulio Lima"/>
    <s v="Michael Bermingham"/>
    <s v="Active"/>
    <n v="2026"/>
    <s v="Bank Transfer"/>
    <s v="USD"/>
    <n v="-1937.8500000000001"/>
    <n v="-1937.8500000000001"/>
    <d v="2026-06-01T00:00:00"/>
    <s v="Jun"/>
    <n v="28"/>
    <x v="2"/>
    <s v="Credit Note-Write-Off"/>
    <d v="2026-06-17T00:00:00"/>
    <d v="2026-06-24T00:00:00"/>
    <s v="Partially Paid"/>
    <s v="CN-INV-170626175259"/>
  </r>
  <r>
    <s v="N1"/>
    <s v="MULTIPLIER TECHNOLOGIES PTE. LTD"/>
    <x v="0"/>
    <s v="Sanat Patakar"/>
    <s v="Vinoth M"/>
    <s v="Active"/>
    <n v="2026"/>
    <s v="Bank Transfer"/>
    <s v="USD"/>
    <n v="2872.5"/>
    <n v="2872.5"/>
    <d v="2026-06-01T00:00:00"/>
    <s v="Jun"/>
    <n v="5"/>
    <x v="2"/>
    <s v="Monthly Billing"/>
    <d v="2026-07-03T00:00:00"/>
    <d v="2026-07-17T00:00:00"/>
    <s v="Outstanding"/>
    <s v="INV-030726122805"/>
  </r>
  <r>
    <s v="N1"/>
    <s v="MyBeacon Services Inc."/>
    <x v="1"/>
    <s v="Tanu Arora"/>
    <s v="Michael Bermingham"/>
    <s v="Active"/>
    <n v="2026"/>
    <s v="Bank Transfer"/>
    <s v="CAD"/>
    <n v="3917.0888279198734"/>
    <n v="5522.46"/>
    <d v="2026-06-01T00:00:00"/>
    <s v="Jun"/>
    <n v="8"/>
    <x v="2"/>
    <s v="Monthly Billing"/>
    <d v="2026-07-07T00:00:00"/>
    <d v="2026-07-14T00:00:00"/>
    <s v="Outstanding"/>
    <s v="INV-070726215412"/>
  </r>
  <r>
    <s v="N1"/>
    <s v="Ocean Inc."/>
    <x v="2"/>
    <s v="NA"/>
    <s v="Nanako"/>
    <s v="Active"/>
    <n v="2026"/>
    <s v="Bank Transfer"/>
    <s v="JPY"/>
    <n v="3707.6530450938153"/>
    <n v="604431.15"/>
    <d v="2026-06-01T00:00:00"/>
    <s v="Jun"/>
    <n v="8"/>
    <x v="2"/>
    <s v="Monthly Billing"/>
    <d v="2026-07-07T00:00:00"/>
    <d v="2026-07-14T00:00:00"/>
    <s v="Outstanding"/>
    <s v="INV-070726161513"/>
  </r>
  <r>
    <s v="N1"/>
    <s v="Ocean Inc."/>
    <x v="2"/>
    <s v="NA"/>
    <s v="Nanako"/>
    <s v="Active"/>
    <n v="2026"/>
    <s v="Bank Transfer"/>
    <s v="JPY"/>
    <n v="-3751.8423235400023"/>
    <n v="-611635"/>
    <d v="2026-07-01T00:00:00"/>
    <s v="Jul"/>
    <n v="6"/>
    <x v="2"/>
    <s v="Credit Note-Write Off"/>
    <d v="2026-07-09T00:00:00"/>
    <d v="2026-07-16T00:00:00"/>
    <s v="Outstanding"/>
    <s v="CN-INV-090726150327"/>
  </r>
  <r>
    <s v="N1"/>
    <s v="Poaster Technologies Inc. DBA Warp"/>
    <x v="1"/>
    <s v="Tulio Lima"/>
    <s v="NA"/>
    <s v="Active"/>
    <n v="2026"/>
    <s v="Bank Transfer"/>
    <s v="USD"/>
    <n v="180"/>
    <n v="180"/>
    <d v="2026-06-01T00:00:00"/>
    <s v="Jun"/>
    <n v="14"/>
    <x v="2"/>
    <s v="Monthly Billing"/>
    <d v="2026-07-01T00:00:00"/>
    <d v="2026-07-08T00:00:00"/>
    <s v="Outstanding"/>
    <s v="INV-010726172102"/>
  </r>
  <r>
    <s v="N1"/>
    <s v="Red Owl Pty Ltd"/>
    <x v="2"/>
    <s v="NA"/>
    <s v="Vinoth M"/>
    <s v="Active"/>
    <n v="2026"/>
    <s v="Bank Transfer"/>
    <s v="USD"/>
    <n v="19248.97"/>
    <n v="19248.97"/>
    <d v="2026-06-01T00:00:00"/>
    <s v="Jun"/>
    <n v="8"/>
    <x v="2"/>
    <s v="Monthly Billing"/>
    <d v="2026-07-07T00:00:00"/>
    <d v="2026-07-14T00:00:00"/>
    <s v="Outstanding"/>
    <s v="INV-070726164013"/>
  </r>
  <r>
    <s v="N1"/>
    <s v="Relay Financial (US), Corp-SG"/>
    <x v="1"/>
    <s v="Tulio Lima"/>
    <s v="Michael Bermingham"/>
    <s v="Active"/>
    <n v="2026"/>
    <s v="Bank Transfer"/>
    <s v="USD"/>
    <n v="9839.1299999999901"/>
    <n v="9839.1299999999901"/>
    <d v="2026-06-01T00:00:00"/>
    <s v="Jun"/>
    <n v="11"/>
    <x v="2"/>
    <s v="Monthly Billing"/>
    <d v="2026-07-04T00:00:00"/>
    <d v="2026-07-11T00:00:00"/>
    <s v="Outstanding"/>
    <s v="INV-040726162114"/>
  </r>
  <r>
    <s v="N1"/>
    <s v="Remote Technology Services Ltd"/>
    <x v="1"/>
    <s v="Lia Susin"/>
    <s v="NA"/>
    <s v="Active"/>
    <n v="2026"/>
    <s v="Bank Transfer"/>
    <s v="USD"/>
    <n v="17061.240000000002"/>
    <n v="17061.240000000002"/>
    <d v="2026-06-01T00:00:00"/>
    <s v="Jun"/>
    <n v="1"/>
    <x v="2"/>
    <s v="Monthly Billing"/>
    <d v="2026-07-07T00:00:00"/>
    <d v="2026-07-21T00:00:00"/>
    <s v="Invoice Sent"/>
    <s v="INV-070726140404"/>
  </r>
  <r>
    <s v="N1"/>
    <s v="ROECNY PTE. LTD."/>
    <x v="2"/>
    <s v="NA"/>
    <s v="Vinoth M"/>
    <s v="Active"/>
    <n v="2026"/>
    <s v="Bank Transfer"/>
    <s v="USD"/>
    <n v="10022.25"/>
    <n v="10022.25"/>
    <d v="2026-06-01T00:00:00"/>
    <s v="Jun"/>
    <n v="11"/>
    <x v="2"/>
    <s v="Monthly Billing"/>
    <d v="2026-07-04T00:00:00"/>
    <d v="2026-07-11T00:00:00"/>
    <s v="Outstanding"/>
    <s v="INV-040726145938"/>
  </r>
  <r>
    <s v="N1"/>
    <s v="Scallop Payments Inc"/>
    <x v="1"/>
    <s v="NA"/>
    <s v="Michael Minassian"/>
    <s v="Active"/>
    <n v="2026"/>
    <s v="Bank Transfer"/>
    <s v="USD"/>
    <n v="20000"/>
    <n v="20000"/>
    <d v="2026-07-01T00:00:00"/>
    <s v="Jul"/>
    <n v="6"/>
    <x v="2"/>
    <s v="Integration Fee"/>
    <d v="2026-07-09T00:00:00"/>
    <d v="2026-07-16T00:00:00"/>
    <s v="Outstanding"/>
    <s v="INV-090726132614"/>
  </r>
  <r>
    <s v="N1"/>
    <s v="SHUN TUNG CENTURY LIMITED"/>
    <x v="2"/>
    <s v="NA"/>
    <s v="Edward Li"/>
    <s v="Active"/>
    <n v="2026"/>
    <s v="Bank Transfer"/>
    <s v="USD"/>
    <n v="587"/>
    <n v="587"/>
    <d v="2026-06-01T00:00:00"/>
    <s v="Jun"/>
    <n v="9"/>
    <x v="2"/>
    <s v="Monthly Billing"/>
    <d v="2026-07-06T00:00:00"/>
    <d v="2026-07-13T00:00:00"/>
    <s v="Outstanding"/>
    <s v="INV-060726170451"/>
  </r>
  <r>
    <s v="N1"/>
    <s v="SingCash Pte Ltd"/>
    <x v="2"/>
    <s v="Shi Yin"/>
    <s v="Gitesh Athavale"/>
    <s v="Active"/>
    <n v="2026"/>
    <s v="Bank Transfer"/>
    <s v="SGD"/>
    <n v="54151.043057363364"/>
    <n v="69948.561140000005"/>
    <d v="2026-06-01T00:00:00"/>
    <s v="Jun"/>
    <n v="-15"/>
    <x v="2"/>
    <s v="Monthly Billing"/>
    <d v="2026-07-07T00:00:00"/>
    <d v="2026-08-06T00:00:00"/>
    <s v="Invoice Sent"/>
    <s v="INV-070726155759"/>
  </r>
  <r>
    <s v="N1"/>
    <s v="Travel Ledger UK"/>
    <x v="3"/>
    <s v="Will Turner "/>
    <s v="Danny May"/>
    <s v="Active"/>
    <n v="2026"/>
    <s v="Bank Transfer"/>
    <s v="GBP"/>
    <n v="4757.3659108574539"/>
    <n v="3557.6"/>
    <d v="2026-06-01T00:00:00"/>
    <s v="Jun"/>
    <n v="5"/>
    <x v="2"/>
    <s v="Monthly Billing"/>
    <d v="2026-07-03T00:00:00"/>
    <d v="2026-07-17T00:00:00"/>
    <s v="Outstanding"/>
    <s v="INV-030726160335"/>
  </r>
  <r>
    <s v="N1"/>
    <s v="Tremendous, LLC"/>
    <x v="0"/>
    <s v="Sakshi Shanbhag"/>
    <s v="Michael Bermingham"/>
    <s v="Active"/>
    <n v="2026"/>
    <s v="Bank Transfer"/>
    <s v="USD"/>
    <n v="2000.67"/>
    <n v="2000.67"/>
    <d v="2026-06-01T00:00:00"/>
    <s v="Jun"/>
    <n v="13"/>
    <x v="2"/>
    <s v="Monthly Billing"/>
    <d v="2026-07-02T00:00:00"/>
    <d v="2026-07-09T00:00:00"/>
    <s v="Outstanding"/>
    <s v="INV-020726194421"/>
  </r>
  <r>
    <s v="N1"/>
    <s v="Trustpilot A/S"/>
    <x v="1"/>
    <s v="NA"/>
    <s v="Michael Bermingham"/>
    <s v="Active"/>
    <n v="2026"/>
    <s v="Bank Transfer"/>
    <s v="USD"/>
    <n v="48.1"/>
    <n v="48.1"/>
    <d v="2026-06-01T00:00:00"/>
    <s v="Jun"/>
    <n v="-11"/>
    <x v="2"/>
    <s v="Monthly Billing"/>
    <d v="2026-07-03T00:00:00"/>
    <d v="2026-08-02T00:00:00"/>
    <s v="Invoice Sent"/>
    <s v="INV-030726093823"/>
  </r>
  <r>
    <s v="N1"/>
    <s v="VOLOPAY.CO PTE. LTD."/>
    <x v="2"/>
    <s v="XiaoXiao"/>
    <s v="Gitesh Athavale"/>
    <s v="Active"/>
    <n v="2026"/>
    <s v="Bank Transfer"/>
    <s v="USD"/>
    <n v="-3291.6589999999997"/>
    <n v="-3291.6589999999997"/>
    <d v="2026-06-01T00:00:00"/>
    <s v="Jun"/>
    <n v="12"/>
    <x v="2"/>
    <s v="Monthly Billing"/>
    <d v="2026-07-03T00:00:00"/>
    <d v="2026-07-10T00:00:00"/>
    <s v="Outstanding"/>
    <s v="INV-030726173628"/>
  </r>
  <r>
    <s v="N1"/>
    <s v="VPLUS GREATER BAY EXCHANGE LIMITED"/>
    <x v="2"/>
    <s v="NA"/>
    <s v="Lisa Sung"/>
    <s v="Active"/>
    <n v="2026"/>
    <s v="Bank Transfer"/>
    <s v="USD"/>
    <n v="15050"/>
    <n v="15050"/>
    <d v="2026-06-01T00:00:00"/>
    <s v="Jun"/>
    <n v="13"/>
    <x v="2"/>
    <s v="Monthly Billing"/>
    <d v="2026-07-02T00:00:00"/>
    <d v="2026-07-09T00:00:00"/>
    <s v="Outstanding"/>
    <s v="INV-020726174003"/>
  </r>
  <r>
    <s v="N1"/>
    <s v="WEEL HOLDINGS PTY LTD"/>
    <x v="2"/>
    <s v="Hao Nguyen"/>
    <s v="Vinoth M"/>
    <s v="Active"/>
    <n v="2026"/>
    <s v="Bank Transfer"/>
    <s v="AUD"/>
    <n v="1753.2131085410554"/>
    <n v="2501.89"/>
    <d v="2026-05-01T00:00:00"/>
    <s v="May"/>
    <n v="-4"/>
    <x v="2"/>
    <s v="Card Printing and Delivery"/>
    <d v="2026-06-26T00:00:00"/>
    <d v="2026-07-26T00:00:00"/>
    <s v="Invoice Sent"/>
    <s v="INV-260526132000"/>
  </r>
  <r>
    <s v="N1"/>
    <s v="Wingspan Networks Inc"/>
    <x v="1"/>
    <s v="Tulio Lima"/>
    <s v="Tyler Reed"/>
    <s v="Active"/>
    <n v="2026"/>
    <s v="Bank Transfer"/>
    <s v="USD"/>
    <n v="18670.63638"/>
    <n v="18670.63638"/>
    <d v="2026-06-01T00:00:00"/>
    <s v="Jun"/>
    <n v="12"/>
    <x v="2"/>
    <s v="Monthly Billing"/>
    <d v="2026-07-03T00:00:00"/>
    <d v="2026-07-10T00:00:00"/>
    <s v="Outstanding"/>
    <s v="INV-030726140649"/>
  </r>
  <r>
    <s v="N1"/>
    <s v="WORLDFIRST (SINGAPORE) MERCHANT SERVICES PTE. LTD."/>
    <x v="2"/>
    <s v="NA"/>
    <s v="Lisa Sung"/>
    <s v="Active"/>
    <n v="2026"/>
    <s v="Bank Transfer"/>
    <s v="USD"/>
    <n v="25667.655999999999"/>
    <n v="25667.655999999999"/>
    <d v="2026-06-01T00:00:00"/>
    <s v="Jun"/>
    <n v="-11"/>
    <x v="2"/>
    <s v="Monthly Billing"/>
    <d v="2026-07-03T00:00:00"/>
    <d v="2026-08-02T00:00:00"/>
    <s v="Invoice Sent"/>
    <s v="INV-030726124744"/>
  </r>
  <r>
    <s v="N1"/>
    <s v="Yondr Money Pty Ltd"/>
    <x v="2"/>
    <s v="Hao Nguyen"/>
    <s v="NA"/>
    <s v="Active"/>
    <n v="2026"/>
    <s v="Bank Transfer"/>
    <s v="AUD"/>
    <n v="-30119.836671738649"/>
    <n v="-42981.95"/>
    <d v="2026-07-01T00:00:00"/>
    <s v="Jul"/>
    <n v="0"/>
    <x v="2"/>
    <s v="Credit Note-Write-Off"/>
    <d v="2026-07-15T00:00:00"/>
    <d v="2026-07-22T00:00:00"/>
    <s v="Invoice Sent"/>
    <s v="CN-INV-150726164710"/>
  </r>
  <r>
    <s v="N1"/>
    <s v="Zeni, Inc."/>
    <x v="0"/>
    <s v=" Mrinal"/>
    <s v="Tyler Reed"/>
    <s v="Active"/>
    <n v="2026"/>
    <s v="Bank Transfer"/>
    <s v="USD"/>
    <n v="501.5"/>
    <n v="501.5"/>
    <d v="2026-06-01T00:00:00"/>
    <s v="Jun"/>
    <n v="12"/>
    <x v="2"/>
    <s v="Monthly Billing"/>
    <d v="2026-07-03T00:00:00"/>
    <d v="2026-07-10T00:00:00"/>
    <s v="Outstanding"/>
    <s v="INV-030726231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3445AB-6FEF-4005-95A5-74C9597EAF4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0">
    <pivotField showAll="0"/>
    <pivotField showAll="0"/>
    <pivotField axis="axisRow" showAll="0">
      <items count="9">
        <item x="3"/>
        <item m="1" x="5"/>
        <item m="1" x="6"/>
        <item x="2"/>
        <item m="1" x="7"/>
        <item x="0"/>
        <item x="1"/>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s>
  <rowFields count="1">
    <field x="2"/>
  </rowFields>
  <rowItems count="6">
    <i>
      <x/>
    </i>
    <i>
      <x v="3"/>
    </i>
    <i>
      <x v="5"/>
    </i>
    <i>
      <x v="6"/>
    </i>
    <i>
      <x v="7"/>
    </i>
    <i t="grand">
      <x/>
    </i>
  </rowItems>
  <colFields count="1">
    <field x="14"/>
  </colFields>
  <colItems count="5">
    <i>
      <x/>
    </i>
    <i>
      <x v="1"/>
    </i>
    <i>
      <x v="2"/>
    </i>
    <i>
      <x v="3"/>
    </i>
    <i t="grand">
      <x/>
    </i>
  </colItems>
  <dataFields count="1">
    <dataField name="Sum of USD AMOUNT" fld="9" baseField="0" baseItem="0" numFmtId="164"/>
  </dataFields>
  <formats count="28">
    <format dxfId="58">
      <pivotArea outline="0" collapsedLevelsAreSubtotals="1" fieldPosition="0"/>
    </format>
    <format dxfId="57">
      <pivotArea dataOnly="0" labelOnly="1" fieldPosition="0">
        <references count="1">
          <reference field="14" count="0"/>
        </references>
      </pivotArea>
    </format>
    <format dxfId="56">
      <pivotArea dataOnly="0" labelOnly="1" grandCol="1" outline="0" fieldPosition="0"/>
    </format>
    <format dxfId="55">
      <pivotArea collapsedLevelsAreSubtotals="1" fieldPosition="0">
        <references count="1">
          <reference field="2" count="0"/>
        </references>
      </pivotArea>
    </format>
    <format dxfId="54">
      <pivotArea dataOnly="0" labelOnly="1" fieldPosition="0">
        <references count="1">
          <reference field="2" count="0"/>
        </references>
      </pivotArea>
    </format>
    <format dxfId="53">
      <pivotArea outline="0" collapsedLevelsAreSubtotals="1" fieldPosition="0"/>
    </format>
    <format dxfId="52">
      <pivotArea dataOnly="0" labelOnly="1" fieldPosition="0">
        <references count="1">
          <reference field="2" count="0"/>
        </references>
      </pivotArea>
    </format>
    <format dxfId="51">
      <pivotArea dataOnly="0" labelOnly="1" grandRow="1"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fieldPosition="0">
        <references count="1">
          <reference field="14"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4" type="button" dataOnly="0" labelOnly="1" outline="0" axis="axisCol" fieldPosition="0"/>
    </format>
    <format dxfId="40">
      <pivotArea type="topRight" dataOnly="0" labelOnly="1" outline="0"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fieldPosition="0">
        <references count="1">
          <reference field="14" count="0"/>
        </references>
      </pivotArea>
    </format>
    <format dxfId="35">
      <pivotArea dataOnly="0" labelOnly="1" grandCol="1" outline="0" fieldPosition="0"/>
    </format>
    <format dxfId="34">
      <pivotArea collapsedLevelsAreSubtotals="1" fieldPosition="0">
        <references count="1">
          <reference field="2" count="1">
            <x v="4"/>
          </reference>
        </references>
      </pivotArea>
    </format>
    <format dxfId="33">
      <pivotArea grandRow="1" outline="0" collapsedLevelsAreSubtotals="1" fieldPosition="0"/>
    </format>
    <format dxfId="32">
      <pivotArea dataOnly="0" labelOnly="1" fieldPosition="0">
        <references count="1">
          <reference field="2" count="1">
            <x v="4"/>
          </reference>
        </references>
      </pivotArea>
    </format>
    <format dxfId="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1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34"/>
        <item m="1" x="65"/>
        <item x="29"/>
        <item m="1" x="61"/>
        <item x="0"/>
        <item m="1" x="39"/>
        <item x="26"/>
        <item x="2"/>
        <item m="1" x="64"/>
        <item m="1" x="41"/>
        <item x="6"/>
        <item x="31"/>
        <item x="7"/>
        <item m="1" x="66"/>
        <item x="1"/>
        <item m="1" x="42"/>
        <item m="1" x="56"/>
        <item x="4"/>
        <item x="15"/>
        <item x="3"/>
        <item x="30"/>
        <item x="5"/>
        <item x="36"/>
        <item m="1" x="53"/>
        <item x="8"/>
        <item m="1" x="58"/>
        <item x="9"/>
        <item x="10"/>
        <item m="1" x="62"/>
        <item x="14"/>
        <item m="1" x="69"/>
        <item m="1" x="46"/>
        <item m="1" x="47"/>
        <item m="1" x="49"/>
        <item m="1" x="70"/>
        <item m="1" x="51"/>
        <item m="1" x="52"/>
        <item x="19"/>
        <item m="1" x="40"/>
        <item x="32"/>
        <item x="11"/>
        <item m="1" x="55"/>
        <item x="22"/>
        <item x="12"/>
        <item x="13"/>
        <item x="25"/>
        <item m="1" x="43"/>
        <item m="1" x="45"/>
        <item x="17"/>
        <item x="35"/>
        <item m="1" x="57"/>
        <item x="21"/>
        <item x="27"/>
        <item x="16"/>
        <item x="18"/>
        <item x="20"/>
        <item m="1" x="71"/>
        <item x="23"/>
        <item x="24"/>
        <item m="1" x="77"/>
        <item m="1" x="67"/>
        <item x="28"/>
        <item m="1" x="44"/>
        <item m="1" x="68"/>
        <item m="1" x="48"/>
        <item m="1" x="50"/>
        <item m="1" x="54"/>
        <item m="1" x="72"/>
        <item x="33"/>
        <item m="1" x="73"/>
        <item m="1" x="74"/>
        <item m="1" x="75"/>
        <item m="1" x="76"/>
        <item x="37"/>
        <item m="1" x="59"/>
        <item m="1" x="60"/>
        <item m="1" x="63"/>
        <item x="38"/>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5"/>
        <item x="0"/>
        <item x="7"/>
        <item x="11"/>
        <item x="13"/>
        <item x="9"/>
        <item x="6"/>
        <item x="4"/>
        <item x="3"/>
        <item m="1" x="16"/>
        <item x="1"/>
        <item m="1" x="14"/>
        <item m="1" x="15"/>
        <item x="12"/>
        <item m="1" x="17"/>
        <item x="8"/>
        <item x="10"/>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13"/>
        <item x="10"/>
        <item x="6"/>
        <item x="11"/>
        <item x="5"/>
        <item x="9"/>
        <item m="1" x="16"/>
        <item x="12"/>
        <item m="1" x="17"/>
        <item m="1"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m="1" x="10"/>
        <item x="9"/>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9">
    <i>
      <x v="14"/>
      <x v="3"/>
      <x v="1"/>
      <x/>
      <x/>
      <x v="3"/>
      <x v="11"/>
      <x/>
      <x v="1"/>
    </i>
    <i r="8">
      <x v="2"/>
    </i>
    <i>
      <x v="22"/>
      <x v="3"/>
      <x v="1"/>
      <x/>
      <x/>
      <x/>
      <x v="3"/>
      <x v="5"/>
      <x v="2"/>
    </i>
    <i>
      <x v="43"/>
      <x v="3"/>
      <x v="1"/>
      <x/>
      <x/>
      <x/>
      <x v="3"/>
      <x v="2"/>
      <x v="2"/>
    </i>
    <i>
      <x v="44"/>
      <x v="3"/>
      <x v="1"/>
      <x/>
      <x/>
      <x/>
      <x v="3"/>
      <x v="2"/>
      <x v="2"/>
    </i>
    <i>
      <x v="49"/>
      <x v="3"/>
      <x v="1"/>
      <x/>
      <x/>
      <x/>
      <x v="3"/>
      <x v="5"/>
      <x v="2"/>
    </i>
    <i>
      <x v="52"/>
      <x v="3"/>
      <x/>
      <x/>
      <x/>
      <x/>
      <x v="4"/>
      <x/>
      <x v="2"/>
    </i>
    <i>
      <x v="58"/>
      <x v="3"/>
      <x v="1"/>
      <x/>
      <x/>
      <x/>
      <x v="17"/>
      <x v="3"/>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27">
    <format dxfId="29">
      <pivotArea type="all" dataOnly="0" outline="0" fieldPosition="0"/>
    </format>
    <format dxfId="28">
      <pivotArea outline="0" collapsedLevelsAreSubtotals="1" fieldPosition="0"/>
    </format>
    <format dxfId="27">
      <pivotArea type="origin" dataOnly="0" labelOnly="1" outline="0" fieldPosition="0"/>
    </format>
    <format dxfId="26">
      <pivotArea field="12" type="button" dataOnly="0" labelOnly="1" outline="0" axis="axisCol" fieldPosition="0"/>
    </format>
    <format dxfId="25">
      <pivotArea type="topRight" dataOnly="0" labelOnly="1" outline="0" fieldPosition="0"/>
    </format>
    <format dxfId="24">
      <pivotArea field="1" type="button" dataOnly="0" labelOnly="1" outline="0" axis="axisRow" fieldPosition="0"/>
    </format>
    <format dxfId="23">
      <pivotArea field="0" type="button" dataOnly="0" labelOnly="1" outline="0" axis="axisRow" fieldPosition="2"/>
    </format>
    <format dxfId="22">
      <pivotArea field="7" type="button" dataOnly="0" labelOnly="1" outline="0" axis="axisRow" fieldPosition="3"/>
    </format>
    <format dxfId="21">
      <pivotArea field="5" type="button" dataOnly="0" labelOnly="1" outline="0" axis="axisRow" fieldPosition="4"/>
    </format>
    <format dxfId="20">
      <pivotArea field="22" type="button" dataOnly="0" labelOnly="1" outline="0" axis="axisRow" fieldPosition="5"/>
    </format>
    <format dxfId="19">
      <pivotArea field="3" type="button" dataOnly="0" labelOnly="1" outline="0" axis="axisRow" fieldPosition="6"/>
    </format>
    <format dxfId="18">
      <pivotArea field="4" type="button" dataOnly="0" labelOnly="1" outline="0" axis="axisRow" fieldPosition="7"/>
    </format>
    <format dxfId="17">
      <pivotArea field="6" type="button" dataOnly="0" labelOnly="1" outline="0" axis="axisRow" fieldPosition="8"/>
    </format>
    <format dxfId="16">
      <pivotArea dataOnly="0" labelOnly="1" outline="0" fieldPosition="0">
        <references count="1">
          <reference field="1" count="13">
            <x v="0"/>
            <x v="1"/>
            <x v="2"/>
            <x v="3"/>
            <x v="4"/>
            <x v="5"/>
            <x v="6"/>
            <x v="7"/>
            <x v="8"/>
            <x v="9"/>
            <x v="10"/>
            <x v="11"/>
            <x v="12"/>
          </reference>
        </references>
      </pivotArea>
    </format>
    <format dxfId="15">
      <pivotArea dataOnly="0" labelOnly="1" outline="0" fieldPosition="0">
        <references count="1">
          <reference field="1" count="4">
            <x v="13"/>
            <x v="14"/>
            <x v="15"/>
            <x v="16"/>
          </reference>
        </references>
      </pivotArea>
    </format>
    <format dxfId="14">
      <pivotArea dataOnly="0" labelOnly="1" grandRow="1" outline="0" fieldPosition="0"/>
    </format>
    <format dxfId="13">
      <pivotArea dataOnly="0" labelOnly="1" outline="0" fieldPosition="0">
        <references count="2">
          <reference field="0" count="1">
            <x v="0"/>
          </reference>
          <reference field="1" count="1" selected="0">
            <x v="1"/>
          </reference>
        </references>
      </pivotArea>
    </format>
    <format dxfId="12">
      <pivotArea dataOnly="0" labelOnly="1" outline="0" fieldPosition="0">
        <references count="2">
          <reference field="0" count="1">
            <x v="1"/>
          </reference>
          <reference field="1" count="1" selected="0">
            <x v="3"/>
          </reference>
        </references>
      </pivotArea>
    </format>
    <format dxfId="11">
      <pivotArea dataOnly="0" labelOnly="1" outline="0" fieldPosition="0">
        <references count="2">
          <reference field="0" count="1">
            <x v="0"/>
          </reference>
          <reference field="1" count="1" selected="0">
            <x v="5"/>
          </reference>
        </references>
      </pivotArea>
    </format>
    <format dxfId="10">
      <pivotArea dataOnly="0" labelOnly="1" outline="0" fieldPosition="0">
        <references count="2">
          <reference field="0" count="1">
            <x v="1"/>
          </reference>
          <reference field="1" count="1" selected="0">
            <x v="9"/>
          </reference>
        </references>
      </pivotArea>
    </format>
    <format dxfId="9">
      <pivotArea dataOnly="0" labelOnly="1" outline="0" fieldPosition="0">
        <references count="2">
          <reference field="0" count="1">
            <x v="1"/>
          </reference>
          <reference field="1" count="1" selected="0">
            <x v="15"/>
          </reference>
        </references>
      </pivotArea>
    </format>
    <format dxfId="8">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68" dT="2026-06-16T16:35:11.13" personId="{1166E809-FC86-472B-BFC1-CE5EC2964613}" id="{3977C2AB-3BAD-41CF-A2DC-938757E7A6BF}">
    <text>Tagged to EU</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workbookViewId="0">
      <selection activeCell="G10" sqref="G10"/>
    </sheetView>
  </sheetViews>
  <sheetFormatPr defaultRowHeight="14.4"/>
  <cols>
    <col min="2" max="2" width="18.109375" customWidth="1"/>
    <col min="3" max="3" width="17.88671875" bestFit="1" customWidth="1"/>
    <col min="4" max="5" width="10.44140625" bestFit="1" customWidth="1"/>
    <col min="6" max="6" width="13.109375" bestFit="1" customWidth="1"/>
    <col min="7" max="7" width="11.109375" bestFit="1" customWidth="1"/>
    <col min="8" max="8" width="19.44140625" customWidth="1"/>
  </cols>
  <sheetData>
    <row r="2" spans="2:8" ht="21">
      <c r="B2" s="82" t="s">
        <v>0</v>
      </c>
      <c r="C2" s="82"/>
      <c r="D2" s="82"/>
      <c r="E2" s="82"/>
      <c r="F2" s="82"/>
      <c r="G2" s="82"/>
    </row>
    <row r="3" spans="2:8">
      <c r="B3" s="26" t="s">
        <v>1</v>
      </c>
      <c r="C3" s="26" t="s">
        <v>2</v>
      </c>
      <c r="D3" s="7"/>
      <c r="E3" s="7"/>
      <c r="F3" s="7"/>
      <c r="G3" s="7"/>
    </row>
    <row r="4" spans="2:8">
      <c r="B4" s="27" t="s">
        <v>3</v>
      </c>
      <c r="C4" s="28" t="s">
        <v>4</v>
      </c>
      <c r="D4" s="28" t="s">
        <v>5</v>
      </c>
      <c r="E4" s="28" t="s">
        <v>6</v>
      </c>
      <c r="F4" s="28" t="s">
        <v>7</v>
      </c>
      <c r="G4" s="28" t="s">
        <v>8</v>
      </c>
    </row>
    <row r="5" spans="2:8">
      <c r="B5" s="1" t="s">
        <v>9</v>
      </c>
      <c r="C5" s="24">
        <v>36034.992648763175</v>
      </c>
      <c r="D5" s="24">
        <v>4096.0347052540155</v>
      </c>
      <c r="E5" s="24">
        <v>4162.1358773288021</v>
      </c>
      <c r="F5" s="24">
        <v>4250.9684292789452</v>
      </c>
      <c r="G5" s="24">
        <v>48544.131660624938</v>
      </c>
    </row>
    <row r="6" spans="2:8">
      <c r="B6" s="1" t="s">
        <v>10</v>
      </c>
      <c r="C6" s="24">
        <v>304837.31030101574</v>
      </c>
      <c r="D6" s="24">
        <v>40947.479748435784</v>
      </c>
      <c r="E6" s="24">
        <v>65412.636168069585</v>
      </c>
      <c r="F6" s="24">
        <v>51245.138045735504</v>
      </c>
      <c r="G6" s="24">
        <v>462442.56426325656</v>
      </c>
    </row>
    <row r="7" spans="2:8">
      <c r="B7" s="1" t="s">
        <v>11</v>
      </c>
      <c r="C7" s="24">
        <v>35014.798463051731</v>
      </c>
      <c r="D7" s="24">
        <v>23869.362031776902</v>
      </c>
      <c r="E7" s="24">
        <v>8504.5</v>
      </c>
      <c r="F7" s="24">
        <v>78993.5</v>
      </c>
      <c r="G7" s="24">
        <v>146382.16049482863</v>
      </c>
    </row>
    <row r="8" spans="2:8">
      <c r="B8" s="1" t="s">
        <v>12</v>
      </c>
      <c r="C8" s="24">
        <v>201735.54648791987</v>
      </c>
      <c r="D8" s="24">
        <v>21503.112961518669</v>
      </c>
      <c r="E8" s="24">
        <v>168.33774280828999</v>
      </c>
      <c r="F8" s="24">
        <v>18888.387213650669</v>
      </c>
      <c r="G8" s="24">
        <v>242295.38440589752</v>
      </c>
    </row>
    <row r="9" spans="2:8">
      <c r="B9" s="1" t="s">
        <v>13</v>
      </c>
      <c r="C9" s="24">
        <v>61256.36</v>
      </c>
      <c r="D9" s="24">
        <v>8122.75</v>
      </c>
      <c r="E9" s="24">
        <v>7766.25</v>
      </c>
      <c r="F9" s="24">
        <v>12745.24</v>
      </c>
      <c r="G9" s="24">
        <v>89890.6</v>
      </c>
    </row>
    <row r="10" spans="2:8">
      <c r="B10" s="1" t="s">
        <v>8</v>
      </c>
      <c r="C10" s="24">
        <v>638879.0079007505</v>
      </c>
      <c r="D10" s="24">
        <v>98538.739446985361</v>
      </c>
      <c r="E10" s="24">
        <v>86013.859788206682</v>
      </c>
      <c r="F10" s="24">
        <v>166123.23368866509</v>
      </c>
      <c r="G10" s="24">
        <v>989554.84082460764</v>
      </c>
    </row>
    <row r="12" spans="2:8">
      <c r="B12" s="7"/>
      <c r="C12" s="37"/>
      <c r="D12" s="37"/>
      <c r="E12" s="37"/>
      <c r="F12" s="37"/>
      <c r="G12" s="37"/>
    </row>
    <row r="13" spans="2:8" ht="21">
      <c r="B13" s="80" t="s">
        <v>14</v>
      </c>
      <c r="C13" s="80"/>
      <c r="D13" s="80"/>
      <c r="E13" s="80"/>
      <c r="F13" s="80"/>
      <c r="G13" s="80"/>
      <c r="H13" s="81"/>
    </row>
    <row r="14" spans="2:8" ht="28.8">
      <c r="B14" s="19" t="s">
        <v>15</v>
      </c>
      <c r="C14" s="54" t="s">
        <v>4</v>
      </c>
      <c r="D14" s="54" t="s">
        <v>5</v>
      </c>
      <c r="E14" s="54" t="s">
        <v>6</v>
      </c>
      <c r="F14" s="54" t="s">
        <v>7</v>
      </c>
      <c r="G14" s="54" t="s">
        <v>8</v>
      </c>
      <c r="H14" s="55" t="s">
        <v>16</v>
      </c>
    </row>
    <row r="15" spans="2:8">
      <c r="B15" s="20" t="s">
        <v>9</v>
      </c>
      <c r="C15" s="56">
        <f>GETPIVOTDATA("USD AMOUNT",$B$3,"Region","EU/UK","Ageing Tier","0-30 days")</f>
        <v>36034.992648763175</v>
      </c>
      <c r="D15" s="56">
        <f>GETPIVOTDATA("USD AMOUNT",$B$3,"Region","EU/UK","Ageing Tier","31-60 days")</f>
        <v>4096.0347052540155</v>
      </c>
      <c r="E15" s="56">
        <f>GETPIVOTDATA("USD AMOUNT",$B$3,"Region","EU/UK","Ageing Tier","61-90 days")</f>
        <v>4162.1358773288021</v>
      </c>
      <c r="F15" s="56">
        <f>GETPIVOTDATA("USD AMOUNT",$B$3,"Region","EU/UK","Ageing Tier","Over 90+ days")</f>
        <v>4250.9684292789452</v>
      </c>
      <c r="G15" s="56">
        <f>SUM(C15:F15)</f>
        <v>48544.131660624938</v>
      </c>
      <c r="H15" s="57">
        <f>G15/G20</f>
        <v>4.9056534977053472E-2</v>
      </c>
    </row>
    <row r="16" spans="2:8">
      <c r="B16" s="1" t="s">
        <v>12</v>
      </c>
      <c r="C16" s="56">
        <f>GETPIVOTDATA("USD AMOUNT",$B$3,"Region","Americas","Ageing Tier","0-30 days")</f>
        <v>201735.54648791987</v>
      </c>
      <c r="D16" s="56">
        <f>GETPIVOTDATA("USD AMOUNT",$B$3,"Region","Americas","Ageing Tier","31-60 days")</f>
        <v>21503.112961518669</v>
      </c>
      <c r="E16" s="56">
        <f>GETPIVOTDATA("USD AMOUNT",$B$3,"Region","Americas","Ageing Tier","61-90 days")</f>
        <v>168.33774280828999</v>
      </c>
      <c r="F16" s="56">
        <f>GETPIVOTDATA("USD AMOUNT",$B$3,"Region","Americas","Ageing Tier","Over 90+ days")</f>
        <v>18888.387213650669</v>
      </c>
      <c r="G16" s="56">
        <f t="shared" ref="G16:G20" si="0">SUM(C16:F16)</f>
        <v>242295.38440589752</v>
      </c>
      <c r="H16" s="57">
        <f>G16/G20</f>
        <v>0.24485291204678455</v>
      </c>
    </row>
    <row r="17" spans="2:8">
      <c r="B17" s="20" t="s">
        <v>13</v>
      </c>
      <c r="C17" s="56">
        <f>GETPIVOTDATA("USD AMOUNT",$B$3,"Region","MEA","Ageing Tier","0-30 days")</f>
        <v>61256.36</v>
      </c>
      <c r="D17" s="56">
        <f>GETPIVOTDATA("USD AMOUNT",$B$3,"Region","MEA","Ageing Tier","31-60 days")</f>
        <v>8122.75</v>
      </c>
      <c r="E17" s="56">
        <f>GETPIVOTDATA("USD AMOUNT",$B$3,"Region","MEA","Ageing Tier","61-90 days")</f>
        <v>7766.25</v>
      </c>
      <c r="F17" s="56">
        <f>GETPIVOTDATA("USD AMOUNT",$B$3,"Region","MEA","Ageing Tier","Over 90+ days")</f>
        <v>12745.24</v>
      </c>
      <c r="G17" s="56">
        <f t="shared" si="0"/>
        <v>89890.6</v>
      </c>
      <c r="H17" s="57">
        <f>G17/G20</f>
        <v>9.0839432330090092E-2</v>
      </c>
    </row>
    <row r="18" spans="2:8">
      <c r="B18" s="20" t="s">
        <v>10</v>
      </c>
      <c r="C18" s="56">
        <f>GETPIVOTDATA("USD AMOUNT",$B$3,"Region","APAC","Ageing Tier","0-30 days")</f>
        <v>304837.31030101574</v>
      </c>
      <c r="D18" s="56">
        <f>GETPIVOTDATA("USD AMOUNT",$B$3,"Region","APAC","Ageing Tier","31-60 days")</f>
        <v>40947.479748435784</v>
      </c>
      <c r="E18" s="56">
        <f>GETPIVOTDATA("USD AMOUNT",$B$3,"Region","APAC","Ageing Tier","61-90 days")</f>
        <v>65412.636168069585</v>
      </c>
      <c r="F18" s="56">
        <f>GETPIVOTDATA("USD AMOUNT",$B$3,"Region","APAC","Ageing Tier","Over 90+ days")</f>
        <v>51245.138045735504</v>
      </c>
      <c r="G18" s="56">
        <f t="shared" si="0"/>
        <v>462442.56426325656</v>
      </c>
      <c r="H18" s="57">
        <f>G18/G20</f>
        <v>0.46732383611796374</v>
      </c>
    </row>
    <row r="19" spans="2:8">
      <c r="B19" s="1" t="s">
        <v>17</v>
      </c>
      <c r="C19" s="56">
        <f>GETPIVOTDATA("USD AMOUNT",$B$3,"Region","Shared Center","Ageing Tier","0-30 days")</f>
        <v>35014.798463051731</v>
      </c>
      <c r="D19" s="56">
        <f>GETPIVOTDATA("USD AMOUNT",$B$3,"Region","Shared Center","Ageing Tier","31-60 days")</f>
        <v>23869.362031776902</v>
      </c>
      <c r="E19" s="56">
        <f>GETPIVOTDATA("USD AMOUNT",$B$3,"Region","Shared Center","Ageing Tier","61-90 days")</f>
        <v>8504.5</v>
      </c>
      <c r="F19" s="56">
        <f>GETPIVOTDATA("USD AMOUNT",$B$3,"Region","Shared Center","Ageing Tier","Over 90+ days")</f>
        <v>78993.5</v>
      </c>
      <c r="G19" s="56">
        <f t="shared" si="0"/>
        <v>146382.16049482863</v>
      </c>
      <c r="H19" s="57">
        <f>G19/G20</f>
        <v>0.1479272845281083</v>
      </c>
    </row>
    <row r="20" spans="2:8">
      <c r="B20" s="20" t="s">
        <v>8</v>
      </c>
      <c r="C20" s="58">
        <f>SUM(C15:C19)</f>
        <v>638879.0079007505</v>
      </c>
      <c r="D20" s="58">
        <f>SUM(D15:D19)</f>
        <v>98538.739446985361</v>
      </c>
      <c r="E20" s="58">
        <f>SUM(E15:E19)</f>
        <v>86013.859788206682</v>
      </c>
      <c r="F20" s="58">
        <f>SUM(F15:F19)</f>
        <v>166123.23368866512</v>
      </c>
      <c r="G20" s="56">
        <f t="shared" si="0"/>
        <v>989554.84082460753</v>
      </c>
      <c r="H20" s="57">
        <v>1</v>
      </c>
    </row>
    <row r="21" spans="2:8" ht="28.8">
      <c r="B21" s="21" t="s">
        <v>18</v>
      </c>
      <c r="C21" s="11">
        <f>C20/G20</f>
        <v>0.64562263913373941</v>
      </c>
      <c r="D21" s="11">
        <f>D20/G20</f>
        <v>9.957885645314199E-2</v>
      </c>
      <c r="E21" s="11">
        <f>E20/G20</f>
        <v>8.6921771527619762E-2</v>
      </c>
      <c r="F21" s="11">
        <f>F20/G20</f>
        <v>0.16787673288549901</v>
      </c>
      <c r="G21" s="11">
        <v>1</v>
      </c>
      <c r="H21" s="22"/>
    </row>
    <row r="22" spans="2:8">
      <c r="B22" s="38"/>
      <c r="C22" s="39"/>
      <c r="D22" s="39"/>
      <c r="E22" s="39"/>
      <c r="F22" s="39"/>
      <c r="G22" s="39"/>
      <c r="H22" s="39"/>
    </row>
    <row r="23" spans="2:8">
      <c r="B23" s="2" t="s">
        <v>19</v>
      </c>
      <c r="C23" s="2" t="s">
        <v>20</v>
      </c>
      <c r="D23" s="2" t="s">
        <v>21</v>
      </c>
      <c r="E23" t="s">
        <v>22</v>
      </c>
    </row>
    <row r="24" spans="2:8">
      <c r="B24" t="s">
        <v>23</v>
      </c>
      <c r="C24" t="s">
        <v>24</v>
      </c>
      <c r="D24" t="s">
        <v>25</v>
      </c>
      <c r="E24" s="25">
        <v>-48</v>
      </c>
      <c r="F24" s="23"/>
    </row>
    <row r="25" spans="2:8">
      <c r="B25" t="s">
        <v>26</v>
      </c>
      <c r="C25" t="s">
        <v>27</v>
      </c>
      <c r="D25" t="s">
        <v>28</v>
      </c>
      <c r="E25" s="25">
        <v>-1826.2714293601748</v>
      </c>
      <c r="F25" s="23"/>
    </row>
    <row r="26" spans="2:8">
      <c r="B26" t="s">
        <v>29</v>
      </c>
      <c r="C26" t="s">
        <v>30</v>
      </c>
      <c r="D26" t="s">
        <v>31</v>
      </c>
      <c r="E26" s="25">
        <v>-152.90999999999985</v>
      </c>
      <c r="F26" s="23"/>
    </row>
    <row r="27" spans="2:8">
      <c r="B27" t="s">
        <v>32</v>
      </c>
      <c r="C27" t="s">
        <v>33</v>
      </c>
      <c r="D27" t="s">
        <v>34</v>
      </c>
      <c r="E27" s="25">
        <v>-3310.7</v>
      </c>
    </row>
    <row r="28" spans="2:8">
      <c r="B28" t="s">
        <v>8</v>
      </c>
      <c r="E28" s="25">
        <v>-5337.8814293601745</v>
      </c>
    </row>
    <row r="32" spans="2:8">
      <c r="E32" s="25"/>
    </row>
    <row r="33" spans="2:4">
      <c r="B33" s="51" t="s">
        <v>35</v>
      </c>
      <c r="C33" s="51" t="s">
        <v>36</v>
      </c>
      <c r="D33" s="52" t="s">
        <v>37</v>
      </c>
    </row>
    <row r="34" spans="2:4">
      <c r="B34" s="41" t="s">
        <v>23</v>
      </c>
      <c r="C34" s="41" t="s">
        <v>25</v>
      </c>
      <c r="D34" s="53">
        <v>-48</v>
      </c>
    </row>
    <row r="35" spans="2:4">
      <c r="B35" s="41" t="s">
        <v>29</v>
      </c>
      <c r="C35" s="41" t="s">
        <v>30</v>
      </c>
      <c r="D35" s="53">
        <v>-152.90999999999985</v>
      </c>
    </row>
    <row r="36" spans="2:4">
      <c r="B36" s="41" t="s">
        <v>26</v>
      </c>
      <c r="C36" s="41" t="s">
        <v>27</v>
      </c>
      <c r="D36" s="53">
        <v>-1826.2714293601748</v>
      </c>
    </row>
    <row r="37" spans="2:4">
      <c r="B37" s="41" t="s">
        <v>32</v>
      </c>
      <c r="C37" s="41" t="s">
        <v>33</v>
      </c>
      <c r="D37" s="53">
        <v>-3310.7</v>
      </c>
    </row>
    <row r="38" spans="2:4" ht="15" thickBot="1">
      <c r="C38" s="29" t="s">
        <v>38</v>
      </c>
      <c r="D38" s="40">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13"/>
  <sheetViews>
    <sheetView zoomScale="80" zoomScaleNormal="80" workbookViewId="0">
      <selection activeCell="C8" sqref="C5:C10 C12 J5:T10 J12:T12"/>
    </sheetView>
  </sheetViews>
  <sheetFormatPr defaultRowHeight="14.4"/>
  <cols>
    <col min="1" max="1" width="38.109375" customWidth="1"/>
    <col min="2" max="2" width="14.33203125" customWidth="1"/>
    <col min="3" max="3" width="10.44140625" customWidth="1"/>
    <col min="4" max="4" width="15.109375" customWidth="1"/>
    <col min="5" max="5" width="10.44140625" customWidth="1"/>
    <col min="6" max="6" width="20.6640625" customWidth="1"/>
    <col min="7" max="7" width="15.44140625" customWidth="1"/>
    <col min="8" max="8" width="19.33203125" customWidth="1"/>
    <col min="9" max="9" width="7.5546875" bestFit="1" customWidth="1"/>
    <col min="10" max="19" width="9.109375" bestFit="1" customWidth="1"/>
    <col min="20" max="24" width="10.88671875" bestFit="1" customWidth="1"/>
    <col min="25" max="25" width="11.33203125" bestFit="1" customWidth="1"/>
  </cols>
  <sheetData>
    <row r="3" spans="1:20">
      <c r="A3" t="s">
        <v>1</v>
      </c>
      <c r="J3" t="s">
        <v>39</v>
      </c>
    </row>
    <row r="4" spans="1:20">
      <c r="A4" t="s">
        <v>35</v>
      </c>
      <c r="B4" t="s">
        <v>15</v>
      </c>
      <c r="C4" t="s">
        <v>40</v>
      </c>
      <c r="D4" t="s">
        <v>41</v>
      </c>
      <c r="E4" t="s">
        <v>42</v>
      </c>
      <c r="F4" t="s">
        <v>43</v>
      </c>
      <c r="G4" t="s">
        <v>20</v>
      </c>
      <c r="H4" t="s">
        <v>21</v>
      </c>
      <c r="I4" t="s">
        <v>44</v>
      </c>
      <c r="J4" t="s">
        <v>45</v>
      </c>
      <c r="K4" t="s">
        <v>46</v>
      </c>
      <c r="L4" t="s">
        <v>47</v>
      </c>
      <c r="M4" t="s">
        <v>48</v>
      </c>
      <c r="N4" t="s">
        <v>49</v>
      </c>
      <c r="O4" t="s">
        <v>50</v>
      </c>
      <c r="P4" t="s">
        <v>51</v>
      </c>
      <c r="Q4" t="s">
        <v>52</v>
      </c>
      <c r="R4" t="s">
        <v>53</v>
      </c>
      <c r="S4" t="s">
        <v>54</v>
      </c>
      <c r="T4" t="s">
        <v>8</v>
      </c>
    </row>
    <row r="5" spans="1:20">
      <c r="A5" t="s">
        <v>29</v>
      </c>
      <c r="B5" t="s">
        <v>55</v>
      </c>
      <c r="C5" t="s">
        <v>56</v>
      </c>
      <c r="D5" t="s">
        <v>57</v>
      </c>
      <c r="E5" t="s">
        <v>58</v>
      </c>
      <c r="F5" t="s">
        <v>59</v>
      </c>
      <c r="G5" t="s">
        <v>33</v>
      </c>
      <c r="H5" t="s">
        <v>31</v>
      </c>
      <c r="I5">
        <v>2025</v>
      </c>
      <c r="J5" s="3"/>
      <c r="K5" s="3"/>
      <c r="L5" s="3"/>
      <c r="M5" s="3"/>
      <c r="N5" s="3">
        <v>3487.5</v>
      </c>
      <c r="O5" s="3">
        <v>2602.25</v>
      </c>
      <c r="P5" s="3">
        <v>1786.14</v>
      </c>
      <c r="Q5" s="3">
        <v>1659.6200000000001</v>
      </c>
      <c r="R5" s="3">
        <v>3495.5</v>
      </c>
      <c r="S5" s="3">
        <v>3485</v>
      </c>
      <c r="T5" s="3">
        <v>16516.010000000002</v>
      </c>
    </row>
    <row r="6" spans="1:20">
      <c r="A6" t="s">
        <v>29</v>
      </c>
      <c r="B6" t="s">
        <v>55</v>
      </c>
      <c r="C6" t="s">
        <v>56</v>
      </c>
      <c r="D6" t="s">
        <v>57</v>
      </c>
      <c r="E6" t="s">
        <v>58</v>
      </c>
      <c r="F6" t="s">
        <v>59</v>
      </c>
      <c r="G6" t="s">
        <v>33</v>
      </c>
      <c r="H6" t="s">
        <v>31</v>
      </c>
      <c r="I6">
        <v>2026</v>
      </c>
      <c r="J6" s="3"/>
      <c r="K6" s="3">
        <v>608.9699999999998</v>
      </c>
      <c r="L6" s="3"/>
      <c r="M6" s="3"/>
      <c r="N6" s="3"/>
      <c r="O6" s="3"/>
      <c r="P6" s="3"/>
      <c r="Q6" s="3"/>
      <c r="R6" s="3"/>
      <c r="S6" s="3"/>
      <c r="T6" s="3">
        <v>608.9699999999998</v>
      </c>
    </row>
    <row r="7" spans="1:20">
      <c r="A7" t="s">
        <v>60</v>
      </c>
      <c r="B7" t="s">
        <v>55</v>
      </c>
      <c r="C7" t="s">
        <v>56</v>
      </c>
      <c r="D7" t="s">
        <v>57</v>
      </c>
      <c r="E7" t="s">
        <v>58</v>
      </c>
      <c r="F7" t="s">
        <v>61</v>
      </c>
      <c r="G7" t="s">
        <v>62</v>
      </c>
      <c r="H7" t="s">
        <v>63</v>
      </c>
      <c r="I7">
        <v>2026</v>
      </c>
      <c r="J7" s="3"/>
      <c r="K7" s="3"/>
      <c r="L7" s="3"/>
      <c r="M7" s="3">
        <v>312</v>
      </c>
      <c r="N7" s="3"/>
      <c r="O7" s="3"/>
      <c r="P7" s="3"/>
      <c r="Q7" s="3"/>
      <c r="R7" s="3"/>
      <c r="S7" s="3"/>
      <c r="T7" s="3">
        <v>312</v>
      </c>
    </row>
    <row r="8" spans="1:20">
      <c r="A8" t="s">
        <v>64</v>
      </c>
      <c r="B8" t="s">
        <v>55</v>
      </c>
      <c r="C8" t="s">
        <v>56</v>
      </c>
      <c r="D8" t="s">
        <v>57</v>
      </c>
      <c r="E8" t="s">
        <v>58</v>
      </c>
      <c r="F8" t="s">
        <v>61</v>
      </c>
      <c r="G8" t="s">
        <v>62</v>
      </c>
      <c r="H8" t="s">
        <v>65</v>
      </c>
      <c r="I8">
        <v>2026</v>
      </c>
      <c r="J8" s="3">
        <v>265.36476326938953</v>
      </c>
      <c r="K8" s="3">
        <v>1020.4296930153743</v>
      </c>
      <c r="L8" s="3">
        <v>5219.948165930402</v>
      </c>
      <c r="M8" s="3">
        <v>39.566801254373807</v>
      </c>
      <c r="N8" s="3"/>
      <c r="O8" s="3"/>
      <c r="P8" s="3"/>
      <c r="Q8" s="3"/>
      <c r="R8" s="3"/>
      <c r="S8" s="3"/>
      <c r="T8" s="3">
        <v>6545.30942346954</v>
      </c>
    </row>
    <row r="9" spans="1:20">
      <c r="A9" t="s">
        <v>66</v>
      </c>
      <c r="B9" t="s">
        <v>55</v>
      </c>
      <c r="C9" t="s">
        <v>56</v>
      </c>
      <c r="D9" t="s">
        <v>57</v>
      </c>
      <c r="E9" t="s">
        <v>58</v>
      </c>
      <c r="F9" t="s">
        <v>61</v>
      </c>
      <c r="G9" t="s">
        <v>62</v>
      </c>
      <c r="H9" t="s">
        <v>65</v>
      </c>
      <c r="I9">
        <v>2026</v>
      </c>
      <c r="J9" s="3">
        <v>36.32</v>
      </c>
      <c r="K9" s="3">
        <v>43.5</v>
      </c>
      <c r="L9" s="3">
        <v>7.5</v>
      </c>
      <c r="M9" s="3"/>
      <c r="N9" s="3"/>
      <c r="O9" s="3"/>
      <c r="P9" s="3"/>
      <c r="Q9" s="3"/>
      <c r="R9" s="3"/>
      <c r="S9" s="3"/>
      <c r="T9" s="3">
        <v>87.32</v>
      </c>
    </row>
    <row r="10" spans="1:20">
      <c r="A10" t="s">
        <v>67</v>
      </c>
      <c r="B10" t="s">
        <v>55</v>
      </c>
      <c r="C10" t="s">
        <v>56</v>
      </c>
      <c r="D10" t="s">
        <v>57</v>
      </c>
      <c r="E10" t="s">
        <v>58</v>
      </c>
      <c r="F10" t="s">
        <v>61</v>
      </c>
      <c r="G10" t="s">
        <v>62</v>
      </c>
      <c r="H10" t="s">
        <v>63</v>
      </c>
      <c r="I10">
        <v>2026</v>
      </c>
      <c r="J10" s="3"/>
      <c r="K10" s="3"/>
      <c r="L10" s="3"/>
      <c r="M10" s="3">
        <v>1412.24</v>
      </c>
      <c r="N10" s="3"/>
      <c r="O10" s="3"/>
      <c r="P10" s="3"/>
      <c r="Q10" s="3"/>
      <c r="R10" s="3"/>
      <c r="S10" s="3"/>
      <c r="T10" s="3">
        <v>1412.24</v>
      </c>
    </row>
    <row r="11" spans="1:20">
      <c r="A11" t="s">
        <v>68</v>
      </c>
      <c r="B11" t="s">
        <v>55</v>
      </c>
      <c r="C11" t="s">
        <v>69</v>
      </c>
      <c r="D11" t="s">
        <v>57</v>
      </c>
      <c r="E11" t="s">
        <v>58</v>
      </c>
      <c r="F11" t="s">
        <v>61</v>
      </c>
      <c r="G11" t="s">
        <v>30</v>
      </c>
      <c r="H11" t="s">
        <v>31</v>
      </c>
      <c r="I11">
        <v>2026</v>
      </c>
      <c r="J11" s="3"/>
      <c r="K11" s="3"/>
      <c r="L11" s="3"/>
      <c r="M11" s="3">
        <v>500</v>
      </c>
      <c r="N11" s="3"/>
      <c r="O11" s="3"/>
      <c r="P11" s="3"/>
      <c r="Q11" s="3"/>
      <c r="R11" s="3"/>
      <c r="S11" s="3"/>
      <c r="T11" s="3">
        <v>500</v>
      </c>
    </row>
    <row r="12" spans="1:20">
      <c r="A12" t="s">
        <v>70</v>
      </c>
      <c r="B12" t="s">
        <v>55</v>
      </c>
      <c r="C12" t="s">
        <v>56</v>
      </c>
      <c r="D12" t="s">
        <v>57</v>
      </c>
      <c r="E12" t="s">
        <v>58</v>
      </c>
      <c r="F12" t="s">
        <v>61</v>
      </c>
      <c r="G12" t="s">
        <v>71</v>
      </c>
      <c r="H12" t="s">
        <v>34</v>
      </c>
      <c r="I12">
        <v>2026</v>
      </c>
      <c r="J12" s="3"/>
      <c r="K12" s="3"/>
      <c r="L12" s="3">
        <v>250</v>
      </c>
      <c r="M12" s="3">
        <v>130</v>
      </c>
      <c r="N12" s="3"/>
      <c r="O12" s="3"/>
      <c r="P12" s="3"/>
      <c r="Q12" s="3"/>
      <c r="R12" s="3"/>
      <c r="S12" s="3"/>
      <c r="T12" s="3">
        <v>380</v>
      </c>
    </row>
    <row r="13" spans="1:20">
      <c r="A13" t="s">
        <v>8</v>
      </c>
      <c r="J13" s="3">
        <v>301.68476326938952</v>
      </c>
      <c r="K13" s="3">
        <v>1672.8996930153739</v>
      </c>
      <c r="L13" s="3">
        <v>5477.448165930402</v>
      </c>
      <c r="M13" s="3">
        <v>2393.8068012543736</v>
      </c>
      <c r="N13" s="3">
        <v>3487.5</v>
      </c>
      <c r="O13" s="3">
        <v>2602.25</v>
      </c>
      <c r="P13" s="3">
        <v>1786.14</v>
      </c>
      <c r="Q13" s="3">
        <v>1659.6200000000001</v>
      </c>
      <c r="R13" s="3">
        <v>3495.5</v>
      </c>
      <c r="S13" s="3">
        <v>3485</v>
      </c>
      <c r="T13" s="3">
        <v>26361.849423469543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4"/>
  <cols>
    <col min="1" max="1" width="26" bestFit="1" customWidth="1"/>
    <col min="2" max="2" width="16.88671875" bestFit="1" customWidth="1"/>
    <col min="3" max="4" width="10.33203125" bestFit="1" customWidth="1"/>
    <col min="5" max="5" width="13.44140625" bestFit="1" customWidth="1"/>
    <col min="6" max="6" width="11.33203125" bestFit="1" customWidth="1"/>
  </cols>
  <sheetData>
    <row r="1" spans="1:6">
      <c r="A1" s="2" t="s">
        <v>15</v>
      </c>
      <c r="B1" t="s">
        <v>72</v>
      </c>
    </row>
    <row r="2" spans="1:6">
      <c r="A2" s="2" t="s">
        <v>20</v>
      </c>
      <c r="B2" t="s">
        <v>73</v>
      </c>
    </row>
    <row r="4" spans="1:6">
      <c r="A4" s="2" t="s">
        <v>1</v>
      </c>
      <c r="B4" s="2" t="s">
        <v>2</v>
      </c>
    </row>
    <row r="5" spans="1:6">
      <c r="A5" s="2" t="s">
        <v>3</v>
      </c>
      <c r="B5" t="s">
        <v>4</v>
      </c>
      <c r="C5" t="s">
        <v>5</v>
      </c>
      <c r="D5" t="s">
        <v>6</v>
      </c>
      <c r="E5" t="s">
        <v>7</v>
      </c>
      <c r="F5" t="s">
        <v>8</v>
      </c>
    </row>
    <row r="6" spans="1:6">
      <c r="A6" s="12" t="s">
        <v>74</v>
      </c>
      <c r="B6" s="3">
        <v>8074.9534426516293</v>
      </c>
      <c r="C6" s="3"/>
      <c r="D6" s="3">
        <v>4652.5833449858073</v>
      </c>
      <c r="E6" s="3"/>
      <c r="F6" s="3">
        <v>12727.536787637437</v>
      </c>
    </row>
    <row r="7" spans="1:6">
      <c r="A7" s="12" t="s">
        <v>75</v>
      </c>
      <c r="B7" s="3">
        <v>3452.8544567679137</v>
      </c>
      <c r="C7" s="3"/>
      <c r="D7" s="3"/>
      <c r="E7" s="3"/>
      <c r="F7" s="3">
        <v>3452.8544567679137</v>
      </c>
    </row>
    <row r="8" spans="1:6">
      <c r="A8" s="12" t="s">
        <v>76</v>
      </c>
      <c r="B8" s="3">
        <v>4406.6801878699116</v>
      </c>
      <c r="C8" s="3">
        <v>3236.5106387392057</v>
      </c>
      <c r="D8" s="3">
        <v>3389.1551193971245</v>
      </c>
      <c r="E8" s="3">
        <v>23791.203012478589</v>
      </c>
      <c r="F8" s="3">
        <v>34823.548958484833</v>
      </c>
    </row>
    <row r="9" spans="1:6">
      <c r="A9" s="12"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55"/>
  <sheetViews>
    <sheetView tabSelected="1" zoomScale="81" zoomScaleNormal="81" workbookViewId="0">
      <pane xSplit="2" ySplit="1" topLeftCell="C2" activePane="bottomRight" state="frozen"/>
      <selection pane="topRight" activeCell="C1" sqref="C1"/>
      <selection pane="bottomLeft" activeCell="A2" sqref="A2"/>
      <selection pane="bottomRight"/>
    </sheetView>
  </sheetViews>
  <sheetFormatPr defaultRowHeight="14.4"/>
  <cols>
    <col min="1" max="1" width="14.5546875" style="7" customWidth="1"/>
    <col min="2" max="2" width="34.109375" style="7" customWidth="1"/>
    <col min="3" max="3" width="16.44140625" style="7" customWidth="1"/>
    <col min="4" max="4" width="19.5546875" style="7" customWidth="1"/>
    <col min="5" max="5" width="20.33203125" style="7" customWidth="1"/>
    <col min="6" max="6" width="15" style="7" customWidth="1"/>
    <col min="7" max="7" width="9.109375" style="7" customWidth="1"/>
    <col min="8" max="8" width="23" style="7" customWidth="1"/>
    <col min="10" max="10" width="12.88671875" style="30" customWidth="1"/>
    <col min="11" max="11" width="13" style="30" customWidth="1"/>
    <col min="12" max="12" width="13.44140625" style="7" customWidth="1"/>
    <col min="13" max="13" width="18.44140625" customWidth="1"/>
    <col min="14" max="14" width="8.88671875" style="7" bestFit="1" customWidth="1"/>
    <col min="15" max="15" width="15.109375" style="7" customWidth="1"/>
    <col min="16" max="16" width="18.44140625" customWidth="1"/>
    <col min="17" max="17" width="21" style="7" customWidth="1"/>
    <col min="18" max="18" width="27.44140625" style="7" customWidth="1"/>
    <col min="19" max="19" width="22.6640625" style="7" customWidth="1"/>
    <col min="20" max="20" width="31.109375" style="7" customWidth="1"/>
    <col min="21" max="21" width="13.44140625" style="7" customWidth="1"/>
    <col min="22" max="22" width="8.6640625" style="7"/>
    <col min="23" max="23" width="62.33203125" style="4" customWidth="1"/>
    <col min="24" max="24" width="45.44140625" customWidth="1"/>
    <col min="25" max="25" width="12.44140625" hidden="1" customWidth="1"/>
    <col min="26" max="27" width="0" hidden="1" customWidth="1"/>
  </cols>
  <sheetData>
    <row r="1" spans="1:27">
      <c r="A1" s="43" t="s">
        <v>40</v>
      </c>
      <c r="B1" s="43" t="s">
        <v>19</v>
      </c>
      <c r="C1" s="43" t="s">
        <v>15</v>
      </c>
      <c r="D1" s="43" t="s">
        <v>20</v>
      </c>
      <c r="E1" s="43" t="s">
        <v>21</v>
      </c>
      <c r="F1" s="43" t="s">
        <v>42</v>
      </c>
      <c r="G1" s="43" t="s">
        <v>44</v>
      </c>
      <c r="H1" s="43" t="s">
        <v>41</v>
      </c>
      <c r="I1" s="43" t="s">
        <v>77</v>
      </c>
      <c r="J1" s="62" t="s">
        <v>78</v>
      </c>
      <c r="K1" s="62" t="s">
        <v>79</v>
      </c>
      <c r="L1" s="44" t="s">
        <v>80</v>
      </c>
      <c r="M1" s="45" t="s">
        <v>39</v>
      </c>
      <c r="N1" s="43" t="s">
        <v>81</v>
      </c>
      <c r="O1" s="43" t="s">
        <v>82</v>
      </c>
      <c r="P1" s="43" t="s">
        <v>83</v>
      </c>
      <c r="Q1" s="44" t="s">
        <v>84</v>
      </c>
      <c r="R1" s="44" t="s">
        <v>85</v>
      </c>
      <c r="S1" s="43" t="s">
        <v>86</v>
      </c>
      <c r="T1" s="44" t="s">
        <v>87</v>
      </c>
      <c r="U1" s="44" t="s">
        <v>88</v>
      </c>
      <c r="V1" s="44" t="s">
        <v>89</v>
      </c>
      <c r="W1" s="44" t="s">
        <v>43</v>
      </c>
      <c r="X1" s="44" t="s">
        <v>90</v>
      </c>
      <c r="Y1" s="83">
        <f ca="1">TODAY()</f>
        <v>46232</v>
      </c>
      <c r="Z1" s="42"/>
      <c r="AA1" s="42"/>
    </row>
    <row r="2" spans="1:27">
      <c r="A2" s="42" t="s">
        <v>56</v>
      </c>
      <c r="B2" s="42" t="s">
        <v>91</v>
      </c>
      <c r="C2" s="42" t="str">
        <f>VLOOKUP(B2,Validation!A:B,2,0)</f>
        <v>Shared Center</v>
      </c>
      <c r="D2" s="42" t="str">
        <f>VLOOKUP(B2,Validation!A:D,4,0)</f>
        <v xml:space="preserve"> Simrn</v>
      </c>
      <c r="E2" s="42" t="str">
        <f>VLOOKUP(B2,Validation!A:E,5,0)</f>
        <v>Vinoth M</v>
      </c>
      <c r="F2" s="42" t="s">
        <v>58</v>
      </c>
      <c r="G2" s="42">
        <f t="shared" ref="G2:G23" si="0">YEAR(L2)</f>
        <v>2024</v>
      </c>
      <c r="H2" s="42" t="s">
        <v>57</v>
      </c>
      <c r="I2" s="42" t="s">
        <v>92</v>
      </c>
      <c r="J2" s="66">
        <f>VLOOKUP(I2,'XE rates'!A:D,4,0)*K2</f>
        <v>5500</v>
      </c>
      <c r="K2" s="56">
        <v>5500</v>
      </c>
      <c r="L2" s="46">
        <v>45597</v>
      </c>
      <c r="M2" s="47" t="str">
        <f t="shared" ref="M2:M5" si="1">TEXT(L2,"mmm")</f>
        <v>Nov</v>
      </c>
      <c r="N2" s="42">
        <f t="shared" ref="N2:N5" ca="1" si="2">$Y$1-R2</f>
        <v>595</v>
      </c>
      <c r="O2" s="42" t="str">
        <f t="shared" ref="O2:O5" ca="1" si="3">IF(N2&lt;=30, "0-30 days", IF(N2&lt;=60, "31-60 days", IF(N2&lt;=90, "61-90 days", "Over 90+ days")))</f>
        <v>Over 90+ days</v>
      </c>
      <c r="P2" s="42" t="s">
        <v>93</v>
      </c>
      <c r="Q2" s="46">
        <v>45597</v>
      </c>
      <c r="R2" s="46">
        <v>45637</v>
      </c>
      <c r="S2" s="42" t="s">
        <v>94</v>
      </c>
      <c r="T2" s="42" t="s">
        <v>95</v>
      </c>
      <c r="U2" s="42" t="s">
        <v>96</v>
      </c>
      <c r="V2" s="42" t="s">
        <v>96</v>
      </c>
      <c r="W2" s="42" t="s">
        <v>97</v>
      </c>
      <c r="X2" s="42"/>
      <c r="Y2" s="84">
        <f>VLOOKUP(T2,'[1]Query result'!$J:$K,2,0)</f>
        <v>45637</v>
      </c>
      <c r="Z2" s="42">
        <f>VLOOKUP(T2,'[1]Query result'!$J:$W,14,0)</f>
        <v>0</v>
      </c>
      <c r="AA2" s="48">
        <f t="shared" ref="AA2:AA20" si="4">K2-Z2</f>
        <v>5500</v>
      </c>
    </row>
    <row r="3" spans="1:27">
      <c r="A3" s="42" t="s">
        <v>56</v>
      </c>
      <c r="B3" s="42" t="s">
        <v>91</v>
      </c>
      <c r="C3" s="42" t="str">
        <f>VLOOKUP(B3,Validation!A:B,2,0)</f>
        <v>Shared Center</v>
      </c>
      <c r="D3" s="42" t="str">
        <f>VLOOKUP(B3,Validation!A:D,4,0)</f>
        <v xml:space="preserve"> Simrn</v>
      </c>
      <c r="E3" s="42" t="str">
        <f>VLOOKUP(B3,Validation!A:E,5,0)</f>
        <v>Vinoth M</v>
      </c>
      <c r="F3" s="42" t="s">
        <v>58</v>
      </c>
      <c r="G3" s="42">
        <f t="shared" si="0"/>
        <v>2025</v>
      </c>
      <c r="H3" s="42" t="s">
        <v>57</v>
      </c>
      <c r="I3" s="42" t="s">
        <v>92</v>
      </c>
      <c r="J3" s="66">
        <f>VLOOKUP(I3,'XE rates'!A:D,4,0)*K3</f>
        <v>9930</v>
      </c>
      <c r="K3" s="56">
        <v>9930</v>
      </c>
      <c r="L3" s="49">
        <v>45658</v>
      </c>
      <c r="M3" s="47" t="str">
        <f t="shared" si="1"/>
        <v>Jan</v>
      </c>
      <c r="N3" s="42">
        <f t="shared" ca="1" si="2"/>
        <v>532</v>
      </c>
      <c r="O3" s="42" t="str">
        <f t="shared" ca="1" si="3"/>
        <v>Over 90+ days</v>
      </c>
      <c r="P3" s="42" t="s">
        <v>93</v>
      </c>
      <c r="Q3" s="46">
        <v>45693</v>
      </c>
      <c r="R3" s="46">
        <v>45700</v>
      </c>
      <c r="S3" s="42" t="s">
        <v>94</v>
      </c>
      <c r="T3" s="42" t="s">
        <v>98</v>
      </c>
      <c r="U3" s="42" t="s">
        <v>96</v>
      </c>
      <c r="V3" s="42" t="s">
        <v>96</v>
      </c>
      <c r="W3" s="42" t="s">
        <v>97</v>
      </c>
      <c r="X3" s="42"/>
      <c r="Y3" s="84">
        <f>VLOOKUP(T3,'[1]Query result'!$J:$K,2,0)</f>
        <v>45700</v>
      </c>
      <c r="Z3" s="42">
        <f>VLOOKUP(T3,'[1]Query result'!$J:$W,14,0)</f>
        <v>0</v>
      </c>
      <c r="AA3" s="48">
        <f t="shared" si="4"/>
        <v>9930</v>
      </c>
    </row>
    <row r="4" spans="1:27">
      <c r="A4" s="42" t="s">
        <v>56</v>
      </c>
      <c r="B4" s="42" t="s">
        <v>91</v>
      </c>
      <c r="C4" s="42" t="str">
        <f>VLOOKUP(B4,Validation!A:B,2,0)</f>
        <v>Shared Center</v>
      </c>
      <c r="D4" s="42" t="str">
        <f>VLOOKUP(B4,Validation!A:D,4,0)</f>
        <v xml:space="preserve"> Simrn</v>
      </c>
      <c r="E4" s="42" t="str">
        <f>VLOOKUP(B4,Validation!A:E,5,0)</f>
        <v>Vinoth M</v>
      </c>
      <c r="F4" s="42" t="s">
        <v>58</v>
      </c>
      <c r="G4" s="42">
        <f t="shared" si="0"/>
        <v>2025</v>
      </c>
      <c r="H4" s="42" t="s">
        <v>57</v>
      </c>
      <c r="I4" s="42" t="s">
        <v>92</v>
      </c>
      <c r="J4" s="66">
        <f>VLOOKUP(I4,'XE rates'!A:D,4,0)*K4</f>
        <v>10000</v>
      </c>
      <c r="K4" s="56">
        <v>10000</v>
      </c>
      <c r="L4" s="46">
        <v>45689</v>
      </c>
      <c r="M4" s="47" t="str">
        <f t="shared" si="1"/>
        <v>Feb</v>
      </c>
      <c r="N4" s="42">
        <f t="shared" ca="1" si="2"/>
        <v>504</v>
      </c>
      <c r="O4" s="42" t="str">
        <f t="shared" ca="1" si="3"/>
        <v>Over 90+ days</v>
      </c>
      <c r="P4" s="42" t="s">
        <v>93</v>
      </c>
      <c r="Q4" s="46">
        <v>45721</v>
      </c>
      <c r="R4" s="46">
        <v>45728</v>
      </c>
      <c r="S4" s="42" t="s">
        <v>94</v>
      </c>
      <c r="T4" s="42" t="s">
        <v>99</v>
      </c>
      <c r="U4" s="42" t="s">
        <v>96</v>
      </c>
      <c r="V4" s="42" t="s">
        <v>96</v>
      </c>
      <c r="W4" s="42" t="s">
        <v>97</v>
      </c>
      <c r="X4" s="42"/>
      <c r="Y4" s="84">
        <f>VLOOKUP(T4,'[1]Query result'!$J:$K,2,0)</f>
        <v>45728</v>
      </c>
      <c r="Z4" s="42">
        <f>VLOOKUP(T4,'[1]Query result'!$J:$W,14,0)</f>
        <v>0</v>
      </c>
      <c r="AA4" s="48">
        <f t="shared" si="4"/>
        <v>10000</v>
      </c>
    </row>
    <row r="5" spans="1:27">
      <c r="A5" s="42" t="s">
        <v>56</v>
      </c>
      <c r="B5" s="42" t="s">
        <v>91</v>
      </c>
      <c r="C5" s="42" t="str">
        <f>VLOOKUP(B5,Validation!A:B,2,0)</f>
        <v>Shared Center</v>
      </c>
      <c r="D5" s="42" t="str">
        <f>VLOOKUP(B5,Validation!A:D,4,0)</f>
        <v xml:space="preserve"> Simrn</v>
      </c>
      <c r="E5" s="42" t="str">
        <f>VLOOKUP(B5,Validation!A:E,5,0)</f>
        <v>Vinoth M</v>
      </c>
      <c r="F5" s="42" t="s">
        <v>58</v>
      </c>
      <c r="G5" s="42">
        <f t="shared" si="0"/>
        <v>2025</v>
      </c>
      <c r="H5" s="42" t="s">
        <v>57</v>
      </c>
      <c r="I5" s="42" t="s">
        <v>92</v>
      </c>
      <c r="J5" s="66">
        <f>VLOOKUP(I5,'XE rates'!A:D,4,0)*K5</f>
        <v>10000</v>
      </c>
      <c r="K5" s="56">
        <v>10000</v>
      </c>
      <c r="L5" s="46">
        <v>45717</v>
      </c>
      <c r="M5" s="47" t="str">
        <f t="shared" si="1"/>
        <v>Mar</v>
      </c>
      <c r="N5" s="42">
        <f t="shared" ca="1" si="2"/>
        <v>476</v>
      </c>
      <c r="O5" s="42" t="str">
        <f t="shared" ca="1" si="3"/>
        <v>Over 90+ days</v>
      </c>
      <c r="P5" s="42" t="s">
        <v>93</v>
      </c>
      <c r="Q5" s="46">
        <v>45749</v>
      </c>
      <c r="R5" s="46">
        <v>45756</v>
      </c>
      <c r="S5" s="42" t="s">
        <v>94</v>
      </c>
      <c r="T5" s="42" t="s">
        <v>100</v>
      </c>
      <c r="U5" s="42" t="s">
        <v>96</v>
      </c>
      <c r="V5" s="42" t="s">
        <v>96</v>
      </c>
      <c r="W5" s="42" t="s">
        <v>97</v>
      </c>
      <c r="X5" s="42"/>
      <c r="Y5" s="84">
        <f>VLOOKUP(T5,'[1]Query result'!$J:$K,2,0)</f>
        <v>45756</v>
      </c>
      <c r="Z5" s="42">
        <f>VLOOKUP(T5,'[1]Query result'!$J:$W,14,0)</f>
        <v>0</v>
      </c>
      <c r="AA5" s="48">
        <f t="shared" si="4"/>
        <v>10000</v>
      </c>
    </row>
    <row r="6" spans="1:27">
      <c r="A6" s="42" t="s">
        <v>56</v>
      </c>
      <c r="B6" s="42" t="s">
        <v>91</v>
      </c>
      <c r="C6" s="42" t="str">
        <f>VLOOKUP(B6,Validation!A:B,2,0)</f>
        <v>Shared Center</v>
      </c>
      <c r="D6" s="42" t="str">
        <f>VLOOKUP(B6,Validation!A:D,4,0)</f>
        <v xml:space="preserve"> Simrn</v>
      </c>
      <c r="E6" s="42" t="str">
        <f>VLOOKUP(B6,Validation!A:E,5,0)</f>
        <v>Vinoth M</v>
      </c>
      <c r="F6" s="42" t="s">
        <v>58</v>
      </c>
      <c r="G6" s="42">
        <f t="shared" si="0"/>
        <v>2025</v>
      </c>
      <c r="H6" s="42" t="s">
        <v>57</v>
      </c>
      <c r="I6" s="42" t="s">
        <v>92</v>
      </c>
      <c r="J6" s="66">
        <f>VLOOKUP(I6,'XE rates'!A:D,4,0)*K6</f>
        <v>10000</v>
      </c>
      <c r="K6" s="56">
        <v>10000</v>
      </c>
      <c r="L6" s="46">
        <v>45748</v>
      </c>
      <c r="M6" s="47" t="str">
        <f t="shared" ref="M6" si="5">TEXT(L6,"mmm")</f>
        <v>Apr</v>
      </c>
      <c r="N6" s="42">
        <f t="shared" ref="N6:N7" ca="1" si="6">$Y$1-R6</f>
        <v>443</v>
      </c>
      <c r="O6" s="42" t="str">
        <f t="shared" ref="O6:O7" ca="1" si="7">IF(N6&lt;=30, "0-30 days", IF(N6&lt;=60, "31-60 days", IF(N6&lt;=90, "61-90 days", "Over 90+ days")))</f>
        <v>Over 90+ days</v>
      </c>
      <c r="P6" s="42" t="s">
        <v>93</v>
      </c>
      <c r="Q6" s="46">
        <v>45782</v>
      </c>
      <c r="R6" s="46">
        <v>45789</v>
      </c>
      <c r="S6" s="42" t="s">
        <v>94</v>
      </c>
      <c r="T6" s="42" t="s">
        <v>101</v>
      </c>
      <c r="U6" s="42" t="s">
        <v>96</v>
      </c>
      <c r="V6" s="42" t="s">
        <v>96</v>
      </c>
      <c r="W6" s="42" t="s">
        <v>97</v>
      </c>
      <c r="X6" s="42"/>
      <c r="Y6" s="84">
        <f>VLOOKUP(T6,'[1]Query result'!$J:$K,2,0)</f>
        <v>45789</v>
      </c>
      <c r="Z6" s="42">
        <f>VLOOKUP(T6,'[1]Query result'!$J:$W,14,0)</f>
        <v>0</v>
      </c>
      <c r="AA6" s="48">
        <f t="shared" si="4"/>
        <v>10000</v>
      </c>
    </row>
    <row r="7" spans="1:27">
      <c r="A7" s="42" t="s">
        <v>56</v>
      </c>
      <c r="B7" s="42" t="s">
        <v>91</v>
      </c>
      <c r="C7" s="42" t="str">
        <f>VLOOKUP(B7,Validation!A:B,2,0)</f>
        <v>Shared Center</v>
      </c>
      <c r="D7" s="42" t="str">
        <f>VLOOKUP(B7,Validation!A:D,4,0)</f>
        <v xml:space="preserve"> Simrn</v>
      </c>
      <c r="E7" s="42" t="str">
        <f>VLOOKUP(B7,Validation!A:E,5,0)</f>
        <v>Vinoth M</v>
      </c>
      <c r="F7" s="42" t="s">
        <v>58</v>
      </c>
      <c r="G7" s="42">
        <f t="shared" si="0"/>
        <v>2025</v>
      </c>
      <c r="H7" s="42" t="s">
        <v>57</v>
      </c>
      <c r="I7" s="42" t="s">
        <v>92</v>
      </c>
      <c r="J7" s="66">
        <f>VLOOKUP(I7,'XE rates'!A:D,4,0)*K7</f>
        <v>10000</v>
      </c>
      <c r="K7" s="56">
        <v>10000</v>
      </c>
      <c r="L7" s="46">
        <v>45778</v>
      </c>
      <c r="M7" s="47" t="str">
        <f t="shared" ref="M7" si="8">TEXT(L7,"mmm")</f>
        <v>May</v>
      </c>
      <c r="N7" s="42">
        <f t="shared" ca="1" si="6"/>
        <v>413</v>
      </c>
      <c r="O7" s="42" t="str">
        <f t="shared" ca="1" si="7"/>
        <v>Over 90+ days</v>
      </c>
      <c r="P7" s="42" t="s">
        <v>93</v>
      </c>
      <c r="Q7" s="46">
        <v>45812</v>
      </c>
      <c r="R7" s="46">
        <v>45819</v>
      </c>
      <c r="S7" s="42" t="s">
        <v>94</v>
      </c>
      <c r="T7" s="42" t="s">
        <v>102</v>
      </c>
      <c r="U7" s="42" t="s">
        <v>96</v>
      </c>
      <c r="V7" s="42" t="s">
        <v>96</v>
      </c>
      <c r="W7" s="42" t="s">
        <v>97</v>
      </c>
      <c r="X7" s="42"/>
      <c r="Y7" s="84">
        <f>VLOOKUP(T7,'[1]Query result'!$J:$K,2,0)</f>
        <v>45819</v>
      </c>
      <c r="Z7" s="42">
        <f>VLOOKUP(T7,'[1]Query result'!$J:$W,14,0)</f>
        <v>0</v>
      </c>
      <c r="AA7" s="48">
        <f t="shared" si="4"/>
        <v>10000</v>
      </c>
    </row>
    <row r="8" spans="1:27">
      <c r="A8" s="42" t="s">
        <v>56</v>
      </c>
      <c r="B8" s="42" t="s">
        <v>29</v>
      </c>
      <c r="C8" s="42" t="str">
        <f>VLOOKUP(B8,Validation!A:B,2,0)</f>
        <v>Americas</v>
      </c>
      <c r="D8" s="42" t="str">
        <f>VLOOKUP(B8,Validation!A:D,4,0)</f>
        <v>Lia Susin</v>
      </c>
      <c r="E8" s="42" t="str">
        <f>VLOOKUP(B8,Validation!A:E,5,0)</f>
        <v>Christina Hutchinson</v>
      </c>
      <c r="F8" s="42" t="s">
        <v>58</v>
      </c>
      <c r="G8" s="42">
        <f t="shared" si="0"/>
        <v>2025</v>
      </c>
      <c r="H8" s="42" t="s">
        <v>57</v>
      </c>
      <c r="I8" s="42" t="s">
        <v>92</v>
      </c>
      <c r="J8" s="66">
        <f>VLOOKUP(I8,'XE rates'!A:D,4,0)*K8</f>
        <v>3495.5</v>
      </c>
      <c r="K8" s="56">
        <v>3495.5</v>
      </c>
      <c r="L8" s="46">
        <v>45839</v>
      </c>
      <c r="M8" s="47" t="str">
        <f t="shared" ref="M8" si="9">TEXT(L8,"mmm")</f>
        <v>Jul</v>
      </c>
      <c r="N8" s="42">
        <f t="shared" ref="N8" ca="1" si="10">$Y$1-R8</f>
        <v>351</v>
      </c>
      <c r="O8" s="42" t="str">
        <f t="shared" ref="O8" ca="1" si="11">IF(N8&lt;=30, "0-30 days", IF(N8&lt;=60, "31-60 days", IF(N8&lt;=90, "61-90 days", "Over 90+ days")))</f>
        <v>Over 90+ days</v>
      </c>
      <c r="P8" s="42" t="s">
        <v>93</v>
      </c>
      <c r="Q8" s="46">
        <v>45874</v>
      </c>
      <c r="R8" s="46">
        <v>45881</v>
      </c>
      <c r="S8" s="42" t="s">
        <v>94</v>
      </c>
      <c r="T8" s="42" t="s">
        <v>103</v>
      </c>
      <c r="U8" s="42" t="s">
        <v>96</v>
      </c>
      <c r="V8" s="42" t="s">
        <v>104</v>
      </c>
      <c r="W8" s="86" t="s">
        <v>105</v>
      </c>
      <c r="X8" s="42"/>
      <c r="Y8" s="84">
        <f>VLOOKUP(T8,'[1]Query result'!$J:$K,2,0)</f>
        <v>45881</v>
      </c>
      <c r="Z8" s="42">
        <f>VLOOKUP(T8,'[1]Query result'!$J:$W,14,0)</f>
        <v>0</v>
      </c>
      <c r="AA8" s="48">
        <f t="shared" si="4"/>
        <v>3495.5</v>
      </c>
    </row>
    <row r="9" spans="1:27">
      <c r="A9" s="42" t="s">
        <v>56</v>
      </c>
      <c r="B9" s="42" t="s">
        <v>29</v>
      </c>
      <c r="C9" s="42" t="str">
        <f>VLOOKUP(B9,Validation!A:B,2,0)</f>
        <v>Americas</v>
      </c>
      <c r="D9" s="42" t="str">
        <f>VLOOKUP(B9,Validation!A:D,4,0)</f>
        <v>Lia Susin</v>
      </c>
      <c r="E9" s="42" t="str">
        <f>VLOOKUP(B9,Validation!A:E,5,0)</f>
        <v>Christina Hutchinson</v>
      </c>
      <c r="F9" s="42" t="s">
        <v>58</v>
      </c>
      <c r="G9" s="42">
        <f t="shared" si="0"/>
        <v>2025</v>
      </c>
      <c r="H9" s="42" t="s">
        <v>57</v>
      </c>
      <c r="I9" s="42" t="s">
        <v>92</v>
      </c>
      <c r="J9" s="66">
        <f>VLOOKUP(I9,'XE rates'!A:D,4,0)*K9</f>
        <v>3485</v>
      </c>
      <c r="K9" s="56">
        <v>3485</v>
      </c>
      <c r="L9" s="46">
        <v>45870</v>
      </c>
      <c r="M9" s="47" t="str">
        <f t="shared" ref="M9" si="12">TEXT(L9,"mmm")</f>
        <v>Aug</v>
      </c>
      <c r="N9" s="42">
        <f t="shared" ref="N9" ca="1" si="13">$Y$1-R9</f>
        <v>323</v>
      </c>
      <c r="O9" s="42" t="str">
        <f t="shared" ref="O9" ca="1" si="14">IF(N9&lt;=30, "0-30 days", IF(N9&lt;=60, "31-60 days", IF(N9&lt;=90, "61-90 days", "Over 90+ days")))</f>
        <v>Over 90+ days</v>
      </c>
      <c r="P9" s="42" t="s">
        <v>93</v>
      </c>
      <c r="Q9" s="46">
        <v>45902</v>
      </c>
      <c r="R9" s="46">
        <v>45909</v>
      </c>
      <c r="S9" s="42" t="s">
        <v>94</v>
      </c>
      <c r="T9" s="42" t="s">
        <v>109</v>
      </c>
      <c r="U9" s="42" t="s">
        <v>96</v>
      </c>
      <c r="V9" s="42" t="s">
        <v>104</v>
      </c>
      <c r="W9" s="86" t="s">
        <v>105</v>
      </c>
      <c r="X9" s="42"/>
      <c r="Y9" s="84">
        <f>VLOOKUP(T9,'[1]Query result'!$J:$K,2,0)</f>
        <v>45909</v>
      </c>
      <c r="Z9" s="42">
        <f>VLOOKUP(T9,'[1]Query result'!$J:$W,14,0)</f>
        <v>0</v>
      </c>
      <c r="AA9" s="48">
        <f t="shared" si="4"/>
        <v>3485</v>
      </c>
    </row>
    <row r="10" spans="1:27">
      <c r="A10" s="42" t="s">
        <v>69</v>
      </c>
      <c r="B10" s="42" t="s">
        <v>110</v>
      </c>
      <c r="C10" s="42" t="str">
        <f>VLOOKUP(B10,Validation!A:B,2,0)</f>
        <v>Shared Center</v>
      </c>
      <c r="D10" s="42" t="str">
        <f>VLOOKUP(B10,Validation!A:D,4,0)</f>
        <v>Bhavani</v>
      </c>
      <c r="E10" s="42" t="str">
        <f>VLOOKUP(B10,Validation!A:E,5,0)</f>
        <v>NA</v>
      </c>
      <c r="F10" s="42" t="s">
        <v>58</v>
      </c>
      <c r="G10" s="42">
        <f t="shared" si="0"/>
        <v>2025</v>
      </c>
      <c r="H10" s="42" t="s">
        <v>111</v>
      </c>
      <c r="I10" s="42" t="s">
        <v>92</v>
      </c>
      <c r="J10" s="66">
        <f>VLOOKUP(I10,'XE rates'!A:D,4,0)*K10</f>
        <v>1020</v>
      </c>
      <c r="K10" s="56">
        <v>1020</v>
      </c>
      <c r="L10" s="46">
        <v>45901</v>
      </c>
      <c r="M10" s="47" t="str">
        <f t="shared" ref="M10:M11" si="15">TEXT(L10,"mmm")</f>
        <v>Sep</v>
      </c>
      <c r="N10" s="42">
        <f t="shared" ref="N10:N11" ca="1" si="16">$Y$1-R10</f>
        <v>295</v>
      </c>
      <c r="O10" s="42" t="str">
        <f t="shared" ref="O10:O11" ca="1" si="17">IF(N10&lt;=30, "0-30 days", IF(N10&lt;=60, "31-60 days", IF(N10&lt;=90, "61-90 days", "Over 90+ days")))</f>
        <v>Over 90+ days</v>
      </c>
      <c r="P10" s="42" t="s">
        <v>93</v>
      </c>
      <c r="Q10" s="46">
        <v>45931</v>
      </c>
      <c r="R10" s="46">
        <v>45937</v>
      </c>
      <c r="S10" s="42" t="s">
        <v>112</v>
      </c>
      <c r="T10" s="42" t="s">
        <v>113</v>
      </c>
      <c r="U10" s="42" t="s">
        <v>96</v>
      </c>
      <c r="V10" s="42" t="s">
        <v>104</v>
      </c>
      <c r="W10" s="42" t="s">
        <v>114</v>
      </c>
      <c r="X10" s="42"/>
      <c r="Y10" s="84">
        <f>VLOOKUP(T10,'[1]Query result'!$J:$K,2,0)</f>
        <v>45937</v>
      </c>
      <c r="Z10" s="42">
        <f>VLOOKUP(T10,'[1]Query result'!$J:$W,14,0)</f>
        <v>0</v>
      </c>
      <c r="AA10" s="48">
        <f t="shared" si="4"/>
        <v>1020</v>
      </c>
    </row>
    <row r="11" spans="1:27">
      <c r="A11" s="42" t="s">
        <v>56</v>
      </c>
      <c r="B11" s="42" t="s">
        <v>29</v>
      </c>
      <c r="C11" s="42" t="str">
        <f>VLOOKUP(B11,Validation!A:B,2,0)</f>
        <v>Americas</v>
      </c>
      <c r="D11" s="42" t="str">
        <f>VLOOKUP(B11,Validation!A:D,4,0)</f>
        <v>Lia Susin</v>
      </c>
      <c r="E11" s="42" t="str">
        <f>VLOOKUP(B11,Validation!A:E,5,0)</f>
        <v>Christina Hutchinson</v>
      </c>
      <c r="F11" s="42" t="s">
        <v>58</v>
      </c>
      <c r="G11" s="42">
        <f t="shared" si="0"/>
        <v>2025</v>
      </c>
      <c r="H11" s="42" t="s">
        <v>57</v>
      </c>
      <c r="I11" s="42" t="s">
        <v>92</v>
      </c>
      <c r="J11" s="66">
        <f>VLOOKUP(I11,'XE rates'!A:D,4,0)*K11</f>
        <v>3487.5</v>
      </c>
      <c r="K11" s="56">
        <v>3487.5</v>
      </c>
      <c r="L11" s="46">
        <v>45901</v>
      </c>
      <c r="M11" s="47" t="str">
        <f t="shared" si="15"/>
        <v>Sep</v>
      </c>
      <c r="N11" s="42">
        <f t="shared" ca="1" si="16"/>
        <v>293</v>
      </c>
      <c r="O11" s="42" t="str">
        <f t="shared" ca="1" si="17"/>
        <v>Over 90+ days</v>
      </c>
      <c r="P11" s="42" t="s">
        <v>93</v>
      </c>
      <c r="Q11" s="46">
        <v>45932</v>
      </c>
      <c r="R11" s="46">
        <v>45939</v>
      </c>
      <c r="S11" s="42" t="s">
        <v>94</v>
      </c>
      <c r="T11" s="42" t="s">
        <v>115</v>
      </c>
      <c r="U11" s="42" t="s">
        <v>96</v>
      </c>
      <c r="V11" s="42" t="s">
        <v>104</v>
      </c>
      <c r="W11" s="86" t="s">
        <v>105</v>
      </c>
      <c r="X11" s="42"/>
      <c r="Y11" s="84">
        <f>VLOOKUP(T11,'[1]Query result'!$J:$K,2,0)</f>
        <v>45939</v>
      </c>
      <c r="Z11" s="42">
        <f>VLOOKUP(T11,'[1]Query result'!$J:$W,14,0)</f>
        <v>0</v>
      </c>
      <c r="AA11" s="48">
        <f t="shared" si="4"/>
        <v>3487.5</v>
      </c>
    </row>
    <row r="12" spans="1:27">
      <c r="A12" s="42" t="s">
        <v>69</v>
      </c>
      <c r="B12" s="42" t="s">
        <v>110</v>
      </c>
      <c r="C12" s="42" t="str">
        <f>VLOOKUP(B12,Validation!A:B,2,0)</f>
        <v>Shared Center</v>
      </c>
      <c r="D12" s="42" t="str">
        <f>VLOOKUP(B12,Validation!A:D,4,0)</f>
        <v>Bhavani</v>
      </c>
      <c r="E12" s="42" t="str">
        <f>VLOOKUP(B12,Validation!A:E,5,0)</f>
        <v>NA</v>
      </c>
      <c r="F12" s="42" t="s">
        <v>58</v>
      </c>
      <c r="G12" s="42">
        <f t="shared" si="0"/>
        <v>2025</v>
      </c>
      <c r="H12" s="42" t="s">
        <v>111</v>
      </c>
      <c r="I12" s="42" t="s">
        <v>92</v>
      </c>
      <c r="J12" s="66">
        <f>VLOOKUP(I12,'XE rates'!A:D,4,0)*K12</f>
        <v>1000</v>
      </c>
      <c r="K12" s="56">
        <v>1000</v>
      </c>
      <c r="L12" s="46">
        <v>45931</v>
      </c>
      <c r="M12" s="47" t="str">
        <f t="shared" ref="M12" si="18">TEXT(L12,"mmm")</f>
        <v>Oct</v>
      </c>
      <c r="N12" s="42">
        <f t="shared" ref="N12" ca="1" si="19">$Y$1-R12</f>
        <v>264</v>
      </c>
      <c r="O12" s="42" t="str">
        <f t="shared" ref="O12" ca="1" si="20">IF(N12&lt;=30, "0-30 days", IF(N12&lt;=60, "31-60 days", IF(N12&lt;=90, "61-90 days", "Over 90+ days")))</f>
        <v>Over 90+ days</v>
      </c>
      <c r="P12" s="42" t="s">
        <v>93</v>
      </c>
      <c r="Q12" s="46">
        <v>45962</v>
      </c>
      <c r="R12" s="46">
        <v>45968</v>
      </c>
      <c r="S12" s="42" t="s">
        <v>112</v>
      </c>
      <c r="T12" s="42" t="s">
        <v>116</v>
      </c>
      <c r="U12" s="42" t="s">
        <v>96</v>
      </c>
      <c r="V12" s="42" t="s">
        <v>104</v>
      </c>
      <c r="W12" s="42" t="s">
        <v>114</v>
      </c>
      <c r="X12" s="42"/>
      <c r="Y12" s="84">
        <f>VLOOKUP(T12,'[1]Query result'!$J:$K,2,0)</f>
        <v>45968</v>
      </c>
      <c r="Z12" s="42">
        <f>VLOOKUP(T12,'[1]Query result'!$J:$W,14,0)</f>
        <v>0</v>
      </c>
      <c r="AA12" s="48">
        <f t="shared" si="4"/>
        <v>1000</v>
      </c>
    </row>
    <row r="13" spans="1:27">
      <c r="A13" s="42" t="s">
        <v>56</v>
      </c>
      <c r="B13" s="42" t="s">
        <v>117</v>
      </c>
      <c r="C13" s="42" t="str">
        <f>VLOOKUP(B13,Validation!A:B,2,0)</f>
        <v>APAC</v>
      </c>
      <c r="D13" s="42" t="str">
        <f>VLOOKUP(B13,Validation!A:D,4,0)</f>
        <v>Hao Nguyen</v>
      </c>
      <c r="E13" s="42" t="str">
        <f>VLOOKUP(B13,Validation!A:E,5,0)</f>
        <v>Vinoth M</v>
      </c>
      <c r="F13" s="42" t="s">
        <v>58</v>
      </c>
      <c r="G13" s="42">
        <f t="shared" si="0"/>
        <v>2025</v>
      </c>
      <c r="H13" s="42" t="s">
        <v>57</v>
      </c>
      <c r="I13" s="42" t="s">
        <v>107</v>
      </c>
      <c r="J13" s="66">
        <f>VLOOKUP(I13,'XE rates'!A:D,4,0)*K13</f>
        <v>962.06718789235924</v>
      </c>
      <c r="K13" s="56">
        <v>1372.8999999999999</v>
      </c>
      <c r="L13" s="46">
        <v>45901</v>
      </c>
      <c r="M13" s="47" t="str">
        <f t="shared" ref="M13:M15" si="21">TEXT(L13,"mmm")</f>
        <v>Sep</v>
      </c>
      <c r="N13" s="42">
        <f t="shared" ref="N13:N15" ca="1" si="22">$Y$1-R13</f>
        <v>243</v>
      </c>
      <c r="O13" s="42" t="str">
        <f t="shared" ref="O13:O15" ca="1" si="23">IF(N13&lt;=30, "0-30 days", IF(N13&lt;=60, "31-60 days", IF(N13&lt;=90, "61-90 days", "Over 90+ days")))</f>
        <v>Over 90+ days</v>
      </c>
      <c r="P13" s="42" t="s">
        <v>118</v>
      </c>
      <c r="Q13" s="46">
        <v>45958</v>
      </c>
      <c r="R13" s="46">
        <v>45989</v>
      </c>
      <c r="S13" s="42" t="s">
        <v>108</v>
      </c>
      <c r="T13" s="42" t="s">
        <v>119</v>
      </c>
      <c r="U13" s="42" t="s">
        <v>96</v>
      </c>
      <c r="V13" s="42" t="s">
        <v>104</v>
      </c>
      <c r="W13" s="87" t="s">
        <v>120</v>
      </c>
      <c r="X13" s="42"/>
      <c r="Y13" s="84">
        <f>VLOOKUP(T13,'[1]Query result'!$J:$K,2,0)</f>
        <v>45989</v>
      </c>
      <c r="Z13" s="42">
        <f>VLOOKUP(T13,'[1]Query result'!$J:$W,14,0)</f>
        <v>0</v>
      </c>
      <c r="AA13" s="48">
        <f t="shared" si="4"/>
        <v>1372.8999999999999</v>
      </c>
    </row>
    <row r="14" spans="1:27">
      <c r="A14" s="42" t="s">
        <v>56</v>
      </c>
      <c r="B14" s="42" t="s">
        <v>121</v>
      </c>
      <c r="C14" s="42" t="str">
        <f>VLOOKUP(B14,Validation!A:B,2,0)</f>
        <v>EU/UK</v>
      </c>
      <c r="D14" s="42" t="str">
        <f>VLOOKUP(B14,Validation!A:D,4,0)</f>
        <v>Sachli Zare</v>
      </c>
      <c r="E14" s="42" t="str">
        <f>VLOOKUP(B14,Validation!A:E,5,0)</f>
        <v>NA</v>
      </c>
      <c r="F14" s="42" t="s">
        <v>58</v>
      </c>
      <c r="G14" s="42">
        <f t="shared" si="0"/>
        <v>2025</v>
      </c>
      <c r="H14" s="42" t="s">
        <v>57</v>
      </c>
      <c r="I14" s="42" t="s">
        <v>92</v>
      </c>
      <c r="J14" s="66">
        <f>VLOOKUP(I14,'XE rates'!A:D,4,0)*K14</f>
        <v>75.300000000000011</v>
      </c>
      <c r="K14" s="56">
        <v>75.300000000000011</v>
      </c>
      <c r="L14" s="46">
        <v>45931</v>
      </c>
      <c r="M14" s="47" t="str">
        <f t="shared" si="21"/>
        <v>Oct</v>
      </c>
      <c r="N14" s="42">
        <f t="shared" ca="1" si="22"/>
        <v>259</v>
      </c>
      <c r="O14" s="42" t="str">
        <f t="shared" ca="1" si="23"/>
        <v>Over 90+ days</v>
      </c>
      <c r="P14" s="42" t="s">
        <v>93</v>
      </c>
      <c r="Q14" s="46">
        <v>45966</v>
      </c>
      <c r="R14" s="46">
        <v>45973</v>
      </c>
      <c r="S14" s="42" t="s">
        <v>108</v>
      </c>
      <c r="T14" s="42" t="s">
        <v>122</v>
      </c>
      <c r="U14" s="42" t="s">
        <v>96</v>
      </c>
      <c r="V14" s="42" t="s">
        <v>104</v>
      </c>
      <c r="W14" s="42" t="s">
        <v>123</v>
      </c>
      <c r="X14" s="42"/>
      <c r="Y14" s="84">
        <f>VLOOKUP(T14,'[1]Query result'!$J:$K,2,0)</f>
        <v>45973</v>
      </c>
      <c r="Z14" s="42">
        <f>VLOOKUP(T14,'[1]Query result'!$J:$W,14,0)</f>
        <v>0</v>
      </c>
      <c r="AA14" s="48">
        <f t="shared" si="4"/>
        <v>75.300000000000011</v>
      </c>
    </row>
    <row r="15" spans="1:27">
      <c r="A15" s="42" t="s">
        <v>56</v>
      </c>
      <c r="B15" s="42" t="s">
        <v>29</v>
      </c>
      <c r="C15" s="42" t="str">
        <f>VLOOKUP(B15,Validation!A:B,2,0)</f>
        <v>Americas</v>
      </c>
      <c r="D15" s="42" t="str">
        <f>VLOOKUP(B15,Validation!A:D,4,0)</f>
        <v>Lia Susin</v>
      </c>
      <c r="E15" s="42" t="str">
        <f>VLOOKUP(B15,Validation!A:E,5,0)</f>
        <v>Christina Hutchinson</v>
      </c>
      <c r="F15" s="42" t="s">
        <v>58</v>
      </c>
      <c r="G15" s="42">
        <f t="shared" si="0"/>
        <v>2025</v>
      </c>
      <c r="H15" s="42" t="s">
        <v>57</v>
      </c>
      <c r="I15" s="42" t="s">
        <v>92</v>
      </c>
      <c r="J15" s="66">
        <f>VLOOKUP(I15,'XE rates'!A:D,4,0)*K15</f>
        <v>2602.25</v>
      </c>
      <c r="K15" s="56">
        <v>2602.25</v>
      </c>
      <c r="L15" s="46">
        <v>45931</v>
      </c>
      <c r="M15" s="47" t="str">
        <f t="shared" si="21"/>
        <v>Oct</v>
      </c>
      <c r="N15" s="42">
        <f t="shared" ca="1" si="22"/>
        <v>259</v>
      </c>
      <c r="O15" s="42" t="str">
        <f t="shared" ca="1" si="23"/>
        <v>Over 90+ days</v>
      </c>
      <c r="P15" s="42" t="s">
        <v>93</v>
      </c>
      <c r="Q15" s="46">
        <v>45966</v>
      </c>
      <c r="R15" s="46">
        <v>45973</v>
      </c>
      <c r="S15" s="42" t="s">
        <v>94</v>
      </c>
      <c r="T15" s="42" t="s">
        <v>124</v>
      </c>
      <c r="U15" s="42" t="s">
        <v>96</v>
      </c>
      <c r="V15" s="42" t="s">
        <v>104</v>
      </c>
      <c r="W15" s="86" t="s">
        <v>105</v>
      </c>
      <c r="X15" s="42"/>
      <c r="Y15" s="84">
        <f>VLOOKUP(T15,'[1]Query result'!$J:$K,2,0)</f>
        <v>45973</v>
      </c>
      <c r="Z15" s="42">
        <f>VLOOKUP(T15,'[1]Query result'!$J:$W,14,0)</f>
        <v>0</v>
      </c>
      <c r="AA15" s="48">
        <f t="shared" si="4"/>
        <v>2602.25</v>
      </c>
    </row>
    <row r="16" spans="1:27">
      <c r="A16" s="42" t="s">
        <v>56</v>
      </c>
      <c r="B16" s="42" t="s">
        <v>125</v>
      </c>
      <c r="C16" s="42" t="str">
        <f>VLOOKUP(B16,Validation!A:B,2,0)</f>
        <v>Shared Center</v>
      </c>
      <c r="D16" s="42" t="str">
        <f>VLOOKUP(B16,Validation!A:D,4,0)</f>
        <v xml:space="preserve"> Mrinal</v>
      </c>
      <c r="E16" s="42" t="str">
        <f>VLOOKUP(B16,Validation!A:E,5,0)</f>
        <v>Tyler Reed</v>
      </c>
      <c r="F16" s="42" t="s">
        <v>58</v>
      </c>
      <c r="G16" s="42">
        <f t="shared" si="0"/>
        <v>2025</v>
      </c>
      <c r="H16" s="42" t="s">
        <v>57</v>
      </c>
      <c r="I16" s="42" t="s">
        <v>92</v>
      </c>
      <c r="J16" s="66">
        <f>VLOOKUP(I16,'XE rates'!A:D,4,0)*K16</f>
        <v>0.5</v>
      </c>
      <c r="K16" s="56">
        <v>0.5</v>
      </c>
      <c r="L16" s="46">
        <v>45931</v>
      </c>
      <c r="M16" s="47" t="str">
        <f t="shared" ref="M16" si="24">TEXT(L16,"mmm")</f>
        <v>Oct</v>
      </c>
      <c r="N16" s="42">
        <f t="shared" ref="N16" ca="1" si="25">$Y$1-R16</f>
        <v>259</v>
      </c>
      <c r="O16" s="42" t="str">
        <f t="shared" ref="O16" ca="1" si="26">IF(N16&lt;=30, "0-30 days", IF(N16&lt;=60, "31-60 days", IF(N16&lt;=90, "61-90 days", "Over 90+ days")))</f>
        <v>Over 90+ days</v>
      </c>
      <c r="P16" s="42" t="s">
        <v>93</v>
      </c>
      <c r="Q16" s="46">
        <v>45966</v>
      </c>
      <c r="R16" s="46">
        <v>45973</v>
      </c>
      <c r="S16" s="42" t="s">
        <v>94</v>
      </c>
      <c r="T16" s="42" t="s">
        <v>126</v>
      </c>
      <c r="U16" s="42" t="s">
        <v>96</v>
      </c>
      <c r="V16" s="42" t="s">
        <v>104</v>
      </c>
      <c r="W16" s="42" t="s">
        <v>61</v>
      </c>
      <c r="X16" s="42"/>
      <c r="Y16" s="84">
        <f>VLOOKUP(T16,'[1]Query result'!$J:$K,2,0)</f>
        <v>45973</v>
      </c>
      <c r="Z16" s="42">
        <f>VLOOKUP(T16,'[1]Query result'!$J:$W,14,0)</f>
        <v>0</v>
      </c>
      <c r="AA16" s="48">
        <f t="shared" si="4"/>
        <v>0.5</v>
      </c>
    </row>
    <row r="17" spans="1:27">
      <c r="A17" s="42" t="s">
        <v>56</v>
      </c>
      <c r="B17" s="42" t="s">
        <v>117</v>
      </c>
      <c r="C17" s="42" t="str">
        <f>VLOOKUP(B17,Validation!A:B,2,0)</f>
        <v>APAC</v>
      </c>
      <c r="D17" s="42" t="str">
        <f>VLOOKUP(B17,Validation!A:D,4,0)</f>
        <v>Hao Nguyen</v>
      </c>
      <c r="E17" s="42" t="str">
        <f>VLOOKUP(B17,Validation!A:E,5,0)</f>
        <v>Vinoth M</v>
      </c>
      <c r="F17" s="42" t="s">
        <v>58</v>
      </c>
      <c r="G17" s="42">
        <f t="shared" si="0"/>
        <v>2025</v>
      </c>
      <c r="H17" s="42" t="s">
        <v>57</v>
      </c>
      <c r="I17" s="42" t="s">
        <v>107</v>
      </c>
      <c r="J17" s="66">
        <f>VLOOKUP(I17,'XE rates'!A:D,4,0)*K17</f>
        <v>1811.5089562799769</v>
      </c>
      <c r="K17" s="48">
        <v>2585.08</v>
      </c>
      <c r="L17" s="46">
        <v>45931</v>
      </c>
      <c r="M17" s="47" t="str">
        <f t="shared" ref="M17" si="27">TEXT(L17,"mmm")</f>
        <v>Oct</v>
      </c>
      <c r="N17" s="42">
        <f t="shared" ref="N17" ca="1" si="28">$Y$1-R17</f>
        <v>224</v>
      </c>
      <c r="O17" s="42" t="str">
        <f t="shared" ref="O17" ca="1" si="29">IF(N17&lt;=30, "0-30 days", IF(N17&lt;=60, "31-60 days", IF(N17&lt;=90, "61-90 days", "Over 90+ days")))</f>
        <v>Over 90+ days</v>
      </c>
      <c r="P17" s="42" t="s">
        <v>118</v>
      </c>
      <c r="Q17" s="46">
        <v>45978</v>
      </c>
      <c r="R17" s="46">
        <v>46008</v>
      </c>
      <c r="S17" s="42" t="s">
        <v>94</v>
      </c>
      <c r="T17" s="42" t="s">
        <v>127</v>
      </c>
      <c r="U17" s="42" t="s">
        <v>96</v>
      </c>
      <c r="V17" s="42" t="s">
        <v>104</v>
      </c>
      <c r="W17" s="87" t="s">
        <v>120</v>
      </c>
      <c r="X17" s="42"/>
      <c r="Y17" s="84">
        <f>VLOOKUP(T17,'[1]Query result'!$J:$K,2,0)</f>
        <v>46008</v>
      </c>
      <c r="Z17" s="42">
        <f>VLOOKUP(T17,'[1]Query result'!$J:$W,14,0)</f>
        <v>0</v>
      </c>
      <c r="AA17" s="48">
        <f t="shared" si="4"/>
        <v>2585.08</v>
      </c>
    </row>
    <row r="18" spans="1:27">
      <c r="A18" s="42" t="s">
        <v>69</v>
      </c>
      <c r="B18" s="42" t="s">
        <v>110</v>
      </c>
      <c r="C18" s="42" t="str">
        <f>VLOOKUP(B18,Validation!A:B,2,0)</f>
        <v>Shared Center</v>
      </c>
      <c r="D18" s="42" t="str">
        <f>VLOOKUP(B18,Validation!A:D,4,0)</f>
        <v>Bhavani</v>
      </c>
      <c r="E18" s="42" t="str">
        <f>VLOOKUP(B18,Validation!A:E,5,0)</f>
        <v>NA</v>
      </c>
      <c r="F18" s="42" t="s">
        <v>58</v>
      </c>
      <c r="G18" s="42">
        <f t="shared" si="0"/>
        <v>2025</v>
      </c>
      <c r="H18" s="42" t="s">
        <v>111</v>
      </c>
      <c r="I18" s="42" t="s">
        <v>92</v>
      </c>
      <c r="J18" s="66">
        <f>VLOOKUP(I18,'XE rates'!A:D,4,0)*K18</f>
        <v>1000</v>
      </c>
      <c r="K18" s="56">
        <v>1000</v>
      </c>
      <c r="L18" s="46">
        <v>45962</v>
      </c>
      <c r="M18" s="47" t="str">
        <f t="shared" ref="M18:M21" si="30">TEXT(L18,"mmm")</f>
        <v>Nov</v>
      </c>
      <c r="N18" s="42">
        <f t="shared" ref="N18:N21" ca="1" si="31">$Y$1-R18</f>
        <v>233</v>
      </c>
      <c r="O18" s="42" t="str">
        <f t="shared" ref="O18:O21" ca="1" si="32">IF(N18&lt;=30, "0-30 days", IF(N18&lt;=60, "31-60 days", IF(N18&lt;=90, "61-90 days", "Over 90+ days")))</f>
        <v>Over 90+ days</v>
      </c>
      <c r="P18" s="42" t="s">
        <v>93</v>
      </c>
      <c r="Q18" s="46">
        <v>45992</v>
      </c>
      <c r="R18" s="46">
        <v>45999</v>
      </c>
      <c r="S18" s="42" t="s">
        <v>112</v>
      </c>
      <c r="T18" s="42" t="s">
        <v>128</v>
      </c>
      <c r="U18" s="42" t="s">
        <v>96</v>
      </c>
      <c r="V18" s="42" t="s">
        <v>104</v>
      </c>
      <c r="W18" s="42" t="s">
        <v>114</v>
      </c>
      <c r="X18" s="42"/>
      <c r="Y18" s="84">
        <f>VLOOKUP(T18,'[1]Query result'!$J:$K,2,0)</f>
        <v>45999</v>
      </c>
      <c r="Z18" s="42">
        <f>VLOOKUP(T18,'[1]Query result'!$J:$W,14,0)</f>
        <v>0</v>
      </c>
      <c r="AA18" s="48">
        <f t="shared" si="4"/>
        <v>1000</v>
      </c>
    </row>
    <row r="19" spans="1:27">
      <c r="A19" s="42" t="s">
        <v>56</v>
      </c>
      <c r="B19" s="42" t="s">
        <v>117</v>
      </c>
      <c r="C19" s="42" t="str">
        <f>VLOOKUP(B19,Validation!A:B,2,0)</f>
        <v>APAC</v>
      </c>
      <c r="D19" s="42" t="str">
        <f>VLOOKUP(B19,Validation!A:D,4,0)</f>
        <v>Hao Nguyen</v>
      </c>
      <c r="E19" s="42" t="str">
        <f>VLOOKUP(B19,Validation!A:E,5,0)</f>
        <v>Vinoth M</v>
      </c>
      <c r="F19" s="42" t="s">
        <v>58</v>
      </c>
      <c r="G19" s="42">
        <f t="shared" si="0"/>
        <v>2025</v>
      </c>
      <c r="H19" s="42" t="s">
        <v>57</v>
      </c>
      <c r="I19" s="42" t="s">
        <v>107</v>
      </c>
      <c r="J19" s="66">
        <f>VLOOKUP(I19,'XE rates'!A:D,4,0)*K19</f>
        <v>1810.3246795318248</v>
      </c>
      <c r="K19" s="66">
        <v>2583.39</v>
      </c>
      <c r="L19" s="46">
        <v>45962</v>
      </c>
      <c r="M19" s="47" t="str">
        <f t="shared" si="30"/>
        <v>Nov</v>
      </c>
      <c r="N19" s="42">
        <f t="shared" ca="1" si="31"/>
        <v>195</v>
      </c>
      <c r="O19" s="42" t="str">
        <f t="shared" ca="1" si="32"/>
        <v>Over 90+ days</v>
      </c>
      <c r="P19" s="42" t="s">
        <v>118</v>
      </c>
      <c r="Q19" s="46">
        <v>46006</v>
      </c>
      <c r="R19" s="46">
        <v>46037</v>
      </c>
      <c r="S19" s="42" t="s">
        <v>94</v>
      </c>
      <c r="T19" s="42" t="s">
        <v>129</v>
      </c>
      <c r="U19" s="42" t="s">
        <v>96</v>
      </c>
      <c r="V19" s="42" t="s">
        <v>104</v>
      </c>
      <c r="W19" s="87" t="s">
        <v>120</v>
      </c>
      <c r="X19" s="42"/>
      <c r="Y19" s="84">
        <f>VLOOKUP(T19,'[1]Query result'!$J:$K,2,0)</f>
        <v>46037</v>
      </c>
      <c r="Z19" s="42">
        <f>VLOOKUP(T19,'[1]Query result'!$J:$W,14,0)</f>
        <v>0</v>
      </c>
      <c r="AA19" s="48">
        <f t="shared" si="4"/>
        <v>2583.39</v>
      </c>
    </row>
    <row r="20" spans="1:27">
      <c r="A20" s="42" t="s">
        <v>56</v>
      </c>
      <c r="B20" s="42" t="s">
        <v>130</v>
      </c>
      <c r="C20" s="42" t="str">
        <f>VLOOKUP(B20,Validation!A:B,2,0)</f>
        <v>MEA</v>
      </c>
      <c r="D20" s="42" t="str">
        <f>VLOOKUP(B20,Validation!A:D,4,0)</f>
        <v>Jerome Coelho</v>
      </c>
      <c r="E20" s="42" t="str">
        <f>VLOOKUP(B20,Validation!A:E,5,0)</f>
        <v>Ashraf Omran</v>
      </c>
      <c r="F20" s="42" t="s">
        <v>58</v>
      </c>
      <c r="G20" s="42">
        <f t="shared" si="0"/>
        <v>2025</v>
      </c>
      <c r="H20" s="42" t="s">
        <v>57</v>
      </c>
      <c r="I20" s="42" t="s">
        <v>92</v>
      </c>
      <c r="J20" s="66">
        <f>VLOOKUP(I20,'XE rates'!A:D,4,0)*K20</f>
        <v>57.489999999999782</v>
      </c>
      <c r="K20" s="56">
        <v>57.489999999999782</v>
      </c>
      <c r="L20" s="46">
        <v>45962</v>
      </c>
      <c r="M20" s="47" t="str">
        <f t="shared" si="30"/>
        <v>Nov</v>
      </c>
      <c r="N20" s="42">
        <f t="shared" ca="1" si="31"/>
        <v>232</v>
      </c>
      <c r="O20" s="42" t="str">
        <f t="shared" ca="1" si="32"/>
        <v>Over 90+ days</v>
      </c>
      <c r="P20" s="42" t="s">
        <v>93</v>
      </c>
      <c r="Q20" s="46">
        <v>45993</v>
      </c>
      <c r="R20" s="46">
        <v>46000</v>
      </c>
      <c r="S20" s="42" t="s">
        <v>108</v>
      </c>
      <c r="T20" s="42" t="s">
        <v>131</v>
      </c>
      <c r="U20" s="42" t="s">
        <v>96</v>
      </c>
      <c r="V20" s="42" t="s">
        <v>104</v>
      </c>
      <c r="W20" s="87" t="s">
        <v>132</v>
      </c>
      <c r="X20" s="42"/>
      <c r="Y20" s="84">
        <f>VLOOKUP(T20,'[1]Query result'!$J:$K,2,0)</f>
        <v>46000</v>
      </c>
      <c r="Z20" s="42">
        <f>VLOOKUP(T20,'[1]Query result'!$J:$W,14,0)</f>
        <v>0</v>
      </c>
      <c r="AA20" s="48">
        <f t="shared" si="4"/>
        <v>57.489999999999782</v>
      </c>
    </row>
    <row r="21" spans="1:27">
      <c r="A21" s="42" t="s">
        <v>56</v>
      </c>
      <c r="B21" s="42" t="s">
        <v>29</v>
      </c>
      <c r="C21" s="42" t="str">
        <f>VLOOKUP(B21,Validation!A:B,2,0)</f>
        <v>Americas</v>
      </c>
      <c r="D21" s="42" t="str">
        <f>VLOOKUP(B21,Validation!A:D,4,0)</f>
        <v>Lia Susin</v>
      </c>
      <c r="E21" s="42" t="str">
        <f>VLOOKUP(B21,Validation!A:E,5,0)</f>
        <v>Christina Hutchinson</v>
      </c>
      <c r="F21" s="42" t="s">
        <v>58</v>
      </c>
      <c r="G21" s="42">
        <f t="shared" si="0"/>
        <v>2025</v>
      </c>
      <c r="H21" s="42" t="s">
        <v>57</v>
      </c>
      <c r="I21" s="42" t="s">
        <v>92</v>
      </c>
      <c r="J21" s="66">
        <f>VLOOKUP(I21,'XE rates'!A:D,4,0)*K21</f>
        <v>1786.14</v>
      </c>
      <c r="K21" s="56">
        <v>1786.14</v>
      </c>
      <c r="L21" s="46">
        <v>45962</v>
      </c>
      <c r="M21" s="47" t="str">
        <f t="shared" si="30"/>
        <v>Nov</v>
      </c>
      <c r="N21" s="42">
        <f t="shared" ca="1" si="31"/>
        <v>232</v>
      </c>
      <c r="O21" s="42" t="str">
        <f t="shared" ca="1" si="32"/>
        <v>Over 90+ days</v>
      </c>
      <c r="P21" s="42" t="s">
        <v>93</v>
      </c>
      <c r="Q21" s="46">
        <v>45993</v>
      </c>
      <c r="R21" s="46">
        <v>46000</v>
      </c>
      <c r="S21" s="42" t="s">
        <v>94</v>
      </c>
      <c r="T21" s="42" t="s">
        <v>133</v>
      </c>
      <c r="U21" s="42" t="s">
        <v>96</v>
      </c>
      <c r="V21" s="42" t="s">
        <v>104</v>
      </c>
      <c r="W21" s="86" t="s">
        <v>105</v>
      </c>
      <c r="X21" s="42"/>
      <c r="Y21" s="84">
        <f>VLOOKUP(T21,'[1]Query result'!$J:$K,2,0)</f>
        <v>46000</v>
      </c>
      <c r="Z21" s="42">
        <f>VLOOKUP(T21,'[1]Query result'!$J:$W,14,0)</f>
        <v>0</v>
      </c>
      <c r="AA21" s="48">
        <f t="shared" ref="AA21:AA27" si="33">K21-Z21</f>
        <v>1786.14</v>
      </c>
    </row>
    <row r="22" spans="1:27">
      <c r="A22" s="42" t="s">
        <v>69</v>
      </c>
      <c r="B22" s="42" t="s">
        <v>136</v>
      </c>
      <c r="C22" s="42" t="str">
        <f>VLOOKUP(B22,Validation!A:B,2,0)</f>
        <v>Shared Center</v>
      </c>
      <c r="D22" s="42" t="str">
        <f>VLOOKUP(B22,Validation!A:D,4,0)</f>
        <v>Bhavani</v>
      </c>
      <c r="E22" s="42" t="str">
        <f>VLOOKUP(B22,Validation!A:E,5,0)</f>
        <v>NA</v>
      </c>
      <c r="F22" s="42" t="s">
        <v>58</v>
      </c>
      <c r="G22" s="42">
        <f t="shared" si="0"/>
        <v>2025</v>
      </c>
      <c r="H22" s="42" t="s">
        <v>57</v>
      </c>
      <c r="I22" s="42" t="s">
        <v>92</v>
      </c>
      <c r="J22" s="66">
        <f>VLOOKUP(I22,'XE rates'!A:D,4,0)*K22</f>
        <v>2217.6</v>
      </c>
      <c r="K22" s="56">
        <v>2217.6</v>
      </c>
      <c r="L22" s="46">
        <v>45992</v>
      </c>
      <c r="M22" s="47" t="str">
        <f t="shared" ref="M22:M27" si="34">TEXT(L22,"mmm")</f>
        <v>Dec</v>
      </c>
      <c r="N22" s="42">
        <f t="shared" ref="N22:N27" ca="1" si="35">$Y$1-R22</f>
        <v>193</v>
      </c>
      <c r="O22" s="42" t="str">
        <f t="shared" ref="O22:O27" ca="1" si="36">IF(N22&lt;=30, "0-30 days", IF(N22&lt;=60, "31-60 days", IF(N22&lt;=90, "61-90 days", "Over 90+ days")))</f>
        <v>Over 90+ days</v>
      </c>
      <c r="P22" s="42" t="s">
        <v>93</v>
      </c>
      <c r="Q22" s="46">
        <v>46024</v>
      </c>
      <c r="R22" s="46">
        <v>46039</v>
      </c>
      <c r="S22" s="42" t="s">
        <v>137</v>
      </c>
      <c r="T22" s="42" t="s">
        <v>138</v>
      </c>
      <c r="U22" s="42" t="s">
        <v>96</v>
      </c>
      <c r="V22" s="42" t="s">
        <v>104</v>
      </c>
      <c r="W22" s="87" t="s">
        <v>139</v>
      </c>
      <c r="X22" s="42"/>
      <c r="Y22" s="84">
        <f>VLOOKUP(T22,'[1]Query result'!$J:$K,2,0)</f>
        <v>46039</v>
      </c>
      <c r="Z22" s="42"/>
      <c r="AA22" s="48"/>
    </row>
    <row r="23" spans="1:27">
      <c r="A23" s="42" t="s">
        <v>56</v>
      </c>
      <c r="B23" s="42" t="s">
        <v>117</v>
      </c>
      <c r="C23" s="42" t="str">
        <f>VLOOKUP(B23,Validation!A:B,2,0)</f>
        <v>APAC</v>
      </c>
      <c r="D23" s="42" t="str">
        <f>VLOOKUP(B23,Validation!A:D,4,0)</f>
        <v>Hao Nguyen</v>
      </c>
      <c r="E23" s="42" t="str">
        <f>VLOOKUP(B23,Validation!A:E,5,0)</f>
        <v>Vinoth M</v>
      </c>
      <c r="F23" s="42" t="s">
        <v>58</v>
      </c>
      <c r="G23" s="42">
        <f t="shared" si="0"/>
        <v>2025</v>
      </c>
      <c r="H23" s="42" t="s">
        <v>57</v>
      </c>
      <c r="I23" s="42" t="s">
        <v>107</v>
      </c>
      <c r="J23" s="66">
        <f>VLOOKUP(I23,'XE rates'!A:D,4,0)*K23</f>
        <v>832.15973693026615</v>
      </c>
      <c r="K23" s="56">
        <v>1187.5180000000037</v>
      </c>
      <c r="L23" s="46">
        <v>45992</v>
      </c>
      <c r="M23" s="47" t="str">
        <f t="shared" si="34"/>
        <v>Dec</v>
      </c>
      <c r="N23" s="42">
        <f t="shared" ca="1" si="35"/>
        <v>174</v>
      </c>
      <c r="O23" s="42" t="str">
        <f t="shared" ca="1" si="36"/>
        <v>Over 90+ days</v>
      </c>
      <c r="P23" s="42" t="s">
        <v>93</v>
      </c>
      <c r="Q23" s="46">
        <v>46028</v>
      </c>
      <c r="R23" s="46">
        <v>46058</v>
      </c>
      <c r="S23" s="42" t="s">
        <v>94</v>
      </c>
      <c r="T23" s="42" t="s">
        <v>140</v>
      </c>
      <c r="U23" s="42" t="s">
        <v>96</v>
      </c>
      <c r="V23" s="42" t="s">
        <v>104</v>
      </c>
      <c r="W23" s="87" t="s">
        <v>120</v>
      </c>
      <c r="X23" s="42"/>
      <c r="Y23" s="84">
        <f>VLOOKUP(T23,'[1]Query result'!$J:$K,2,0)</f>
        <v>46058</v>
      </c>
      <c r="Z23" s="42">
        <f>VLOOKUP(T23,'[1]Query result'!$J:$W,14,0)</f>
        <v>0</v>
      </c>
      <c r="AA23" s="48">
        <f t="shared" si="33"/>
        <v>1187.5180000000037</v>
      </c>
    </row>
    <row r="24" spans="1:27">
      <c r="A24" s="42" t="s">
        <v>56</v>
      </c>
      <c r="B24" s="42" t="s">
        <v>141</v>
      </c>
      <c r="C24" s="42" t="str">
        <f>VLOOKUP(B24,Validation!A:B,2,0)</f>
        <v>APAC</v>
      </c>
      <c r="D24" s="42" t="str">
        <f>VLOOKUP(B24,Validation!A:D,4,0)</f>
        <v>NA</v>
      </c>
      <c r="E24" s="42" t="str">
        <f>VLOOKUP(B24,Validation!A:E,5,0)</f>
        <v>Denis Tan</v>
      </c>
      <c r="F24" s="42" t="s">
        <v>58</v>
      </c>
      <c r="G24" s="42">
        <f t="shared" ref="G24:G28" si="37">YEAR(L24)</f>
        <v>2025</v>
      </c>
      <c r="H24" s="42" t="s">
        <v>57</v>
      </c>
      <c r="I24" s="42" t="s">
        <v>92</v>
      </c>
      <c r="J24" s="66">
        <f>VLOOKUP(I24,'XE rates'!A:D,4,0)*K24</f>
        <v>1.72</v>
      </c>
      <c r="K24" s="56">
        <v>1.72</v>
      </c>
      <c r="L24" s="46">
        <v>45992</v>
      </c>
      <c r="M24" s="47" t="str">
        <f t="shared" si="34"/>
        <v>Dec</v>
      </c>
      <c r="N24" s="42">
        <f t="shared" ca="1" si="35"/>
        <v>198</v>
      </c>
      <c r="O24" s="42" t="str">
        <f t="shared" ca="1" si="36"/>
        <v>Over 90+ days</v>
      </c>
      <c r="P24" s="42" t="s">
        <v>93</v>
      </c>
      <c r="Q24" s="46">
        <v>46027</v>
      </c>
      <c r="R24" s="46">
        <v>46034</v>
      </c>
      <c r="S24" s="42" t="s">
        <v>94</v>
      </c>
      <c r="T24" s="42" t="s">
        <v>142</v>
      </c>
      <c r="U24" s="42" t="s">
        <v>96</v>
      </c>
      <c r="V24" s="42" t="s">
        <v>104</v>
      </c>
      <c r="W24" s="42" t="s">
        <v>143</v>
      </c>
      <c r="X24" s="42"/>
      <c r="Y24" s="84">
        <f>VLOOKUP(T24,'[1]Query result'!$J:$K,2,0)</f>
        <v>46034</v>
      </c>
      <c r="Z24" s="42">
        <f>VLOOKUP(T24,'[1]Query result'!$J:$W,14,0)</f>
        <v>0</v>
      </c>
      <c r="AA24" s="48">
        <f t="shared" si="33"/>
        <v>1.72</v>
      </c>
    </row>
    <row r="25" spans="1:27">
      <c r="A25" s="42" t="s">
        <v>56</v>
      </c>
      <c r="B25" s="42" t="s">
        <v>130</v>
      </c>
      <c r="C25" s="42" t="str">
        <f>VLOOKUP(B25,Validation!A:B,2,0)</f>
        <v>MEA</v>
      </c>
      <c r="D25" s="42" t="str">
        <f>VLOOKUP(B25,Validation!A:D,4,0)</f>
        <v>Jerome Coelho</v>
      </c>
      <c r="E25" s="42" t="str">
        <f>VLOOKUP(B25,Validation!A:E,5,0)</f>
        <v>Ashraf Omran</v>
      </c>
      <c r="F25" s="42" t="s">
        <v>58</v>
      </c>
      <c r="G25" s="42">
        <f t="shared" si="37"/>
        <v>2025</v>
      </c>
      <c r="H25" s="42" t="s">
        <v>57</v>
      </c>
      <c r="I25" s="42" t="s">
        <v>92</v>
      </c>
      <c r="J25" s="66">
        <f>VLOOKUP(I25,'XE rates'!A:D,4,0)*K25</f>
        <v>2500</v>
      </c>
      <c r="K25" s="56">
        <v>2500</v>
      </c>
      <c r="L25" s="46">
        <v>45992</v>
      </c>
      <c r="M25" s="47" t="str">
        <f t="shared" si="34"/>
        <v>Dec</v>
      </c>
      <c r="N25" s="42">
        <f t="shared" ca="1" si="35"/>
        <v>198</v>
      </c>
      <c r="O25" s="42" t="str">
        <f t="shared" ca="1" si="36"/>
        <v>Over 90+ days</v>
      </c>
      <c r="P25" s="42" t="s">
        <v>93</v>
      </c>
      <c r="Q25" s="46">
        <v>46027</v>
      </c>
      <c r="R25" s="46">
        <v>46034</v>
      </c>
      <c r="S25" s="42" t="s">
        <v>112</v>
      </c>
      <c r="T25" s="42" t="s">
        <v>144</v>
      </c>
      <c r="U25" s="42" t="s">
        <v>96</v>
      </c>
      <c r="V25" s="42" t="s">
        <v>104</v>
      </c>
      <c r="W25" s="87" t="s">
        <v>132</v>
      </c>
      <c r="X25" s="42"/>
      <c r="Y25" s="84">
        <f>VLOOKUP(T25,'[1]Query result'!$J:$K,2,0)</f>
        <v>46034</v>
      </c>
      <c r="Z25" s="42">
        <f>VLOOKUP(T25,'[1]Query result'!$J:$W,14,0)</f>
        <v>0</v>
      </c>
      <c r="AA25" s="48">
        <f t="shared" si="33"/>
        <v>2500</v>
      </c>
    </row>
    <row r="26" spans="1:27">
      <c r="A26" s="42" t="s">
        <v>56</v>
      </c>
      <c r="B26" s="42" t="s">
        <v>121</v>
      </c>
      <c r="C26" s="42" t="str">
        <f>VLOOKUP(B26,Validation!A:B,2,0)</f>
        <v>EU/UK</v>
      </c>
      <c r="D26" s="42" t="str">
        <f>VLOOKUP(B26,Validation!A:D,4,0)</f>
        <v>Sachli Zare</v>
      </c>
      <c r="E26" s="42" t="str">
        <f>VLOOKUP(B26,Validation!A:E,5,0)</f>
        <v>NA</v>
      </c>
      <c r="F26" s="42" t="s">
        <v>58</v>
      </c>
      <c r="G26" s="42">
        <f t="shared" si="37"/>
        <v>2025</v>
      </c>
      <c r="H26" s="42" t="s">
        <v>57</v>
      </c>
      <c r="I26" s="42" t="s">
        <v>92</v>
      </c>
      <c r="J26" s="66">
        <f>VLOOKUP(I26,'XE rates'!A:D,4,0)*K26</f>
        <v>2.5</v>
      </c>
      <c r="K26" s="56">
        <v>2.5</v>
      </c>
      <c r="L26" s="46">
        <v>45992</v>
      </c>
      <c r="M26" s="47" t="str">
        <f t="shared" si="34"/>
        <v>Dec</v>
      </c>
      <c r="N26" s="42">
        <f t="shared" ca="1" si="35"/>
        <v>198</v>
      </c>
      <c r="O26" s="42" t="str">
        <f t="shared" ca="1" si="36"/>
        <v>Over 90+ days</v>
      </c>
      <c r="P26" s="42" t="s">
        <v>93</v>
      </c>
      <c r="Q26" s="46">
        <v>46027</v>
      </c>
      <c r="R26" s="46">
        <v>46034</v>
      </c>
      <c r="S26" s="42" t="s">
        <v>94</v>
      </c>
      <c r="T26" s="42" t="s">
        <v>145</v>
      </c>
      <c r="U26" s="42" t="s">
        <v>96</v>
      </c>
      <c r="V26" s="42" t="s">
        <v>104</v>
      </c>
      <c r="W26" s="42" t="s">
        <v>123</v>
      </c>
      <c r="X26" s="42"/>
      <c r="Y26" s="84">
        <f>VLOOKUP(T26,'[1]Query result'!$J:$K,2,0)</f>
        <v>46034</v>
      </c>
      <c r="Z26" s="42">
        <f>VLOOKUP(T26,'[1]Query result'!$J:$W,14,0)</f>
        <v>0</v>
      </c>
      <c r="AA26" s="48">
        <f t="shared" si="33"/>
        <v>2.5</v>
      </c>
    </row>
    <row r="27" spans="1:27">
      <c r="A27" s="42" t="s">
        <v>56</v>
      </c>
      <c r="B27" s="42" t="s">
        <v>29</v>
      </c>
      <c r="C27" s="42" t="str">
        <f>VLOOKUP(B27,Validation!A:B,2,0)</f>
        <v>Americas</v>
      </c>
      <c r="D27" s="42" t="str">
        <f>VLOOKUP(B27,Validation!A:D,4,0)</f>
        <v>Lia Susin</v>
      </c>
      <c r="E27" s="42" t="str">
        <f>VLOOKUP(B27,Validation!A:E,5,0)</f>
        <v>Christina Hutchinson</v>
      </c>
      <c r="F27" s="42" t="s">
        <v>58</v>
      </c>
      <c r="G27" s="42">
        <f t="shared" si="37"/>
        <v>2025</v>
      </c>
      <c r="H27" s="42" t="s">
        <v>57</v>
      </c>
      <c r="I27" s="42" t="s">
        <v>92</v>
      </c>
      <c r="J27" s="66">
        <f>VLOOKUP(I27,'XE rates'!A:D,4,0)*K27</f>
        <v>1659.6200000000001</v>
      </c>
      <c r="K27" s="56">
        <v>1659.6200000000001</v>
      </c>
      <c r="L27" s="46">
        <v>45992</v>
      </c>
      <c r="M27" s="47" t="str">
        <f t="shared" si="34"/>
        <v>Dec</v>
      </c>
      <c r="N27" s="42">
        <f t="shared" ca="1" si="35"/>
        <v>198</v>
      </c>
      <c r="O27" s="42" t="str">
        <f t="shared" ca="1" si="36"/>
        <v>Over 90+ days</v>
      </c>
      <c r="P27" s="42" t="s">
        <v>93</v>
      </c>
      <c r="Q27" s="46">
        <v>46027</v>
      </c>
      <c r="R27" s="46">
        <v>46034</v>
      </c>
      <c r="S27" s="42" t="s">
        <v>94</v>
      </c>
      <c r="T27" s="42" t="s">
        <v>146</v>
      </c>
      <c r="U27" s="42" t="s">
        <v>96</v>
      </c>
      <c r="V27" s="42" t="s">
        <v>104</v>
      </c>
      <c r="W27" s="86" t="s">
        <v>105</v>
      </c>
      <c r="X27" s="42"/>
      <c r="Y27" s="84">
        <f>VLOOKUP(T27,'[1]Query result'!$J:$K,2,0)</f>
        <v>46034</v>
      </c>
      <c r="Z27" s="42">
        <f>VLOOKUP(T27,'[1]Query result'!$J:$W,14,0)</f>
        <v>0</v>
      </c>
      <c r="AA27" s="48">
        <f t="shared" si="33"/>
        <v>1659.6200000000001</v>
      </c>
    </row>
    <row r="28" spans="1:27">
      <c r="A28" s="42" t="s">
        <v>56</v>
      </c>
      <c r="B28" s="42" t="s">
        <v>117</v>
      </c>
      <c r="C28" s="42" t="str">
        <f>VLOOKUP(B28,Validation!A:B,2,0)</f>
        <v>APAC</v>
      </c>
      <c r="D28" s="42" t="str">
        <f>VLOOKUP(B28,Validation!A:D,4,0)</f>
        <v>Hao Nguyen</v>
      </c>
      <c r="E28" s="42" t="str">
        <f>VLOOKUP(B28,Validation!A:E,5,0)</f>
        <v>Vinoth M</v>
      </c>
      <c r="F28" s="42" t="s">
        <v>58</v>
      </c>
      <c r="G28" s="42">
        <f t="shared" si="37"/>
        <v>2025</v>
      </c>
      <c r="H28" s="42" t="s">
        <v>57</v>
      </c>
      <c r="I28" s="42" t="s">
        <v>107</v>
      </c>
      <c r="J28" s="66">
        <f>VLOOKUP(I28,'XE rates'!A:D,4,0)*K28</f>
        <v>1558.6693743268543</v>
      </c>
      <c r="K28" s="67">
        <v>2224.27</v>
      </c>
      <c r="L28" s="46">
        <v>45992</v>
      </c>
      <c r="M28" s="47" t="str">
        <f t="shared" ref="M28" si="38">TEXT(L28,"mmm")</f>
        <v>Dec</v>
      </c>
      <c r="N28" s="42">
        <f ca="1">$Y$1-R28</f>
        <v>156</v>
      </c>
      <c r="O28" s="42" t="str">
        <f t="shared" ref="O28" ca="1" si="39">IF(N28&lt;=30, "0-30 days", IF(N28&lt;=60, "31-60 days", IF(N28&lt;=90, "61-90 days", "Over 90+ days")))</f>
        <v>Over 90+ days</v>
      </c>
      <c r="P28" s="42" t="s">
        <v>118</v>
      </c>
      <c r="Q28" s="46">
        <v>46045</v>
      </c>
      <c r="R28" s="46">
        <v>46076</v>
      </c>
      <c r="S28" s="42" t="s">
        <v>94</v>
      </c>
      <c r="T28" s="42" t="s">
        <v>147</v>
      </c>
      <c r="U28" s="42" t="s">
        <v>96</v>
      </c>
      <c r="V28" s="42" t="s">
        <v>104</v>
      </c>
      <c r="W28" s="87" t="s">
        <v>120</v>
      </c>
      <c r="X28" s="42"/>
      <c r="Y28" s="84"/>
      <c r="Z28" s="42"/>
      <c r="AA28" s="42"/>
    </row>
    <row r="29" spans="1:27">
      <c r="A29" s="42" t="s">
        <v>56</v>
      </c>
      <c r="B29" s="42" t="s">
        <v>117</v>
      </c>
      <c r="C29" s="42" t="str">
        <f>VLOOKUP(B29,Validation!A:B,2,0)</f>
        <v>APAC</v>
      </c>
      <c r="D29" s="42" t="str">
        <f>VLOOKUP(B29,Validation!A:D,4,0)</f>
        <v>Hao Nguyen</v>
      </c>
      <c r="E29" s="42" t="str">
        <f>VLOOKUP(B29,Validation!A:E,5,0)</f>
        <v>Vinoth M</v>
      </c>
      <c r="F29" s="42" t="s">
        <v>58</v>
      </c>
      <c r="G29" s="42">
        <f t="shared" ref="G29:G33" si="40">YEAR(L29)</f>
        <v>2026</v>
      </c>
      <c r="H29" s="42" t="s">
        <v>57</v>
      </c>
      <c r="I29" s="42" t="s">
        <v>107</v>
      </c>
      <c r="J29" s="66">
        <f>VLOOKUP(I29,'XE rates'!A:D,4,0)*K29</f>
        <v>3733.1759720468026</v>
      </c>
      <c r="K29" s="56">
        <v>5327.359000000004</v>
      </c>
      <c r="L29" s="46">
        <v>46023</v>
      </c>
      <c r="M29" s="47" t="str">
        <f t="shared" ref="M29:M30" si="41">TEXT(L29,"mmm")</f>
        <v>Jan</v>
      </c>
      <c r="N29" s="42">
        <f t="shared" ref="N29:N30" ca="1" si="42">$Y$1-R29</f>
        <v>165</v>
      </c>
      <c r="O29" s="42" t="str">
        <f t="shared" ref="O29:O30" ca="1" si="43">IF(N29&lt;=30, "0-30 days", IF(N29&lt;=60, "31-60 days", IF(N29&lt;=90, "61-90 days", "Over 90+ days")))</f>
        <v>Over 90+ days</v>
      </c>
      <c r="P29" s="42" t="s">
        <v>93</v>
      </c>
      <c r="Q29" s="46">
        <v>46060</v>
      </c>
      <c r="R29" s="46">
        <v>46067</v>
      </c>
      <c r="S29" s="42" t="s">
        <v>94</v>
      </c>
      <c r="T29" s="42" t="s">
        <v>148</v>
      </c>
      <c r="U29" s="42" t="s">
        <v>96</v>
      </c>
      <c r="V29" s="42" t="s">
        <v>104</v>
      </c>
      <c r="W29" s="87" t="s">
        <v>120</v>
      </c>
      <c r="X29" s="42"/>
      <c r="Y29" s="84"/>
      <c r="Z29" s="42"/>
      <c r="AA29" s="42"/>
    </row>
    <row r="30" spans="1:27">
      <c r="A30" s="42" t="s">
        <v>56</v>
      </c>
      <c r="B30" s="42" t="s">
        <v>141</v>
      </c>
      <c r="C30" s="42" t="str">
        <f>VLOOKUP(B30,Validation!A:B,2,0)</f>
        <v>APAC</v>
      </c>
      <c r="D30" s="42" t="str">
        <f>VLOOKUP(B30,Validation!A:D,4,0)</f>
        <v>NA</v>
      </c>
      <c r="E30" s="42" t="str">
        <f>VLOOKUP(B30,Validation!A:E,5,0)</f>
        <v>Denis Tan</v>
      </c>
      <c r="F30" s="42" t="s">
        <v>58</v>
      </c>
      <c r="G30" s="42">
        <f t="shared" si="40"/>
        <v>2026</v>
      </c>
      <c r="H30" s="42" t="s">
        <v>57</v>
      </c>
      <c r="I30" s="42" t="s">
        <v>92</v>
      </c>
      <c r="J30" s="66">
        <f>VLOOKUP(I30,'XE rates'!A:D,4,0)*K30</f>
        <v>14.19</v>
      </c>
      <c r="K30" s="56">
        <v>14.19</v>
      </c>
      <c r="L30" s="46">
        <v>46023</v>
      </c>
      <c r="M30" s="47" t="str">
        <f t="shared" si="41"/>
        <v>Jan</v>
      </c>
      <c r="N30" s="42">
        <f t="shared" ca="1" si="42"/>
        <v>166</v>
      </c>
      <c r="O30" s="42" t="str">
        <f t="shared" ca="1" si="43"/>
        <v>Over 90+ days</v>
      </c>
      <c r="P30" s="42" t="s">
        <v>93</v>
      </c>
      <c r="Q30" s="46">
        <v>46059</v>
      </c>
      <c r="R30" s="46">
        <v>46066</v>
      </c>
      <c r="S30" s="42" t="s">
        <v>94</v>
      </c>
      <c r="T30" s="42" t="s">
        <v>149</v>
      </c>
      <c r="U30" s="42" t="s">
        <v>96</v>
      </c>
      <c r="V30" s="42" t="s">
        <v>104</v>
      </c>
      <c r="W30" s="42" t="s">
        <v>143</v>
      </c>
      <c r="X30" s="42"/>
      <c r="Y30" s="84"/>
      <c r="Z30" s="42"/>
      <c r="AA30" s="42"/>
    </row>
    <row r="31" spans="1:27">
      <c r="A31" s="42" t="s">
        <v>56</v>
      </c>
      <c r="B31" s="42" t="s">
        <v>130</v>
      </c>
      <c r="C31" s="42" t="str">
        <f>VLOOKUP(B31,Validation!A:B,2,0)</f>
        <v>MEA</v>
      </c>
      <c r="D31" s="42" t="str">
        <f>VLOOKUP(B31,Validation!A:D,4,0)</f>
        <v>Jerome Coelho</v>
      </c>
      <c r="E31" s="42" t="str">
        <f>VLOOKUP(B31,Validation!A:E,5,0)</f>
        <v>Ashraf Omran</v>
      </c>
      <c r="F31" s="42" t="s">
        <v>58</v>
      </c>
      <c r="G31" s="42">
        <f t="shared" si="40"/>
        <v>2026</v>
      </c>
      <c r="H31" s="42" t="s">
        <v>57</v>
      </c>
      <c r="I31" s="42" t="s">
        <v>92</v>
      </c>
      <c r="J31" s="66">
        <f>VLOOKUP(I31,'XE rates'!A:D,4,0)*K31</f>
        <v>2500</v>
      </c>
      <c r="K31" s="56">
        <v>2500</v>
      </c>
      <c r="L31" s="46">
        <v>46023</v>
      </c>
      <c r="M31" s="47" t="str">
        <f t="shared" ref="M31:M33" si="44">TEXT(L31,"mmm")</f>
        <v>Jan</v>
      </c>
      <c r="N31" s="42">
        <f t="shared" ref="N31:N33" ca="1" si="45">$Y$1-R31</f>
        <v>170</v>
      </c>
      <c r="O31" s="42" t="str">
        <f t="shared" ref="O31:O33" ca="1" si="46">IF(N31&lt;=30, "0-30 days", IF(N31&lt;=60, "31-60 days", IF(N31&lt;=90, "61-90 days", "Over 90+ days")))</f>
        <v>Over 90+ days</v>
      </c>
      <c r="P31" s="42" t="s">
        <v>93</v>
      </c>
      <c r="Q31" s="46">
        <v>46055</v>
      </c>
      <c r="R31" s="46">
        <v>46062</v>
      </c>
      <c r="S31" s="42" t="s">
        <v>112</v>
      </c>
      <c r="T31" s="42" t="s">
        <v>150</v>
      </c>
      <c r="U31" s="42" t="s">
        <v>96</v>
      </c>
      <c r="V31" s="42" t="s">
        <v>104</v>
      </c>
      <c r="W31" s="87" t="s">
        <v>132</v>
      </c>
      <c r="X31" s="42"/>
      <c r="Y31" s="84"/>
      <c r="Z31" s="42"/>
      <c r="AA31" s="42"/>
    </row>
    <row r="32" spans="1:27">
      <c r="A32" s="42" t="s">
        <v>56</v>
      </c>
      <c r="B32" s="42" t="s">
        <v>134</v>
      </c>
      <c r="C32" s="42" t="str">
        <f>VLOOKUP(B32,Validation!A:B,2,0)</f>
        <v>Shared Center</v>
      </c>
      <c r="D32" s="42" t="str">
        <f>VLOOKUP(B32,Validation!A:D,4,0)</f>
        <v>Sanat Patakar</v>
      </c>
      <c r="E32" s="42" t="str">
        <f>VLOOKUP(B32,Validation!A:E,5,0)</f>
        <v>Vinoth M</v>
      </c>
      <c r="F32" s="42" t="s">
        <v>58</v>
      </c>
      <c r="G32" s="42">
        <f t="shared" si="40"/>
        <v>2026</v>
      </c>
      <c r="H32" s="42" t="s">
        <v>57</v>
      </c>
      <c r="I32" s="42" t="s">
        <v>92</v>
      </c>
      <c r="J32" s="66">
        <f>VLOOKUP(I32,'XE rates'!A:D,4,0)*K32</f>
        <v>2965</v>
      </c>
      <c r="K32" s="56">
        <v>2965</v>
      </c>
      <c r="L32" s="46">
        <v>46023</v>
      </c>
      <c r="M32" s="47" t="str">
        <f t="shared" si="44"/>
        <v>Jan</v>
      </c>
      <c r="N32" s="42">
        <f t="shared" ca="1" si="45"/>
        <v>167</v>
      </c>
      <c r="O32" s="42" t="str">
        <f t="shared" ca="1" si="46"/>
        <v>Over 90+ days</v>
      </c>
      <c r="P32" s="42" t="s">
        <v>93</v>
      </c>
      <c r="Q32" s="46">
        <v>46058</v>
      </c>
      <c r="R32" s="46">
        <v>46065</v>
      </c>
      <c r="S32" s="42" t="s">
        <v>94</v>
      </c>
      <c r="T32" s="42" t="s">
        <v>151</v>
      </c>
      <c r="U32" s="42" t="s">
        <v>96</v>
      </c>
      <c r="V32" s="42" t="s">
        <v>96</v>
      </c>
      <c r="W32" s="87" t="s">
        <v>135</v>
      </c>
      <c r="X32" s="42"/>
      <c r="Y32" s="84"/>
      <c r="Z32" s="42"/>
      <c r="AA32" s="42"/>
    </row>
    <row r="33" spans="1:28">
      <c r="A33" s="42" t="s">
        <v>56</v>
      </c>
      <c r="B33" s="42" t="s">
        <v>66</v>
      </c>
      <c r="C33" s="42" t="str">
        <f>VLOOKUP(B33,Validation!A:B,2,0)</f>
        <v>Americas</v>
      </c>
      <c r="D33" s="42" t="str">
        <f>VLOOKUP(B33,Validation!A:D,4,0)</f>
        <v>Tanu Arora</v>
      </c>
      <c r="E33" s="42" t="str">
        <f>VLOOKUP(B33,Validation!A:E,5,0)</f>
        <v>Michael Bermingham</v>
      </c>
      <c r="F33" s="42" t="s">
        <v>58</v>
      </c>
      <c r="G33" s="42">
        <f t="shared" si="40"/>
        <v>2026</v>
      </c>
      <c r="H33" s="42" t="s">
        <v>57</v>
      </c>
      <c r="I33" s="42" t="s">
        <v>92</v>
      </c>
      <c r="J33" s="66">
        <f>VLOOKUP(I33,'XE rates'!A:D,4,0)*K33</f>
        <v>36.32</v>
      </c>
      <c r="K33" s="56">
        <v>36.32</v>
      </c>
      <c r="L33" s="46">
        <v>46023</v>
      </c>
      <c r="M33" s="47" t="str">
        <f t="shared" si="44"/>
        <v>Jan</v>
      </c>
      <c r="N33" s="42">
        <f t="shared" ca="1" si="45"/>
        <v>168</v>
      </c>
      <c r="O33" s="42" t="str">
        <f t="shared" ca="1" si="46"/>
        <v>Over 90+ days</v>
      </c>
      <c r="P33" s="42" t="s">
        <v>93</v>
      </c>
      <c r="Q33" s="46">
        <v>46057</v>
      </c>
      <c r="R33" s="46">
        <v>46064</v>
      </c>
      <c r="S33" s="42" t="s">
        <v>94</v>
      </c>
      <c r="T33" s="42" t="s">
        <v>152</v>
      </c>
      <c r="U33" s="42" t="s">
        <v>96</v>
      </c>
      <c r="V33" s="42" t="s">
        <v>104</v>
      </c>
      <c r="W33" s="87" t="s">
        <v>153</v>
      </c>
      <c r="X33" s="42"/>
      <c r="Y33" s="84"/>
      <c r="Z33" s="42"/>
      <c r="AA33" s="42"/>
    </row>
    <row r="34" spans="1:28">
      <c r="A34" s="42" t="s">
        <v>56</v>
      </c>
      <c r="B34" s="42" t="s">
        <v>117</v>
      </c>
      <c r="C34" s="42" t="str">
        <f>VLOOKUP(B34,Validation!A:B,2,0)</f>
        <v>APAC</v>
      </c>
      <c r="D34" s="42" t="str">
        <f>VLOOKUP(B34,Validation!A:D,4,0)</f>
        <v>Hao Nguyen</v>
      </c>
      <c r="E34" s="42" t="str">
        <f>VLOOKUP(B34,Validation!A:E,5,0)</f>
        <v>Vinoth M</v>
      </c>
      <c r="F34" s="42" t="s">
        <v>58</v>
      </c>
      <c r="G34" s="42">
        <f t="shared" ref="G34" si="47">YEAR(L34)</f>
        <v>2026</v>
      </c>
      <c r="H34" s="42" t="s">
        <v>57</v>
      </c>
      <c r="I34" s="42" t="s">
        <v>107</v>
      </c>
      <c r="J34" s="66">
        <f>VLOOKUP(I34,'XE rates'!A:D,4,0)*K34</f>
        <v>38.905943820951123</v>
      </c>
      <c r="K34" s="42">
        <v>55.52</v>
      </c>
      <c r="L34" s="46">
        <v>46023</v>
      </c>
      <c r="M34" s="47" t="str">
        <f t="shared" ref="M34" si="48">TEXT(L34,"mmm")</f>
        <v>Jan</v>
      </c>
      <c r="N34" s="42">
        <f t="shared" ref="N34" ca="1" si="49">$Y$1-R34</f>
        <v>131</v>
      </c>
      <c r="O34" s="42" t="str">
        <f t="shared" ref="O34" ca="1" si="50">IF(N34&lt;=30, "0-30 days", IF(N34&lt;=60, "31-60 days", IF(N34&lt;=90, "61-90 days", "Over 90+ days")))</f>
        <v>Over 90+ days</v>
      </c>
      <c r="P34" s="42" t="s">
        <v>118</v>
      </c>
      <c r="Q34" s="46">
        <v>46073</v>
      </c>
      <c r="R34" s="46">
        <v>46101</v>
      </c>
      <c r="S34" s="42" t="s">
        <v>94</v>
      </c>
      <c r="T34" s="42" t="s">
        <v>154</v>
      </c>
      <c r="U34" s="42" t="s">
        <v>96</v>
      </c>
      <c r="V34" s="42" t="s">
        <v>104</v>
      </c>
      <c r="W34" s="87" t="s">
        <v>120</v>
      </c>
      <c r="X34" s="42"/>
      <c r="Y34" s="84"/>
      <c r="Z34" s="42"/>
      <c r="AA34" s="42"/>
    </row>
    <row r="35" spans="1:28">
      <c r="A35" s="42" t="s">
        <v>56</v>
      </c>
      <c r="B35" s="42" t="s">
        <v>117</v>
      </c>
      <c r="C35" s="42" t="str">
        <f>VLOOKUP(B35,Validation!A:B,2,0)</f>
        <v>APAC</v>
      </c>
      <c r="D35" s="42" t="str">
        <f>VLOOKUP(B35,Validation!A:D,4,0)</f>
        <v>Hao Nguyen</v>
      </c>
      <c r="E35" s="42" t="str">
        <f>VLOOKUP(B35,Validation!A:E,5,0)</f>
        <v>Vinoth M</v>
      </c>
      <c r="F35" s="42" t="s">
        <v>58</v>
      </c>
      <c r="G35" s="42">
        <f t="shared" ref="G35" si="51">YEAR(L35)</f>
        <v>2026</v>
      </c>
      <c r="H35" s="42" t="s">
        <v>57</v>
      </c>
      <c r="I35" s="42" t="s">
        <v>107</v>
      </c>
      <c r="J35" s="66">
        <f>VLOOKUP(I35,'XE rates'!A:D,4,0)*K35</f>
        <v>2696.4180613860703</v>
      </c>
      <c r="K35" s="68">
        <v>3847.8729999999996</v>
      </c>
      <c r="L35" s="46">
        <v>46054</v>
      </c>
      <c r="M35" s="47" t="str">
        <f t="shared" ref="M35:M44" si="52">TEXT(L35,"mmm")</f>
        <v>Feb</v>
      </c>
      <c r="N35" s="42">
        <f t="shared" ref="N35:N36" ca="1" si="53">$Y$1-R35</f>
        <v>117</v>
      </c>
      <c r="O35" s="42" t="str">
        <f t="shared" ref="O35:O36" ca="1" si="54">IF(N35&lt;=30, "0-30 days", IF(N35&lt;=60, "31-60 days", IF(N35&lt;=90, "61-90 days", "Over 90+ days")))</f>
        <v>Over 90+ days</v>
      </c>
      <c r="P35" s="42" t="s">
        <v>93</v>
      </c>
      <c r="Q35" s="46">
        <v>46085</v>
      </c>
      <c r="R35" s="46">
        <v>46115</v>
      </c>
      <c r="S35" s="42" t="s">
        <v>94</v>
      </c>
      <c r="T35" s="42" t="s">
        <v>155</v>
      </c>
      <c r="U35" s="42" t="s">
        <v>96</v>
      </c>
      <c r="V35" s="42" t="s">
        <v>104</v>
      </c>
      <c r="W35" s="87" t="s">
        <v>120</v>
      </c>
      <c r="X35" s="42"/>
      <c r="Y35" s="84"/>
      <c r="Z35" s="42"/>
      <c r="AA35" s="42"/>
    </row>
    <row r="36" spans="1:28">
      <c r="A36" s="42" t="s">
        <v>56</v>
      </c>
      <c r="B36" s="42" t="s">
        <v>141</v>
      </c>
      <c r="C36" s="42" t="str">
        <f>VLOOKUP(B36,Validation!A:B,2,0)</f>
        <v>APAC</v>
      </c>
      <c r="D36" s="42" t="str">
        <f>VLOOKUP(B36,Validation!A:D,4,0)</f>
        <v>NA</v>
      </c>
      <c r="E36" s="42" t="str">
        <f>VLOOKUP(B36,Validation!A:E,5,0)</f>
        <v>Denis Tan</v>
      </c>
      <c r="F36" s="42" t="s">
        <v>58</v>
      </c>
      <c r="G36" s="42">
        <f t="shared" ref="G36:G45" si="55">YEAR(L36)</f>
        <v>2026</v>
      </c>
      <c r="H36" s="42" t="s">
        <v>57</v>
      </c>
      <c r="I36" s="42" t="s">
        <v>92</v>
      </c>
      <c r="J36" s="66">
        <f>VLOOKUP(I36,'XE rates'!A:D,4,0)*K36</f>
        <v>6.88</v>
      </c>
      <c r="K36" s="68">
        <v>6.88</v>
      </c>
      <c r="L36" s="46">
        <v>46054</v>
      </c>
      <c r="M36" s="47" t="str">
        <f t="shared" si="52"/>
        <v>Feb</v>
      </c>
      <c r="N36" s="42">
        <f t="shared" ca="1" si="53"/>
        <v>140</v>
      </c>
      <c r="O36" s="42" t="str">
        <f t="shared" ca="1" si="54"/>
        <v>Over 90+ days</v>
      </c>
      <c r="P36" s="42" t="s">
        <v>93</v>
      </c>
      <c r="Q36" s="46">
        <v>46085</v>
      </c>
      <c r="R36" s="46">
        <v>46092</v>
      </c>
      <c r="S36" s="42" t="s">
        <v>94</v>
      </c>
      <c r="T36" s="42" t="s">
        <v>156</v>
      </c>
      <c r="U36" s="42" t="s">
        <v>96</v>
      </c>
      <c r="V36" s="42" t="s">
        <v>104</v>
      </c>
      <c r="W36" s="42" t="s">
        <v>143</v>
      </c>
      <c r="X36" s="42"/>
      <c r="Y36" s="84"/>
      <c r="Z36" s="42"/>
      <c r="AA36" s="42"/>
    </row>
    <row r="37" spans="1:28">
      <c r="A37" s="42" t="s">
        <v>56</v>
      </c>
      <c r="B37" s="42" t="s">
        <v>130</v>
      </c>
      <c r="C37" s="42" t="str">
        <f>VLOOKUP(B37,Validation!A:B,2,0)</f>
        <v>MEA</v>
      </c>
      <c r="D37" s="42" t="str">
        <f>VLOOKUP(B37,Validation!A:D,4,0)</f>
        <v>Jerome Coelho</v>
      </c>
      <c r="E37" s="42" t="str">
        <f>VLOOKUP(B37,Validation!A:E,5,0)</f>
        <v>Ashraf Omran</v>
      </c>
      <c r="F37" s="42" t="s">
        <v>58</v>
      </c>
      <c r="G37" s="42">
        <f t="shared" si="55"/>
        <v>2026</v>
      </c>
      <c r="H37" s="42" t="s">
        <v>57</v>
      </c>
      <c r="I37" s="42" t="s">
        <v>92</v>
      </c>
      <c r="J37" s="66">
        <f>VLOOKUP(I37,'XE rates'!A:D,4,0)*K37</f>
        <v>2500</v>
      </c>
      <c r="K37" s="68">
        <v>2500</v>
      </c>
      <c r="L37" s="46">
        <v>46054</v>
      </c>
      <c r="M37" s="47" t="str">
        <f t="shared" si="52"/>
        <v>Feb</v>
      </c>
      <c r="N37" s="42">
        <f t="shared" ref="N37" ca="1" si="56">$Y$1-R37</f>
        <v>142</v>
      </c>
      <c r="O37" s="42" t="str">
        <f t="shared" ref="O37" ca="1" si="57">IF(N37&lt;=30, "0-30 days", IF(N37&lt;=60, "31-60 days", IF(N37&lt;=90, "61-90 days", "Over 90+ days")))</f>
        <v>Over 90+ days</v>
      </c>
      <c r="P37" s="42" t="s">
        <v>93</v>
      </c>
      <c r="Q37" s="46">
        <v>46083</v>
      </c>
      <c r="R37" s="46">
        <v>46090</v>
      </c>
      <c r="S37" s="42" t="s">
        <v>112</v>
      </c>
      <c r="T37" s="42" t="s">
        <v>157</v>
      </c>
      <c r="U37" s="42" t="s">
        <v>96</v>
      </c>
      <c r="V37" s="42" t="s">
        <v>104</v>
      </c>
      <c r="W37" s="87" t="s">
        <v>132</v>
      </c>
      <c r="X37" s="42"/>
      <c r="Y37" s="84"/>
      <c r="Z37" s="42"/>
      <c r="AA37" s="42"/>
    </row>
    <row r="38" spans="1:28">
      <c r="A38" s="42" t="s">
        <v>56</v>
      </c>
      <c r="B38" s="42" t="s">
        <v>121</v>
      </c>
      <c r="C38" s="42" t="str">
        <f>VLOOKUP(B38,Validation!A:B,2,0)</f>
        <v>EU/UK</v>
      </c>
      <c r="D38" s="42" t="str">
        <f>VLOOKUP(B38,Validation!A:D,4,0)</f>
        <v>Sachli Zare</v>
      </c>
      <c r="E38" s="42" t="str">
        <f>VLOOKUP(B38,Validation!A:E,5,0)</f>
        <v>NA</v>
      </c>
      <c r="F38" s="42" t="s">
        <v>58</v>
      </c>
      <c r="G38" s="42">
        <f t="shared" si="55"/>
        <v>2026</v>
      </c>
      <c r="H38" s="42" t="s">
        <v>57</v>
      </c>
      <c r="I38" s="42" t="s">
        <v>92</v>
      </c>
      <c r="J38" s="66">
        <f>VLOOKUP(I38,'XE rates'!A:D,4,0)*K38</f>
        <v>89.8</v>
      </c>
      <c r="K38" s="56">
        <v>89.8</v>
      </c>
      <c r="L38" s="46">
        <v>46054</v>
      </c>
      <c r="M38" s="47" t="str">
        <f t="shared" si="52"/>
        <v>Feb</v>
      </c>
      <c r="N38" s="42">
        <f t="shared" ref="N38:N41" ca="1" si="58">$Y$1-R38</f>
        <v>140</v>
      </c>
      <c r="O38" s="42" t="str">
        <f t="shared" ref="O38:O41" ca="1" si="59">IF(N38&lt;=30, "0-30 days", IF(N38&lt;=60, "31-60 days", IF(N38&lt;=90, "61-90 days", "Over 90+ days")))</f>
        <v>Over 90+ days</v>
      </c>
      <c r="P38" s="42" t="s">
        <v>93</v>
      </c>
      <c r="Q38" s="46">
        <v>46085</v>
      </c>
      <c r="R38" s="46">
        <v>46092</v>
      </c>
      <c r="S38" s="42" t="s">
        <v>108</v>
      </c>
      <c r="T38" s="42" t="s">
        <v>158</v>
      </c>
      <c r="U38" s="42" t="s">
        <v>96</v>
      </c>
      <c r="V38" s="42" t="s">
        <v>104</v>
      </c>
      <c r="W38" s="42" t="s">
        <v>123</v>
      </c>
      <c r="X38" s="42"/>
      <c r="Y38" s="84"/>
      <c r="Z38" s="42"/>
      <c r="AA38" s="42"/>
    </row>
    <row r="39" spans="1:28">
      <c r="A39" s="42" t="s">
        <v>56</v>
      </c>
      <c r="B39" s="42" t="s">
        <v>29</v>
      </c>
      <c r="C39" s="42" t="str">
        <f>VLOOKUP(B39,Validation!A:B,2,0)</f>
        <v>Americas</v>
      </c>
      <c r="D39" s="42" t="str">
        <f>VLOOKUP(B39,Validation!A:D,4,0)</f>
        <v>Lia Susin</v>
      </c>
      <c r="E39" s="42" t="str">
        <f>VLOOKUP(B39,Validation!A:E,5,0)</f>
        <v>Christina Hutchinson</v>
      </c>
      <c r="F39" s="42" t="s">
        <v>58</v>
      </c>
      <c r="G39" s="42">
        <f t="shared" si="55"/>
        <v>2026</v>
      </c>
      <c r="H39" s="42" t="s">
        <v>57</v>
      </c>
      <c r="I39" s="42" t="s">
        <v>92</v>
      </c>
      <c r="J39" s="66">
        <f>VLOOKUP(I39,'XE rates'!A:D,4,0)*K39</f>
        <v>608.9699999999998</v>
      </c>
      <c r="K39" s="68">
        <v>608.9699999999998</v>
      </c>
      <c r="L39" s="46">
        <v>46054</v>
      </c>
      <c r="M39" s="47" t="str">
        <f t="shared" si="52"/>
        <v>Feb</v>
      </c>
      <c r="N39" s="42">
        <f t="shared" ca="1" si="58"/>
        <v>141</v>
      </c>
      <c r="O39" s="42" t="str">
        <f t="shared" ca="1" si="59"/>
        <v>Over 90+ days</v>
      </c>
      <c r="P39" s="42" t="s">
        <v>93</v>
      </c>
      <c r="Q39" s="46">
        <v>46084</v>
      </c>
      <c r="R39" s="46">
        <v>46091</v>
      </c>
      <c r="S39" s="42" t="s">
        <v>94</v>
      </c>
      <c r="T39" s="42" t="s">
        <v>159</v>
      </c>
      <c r="U39" s="42" t="s">
        <v>96</v>
      </c>
      <c r="V39" s="42" t="s">
        <v>104</v>
      </c>
      <c r="W39" s="86" t="s">
        <v>105</v>
      </c>
      <c r="X39" s="42"/>
      <c r="Y39" s="84"/>
      <c r="Z39" s="42"/>
      <c r="AA39" s="42"/>
    </row>
    <row r="40" spans="1:28">
      <c r="A40" s="42" t="s">
        <v>56</v>
      </c>
      <c r="B40" s="42" t="s">
        <v>134</v>
      </c>
      <c r="C40" s="42" t="str">
        <f>VLOOKUP(B40,Validation!A:B,2,0)</f>
        <v>Shared Center</v>
      </c>
      <c r="D40" s="42" t="str">
        <f>VLOOKUP(B40,Validation!A:D,4,0)</f>
        <v>Sanat Patakar</v>
      </c>
      <c r="E40" s="42" t="str">
        <f>VLOOKUP(B40,Validation!A:E,5,0)</f>
        <v>Vinoth M</v>
      </c>
      <c r="F40" s="42" t="s">
        <v>58</v>
      </c>
      <c r="G40" s="42">
        <f t="shared" si="55"/>
        <v>2026</v>
      </c>
      <c r="H40" s="42" t="s">
        <v>57</v>
      </c>
      <c r="I40" s="42" t="s">
        <v>92</v>
      </c>
      <c r="J40" s="66">
        <f>VLOOKUP(I40,'XE rates'!A:D,4,0)*K40</f>
        <v>2963.5</v>
      </c>
      <c r="K40" s="68">
        <v>2963.5</v>
      </c>
      <c r="L40" s="46">
        <v>46054</v>
      </c>
      <c r="M40" s="47" t="str">
        <f t="shared" si="52"/>
        <v>Feb</v>
      </c>
      <c r="N40" s="42">
        <f t="shared" ca="1" si="58"/>
        <v>141</v>
      </c>
      <c r="O40" s="42" t="str">
        <f t="shared" ca="1" si="59"/>
        <v>Over 90+ days</v>
      </c>
      <c r="P40" s="42" t="s">
        <v>93</v>
      </c>
      <c r="Q40" s="46">
        <v>46084</v>
      </c>
      <c r="R40" s="46">
        <v>46091</v>
      </c>
      <c r="S40" s="42" t="s">
        <v>94</v>
      </c>
      <c r="T40" s="42" t="s">
        <v>160</v>
      </c>
      <c r="U40" s="42" t="s">
        <v>96</v>
      </c>
      <c r="V40" s="42" t="s">
        <v>96</v>
      </c>
      <c r="W40" s="87" t="s">
        <v>135</v>
      </c>
      <c r="X40" s="42"/>
      <c r="Y40" s="84"/>
      <c r="Z40" s="42"/>
      <c r="AA40" s="42"/>
    </row>
    <row r="41" spans="1:28">
      <c r="A41" s="42" t="s">
        <v>56</v>
      </c>
      <c r="B41" s="42" t="s">
        <v>66</v>
      </c>
      <c r="C41" s="42" t="str">
        <f>VLOOKUP(B41,Validation!A:B,2,0)</f>
        <v>Americas</v>
      </c>
      <c r="D41" s="42" t="str">
        <f>VLOOKUP(B41,Validation!A:D,4,0)</f>
        <v>Tanu Arora</v>
      </c>
      <c r="E41" s="42" t="str">
        <f>VLOOKUP(B41,Validation!A:E,5,0)</f>
        <v>Michael Bermingham</v>
      </c>
      <c r="F41" s="42" t="s">
        <v>58</v>
      </c>
      <c r="G41" s="42">
        <f t="shared" si="55"/>
        <v>2026</v>
      </c>
      <c r="H41" s="42" t="s">
        <v>57</v>
      </c>
      <c r="I41" s="42" t="s">
        <v>92</v>
      </c>
      <c r="J41" s="66">
        <f>VLOOKUP(I41,'XE rates'!A:D,4,0)*K41</f>
        <v>43.5</v>
      </c>
      <c r="K41" s="68">
        <v>43.5</v>
      </c>
      <c r="L41" s="46">
        <v>46054</v>
      </c>
      <c r="M41" s="47" t="str">
        <f t="shared" si="52"/>
        <v>Feb</v>
      </c>
      <c r="N41" s="42">
        <f t="shared" ca="1" si="58"/>
        <v>140</v>
      </c>
      <c r="O41" s="42" t="str">
        <f t="shared" ca="1" si="59"/>
        <v>Over 90+ days</v>
      </c>
      <c r="P41" s="42" t="s">
        <v>93</v>
      </c>
      <c r="Q41" s="46">
        <v>46085</v>
      </c>
      <c r="R41" s="46">
        <v>46092</v>
      </c>
      <c r="S41" s="42" t="s">
        <v>94</v>
      </c>
      <c r="T41" s="42" t="s">
        <v>161</v>
      </c>
      <c r="U41" s="42" t="s">
        <v>96</v>
      </c>
      <c r="V41" s="42" t="s">
        <v>104</v>
      </c>
      <c r="W41" s="87" t="s">
        <v>153</v>
      </c>
      <c r="X41" s="42"/>
      <c r="Y41" s="84"/>
      <c r="Z41" s="42"/>
      <c r="AA41" s="42"/>
    </row>
    <row r="42" spans="1:28" s="12" customFormat="1">
      <c r="A42" s="42" t="s">
        <v>69</v>
      </c>
      <c r="B42" s="42" t="s">
        <v>136</v>
      </c>
      <c r="C42" s="42" t="str">
        <f>VLOOKUP(B42,Validation!A:B,2,0)</f>
        <v>Shared Center</v>
      </c>
      <c r="D42" s="42" t="str">
        <f>VLOOKUP(B42,Validation!A:D,4,0)</f>
        <v>Bhavani</v>
      </c>
      <c r="E42" s="42" t="str">
        <f>VLOOKUP(B42,Validation!A:E,5,0)</f>
        <v>NA</v>
      </c>
      <c r="F42" s="42" t="s">
        <v>58</v>
      </c>
      <c r="G42" s="42">
        <f t="shared" si="55"/>
        <v>2026</v>
      </c>
      <c r="H42" s="42" t="s">
        <v>57</v>
      </c>
      <c r="I42" s="42" t="s">
        <v>92</v>
      </c>
      <c r="J42" s="66">
        <f>VLOOKUP(I42,'XE rates'!A:D,4,0)*K42</f>
        <v>2125.9</v>
      </c>
      <c r="K42" s="56">
        <v>2125.9</v>
      </c>
      <c r="L42" s="46">
        <v>46082</v>
      </c>
      <c r="M42" s="47" t="str">
        <f t="shared" si="52"/>
        <v>Mar</v>
      </c>
      <c r="N42" s="42">
        <f t="shared" ref="N42:N49" ca="1" si="60">$Y$1-R42</f>
        <v>104</v>
      </c>
      <c r="O42" s="42" t="str">
        <f t="shared" ref="O42:O49" ca="1" si="61">IF(N42&lt;=30, "0-30 days", IF(N42&lt;=60, "31-60 days", IF(N42&lt;=90, "61-90 days", "Over 90+ days")))</f>
        <v>Over 90+ days</v>
      </c>
      <c r="P42" s="42" t="s">
        <v>93</v>
      </c>
      <c r="Q42" s="46">
        <v>46113</v>
      </c>
      <c r="R42" s="46">
        <v>46128</v>
      </c>
      <c r="S42" s="42" t="s">
        <v>137</v>
      </c>
      <c r="T42" s="42" t="s">
        <v>164</v>
      </c>
      <c r="U42" s="42" t="s">
        <v>96</v>
      </c>
      <c r="V42" s="42" t="s">
        <v>104</v>
      </c>
      <c r="W42" s="87" t="s">
        <v>139</v>
      </c>
      <c r="X42" s="42"/>
      <c r="Y42" s="84"/>
      <c r="Z42" s="42"/>
      <c r="AA42" s="42"/>
      <c r="AB42"/>
    </row>
    <row r="43" spans="1:28" s="12" customFormat="1">
      <c r="A43" s="42" t="s">
        <v>69</v>
      </c>
      <c r="B43" s="42" t="s">
        <v>165</v>
      </c>
      <c r="C43" s="42" t="str">
        <f>VLOOKUP(B43,Validation!A:B,2,0)</f>
        <v>MEA</v>
      </c>
      <c r="D43" s="42" t="str">
        <f>VLOOKUP(B43,Validation!A:D,4,0)</f>
        <v>Jerome Coelho</v>
      </c>
      <c r="E43" s="42" t="str">
        <f>VLOOKUP(B43,Validation!A:E,5,0)</f>
        <v>Rohit Bammi</v>
      </c>
      <c r="F43" s="42" t="s">
        <v>58</v>
      </c>
      <c r="G43" s="42">
        <f t="shared" si="55"/>
        <v>2026</v>
      </c>
      <c r="H43" s="42" t="s">
        <v>57</v>
      </c>
      <c r="I43" s="42" t="s">
        <v>92</v>
      </c>
      <c r="J43" s="66">
        <f>VLOOKUP(I43,'XE rates'!A:D,4,0)*K43</f>
        <v>2235.75</v>
      </c>
      <c r="K43" s="56">
        <v>2235.75</v>
      </c>
      <c r="L43" s="46">
        <v>46082</v>
      </c>
      <c r="M43" s="47" t="str">
        <f t="shared" si="52"/>
        <v>Mar</v>
      </c>
      <c r="N43" s="42">
        <f t="shared" ca="1" si="60"/>
        <v>111</v>
      </c>
      <c r="O43" s="42" t="str">
        <f t="shared" ca="1" si="61"/>
        <v>Over 90+ days</v>
      </c>
      <c r="P43" s="42" t="s">
        <v>93</v>
      </c>
      <c r="Q43" s="46">
        <v>46114</v>
      </c>
      <c r="R43" s="46">
        <v>46121</v>
      </c>
      <c r="S43" s="42" t="s">
        <v>137</v>
      </c>
      <c r="T43" s="42" t="s">
        <v>166</v>
      </c>
      <c r="U43" s="42" t="s">
        <v>96</v>
      </c>
      <c r="V43" s="42" t="s">
        <v>104</v>
      </c>
      <c r="W43" s="42" t="s">
        <v>61</v>
      </c>
      <c r="X43" s="42"/>
      <c r="Y43" s="84"/>
      <c r="Z43" s="42"/>
      <c r="AA43" s="42"/>
      <c r="AB43"/>
    </row>
    <row r="44" spans="1:28" s="12" customFormat="1">
      <c r="A44" s="42" t="s">
        <v>69</v>
      </c>
      <c r="B44" s="42" t="s">
        <v>167</v>
      </c>
      <c r="C44" s="42" t="str">
        <f>VLOOKUP(B44,Validation!A:B,2,0)</f>
        <v>Shared Center</v>
      </c>
      <c r="D44" s="42" t="str">
        <f>VLOOKUP(B44,Validation!A:D,4,0)</f>
        <v xml:space="preserve">Mrinal </v>
      </c>
      <c r="E44" s="42" t="str">
        <f>VLOOKUP(B44,Validation!A:E,5,0)</f>
        <v>Michael Bermingham</v>
      </c>
      <c r="F44" s="42" t="s">
        <v>58</v>
      </c>
      <c r="G44" s="42">
        <f t="shared" si="55"/>
        <v>2026</v>
      </c>
      <c r="H44" s="42" t="s">
        <v>111</v>
      </c>
      <c r="I44" s="42" t="s">
        <v>92</v>
      </c>
      <c r="J44" s="66">
        <f>VLOOKUP(I44,'XE rates'!A:D,4,0)*K44</f>
        <v>2000</v>
      </c>
      <c r="K44" s="56">
        <v>2000</v>
      </c>
      <c r="L44" s="46">
        <v>46082</v>
      </c>
      <c r="M44" s="47" t="str">
        <f t="shared" si="52"/>
        <v>Mar</v>
      </c>
      <c r="N44" s="42">
        <f t="shared" ca="1" si="60"/>
        <v>113</v>
      </c>
      <c r="O44" s="42" t="str">
        <f t="shared" ca="1" si="61"/>
        <v>Over 90+ days</v>
      </c>
      <c r="P44" s="42" t="s">
        <v>93</v>
      </c>
      <c r="Q44" s="46">
        <v>46114</v>
      </c>
      <c r="R44" s="46">
        <v>46119</v>
      </c>
      <c r="S44" s="42" t="s">
        <v>112</v>
      </c>
      <c r="T44" s="42" t="s">
        <v>168</v>
      </c>
      <c r="U44" s="42" t="s">
        <v>96</v>
      </c>
      <c r="V44" s="42" t="s">
        <v>104</v>
      </c>
      <c r="W44" s="42" t="s">
        <v>61</v>
      </c>
      <c r="X44" s="42"/>
      <c r="Y44" s="84"/>
      <c r="Z44" s="42"/>
      <c r="AA44" s="42"/>
      <c r="AB44"/>
    </row>
    <row r="45" spans="1:28" s="12" customFormat="1">
      <c r="A45" s="42" t="s">
        <v>56</v>
      </c>
      <c r="B45" s="42" t="s">
        <v>169</v>
      </c>
      <c r="C45" s="42" t="str">
        <f>VLOOKUP(B45,Validation!A:B,2,0)</f>
        <v>MEA</v>
      </c>
      <c r="D45" s="42" t="str">
        <f>VLOOKUP(B45,Validation!A:D,4,0)</f>
        <v>Jerome Coelho</v>
      </c>
      <c r="E45" s="42" t="str">
        <f>VLOOKUP(B45,Validation!A:E,5,0)</f>
        <v>Saikat Roy</v>
      </c>
      <c r="F45" s="42" t="s">
        <v>58</v>
      </c>
      <c r="G45" s="42">
        <f t="shared" si="55"/>
        <v>2026</v>
      </c>
      <c r="H45" s="42" t="s">
        <v>57</v>
      </c>
      <c r="I45" s="42" t="s">
        <v>92</v>
      </c>
      <c r="J45" s="66">
        <f>VLOOKUP(I45,'XE rates'!A:D,4,0)*K45</f>
        <v>3000</v>
      </c>
      <c r="K45" s="56">
        <v>3000</v>
      </c>
      <c r="L45" s="46">
        <v>46082</v>
      </c>
      <c r="M45" s="47" t="str">
        <f t="shared" ref="M45:M53" si="62">TEXT(L45,"mmm")</f>
        <v>Mar</v>
      </c>
      <c r="N45" s="42">
        <f t="shared" ca="1" si="60"/>
        <v>111</v>
      </c>
      <c r="O45" s="42" t="str">
        <f t="shared" ca="1" si="61"/>
        <v>Over 90+ days</v>
      </c>
      <c r="P45" s="42" t="s">
        <v>93</v>
      </c>
      <c r="Q45" s="46">
        <v>46114</v>
      </c>
      <c r="R45" s="46">
        <v>46121</v>
      </c>
      <c r="S45" s="42" t="s">
        <v>112</v>
      </c>
      <c r="T45" s="42" t="s">
        <v>170</v>
      </c>
      <c r="U45" s="42" t="s">
        <v>96</v>
      </c>
      <c r="V45" s="42" t="s">
        <v>104</v>
      </c>
      <c r="W45" s="42" t="s">
        <v>171</v>
      </c>
      <c r="X45" s="42"/>
      <c r="Y45" s="84"/>
      <c r="Z45" s="42"/>
      <c r="AA45" s="42"/>
      <c r="AB45"/>
    </row>
    <row r="46" spans="1:28" s="12" customFormat="1">
      <c r="A46" s="42" t="s">
        <v>56</v>
      </c>
      <c r="B46" s="42" t="s">
        <v>117</v>
      </c>
      <c r="C46" s="42" t="str">
        <f>VLOOKUP(B46,Validation!A:B,2,0)</f>
        <v>APAC</v>
      </c>
      <c r="D46" s="42" t="str">
        <f>VLOOKUP(B46,Validation!A:D,4,0)</f>
        <v>Hao Nguyen</v>
      </c>
      <c r="E46" s="42" t="str">
        <f>VLOOKUP(B46,Validation!A:E,5,0)</f>
        <v>Vinoth M</v>
      </c>
      <c r="F46" s="42" t="s">
        <v>58</v>
      </c>
      <c r="G46" s="42">
        <f t="shared" ref="G46:G53" si="63">YEAR(L46)</f>
        <v>2026</v>
      </c>
      <c r="H46" s="42" t="s">
        <v>57</v>
      </c>
      <c r="I46" s="42" t="s">
        <v>107</v>
      </c>
      <c r="J46" s="66">
        <f>VLOOKUP(I46,'XE rates'!A:D,4,0)*K46</f>
        <v>1443.5723902713833</v>
      </c>
      <c r="K46" s="56">
        <v>2060.0230000000001</v>
      </c>
      <c r="L46" s="46">
        <v>46082</v>
      </c>
      <c r="M46" s="47" t="str">
        <f t="shared" si="62"/>
        <v>Mar</v>
      </c>
      <c r="N46" s="42">
        <f t="shared" ca="1" si="60"/>
        <v>88</v>
      </c>
      <c r="O46" s="42" t="str">
        <f t="shared" ca="1" si="61"/>
        <v>61-90 days</v>
      </c>
      <c r="P46" s="42" t="s">
        <v>93</v>
      </c>
      <c r="Q46" s="46">
        <v>46115</v>
      </c>
      <c r="R46" s="46">
        <v>46144</v>
      </c>
      <c r="S46" s="42" t="s">
        <v>94</v>
      </c>
      <c r="T46" s="42" t="s">
        <v>172</v>
      </c>
      <c r="U46" s="42" t="s">
        <v>104</v>
      </c>
      <c r="V46" s="42" t="s">
        <v>104</v>
      </c>
      <c r="W46" s="87" t="s">
        <v>120</v>
      </c>
      <c r="X46" s="42"/>
      <c r="Y46" s="84"/>
      <c r="Z46" s="42"/>
      <c r="AA46" s="42"/>
      <c r="AB46"/>
    </row>
    <row r="47" spans="1:28" s="12" customFormat="1">
      <c r="A47" s="42" t="s">
        <v>56</v>
      </c>
      <c r="B47" s="42" t="s">
        <v>141</v>
      </c>
      <c r="C47" s="42" t="str">
        <f>VLOOKUP(B47,Validation!A:B,2,0)</f>
        <v>APAC</v>
      </c>
      <c r="D47" s="42" t="str">
        <f>VLOOKUP(B47,Validation!A:D,4,0)</f>
        <v>NA</v>
      </c>
      <c r="E47" s="42" t="str">
        <f>VLOOKUP(B47,Validation!A:E,5,0)</f>
        <v>Denis Tan</v>
      </c>
      <c r="F47" s="42" t="s">
        <v>58</v>
      </c>
      <c r="G47" s="42">
        <f t="shared" si="63"/>
        <v>2026</v>
      </c>
      <c r="H47" s="42" t="s">
        <v>57</v>
      </c>
      <c r="I47" s="42" t="s">
        <v>92</v>
      </c>
      <c r="J47" s="66">
        <f>VLOOKUP(I47,'XE rates'!A:D,4,0)*K47</f>
        <v>11.18</v>
      </c>
      <c r="K47" s="56">
        <v>11.18</v>
      </c>
      <c r="L47" s="46">
        <v>46082</v>
      </c>
      <c r="M47" s="47" t="str">
        <f t="shared" si="62"/>
        <v>Mar</v>
      </c>
      <c r="N47" s="42">
        <f t="shared" ca="1" si="60"/>
        <v>110</v>
      </c>
      <c r="O47" s="42" t="str">
        <f t="shared" ca="1" si="61"/>
        <v>Over 90+ days</v>
      </c>
      <c r="P47" s="42" t="s">
        <v>93</v>
      </c>
      <c r="Q47" s="46">
        <v>46115</v>
      </c>
      <c r="R47" s="46">
        <v>46122</v>
      </c>
      <c r="S47" s="42" t="s">
        <v>94</v>
      </c>
      <c r="T47" s="42" t="s">
        <v>173</v>
      </c>
      <c r="U47" s="42" t="s">
        <v>96</v>
      </c>
      <c r="V47" s="42" t="s">
        <v>104</v>
      </c>
      <c r="W47" s="42" t="s">
        <v>143</v>
      </c>
      <c r="X47" s="42"/>
      <c r="Y47" s="84"/>
      <c r="Z47" s="42"/>
      <c r="AA47" s="42"/>
      <c r="AB47"/>
    </row>
    <row r="48" spans="1:28" s="12" customFormat="1">
      <c r="A48" s="42" t="s">
        <v>56</v>
      </c>
      <c r="B48" s="42" t="s">
        <v>121</v>
      </c>
      <c r="C48" s="42" t="str">
        <f>VLOOKUP(B48,Validation!A:B,2,0)</f>
        <v>EU/UK</v>
      </c>
      <c r="D48" s="42" t="str">
        <f>VLOOKUP(B48,Validation!A:D,4,0)</f>
        <v>Sachli Zare</v>
      </c>
      <c r="E48" s="42" t="str">
        <f>VLOOKUP(B48,Validation!A:E,5,0)</f>
        <v>NA</v>
      </c>
      <c r="F48" s="42" t="s">
        <v>58</v>
      </c>
      <c r="G48" s="42">
        <f t="shared" si="63"/>
        <v>2026</v>
      </c>
      <c r="H48" s="42" t="s">
        <v>57</v>
      </c>
      <c r="I48" s="42" t="s">
        <v>92</v>
      </c>
      <c r="J48" s="66">
        <f>VLOOKUP(I48,'XE rates'!A:D,4,0)*K48</f>
        <v>21.1</v>
      </c>
      <c r="K48" s="56">
        <v>21.1</v>
      </c>
      <c r="L48" s="46">
        <v>46082</v>
      </c>
      <c r="M48" s="47" t="str">
        <f t="shared" si="62"/>
        <v>Mar</v>
      </c>
      <c r="N48" s="42">
        <f t="shared" ca="1" si="60"/>
        <v>110</v>
      </c>
      <c r="O48" s="42" t="str">
        <f t="shared" ca="1" si="61"/>
        <v>Over 90+ days</v>
      </c>
      <c r="P48" s="42" t="s">
        <v>93</v>
      </c>
      <c r="Q48" s="46">
        <v>46115</v>
      </c>
      <c r="R48" s="46">
        <v>46122</v>
      </c>
      <c r="S48" s="42" t="s">
        <v>94</v>
      </c>
      <c r="T48" s="42" t="s">
        <v>175</v>
      </c>
      <c r="U48" s="42" t="s">
        <v>96</v>
      </c>
      <c r="V48" s="42" t="s">
        <v>104</v>
      </c>
      <c r="W48" s="42" t="s">
        <v>123</v>
      </c>
      <c r="X48" s="42"/>
      <c r="Y48" s="84"/>
      <c r="Z48" s="42"/>
      <c r="AA48" s="42"/>
      <c r="AB48"/>
    </row>
    <row r="49" spans="1:28" s="12" customFormat="1">
      <c r="A49" s="42" t="s">
        <v>56</v>
      </c>
      <c r="B49" s="42" t="s">
        <v>134</v>
      </c>
      <c r="C49" s="42" t="str">
        <f>VLOOKUP(B49,Validation!A:B,2,0)</f>
        <v>Shared Center</v>
      </c>
      <c r="D49" s="42" t="str">
        <f>VLOOKUP(B49,Validation!A:D,4,0)</f>
        <v>Sanat Patakar</v>
      </c>
      <c r="E49" s="42" t="str">
        <f>VLOOKUP(B49,Validation!A:E,5,0)</f>
        <v>Vinoth M</v>
      </c>
      <c r="F49" s="42" t="s">
        <v>58</v>
      </c>
      <c r="G49" s="42">
        <f t="shared" si="63"/>
        <v>2026</v>
      </c>
      <c r="H49" s="42" t="s">
        <v>57</v>
      </c>
      <c r="I49" s="42" t="s">
        <v>92</v>
      </c>
      <c r="J49" s="66">
        <f>VLOOKUP(I49,'XE rates'!A:D,4,0)*K49</f>
        <v>2952</v>
      </c>
      <c r="K49" s="56">
        <v>2952</v>
      </c>
      <c r="L49" s="46">
        <v>46082</v>
      </c>
      <c r="M49" s="47" t="str">
        <f t="shared" si="62"/>
        <v>Mar</v>
      </c>
      <c r="N49" s="42">
        <f t="shared" ca="1" si="60"/>
        <v>111</v>
      </c>
      <c r="O49" s="42" t="str">
        <f t="shared" ca="1" si="61"/>
        <v>Over 90+ days</v>
      </c>
      <c r="P49" s="42" t="s">
        <v>93</v>
      </c>
      <c r="Q49" s="46">
        <v>46114</v>
      </c>
      <c r="R49" s="46">
        <v>46121</v>
      </c>
      <c r="S49" s="42" t="s">
        <v>94</v>
      </c>
      <c r="T49" s="42" t="s">
        <v>176</v>
      </c>
      <c r="U49" s="42" t="s">
        <v>96</v>
      </c>
      <c r="V49" s="42" t="s">
        <v>96</v>
      </c>
      <c r="W49" s="87" t="s">
        <v>135</v>
      </c>
      <c r="X49" s="42"/>
      <c r="Y49" s="84"/>
      <c r="Z49" s="42"/>
      <c r="AA49" s="42"/>
      <c r="AB49"/>
    </row>
    <row r="50" spans="1:28" s="12" customFormat="1">
      <c r="A50" s="42" t="s">
        <v>56</v>
      </c>
      <c r="B50" s="42" t="s">
        <v>64</v>
      </c>
      <c r="C50" s="42" t="str">
        <f>VLOOKUP(B50,Validation!A:B,2,0)</f>
        <v>Americas</v>
      </c>
      <c r="D50" s="42" t="str">
        <f>VLOOKUP(B50,Validation!A:D,4,0)</f>
        <v>Tanu Arora</v>
      </c>
      <c r="E50" s="42" t="str">
        <f>VLOOKUP(B50,Validation!A:E,5,0)</f>
        <v>Michael Bermingham</v>
      </c>
      <c r="F50" s="42" t="s">
        <v>58</v>
      </c>
      <c r="G50" s="42">
        <f t="shared" si="63"/>
        <v>2026</v>
      </c>
      <c r="H50" s="42" t="s">
        <v>57</v>
      </c>
      <c r="I50" s="42" t="s">
        <v>177</v>
      </c>
      <c r="J50" s="66">
        <f>VLOOKUP(I50,'XE rates'!A:D,4,0)*K50</f>
        <v>1578.9972136506681</v>
      </c>
      <c r="K50" s="56">
        <v>2226.13</v>
      </c>
      <c r="L50" s="46">
        <v>46082</v>
      </c>
      <c r="M50" s="47" t="str">
        <f t="shared" si="62"/>
        <v>Mar</v>
      </c>
      <c r="N50" s="42">
        <f t="shared" ref="N50:N53" ca="1" si="64">$Y$1-R50</f>
        <v>107</v>
      </c>
      <c r="O50" s="42" t="str">
        <f t="shared" ref="O50:O53" ca="1" si="65">IF(N50&lt;=30, "0-30 days", IF(N50&lt;=60, "31-60 days", IF(N50&lt;=90, "61-90 days", "Over 90+ days")))</f>
        <v>Over 90+ days</v>
      </c>
      <c r="P50" s="42" t="s">
        <v>93</v>
      </c>
      <c r="Q50" s="46">
        <v>46118</v>
      </c>
      <c r="R50" s="46">
        <v>46125</v>
      </c>
      <c r="S50" s="42" t="s">
        <v>108</v>
      </c>
      <c r="T50" s="42" t="s">
        <v>178</v>
      </c>
      <c r="U50" s="42" t="s">
        <v>96</v>
      </c>
      <c r="V50" s="42" t="s">
        <v>104</v>
      </c>
      <c r="W50" s="87" t="s">
        <v>153</v>
      </c>
      <c r="X50" s="42"/>
      <c r="Y50" s="84"/>
      <c r="Z50" s="42"/>
      <c r="AA50" s="42"/>
      <c r="AB50"/>
    </row>
    <row r="51" spans="1:28" s="12" customFormat="1">
      <c r="A51" s="42" t="s">
        <v>56</v>
      </c>
      <c r="B51" s="42" t="s">
        <v>66</v>
      </c>
      <c r="C51" s="42" t="str">
        <f>VLOOKUP(B51,Validation!A:B,2,0)</f>
        <v>Americas</v>
      </c>
      <c r="D51" s="42" t="str">
        <f>VLOOKUP(B51,Validation!A:D,4,0)</f>
        <v>Tanu Arora</v>
      </c>
      <c r="E51" s="42" t="str">
        <f>VLOOKUP(B51,Validation!A:E,5,0)</f>
        <v>Michael Bermingham</v>
      </c>
      <c r="F51" s="42" t="s">
        <v>58</v>
      </c>
      <c r="G51" s="42">
        <f t="shared" si="63"/>
        <v>2026</v>
      </c>
      <c r="H51" s="42" t="s">
        <v>57</v>
      </c>
      <c r="I51" s="42" t="s">
        <v>92</v>
      </c>
      <c r="J51" s="66">
        <f>VLOOKUP(I51,'XE rates'!A:D,4,0)*K51</f>
        <v>7.5</v>
      </c>
      <c r="K51" s="56">
        <v>7.5</v>
      </c>
      <c r="L51" s="46">
        <v>46082</v>
      </c>
      <c r="M51" s="47" t="str">
        <f t="shared" si="62"/>
        <v>Mar</v>
      </c>
      <c r="N51" s="42">
        <f t="shared" ca="1" si="64"/>
        <v>112</v>
      </c>
      <c r="O51" s="42" t="str">
        <f t="shared" ca="1" si="65"/>
        <v>Over 90+ days</v>
      </c>
      <c r="P51" s="42" t="s">
        <v>93</v>
      </c>
      <c r="Q51" s="46">
        <v>46113</v>
      </c>
      <c r="R51" s="46">
        <v>46120</v>
      </c>
      <c r="S51" s="42" t="s">
        <v>94</v>
      </c>
      <c r="T51" s="42" t="s">
        <v>179</v>
      </c>
      <c r="U51" s="42" t="s">
        <v>96</v>
      </c>
      <c r="V51" s="42" t="s">
        <v>104</v>
      </c>
      <c r="W51" s="87" t="s">
        <v>153</v>
      </c>
      <c r="X51" s="42"/>
      <c r="Y51" s="84"/>
      <c r="Z51" s="42"/>
      <c r="AA51" s="42"/>
      <c r="AB51"/>
    </row>
    <row r="52" spans="1:28" s="12" customFormat="1">
      <c r="A52" s="42" t="s">
        <v>56</v>
      </c>
      <c r="B52" s="42" t="s">
        <v>70</v>
      </c>
      <c r="C52" s="42" t="str">
        <f>VLOOKUP(B52,Validation!A:B,2,0)</f>
        <v>Americas</v>
      </c>
      <c r="D52" s="42" t="str">
        <f>VLOOKUP(B52,Validation!A:D,4,0)</f>
        <v>Tulio Lima</v>
      </c>
      <c r="E52" s="42" t="str">
        <f>VLOOKUP(B52,Validation!A:E,5,0)</f>
        <v>NA</v>
      </c>
      <c r="F52" s="42" t="s">
        <v>58</v>
      </c>
      <c r="G52" s="42">
        <f t="shared" si="63"/>
        <v>2026</v>
      </c>
      <c r="H52" s="42" t="s">
        <v>57</v>
      </c>
      <c r="I52" s="42" t="s">
        <v>92</v>
      </c>
      <c r="J52" s="66">
        <f>VLOOKUP(I52,'XE rates'!A:D,4,0)*K52</f>
        <v>250</v>
      </c>
      <c r="K52" s="56">
        <v>250</v>
      </c>
      <c r="L52" s="46">
        <v>46082</v>
      </c>
      <c r="M52" s="47" t="str">
        <f t="shared" si="62"/>
        <v>Mar</v>
      </c>
      <c r="N52" s="42">
        <f t="shared" ca="1" si="64"/>
        <v>112</v>
      </c>
      <c r="O52" s="42" t="str">
        <f t="shared" ca="1" si="65"/>
        <v>Over 90+ days</v>
      </c>
      <c r="P52" s="42" t="s">
        <v>93</v>
      </c>
      <c r="Q52" s="46">
        <v>46113</v>
      </c>
      <c r="R52" s="46">
        <v>46120</v>
      </c>
      <c r="S52" s="42" t="s">
        <v>94</v>
      </c>
      <c r="T52" s="42" t="s">
        <v>180</v>
      </c>
      <c r="U52" s="42" t="s">
        <v>96</v>
      </c>
      <c r="V52" s="42" t="s">
        <v>104</v>
      </c>
      <c r="W52" s="42" t="s">
        <v>61</v>
      </c>
      <c r="X52" s="42"/>
      <c r="Y52" s="84"/>
      <c r="Z52" s="42"/>
      <c r="AA52" s="42"/>
      <c r="AB52"/>
    </row>
    <row r="53" spans="1:28" s="12" customFormat="1">
      <c r="A53" s="42" t="s">
        <v>56</v>
      </c>
      <c r="B53" s="42" t="s">
        <v>181</v>
      </c>
      <c r="C53" s="42" t="str">
        <f>VLOOKUP(B53,Validation!A:B,2,0)</f>
        <v>EU/UK</v>
      </c>
      <c r="D53" s="42" t="str">
        <f>VLOOKUP(B53,Validation!A:D,4,0)</f>
        <v xml:space="preserve">Will Turner </v>
      </c>
      <c r="E53" s="42" t="str">
        <f>VLOOKUP(B53,Validation!A:E,5,0)</f>
        <v>Danny May</v>
      </c>
      <c r="F53" s="42" t="s">
        <v>58</v>
      </c>
      <c r="G53" s="42">
        <f t="shared" si="63"/>
        <v>2026</v>
      </c>
      <c r="H53" s="42" t="s">
        <v>57</v>
      </c>
      <c r="I53" s="42" t="s">
        <v>182</v>
      </c>
      <c r="J53" s="66">
        <f>VLOOKUP(I53,'XE rates'!A:D,4,0)*K53</f>
        <v>4062.268429278945</v>
      </c>
      <c r="K53" s="56">
        <v>3037.8</v>
      </c>
      <c r="L53" s="46">
        <v>46082</v>
      </c>
      <c r="M53" s="47" t="str">
        <f t="shared" si="62"/>
        <v>Mar</v>
      </c>
      <c r="N53" s="42">
        <f t="shared" ca="1" si="64"/>
        <v>103</v>
      </c>
      <c r="O53" s="42" t="str">
        <f t="shared" ca="1" si="65"/>
        <v>Over 90+ days</v>
      </c>
      <c r="P53" s="42" t="s">
        <v>93</v>
      </c>
      <c r="Q53" s="46">
        <v>46115</v>
      </c>
      <c r="R53" s="46">
        <v>46129</v>
      </c>
      <c r="S53" s="42" t="s">
        <v>94</v>
      </c>
      <c r="T53" s="42" t="s">
        <v>183</v>
      </c>
      <c r="U53" s="42" t="s">
        <v>96</v>
      </c>
      <c r="V53" s="42" t="s">
        <v>104</v>
      </c>
      <c r="W53" s="42" t="s">
        <v>61</v>
      </c>
      <c r="X53" s="42"/>
      <c r="Y53" s="84"/>
      <c r="Z53" s="42"/>
      <c r="AA53" s="42"/>
      <c r="AB53"/>
    </row>
    <row r="54" spans="1:28">
      <c r="A54" s="1" t="s">
        <v>69</v>
      </c>
      <c r="B54" s="1" t="s">
        <v>184</v>
      </c>
      <c r="C54" s="42" t="str">
        <f>VLOOKUP(B54,Validation!A:B,2,0)</f>
        <v>Shared Center</v>
      </c>
      <c r="D54" s="42" t="str">
        <f>VLOOKUP(B54,Validation!A:D,4,0)</f>
        <v xml:space="preserve"> Simrn</v>
      </c>
      <c r="E54" s="42" t="str">
        <f>VLOOKUP(B54,Validation!A:E,5,0)</f>
        <v>Lisa Sung</v>
      </c>
      <c r="F54" s="42" t="s">
        <v>58</v>
      </c>
      <c r="G54" s="42">
        <f t="shared" ref="G54:G67" si="66">YEAR(L54)</f>
        <v>2026</v>
      </c>
      <c r="H54" s="42" t="s">
        <v>57</v>
      </c>
      <c r="I54" s="1" t="s">
        <v>92</v>
      </c>
      <c r="J54" s="66">
        <f>VLOOKUP(I54,'XE rates'!A:D,4,0)*K54</f>
        <v>5000</v>
      </c>
      <c r="K54" s="20">
        <v>5000</v>
      </c>
      <c r="L54" s="46">
        <v>46113</v>
      </c>
      <c r="M54" s="47" t="str">
        <f t="shared" ref="M54:M65" si="67">TEXT(L54,"mmm")</f>
        <v>Apr</v>
      </c>
      <c r="N54" s="42">
        <f t="shared" ref="N54:N65" ca="1" si="68">$Y$1-R54</f>
        <v>81</v>
      </c>
      <c r="O54" s="42" t="str">
        <f t="shared" ref="O54:O65" ca="1" si="69">IF(N54&lt;=30, "0-30 days", IF(N54&lt;=60, "31-60 days", IF(N54&lt;=90, "61-90 days", "Over 90+ days")))</f>
        <v>61-90 days</v>
      </c>
      <c r="P54" s="1" t="s">
        <v>93</v>
      </c>
      <c r="Q54" s="60">
        <v>46144</v>
      </c>
      <c r="R54" s="60">
        <v>46151</v>
      </c>
      <c r="S54" s="42" t="s">
        <v>137</v>
      </c>
      <c r="T54" s="1" t="s">
        <v>185</v>
      </c>
      <c r="U54" s="42" t="s">
        <v>96</v>
      </c>
      <c r="V54" s="42" t="s">
        <v>104</v>
      </c>
      <c r="W54" s="42" t="s">
        <v>61</v>
      </c>
      <c r="X54" s="1"/>
      <c r="Y54" s="85"/>
      <c r="Z54" s="1"/>
      <c r="AA54" s="1"/>
    </row>
    <row r="55" spans="1:28">
      <c r="A55" s="1" t="s">
        <v>69</v>
      </c>
      <c r="B55" s="1" t="s">
        <v>165</v>
      </c>
      <c r="C55" s="42" t="str">
        <f>VLOOKUP(B55,Validation!A:B,2,0)</f>
        <v>MEA</v>
      </c>
      <c r="D55" s="42" t="str">
        <f>VLOOKUP(B55,Validation!A:D,4,0)</f>
        <v>Jerome Coelho</v>
      </c>
      <c r="E55" s="42" t="str">
        <f>VLOOKUP(B55,Validation!A:E,5,0)</f>
        <v>Rohit Bammi</v>
      </c>
      <c r="F55" s="42" t="s">
        <v>58</v>
      </c>
      <c r="G55" s="42">
        <f t="shared" si="66"/>
        <v>2026</v>
      </c>
      <c r="H55" s="42" t="s">
        <v>57</v>
      </c>
      <c r="I55" s="1" t="s">
        <v>92</v>
      </c>
      <c r="J55" s="66">
        <f>VLOOKUP(I55,'XE rates'!A:D,4,0)*K55</f>
        <v>4029.75</v>
      </c>
      <c r="K55" s="20">
        <v>4029.75</v>
      </c>
      <c r="L55" s="46">
        <v>46113</v>
      </c>
      <c r="M55" s="47" t="str">
        <f t="shared" si="67"/>
        <v>Apr</v>
      </c>
      <c r="N55" s="42">
        <f t="shared" ca="1" si="68"/>
        <v>79</v>
      </c>
      <c r="O55" s="42" t="str">
        <f t="shared" ca="1" si="69"/>
        <v>61-90 days</v>
      </c>
      <c r="P55" s="1" t="s">
        <v>93</v>
      </c>
      <c r="Q55" s="60">
        <v>46146</v>
      </c>
      <c r="R55" s="60">
        <v>46153</v>
      </c>
      <c r="S55" s="42" t="s">
        <v>137</v>
      </c>
      <c r="T55" s="1" t="s">
        <v>186</v>
      </c>
      <c r="U55" s="42" t="s">
        <v>96</v>
      </c>
      <c r="V55" s="42" t="s">
        <v>104</v>
      </c>
      <c r="W55" s="42" t="s">
        <v>61</v>
      </c>
      <c r="X55" s="1"/>
      <c r="Y55" s="85"/>
      <c r="Z55" s="1"/>
      <c r="AA55" s="1"/>
    </row>
    <row r="56" spans="1:28">
      <c r="A56" s="1" t="s">
        <v>56</v>
      </c>
      <c r="B56" s="1" t="s">
        <v>187</v>
      </c>
      <c r="C56" s="42" t="str">
        <f>VLOOKUP(B56,Validation!A:B,2,0)</f>
        <v>MEA</v>
      </c>
      <c r="D56" s="42" t="str">
        <f>VLOOKUP(B56,Validation!A:D,4,0)</f>
        <v>Jerome Coelho</v>
      </c>
      <c r="E56" s="42" t="str">
        <f>VLOOKUP(B56,Validation!A:E,5,0)</f>
        <v>Rohit Bammi</v>
      </c>
      <c r="F56" s="42" t="s">
        <v>58</v>
      </c>
      <c r="G56" s="42">
        <f t="shared" si="66"/>
        <v>2026</v>
      </c>
      <c r="H56" s="42" t="s">
        <v>57</v>
      </c>
      <c r="I56" s="1" t="s">
        <v>92</v>
      </c>
      <c r="J56" s="66">
        <f>VLOOKUP(I56,'XE rates'!A:D,4,0)*K56</f>
        <v>3736.5</v>
      </c>
      <c r="K56" s="20">
        <v>3736.5</v>
      </c>
      <c r="L56" s="46">
        <v>46113</v>
      </c>
      <c r="M56" s="47" t="str">
        <f t="shared" si="67"/>
        <v>Apr</v>
      </c>
      <c r="N56" s="42">
        <f t="shared" ca="1" si="68"/>
        <v>79</v>
      </c>
      <c r="O56" s="42" t="str">
        <f t="shared" ca="1" si="69"/>
        <v>61-90 days</v>
      </c>
      <c r="P56" s="1" t="s">
        <v>93</v>
      </c>
      <c r="Q56" s="60">
        <v>46146</v>
      </c>
      <c r="R56" s="60">
        <v>46153</v>
      </c>
      <c r="S56" s="42" t="s">
        <v>94</v>
      </c>
      <c r="T56" s="1" t="s">
        <v>188</v>
      </c>
      <c r="U56" s="42" t="s">
        <v>96</v>
      </c>
      <c r="V56" s="42" t="s">
        <v>104</v>
      </c>
      <c r="W56" s="18"/>
      <c r="X56" s="1"/>
      <c r="Y56" s="85"/>
      <c r="Z56" s="1"/>
      <c r="AA56" s="1"/>
    </row>
    <row r="57" spans="1:28">
      <c r="A57" s="1" t="s">
        <v>56</v>
      </c>
      <c r="B57" s="1" t="s">
        <v>189</v>
      </c>
      <c r="C57" s="42" t="str">
        <f>VLOOKUP(B57,Validation!A:B,2,0)</f>
        <v>APAC</v>
      </c>
      <c r="D57" s="42" t="str">
        <f>VLOOKUP(B57,Validation!A:D,4,0)</f>
        <v>NA</v>
      </c>
      <c r="E57" s="42" t="str">
        <f>VLOOKUP(B57,Validation!A:E,5,0)</f>
        <v>Lisa Sung</v>
      </c>
      <c r="F57" s="42" t="s">
        <v>58</v>
      </c>
      <c r="G57" s="42">
        <f t="shared" si="66"/>
        <v>2026</v>
      </c>
      <c r="H57" s="42" t="s">
        <v>57</v>
      </c>
      <c r="I57" s="1" t="s">
        <v>92</v>
      </c>
      <c r="J57" s="66">
        <f>VLOOKUP(I57,'XE rates'!A:D,4,0)*K57</f>
        <v>46001.45</v>
      </c>
      <c r="K57" s="56">
        <v>46001.45</v>
      </c>
      <c r="L57" s="60">
        <v>46143</v>
      </c>
      <c r="M57" s="47" t="str">
        <f t="shared" si="67"/>
        <v>May</v>
      </c>
      <c r="N57" s="42">
        <f t="shared" ca="1" si="68"/>
        <v>72</v>
      </c>
      <c r="O57" s="42" t="str">
        <f t="shared" ca="1" si="69"/>
        <v>61-90 days</v>
      </c>
      <c r="P57" s="1" t="s">
        <v>93</v>
      </c>
      <c r="Q57" s="60">
        <v>46153</v>
      </c>
      <c r="R57" s="60">
        <v>46160</v>
      </c>
      <c r="S57" s="42" t="s">
        <v>108</v>
      </c>
      <c r="T57" s="1" t="s">
        <v>190</v>
      </c>
      <c r="U57" s="42" t="s">
        <v>96</v>
      </c>
      <c r="V57" s="42" t="s">
        <v>104</v>
      </c>
      <c r="W57" s="18"/>
      <c r="X57" s="1"/>
      <c r="Y57" s="85"/>
      <c r="Z57" s="1"/>
      <c r="AA57" s="1"/>
    </row>
    <row r="58" spans="1:28">
      <c r="A58" s="1" t="s">
        <v>56</v>
      </c>
      <c r="B58" s="1" t="s">
        <v>191</v>
      </c>
      <c r="C58" s="42" t="str">
        <f>VLOOKUP(B58,Validation!A:B,2,0)</f>
        <v>APAC</v>
      </c>
      <c r="D58" s="42" t="str">
        <f>VLOOKUP(B58,Validation!A:D,4,0)</f>
        <v>NA</v>
      </c>
      <c r="E58" s="42" t="str">
        <f>VLOOKUP(B58,Validation!A:E,5,0)</f>
        <v>Wendy zhai</v>
      </c>
      <c r="F58" s="42" t="s">
        <v>58</v>
      </c>
      <c r="G58" s="42">
        <f t="shared" si="66"/>
        <v>2026</v>
      </c>
      <c r="H58" s="42" t="s">
        <v>57</v>
      </c>
      <c r="I58" s="1" t="s">
        <v>107</v>
      </c>
      <c r="J58" s="66">
        <f>VLOOKUP(I58,'XE rates'!A:D,4,0)*K58</f>
        <v>2804.7737777982147</v>
      </c>
      <c r="K58" s="56">
        <v>4002.5000000000005</v>
      </c>
      <c r="L58" s="46">
        <v>46113</v>
      </c>
      <c r="M58" s="47" t="str">
        <f t="shared" si="67"/>
        <v>Apr</v>
      </c>
      <c r="N58" s="42">
        <f t="shared" ca="1" si="68"/>
        <v>78</v>
      </c>
      <c r="O58" s="42" t="str">
        <f t="shared" ca="1" si="69"/>
        <v>61-90 days</v>
      </c>
      <c r="P58" s="1" t="s">
        <v>93</v>
      </c>
      <c r="Q58" s="60">
        <v>46147</v>
      </c>
      <c r="R58" s="60">
        <v>46154</v>
      </c>
      <c r="S58" s="42" t="s">
        <v>108</v>
      </c>
      <c r="T58" s="1" t="s">
        <v>192</v>
      </c>
      <c r="U58" s="42" t="s">
        <v>96</v>
      </c>
      <c r="V58" s="42" t="s">
        <v>104</v>
      </c>
      <c r="W58" s="42" t="s">
        <v>193</v>
      </c>
      <c r="X58" s="1"/>
      <c r="Y58" s="85"/>
      <c r="Z58" s="1"/>
      <c r="AA58" s="1"/>
    </row>
    <row r="59" spans="1:28">
      <c r="A59" s="1" t="s">
        <v>56</v>
      </c>
      <c r="B59" s="1" t="s">
        <v>141</v>
      </c>
      <c r="C59" s="42" t="str">
        <f>VLOOKUP(B59,Validation!A:B,2,0)</f>
        <v>APAC</v>
      </c>
      <c r="D59" s="42" t="str">
        <f>VLOOKUP(B59,Validation!A:D,4,0)</f>
        <v>NA</v>
      </c>
      <c r="E59" s="42" t="str">
        <f>VLOOKUP(B59,Validation!A:E,5,0)</f>
        <v>Denis Tan</v>
      </c>
      <c r="F59" s="42" t="s">
        <v>58</v>
      </c>
      <c r="G59" s="42">
        <f t="shared" si="66"/>
        <v>2026</v>
      </c>
      <c r="H59" s="42" t="s">
        <v>57</v>
      </c>
      <c r="I59" s="1" t="s">
        <v>92</v>
      </c>
      <c r="J59" s="66">
        <f>VLOOKUP(I59,'XE rates'!A:D,4,0)*K59</f>
        <v>37.840000000000003</v>
      </c>
      <c r="K59" s="20">
        <v>37.840000000000003</v>
      </c>
      <c r="L59" s="46">
        <v>46113</v>
      </c>
      <c r="M59" s="47" t="str">
        <f t="shared" si="67"/>
        <v>Apr</v>
      </c>
      <c r="N59" s="42">
        <f t="shared" ca="1" si="68"/>
        <v>79</v>
      </c>
      <c r="O59" s="42" t="str">
        <f t="shared" ca="1" si="69"/>
        <v>61-90 days</v>
      </c>
      <c r="P59" s="1" t="s">
        <v>93</v>
      </c>
      <c r="Q59" s="60">
        <v>46146</v>
      </c>
      <c r="R59" s="60">
        <v>46153</v>
      </c>
      <c r="S59" s="42" t="s">
        <v>94</v>
      </c>
      <c r="T59" s="1" t="s">
        <v>194</v>
      </c>
      <c r="U59" s="42" t="s">
        <v>96</v>
      </c>
      <c r="V59" s="42" t="s">
        <v>104</v>
      </c>
      <c r="W59" s="42" t="s">
        <v>143</v>
      </c>
      <c r="X59" s="1"/>
      <c r="Y59" s="85"/>
      <c r="Z59" s="1"/>
      <c r="AA59" s="1"/>
    </row>
    <row r="60" spans="1:28">
      <c r="A60" s="1" t="s">
        <v>56</v>
      </c>
      <c r="B60" s="1" t="s">
        <v>121</v>
      </c>
      <c r="C60" s="42" t="str">
        <f>VLOOKUP(B60,Validation!A:B,2,0)</f>
        <v>EU/UK</v>
      </c>
      <c r="D60" s="42" t="str">
        <f>VLOOKUP(B60,Validation!A:D,4,0)</f>
        <v>Sachli Zare</v>
      </c>
      <c r="E60" s="42" t="str">
        <f>VLOOKUP(B60,Validation!A:E,5,0)</f>
        <v>NA</v>
      </c>
      <c r="F60" s="42" t="s">
        <v>58</v>
      </c>
      <c r="G60" s="42">
        <f t="shared" si="66"/>
        <v>2026</v>
      </c>
      <c r="H60" s="42" t="s">
        <v>57</v>
      </c>
      <c r="I60" s="1" t="s">
        <v>92</v>
      </c>
      <c r="J60" s="66">
        <f>VLOOKUP(I60,'XE rates'!A:D,4,0)*K60</f>
        <v>99.6</v>
      </c>
      <c r="K60" s="20">
        <v>99.6</v>
      </c>
      <c r="L60" s="46">
        <v>46113</v>
      </c>
      <c r="M60" s="47" t="str">
        <f t="shared" si="67"/>
        <v>Apr</v>
      </c>
      <c r="N60" s="42">
        <f t="shared" ca="1" si="68"/>
        <v>79</v>
      </c>
      <c r="O60" s="42" t="str">
        <f t="shared" ca="1" si="69"/>
        <v>61-90 days</v>
      </c>
      <c r="P60" s="1" t="s">
        <v>93</v>
      </c>
      <c r="Q60" s="60">
        <v>46146</v>
      </c>
      <c r="R60" s="60">
        <v>46153</v>
      </c>
      <c r="S60" s="42" t="s">
        <v>94</v>
      </c>
      <c r="T60" s="1" t="s">
        <v>195</v>
      </c>
      <c r="U60" s="42" t="s">
        <v>96</v>
      </c>
      <c r="V60" s="42" t="s">
        <v>104</v>
      </c>
      <c r="W60" s="42" t="s">
        <v>123</v>
      </c>
      <c r="X60" s="1"/>
      <c r="Y60" s="85"/>
      <c r="Z60" s="1"/>
      <c r="AA60" s="1"/>
    </row>
    <row r="61" spans="1:28">
      <c r="A61" s="1" t="s">
        <v>56</v>
      </c>
      <c r="B61" s="1" t="s">
        <v>134</v>
      </c>
      <c r="C61" s="42" t="str">
        <f>VLOOKUP(B61,Validation!A:B,2,0)</f>
        <v>Shared Center</v>
      </c>
      <c r="D61" s="42" t="str">
        <f>VLOOKUP(B61,Validation!A:D,4,0)</f>
        <v>Sanat Patakar</v>
      </c>
      <c r="E61" s="42" t="str">
        <f>VLOOKUP(B61,Validation!A:E,5,0)</f>
        <v>Vinoth M</v>
      </c>
      <c r="F61" s="42" t="s">
        <v>58</v>
      </c>
      <c r="G61" s="42">
        <f t="shared" si="66"/>
        <v>2026</v>
      </c>
      <c r="H61" s="42" t="s">
        <v>57</v>
      </c>
      <c r="I61" s="1" t="s">
        <v>92</v>
      </c>
      <c r="J61" s="66">
        <f>VLOOKUP(I61,'XE rates'!A:D,4,0)*K61</f>
        <v>2954.5</v>
      </c>
      <c r="K61" s="20">
        <v>2954.5</v>
      </c>
      <c r="L61" s="46">
        <v>46113</v>
      </c>
      <c r="M61" s="47" t="str">
        <f t="shared" si="67"/>
        <v>Apr</v>
      </c>
      <c r="N61" s="42">
        <f t="shared" ca="1" si="68"/>
        <v>79</v>
      </c>
      <c r="O61" s="42" t="str">
        <f t="shared" ca="1" si="69"/>
        <v>61-90 days</v>
      </c>
      <c r="P61" s="1" t="s">
        <v>93</v>
      </c>
      <c r="Q61" s="60">
        <v>46146</v>
      </c>
      <c r="R61" s="60">
        <v>46153</v>
      </c>
      <c r="S61" s="42" t="s">
        <v>94</v>
      </c>
      <c r="T61" s="1" t="s">
        <v>196</v>
      </c>
      <c r="U61" s="42" t="s">
        <v>96</v>
      </c>
      <c r="V61" s="42" t="s">
        <v>96</v>
      </c>
      <c r="W61" s="87" t="s">
        <v>135</v>
      </c>
      <c r="X61" s="1"/>
      <c r="Y61" s="85"/>
      <c r="Z61" s="1"/>
      <c r="AA61" s="1"/>
    </row>
    <row r="62" spans="1:28">
      <c r="A62" s="1" t="s">
        <v>56</v>
      </c>
      <c r="B62" s="1" t="s">
        <v>64</v>
      </c>
      <c r="C62" s="42" t="str">
        <f>VLOOKUP(B62,Validation!A:B,2,0)</f>
        <v>Americas</v>
      </c>
      <c r="D62" s="42" t="str">
        <f>VLOOKUP(B62,Validation!A:D,4,0)</f>
        <v>Tanu Arora</v>
      </c>
      <c r="E62" s="42" t="str">
        <f>VLOOKUP(B62,Validation!A:E,5,0)</f>
        <v>Michael Bermingham</v>
      </c>
      <c r="F62" s="42" t="s">
        <v>58</v>
      </c>
      <c r="G62" s="42">
        <f t="shared" si="66"/>
        <v>2026</v>
      </c>
      <c r="H62" s="42" t="s">
        <v>57</v>
      </c>
      <c r="I62" s="1" t="s">
        <v>177</v>
      </c>
      <c r="J62" s="66">
        <f>VLOOKUP(I62,'XE rates'!A:D,4,0)*K62</f>
        <v>38.337742808289988</v>
      </c>
      <c r="K62" s="20">
        <v>54.05</v>
      </c>
      <c r="L62" s="46">
        <v>46113</v>
      </c>
      <c r="M62" s="47" t="str">
        <f t="shared" si="67"/>
        <v>Apr</v>
      </c>
      <c r="N62" s="42">
        <f t="shared" ca="1" si="68"/>
        <v>78</v>
      </c>
      <c r="O62" s="42" t="str">
        <f t="shared" ca="1" si="69"/>
        <v>61-90 days</v>
      </c>
      <c r="P62" s="1" t="s">
        <v>93</v>
      </c>
      <c r="Q62" s="60">
        <v>46147</v>
      </c>
      <c r="R62" s="60">
        <v>46154</v>
      </c>
      <c r="S62" s="42" t="s">
        <v>94</v>
      </c>
      <c r="T62" s="1" t="s">
        <v>197</v>
      </c>
      <c r="U62" s="42" t="s">
        <v>96</v>
      </c>
      <c r="V62" s="42" t="s">
        <v>104</v>
      </c>
      <c r="W62" s="87" t="s">
        <v>153</v>
      </c>
      <c r="X62" s="1"/>
      <c r="Y62" s="85"/>
      <c r="Z62" s="1"/>
      <c r="AA62" s="1"/>
    </row>
    <row r="63" spans="1:28">
      <c r="A63" s="1" t="s">
        <v>56</v>
      </c>
      <c r="B63" s="1" t="s">
        <v>70</v>
      </c>
      <c r="C63" s="42" t="str">
        <f>VLOOKUP(B63,Validation!A:B,2,0)</f>
        <v>Americas</v>
      </c>
      <c r="D63" s="42" t="str">
        <f>VLOOKUP(B63,Validation!A:D,4,0)</f>
        <v>Tulio Lima</v>
      </c>
      <c r="E63" s="42" t="str">
        <f>VLOOKUP(B63,Validation!A:E,5,0)</f>
        <v>NA</v>
      </c>
      <c r="F63" s="42" t="s">
        <v>58</v>
      </c>
      <c r="G63" s="42">
        <f t="shared" si="66"/>
        <v>2026</v>
      </c>
      <c r="H63" s="42" t="s">
        <v>57</v>
      </c>
      <c r="I63" s="1" t="s">
        <v>92</v>
      </c>
      <c r="J63" s="66">
        <f>VLOOKUP(I63,'XE rates'!A:D,4,0)*K63</f>
        <v>130</v>
      </c>
      <c r="K63" s="20">
        <v>130</v>
      </c>
      <c r="L63" s="46">
        <v>46113</v>
      </c>
      <c r="M63" s="47" t="str">
        <f t="shared" si="67"/>
        <v>Apr</v>
      </c>
      <c r="N63" s="42">
        <f t="shared" ca="1" si="68"/>
        <v>79</v>
      </c>
      <c r="O63" s="42" t="str">
        <f t="shared" ca="1" si="69"/>
        <v>61-90 days</v>
      </c>
      <c r="P63" s="1" t="s">
        <v>93</v>
      </c>
      <c r="Q63" s="60">
        <v>46146</v>
      </c>
      <c r="R63" s="60">
        <v>46153</v>
      </c>
      <c r="S63" s="42" t="s">
        <v>94</v>
      </c>
      <c r="T63" s="1" t="s">
        <v>198</v>
      </c>
      <c r="U63" s="42" t="s">
        <v>96</v>
      </c>
      <c r="V63" s="42" t="s">
        <v>104</v>
      </c>
      <c r="W63" s="42" t="s">
        <v>61</v>
      </c>
      <c r="X63" s="1"/>
      <c r="Y63" s="85"/>
      <c r="Z63" s="1"/>
      <c r="AA63" s="1"/>
    </row>
    <row r="64" spans="1:28">
      <c r="A64" s="1" t="s">
        <v>56</v>
      </c>
      <c r="B64" s="1" t="s">
        <v>181</v>
      </c>
      <c r="C64" s="42" t="str">
        <f>VLOOKUP(B64,Validation!A:B,2,0)</f>
        <v>EU/UK</v>
      </c>
      <c r="D64" s="42" t="str">
        <f>VLOOKUP(B64,Validation!A:D,4,0)</f>
        <v xml:space="preserve">Will Turner </v>
      </c>
      <c r="E64" s="42" t="str">
        <f>VLOOKUP(B64,Validation!A:E,5,0)</f>
        <v>Danny May</v>
      </c>
      <c r="F64" s="42" t="s">
        <v>58</v>
      </c>
      <c r="G64" s="42">
        <f t="shared" si="66"/>
        <v>2026</v>
      </c>
      <c r="H64" s="42" t="s">
        <v>57</v>
      </c>
      <c r="I64" s="1" t="s">
        <v>182</v>
      </c>
      <c r="J64" s="66">
        <f>VLOOKUP(I64,'XE rates'!A:D,4,0)*K64</f>
        <v>4062.5358773288021</v>
      </c>
      <c r="K64" s="20">
        <v>3038</v>
      </c>
      <c r="L64" s="46">
        <v>46113</v>
      </c>
      <c r="M64" s="47" t="str">
        <f t="shared" si="67"/>
        <v>Apr</v>
      </c>
      <c r="N64" s="42">
        <f t="shared" ca="1" si="68"/>
        <v>71</v>
      </c>
      <c r="O64" s="42" t="str">
        <f t="shared" ca="1" si="69"/>
        <v>61-90 days</v>
      </c>
      <c r="P64" s="1" t="s">
        <v>93</v>
      </c>
      <c r="Q64" s="60">
        <v>46147</v>
      </c>
      <c r="R64" s="60">
        <v>46161</v>
      </c>
      <c r="S64" s="42" t="s">
        <v>94</v>
      </c>
      <c r="T64" s="1" t="s">
        <v>199</v>
      </c>
      <c r="U64" s="42" t="s">
        <v>96</v>
      </c>
      <c r="V64" s="42" t="s">
        <v>104</v>
      </c>
      <c r="W64" s="42" t="s">
        <v>61</v>
      </c>
      <c r="X64" s="1"/>
      <c r="Y64" s="85"/>
      <c r="Z64" s="1"/>
      <c r="AA64" s="1"/>
    </row>
    <row r="65" spans="1:27">
      <c r="A65" s="1" t="s">
        <v>56</v>
      </c>
      <c r="B65" s="1" t="s">
        <v>200</v>
      </c>
      <c r="C65" s="42" t="str">
        <f>VLOOKUP(B65,Validation!A:B,2,0)</f>
        <v>APAC</v>
      </c>
      <c r="D65" s="42" t="str">
        <f>VLOOKUP(B65,Validation!A:D,4,0)</f>
        <v>NA</v>
      </c>
      <c r="E65" s="42" t="str">
        <f>VLOOKUP(B65,Validation!A:E,5,0)</f>
        <v>Lisa Sung</v>
      </c>
      <c r="F65" s="42" t="s">
        <v>58</v>
      </c>
      <c r="G65" s="42">
        <f t="shared" si="66"/>
        <v>2026</v>
      </c>
      <c r="H65" s="42" t="s">
        <v>57</v>
      </c>
      <c r="I65" s="1" t="s">
        <v>92</v>
      </c>
      <c r="J65" s="66">
        <f>VLOOKUP(I65,'XE rates'!A:D,4,0)*K65</f>
        <v>15125</v>
      </c>
      <c r="K65" s="20">
        <v>15125</v>
      </c>
      <c r="L65" s="46">
        <v>46113</v>
      </c>
      <c r="M65" s="47" t="str">
        <f t="shared" si="67"/>
        <v>Apr</v>
      </c>
      <c r="N65" s="42">
        <f t="shared" ca="1" si="68"/>
        <v>77</v>
      </c>
      <c r="O65" s="42" t="str">
        <f t="shared" ca="1" si="69"/>
        <v>61-90 days</v>
      </c>
      <c r="P65" s="1" t="s">
        <v>93</v>
      </c>
      <c r="Q65" s="60">
        <v>46148</v>
      </c>
      <c r="R65" s="60">
        <v>46155</v>
      </c>
      <c r="S65" s="42" t="s">
        <v>94</v>
      </c>
      <c r="T65" s="1" t="s">
        <v>201</v>
      </c>
      <c r="U65" s="42" t="s">
        <v>96</v>
      </c>
      <c r="V65" s="42" t="s">
        <v>104</v>
      </c>
      <c r="W65" s="18"/>
      <c r="X65" s="1"/>
      <c r="Y65" s="85"/>
      <c r="Z65" s="1"/>
      <c r="AA65" s="1"/>
    </row>
    <row r="66" spans="1:27">
      <c r="A66" s="1" t="s">
        <v>56</v>
      </c>
      <c r="B66" s="1" t="s">
        <v>26</v>
      </c>
      <c r="C66" s="42" t="str">
        <f>VLOOKUP(B66,Validation!A:B,2,0)</f>
        <v>APAC</v>
      </c>
      <c r="D66" s="42" t="str">
        <f>VLOOKUP(B66,Validation!A:D,4,0)</f>
        <v>Shi Yin</v>
      </c>
      <c r="E66" s="42" t="str">
        <f>VLOOKUP(B66,Validation!A:E,5,0)</f>
        <v>Gitesh Athavale</v>
      </c>
      <c r="F66" s="42" t="s">
        <v>58</v>
      </c>
      <c r="G66" s="42">
        <f t="shared" si="66"/>
        <v>2026</v>
      </c>
      <c r="H66" s="42" t="s">
        <v>57</v>
      </c>
      <c r="I66" s="1" t="s">
        <v>202</v>
      </c>
      <c r="J66" s="66">
        <f>VLOOKUP(I66,'XE rates'!A:D,4,0)*K66</f>
        <v>107062.17542532706</v>
      </c>
      <c r="K66" s="20">
        <v>138295.49166</v>
      </c>
      <c r="L66" s="60">
        <v>46143</v>
      </c>
      <c r="M66" s="47" t="str">
        <f t="shared" ref="M66:M67" si="70">TEXT(L66,"mmm")</f>
        <v>May</v>
      </c>
      <c r="N66" s="42">
        <f t="shared" ref="N66:N67" ca="1" si="71">$Y$1-R66</f>
        <v>33</v>
      </c>
      <c r="O66" s="42" t="str">
        <f t="shared" ref="O66:O67" ca="1" si="72">IF(N66&lt;=30, "0-30 days", IF(N66&lt;=60, "31-60 days", IF(N66&lt;=90, "61-90 days", "Over 90+ days")))</f>
        <v>31-60 days</v>
      </c>
      <c r="P66" s="1" t="s">
        <v>203</v>
      </c>
      <c r="Q66" s="60">
        <v>46169</v>
      </c>
      <c r="R66" s="60">
        <v>46199</v>
      </c>
      <c r="S66" s="42" t="s">
        <v>94</v>
      </c>
      <c r="T66" s="1" t="s">
        <v>204</v>
      </c>
      <c r="U66" s="42" t="s">
        <v>96</v>
      </c>
      <c r="V66" s="42" t="s">
        <v>104</v>
      </c>
      <c r="W66" s="18"/>
      <c r="X66" s="1"/>
      <c r="Y66" s="85"/>
      <c r="Z66" s="1"/>
      <c r="AA66" s="1"/>
    </row>
    <row r="67" spans="1:27">
      <c r="A67" s="1" t="s">
        <v>56</v>
      </c>
      <c r="B67" s="1" t="s">
        <v>117</v>
      </c>
      <c r="C67" s="42" t="str">
        <f>VLOOKUP(B67,Validation!A:B,2,0)</f>
        <v>APAC</v>
      </c>
      <c r="D67" s="42" t="str">
        <f>VLOOKUP(B67,Validation!A:D,4,0)</f>
        <v>Hao Nguyen</v>
      </c>
      <c r="E67" s="42" t="str">
        <f>VLOOKUP(B67,Validation!A:E,5,0)</f>
        <v>Vinoth M</v>
      </c>
      <c r="F67" s="42" t="s">
        <v>58</v>
      </c>
      <c r="G67" s="42">
        <f t="shared" si="66"/>
        <v>2026</v>
      </c>
      <c r="H67" s="42" t="s">
        <v>57</v>
      </c>
      <c r="I67" s="1" t="s">
        <v>107</v>
      </c>
      <c r="J67" s="66">
        <f>VLOOKUP(I67,'XE rates'!A:D,4,0)*K67</f>
        <v>22031.093338319733</v>
      </c>
      <c r="K67" s="20">
        <v>31439.06</v>
      </c>
      <c r="L67" s="46">
        <v>46113</v>
      </c>
      <c r="M67" s="47" t="str">
        <f t="shared" si="70"/>
        <v>Apr</v>
      </c>
      <c r="N67" s="42">
        <f t="shared" ca="1" si="71"/>
        <v>31</v>
      </c>
      <c r="O67" s="42" t="str">
        <f t="shared" ca="1" si="72"/>
        <v>31-60 days</v>
      </c>
      <c r="P67" s="1" t="s">
        <v>93</v>
      </c>
      <c r="Q67" s="60">
        <v>46171</v>
      </c>
      <c r="R67" s="60">
        <v>46201</v>
      </c>
      <c r="S67" s="42" t="s">
        <v>94</v>
      </c>
      <c r="T67" s="1" t="s">
        <v>205</v>
      </c>
      <c r="U67" s="42" t="s">
        <v>96</v>
      </c>
      <c r="V67" s="42" t="s">
        <v>104</v>
      </c>
      <c r="W67" s="87" t="s">
        <v>120</v>
      </c>
      <c r="X67" s="1"/>
      <c r="Y67" s="85"/>
      <c r="Z67" s="1"/>
      <c r="AA67" s="1"/>
    </row>
    <row r="68" spans="1:27">
      <c r="A68" s="1" t="s">
        <v>69</v>
      </c>
      <c r="B68" s="1" t="s">
        <v>184</v>
      </c>
      <c r="C68" s="42" t="str">
        <f>VLOOKUP(B68,Validation!A:B,2,0)</f>
        <v>Shared Center</v>
      </c>
      <c r="D68" s="42" t="str">
        <f>VLOOKUP(B68,Validation!A:D,4,0)</f>
        <v xml:space="preserve"> Simrn</v>
      </c>
      <c r="E68" s="42" t="str">
        <f>VLOOKUP(B68,Validation!A:E,5,0)</f>
        <v>Lisa Sung</v>
      </c>
      <c r="F68" s="42" t="s">
        <v>58</v>
      </c>
      <c r="G68" s="42">
        <f t="shared" ref="G68:G87" si="73">YEAR(L68)</f>
        <v>2026</v>
      </c>
      <c r="H68" s="42" t="s">
        <v>57</v>
      </c>
      <c r="I68" s="1" t="s">
        <v>92</v>
      </c>
      <c r="J68" s="66">
        <f>VLOOKUP(I68,'XE rates'!A:D,4,0)*K68</f>
        <v>5000</v>
      </c>
      <c r="K68" s="20">
        <v>5000</v>
      </c>
      <c r="L68" s="60">
        <v>46143</v>
      </c>
      <c r="M68" s="47" t="str">
        <f t="shared" ref="M68:M87" si="74">TEXT(L68,"mmm")</f>
        <v>May</v>
      </c>
      <c r="N68" s="42">
        <f t="shared" ref="N68:N87" ca="1" si="75">$Y$1-R68</f>
        <v>50</v>
      </c>
      <c r="O68" s="42" t="str">
        <f t="shared" ref="O68:O87" ca="1" si="76">IF(N68&lt;=30, "0-30 days", IF(N68&lt;=60, "31-60 days", IF(N68&lt;=90, "61-90 days", "Over 90+ days")))</f>
        <v>31-60 days</v>
      </c>
      <c r="P68" s="1" t="s">
        <v>93</v>
      </c>
      <c r="Q68" s="60">
        <v>46175</v>
      </c>
      <c r="R68" s="60">
        <v>46182</v>
      </c>
      <c r="S68" s="42" t="s">
        <v>137</v>
      </c>
      <c r="T68" s="1" t="s">
        <v>207</v>
      </c>
      <c r="U68" s="42" t="s">
        <v>96</v>
      </c>
      <c r="V68" s="42" t="s">
        <v>104</v>
      </c>
      <c r="W68" s="18"/>
      <c r="X68" s="1"/>
      <c r="Y68" s="7"/>
      <c r="Z68" s="7"/>
      <c r="AA68" s="7"/>
    </row>
    <row r="69" spans="1:27">
      <c r="A69" s="1" t="s">
        <v>69</v>
      </c>
      <c r="B69" s="1" t="s">
        <v>208</v>
      </c>
      <c r="C69" s="42" t="str">
        <f>VLOOKUP(B69,Validation!A:B,2,0)</f>
        <v>APAC</v>
      </c>
      <c r="D69" s="42" t="str">
        <f>VLOOKUP(B69,Validation!A:D,4,0)</f>
        <v>Hao Nguyen</v>
      </c>
      <c r="E69" s="42" t="str">
        <f>VLOOKUP(B69,Validation!A:E,5,0)</f>
        <v>NA</v>
      </c>
      <c r="F69" s="42" t="s">
        <v>58</v>
      </c>
      <c r="G69" s="42">
        <f t="shared" si="73"/>
        <v>2026</v>
      </c>
      <c r="H69" s="42" t="s">
        <v>57</v>
      </c>
      <c r="I69" s="1" t="s">
        <v>92</v>
      </c>
      <c r="J69" s="66">
        <f>VLOOKUP(I69,'XE rates'!A:D,4,0)*K69</f>
        <v>283.43</v>
      </c>
      <c r="K69" s="20">
        <v>283.43</v>
      </c>
      <c r="L69" s="60">
        <v>46143</v>
      </c>
      <c r="M69" s="47" t="str">
        <f t="shared" si="74"/>
        <v>May</v>
      </c>
      <c r="N69" s="42">
        <f t="shared" ca="1" si="75"/>
        <v>42</v>
      </c>
      <c r="O69" s="42" t="str">
        <f t="shared" ca="1" si="76"/>
        <v>31-60 days</v>
      </c>
      <c r="P69" s="1" t="s">
        <v>209</v>
      </c>
      <c r="Q69" s="60">
        <v>46175</v>
      </c>
      <c r="R69" s="60">
        <v>46190</v>
      </c>
      <c r="S69" s="42" t="s">
        <v>137</v>
      </c>
      <c r="T69" s="1" t="s">
        <v>210</v>
      </c>
      <c r="U69" s="42" t="s">
        <v>96</v>
      </c>
      <c r="V69" s="42" t="s">
        <v>104</v>
      </c>
      <c r="W69" s="18"/>
      <c r="X69" s="1"/>
      <c r="Y69" s="7"/>
      <c r="Z69" s="7"/>
      <c r="AA69" s="7"/>
    </row>
    <row r="70" spans="1:27">
      <c r="A70" s="1" t="s">
        <v>69</v>
      </c>
      <c r="B70" s="1" t="s">
        <v>208</v>
      </c>
      <c r="C70" s="42" t="str">
        <f>VLOOKUP(B70,Validation!A:B,2,0)</f>
        <v>APAC</v>
      </c>
      <c r="D70" s="42" t="str">
        <f>VLOOKUP(B70,Validation!A:D,4,0)</f>
        <v>Hao Nguyen</v>
      </c>
      <c r="E70" s="42" t="str">
        <f>VLOOKUP(B70,Validation!A:E,5,0)</f>
        <v>NA</v>
      </c>
      <c r="F70" s="42" t="s">
        <v>58</v>
      </c>
      <c r="G70" s="42">
        <f t="shared" si="73"/>
        <v>2026</v>
      </c>
      <c r="H70" s="42" t="s">
        <v>57</v>
      </c>
      <c r="I70" s="1" t="s">
        <v>92</v>
      </c>
      <c r="J70" s="66">
        <f>VLOOKUP(I70,'XE rates'!A:D,4,0)*K70</f>
        <v>980.96</v>
      </c>
      <c r="K70" s="20">
        <v>980.96</v>
      </c>
      <c r="L70" s="60">
        <v>46143</v>
      </c>
      <c r="M70" s="47" t="str">
        <f t="shared" si="74"/>
        <v>May</v>
      </c>
      <c r="N70" s="42">
        <f t="shared" ca="1" si="75"/>
        <v>42</v>
      </c>
      <c r="O70" s="42" t="str">
        <f t="shared" ca="1" si="76"/>
        <v>31-60 days</v>
      </c>
      <c r="P70" s="1" t="s">
        <v>93</v>
      </c>
      <c r="Q70" s="60">
        <v>46175</v>
      </c>
      <c r="R70" s="60">
        <v>46190</v>
      </c>
      <c r="S70" s="42" t="s">
        <v>137</v>
      </c>
      <c r="T70" s="1" t="s">
        <v>211</v>
      </c>
      <c r="U70" s="42" t="s">
        <v>96</v>
      </c>
      <c r="V70" s="42" t="s">
        <v>104</v>
      </c>
      <c r="W70" s="18"/>
      <c r="X70" s="1"/>
      <c r="Y70" s="7"/>
      <c r="Z70" s="7"/>
      <c r="AA70" s="7"/>
    </row>
    <row r="71" spans="1:27">
      <c r="A71" s="1" t="s">
        <v>69</v>
      </c>
      <c r="B71" s="1" t="s">
        <v>212</v>
      </c>
      <c r="C71" s="42" t="str">
        <f>VLOOKUP(B71,Validation!A:B,2,0)</f>
        <v>APAC</v>
      </c>
      <c r="D71" s="42" t="str">
        <f>VLOOKUP(B71,Validation!A:D,4,0)</f>
        <v>Hao Nguyen</v>
      </c>
      <c r="E71" s="42" t="str">
        <f>VLOOKUP(B71,Validation!A:E,5,0)</f>
        <v>Hari Budiman</v>
      </c>
      <c r="F71" s="42" t="s">
        <v>58</v>
      </c>
      <c r="G71" s="42">
        <f t="shared" si="73"/>
        <v>2026</v>
      </c>
      <c r="H71" s="42" t="s">
        <v>57</v>
      </c>
      <c r="I71" s="1" t="s">
        <v>213</v>
      </c>
      <c r="J71" s="66">
        <f>VLOOKUP(I71,'XE rates'!A:D,4,0)*K71</f>
        <v>238.97250751611281</v>
      </c>
      <c r="K71" s="20">
        <v>4281428</v>
      </c>
      <c r="L71" s="60">
        <v>46143</v>
      </c>
      <c r="M71" s="47" t="str">
        <f t="shared" si="74"/>
        <v>May</v>
      </c>
      <c r="N71" s="42">
        <f t="shared" ca="1" si="75"/>
        <v>27</v>
      </c>
      <c r="O71" s="42" t="str">
        <f t="shared" ca="1" si="76"/>
        <v>0-30 days</v>
      </c>
      <c r="P71" s="1" t="s">
        <v>93</v>
      </c>
      <c r="Q71" s="60">
        <v>46175</v>
      </c>
      <c r="R71" s="60">
        <v>46205</v>
      </c>
      <c r="S71" s="42" t="s">
        <v>137</v>
      </c>
      <c r="T71" s="1" t="s">
        <v>214</v>
      </c>
      <c r="U71" s="42" t="s">
        <v>96</v>
      </c>
      <c r="V71" s="42" t="s">
        <v>104</v>
      </c>
      <c r="W71" s="18"/>
      <c r="X71" s="1"/>
      <c r="Y71" s="7"/>
      <c r="Z71" s="7"/>
      <c r="AA71" s="7"/>
    </row>
    <row r="72" spans="1:27">
      <c r="A72" s="1" t="s">
        <v>69</v>
      </c>
      <c r="B72" s="1" t="s">
        <v>165</v>
      </c>
      <c r="C72" s="42" t="str">
        <f>VLOOKUP(B72,Validation!A:B,2,0)</f>
        <v>MEA</v>
      </c>
      <c r="D72" s="42" t="str">
        <f>VLOOKUP(B72,Validation!A:D,4,0)</f>
        <v>Jerome Coelho</v>
      </c>
      <c r="E72" s="42" t="str">
        <f>VLOOKUP(B72,Validation!A:E,5,0)</f>
        <v>Rohit Bammi</v>
      </c>
      <c r="F72" s="42" t="s">
        <v>58</v>
      </c>
      <c r="G72" s="42">
        <f t="shared" si="73"/>
        <v>2026</v>
      </c>
      <c r="H72" s="42" t="s">
        <v>57</v>
      </c>
      <c r="I72" s="1" t="s">
        <v>92</v>
      </c>
      <c r="J72" s="66">
        <f>VLOOKUP(I72,'XE rates'!A:D,4,0)*K72</f>
        <v>4441.75</v>
      </c>
      <c r="K72" s="20">
        <v>4441.75</v>
      </c>
      <c r="L72" s="60">
        <v>46143</v>
      </c>
      <c r="M72" s="47" t="str">
        <f t="shared" si="74"/>
        <v>May</v>
      </c>
      <c r="N72" s="42">
        <f t="shared" ca="1" si="75"/>
        <v>49</v>
      </c>
      <c r="O72" s="42" t="str">
        <f t="shared" ca="1" si="76"/>
        <v>31-60 days</v>
      </c>
      <c r="P72" s="1" t="s">
        <v>93</v>
      </c>
      <c r="Q72" s="60">
        <v>46176</v>
      </c>
      <c r="R72" s="60">
        <v>46183</v>
      </c>
      <c r="S72" s="42" t="s">
        <v>137</v>
      </c>
      <c r="T72" s="1" t="s">
        <v>215</v>
      </c>
      <c r="U72" s="42" t="s">
        <v>96</v>
      </c>
      <c r="V72" s="42" t="s">
        <v>104</v>
      </c>
      <c r="W72" s="18"/>
      <c r="X72" s="1"/>
      <c r="Y72" s="7"/>
      <c r="Z72" s="7"/>
      <c r="AA72" s="7"/>
    </row>
    <row r="73" spans="1:27">
      <c r="A73" s="1" t="s">
        <v>69</v>
      </c>
      <c r="B73" s="1" t="s">
        <v>167</v>
      </c>
      <c r="C73" s="42" t="str">
        <f>VLOOKUP(B73,Validation!A:B,2,0)</f>
        <v>Shared Center</v>
      </c>
      <c r="D73" s="42" t="str">
        <f>VLOOKUP(B73,Validation!A:D,4,0)</f>
        <v xml:space="preserve">Mrinal </v>
      </c>
      <c r="E73" s="42" t="str">
        <f>VLOOKUP(B73,Validation!A:E,5,0)</f>
        <v>Michael Bermingham</v>
      </c>
      <c r="F73" s="42" t="s">
        <v>58</v>
      </c>
      <c r="G73" s="42">
        <f t="shared" si="73"/>
        <v>2026</v>
      </c>
      <c r="H73" s="1" t="s">
        <v>111</v>
      </c>
      <c r="I73" s="1" t="s">
        <v>92</v>
      </c>
      <c r="J73" s="66">
        <f>VLOOKUP(I73,'XE rates'!A:D,4,0)*K73</f>
        <v>4000</v>
      </c>
      <c r="K73" s="20">
        <v>4000</v>
      </c>
      <c r="L73" s="60">
        <v>46143</v>
      </c>
      <c r="M73" s="47" t="str">
        <f t="shared" si="74"/>
        <v>May</v>
      </c>
      <c r="N73" s="42">
        <f t="shared" ca="1" si="75"/>
        <v>51</v>
      </c>
      <c r="O73" s="42" t="str">
        <f t="shared" ca="1" si="76"/>
        <v>31-60 days</v>
      </c>
      <c r="P73" s="1" t="s">
        <v>93</v>
      </c>
      <c r="Q73" s="60">
        <v>46175</v>
      </c>
      <c r="R73" s="60">
        <v>46181</v>
      </c>
      <c r="S73" s="42" t="s">
        <v>112</v>
      </c>
      <c r="T73" s="1" t="s">
        <v>216</v>
      </c>
      <c r="U73" s="42" t="s">
        <v>96</v>
      </c>
      <c r="V73" s="42" t="s">
        <v>104</v>
      </c>
      <c r="W73" s="18"/>
      <c r="X73" s="1"/>
      <c r="Y73" s="7"/>
      <c r="Z73" s="7"/>
      <c r="AA73" s="7"/>
    </row>
    <row r="74" spans="1:27">
      <c r="A74" s="1" t="s">
        <v>56</v>
      </c>
      <c r="B74" s="1" t="s">
        <v>217</v>
      </c>
      <c r="C74" s="42" t="str">
        <f>VLOOKUP(B74,Validation!A:B,2,0)</f>
        <v>Americas</v>
      </c>
      <c r="D74" s="42" t="str">
        <f>VLOOKUP(B74,Validation!A:D,4,0)</f>
        <v>Tanu Arora</v>
      </c>
      <c r="E74" s="42" t="str">
        <f>VLOOKUP(B74,Validation!A:E,5,0)</f>
        <v>Michael Bermingham</v>
      </c>
      <c r="F74" s="42" t="s">
        <v>58</v>
      </c>
      <c r="G74" s="42">
        <f t="shared" si="73"/>
        <v>2026</v>
      </c>
      <c r="H74" s="42" t="s">
        <v>57</v>
      </c>
      <c r="I74" s="1" t="s">
        <v>92</v>
      </c>
      <c r="J74" s="66">
        <f>VLOOKUP(I74,'XE rates'!A:D,4,0)*K74</f>
        <v>10004.1</v>
      </c>
      <c r="K74" s="20">
        <v>10004.1</v>
      </c>
      <c r="L74" s="60">
        <v>46143</v>
      </c>
      <c r="M74" s="47" t="str">
        <f t="shared" si="74"/>
        <v>May</v>
      </c>
      <c r="N74" s="42">
        <f t="shared" ca="1" si="75"/>
        <v>46</v>
      </c>
      <c r="O74" s="42" t="str">
        <f t="shared" ca="1" si="76"/>
        <v>31-60 days</v>
      </c>
      <c r="P74" s="1" t="s">
        <v>93</v>
      </c>
      <c r="Q74" s="60">
        <v>46179</v>
      </c>
      <c r="R74" s="60">
        <v>46186</v>
      </c>
      <c r="S74" s="42" t="s">
        <v>94</v>
      </c>
      <c r="T74" s="1" t="s">
        <v>218</v>
      </c>
      <c r="U74" s="42" t="s">
        <v>96</v>
      </c>
      <c r="V74" s="42" t="s">
        <v>104</v>
      </c>
      <c r="W74" s="18"/>
      <c r="X74" s="1"/>
      <c r="Y74" s="7"/>
      <c r="Z74" s="7"/>
      <c r="AA74" s="7"/>
    </row>
    <row r="75" spans="1:27">
      <c r="A75" s="1" t="s">
        <v>56</v>
      </c>
      <c r="B75" s="1" t="s">
        <v>219</v>
      </c>
      <c r="C75" s="42" t="str">
        <f>VLOOKUP(B75,Validation!A:B,2,0)</f>
        <v>Americas</v>
      </c>
      <c r="D75" s="42" t="str">
        <f>VLOOKUP(B75,Validation!A:D,4,0)</f>
        <v>Unmanaged</v>
      </c>
      <c r="E75" s="42" t="str">
        <f>VLOOKUP(B75,Validation!A:E,5,0)</f>
        <v>Michael Bermingham</v>
      </c>
      <c r="F75" s="42" t="s">
        <v>58</v>
      </c>
      <c r="G75" s="42">
        <f t="shared" si="73"/>
        <v>2026</v>
      </c>
      <c r="H75" s="42" t="s">
        <v>57</v>
      </c>
      <c r="I75" s="1" t="s">
        <v>92</v>
      </c>
      <c r="J75" s="66">
        <f>VLOOKUP(I75,'XE rates'!A:D,4,0)*K75</f>
        <v>1000</v>
      </c>
      <c r="K75" s="20">
        <v>1000</v>
      </c>
      <c r="L75" s="60">
        <v>46174</v>
      </c>
      <c r="M75" s="47" t="str">
        <f t="shared" si="74"/>
        <v>Jun</v>
      </c>
      <c r="N75" s="42">
        <f t="shared" ca="1" si="75"/>
        <v>44</v>
      </c>
      <c r="O75" s="42" t="str">
        <f t="shared" ca="1" si="76"/>
        <v>31-60 days</v>
      </c>
      <c r="P75" s="1" t="s">
        <v>220</v>
      </c>
      <c r="Q75" s="60">
        <v>46181</v>
      </c>
      <c r="R75" s="60">
        <v>46188</v>
      </c>
      <c r="S75" s="42" t="s">
        <v>112</v>
      </c>
      <c r="T75" s="1" t="s">
        <v>221</v>
      </c>
      <c r="U75" s="42" t="s">
        <v>96</v>
      </c>
      <c r="V75" s="42" t="s">
        <v>104</v>
      </c>
      <c r="W75" s="18"/>
      <c r="X75" s="1"/>
      <c r="Y75" s="7"/>
      <c r="Z75" s="7"/>
      <c r="AA75" s="7"/>
    </row>
    <row r="76" spans="1:27">
      <c r="A76" s="1" t="s">
        <v>56</v>
      </c>
      <c r="B76" s="1" t="s">
        <v>117</v>
      </c>
      <c r="C76" s="42" t="str">
        <f>VLOOKUP(B76,Validation!A:B,2,0)</f>
        <v>APAC</v>
      </c>
      <c r="D76" s="42" t="str">
        <f>VLOOKUP(B76,Validation!A:D,4,0)</f>
        <v>Hao Nguyen</v>
      </c>
      <c r="E76" s="42" t="str">
        <f>VLOOKUP(B76,Validation!A:E,5,0)</f>
        <v>Vinoth M</v>
      </c>
      <c r="F76" s="42" t="s">
        <v>58</v>
      </c>
      <c r="G76" s="42">
        <f t="shared" si="73"/>
        <v>2026</v>
      </c>
      <c r="H76" s="42" t="s">
        <v>57</v>
      </c>
      <c r="I76" s="1" t="s">
        <v>107</v>
      </c>
      <c r="J76" s="66">
        <f>VLOOKUP(I76,'XE rates'!A:D,4,0)*K76</f>
        <v>7722.7485608240122</v>
      </c>
      <c r="K76" s="20">
        <v>11020.603999999999</v>
      </c>
      <c r="L76" s="60">
        <v>46143</v>
      </c>
      <c r="M76" s="47" t="str">
        <f t="shared" si="74"/>
        <v>May</v>
      </c>
      <c r="N76" s="42">
        <f t="shared" ca="1" si="75"/>
        <v>26</v>
      </c>
      <c r="O76" s="42" t="str">
        <f t="shared" ca="1" si="76"/>
        <v>0-30 days</v>
      </c>
      <c r="P76" s="1" t="s">
        <v>93</v>
      </c>
      <c r="Q76" s="60">
        <v>46176</v>
      </c>
      <c r="R76" s="60">
        <v>46206</v>
      </c>
      <c r="S76" s="42" t="s">
        <v>94</v>
      </c>
      <c r="T76" s="1" t="s">
        <v>222</v>
      </c>
      <c r="U76" s="42" t="s">
        <v>96</v>
      </c>
      <c r="V76" s="42" t="s">
        <v>104</v>
      </c>
      <c r="W76" s="87" t="s">
        <v>120</v>
      </c>
      <c r="X76" s="1"/>
      <c r="Y76" s="7"/>
      <c r="Z76" s="7"/>
      <c r="AA76" s="7"/>
    </row>
    <row r="77" spans="1:27">
      <c r="A77" s="1" t="s">
        <v>56</v>
      </c>
      <c r="B77" s="1" t="s">
        <v>223</v>
      </c>
      <c r="C77" s="42" t="str">
        <f>VLOOKUP(B77,Validation!A:B,2,0)</f>
        <v>Shared Center</v>
      </c>
      <c r="D77" s="42" t="str">
        <f>VLOOKUP(B77,Validation!A:D,4,0)</f>
        <v xml:space="preserve"> Bhavani</v>
      </c>
      <c r="E77" s="42" t="str">
        <f>VLOOKUP(B77,Validation!A:E,5,0)</f>
        <v>Vinoth M</v>
      </c>
      <c r="F77" s="42" t="s">
        <v>58</v>
      </c>
      <c r="G77" s="42">
        <f t="shared" si="73"/>
        <v>2026</v>
      </c>
      <c r="H77" s="42" t="s">
        <v>57</v>
      </c>
      <c r="I77" s="1" t="s">
        <v>107</v>
      </c>
      <c r="J77" s="66">
        <f>VLOOKUP(I77,'XE rates'!A:D,4,0)*K77</f>
        <v>2203.8759603186468</v>
      </c>
      <c r="K77" s="20">
        <v>3145</v>
      </c>
      <c r="L77" s="60">
        <v>46143</v>
      </c>
      <c r="M77" s="47" t="str">
        <f t="shared" si="74"/>
        <v>May</v>
      </c>
      <c r="N77" s="42">
        <f t="shared" ca="1" si="75"/>
        <v>50</v>
      </c>
      <c r="O77" s="42" t="str">
        <f t="shared" ca="1" si="76"/>
        <v>31-60 days</v>
      </c>
      <c r="P77" s="1" t="s">
        <v>93</v>
      </c>
      <c r="Q77" s="60">
        <v>46175</v>
      </c>
      <c r="R77" s="60">
        <v>46182</v>
      </c>
      <c r="S77" s="42" t="s">
        <v>94</v>
      </c>
      <c r="T77" s="1" t="s">
        <v>224</v>
      </c>
      <c r="U77" s="42" t="s">
        <v>96</v>
      </c>
      <c r="V77" s="42" t="s">
        <v>104</v>
      </c>
      <c r="W77" s="18"/>
      <c r="X77" s="1"/>
      <c r="Y77" s="7"/>
      <c r="Z77" s="7"/>
      <c r="AA77" s="7"/>
    </row>
    <row r="78" spans="1:27">
      <c r="A78" s="1" t="s">
        <v>56</v>
      </c>
      <c r="B78" s="1" t="s">
        <v>187</v>
      </c>
      <c r="C78" s="42" t="str">
        <f>VLOOKUP(B78,Validation!A:B,2,0)</f>
        <v>MEA</v>
      </c>
      <c r="D78" s="42" t="str">
        <f>VLOOKUP(B78,Validation!A:D,4,0)</f>
        <v>Jerome Coelho</v>
      </c>
      <c r="E78" s="42" t="str">
        <f>VLOOKUP(B78,Validation!A:E,5,0)</f>
        <v>Rohit Bammi</v>
      </c>
      <c r="F78" s="42" t="s">
        <v>58</v>
      </c>
      <c r="G78" s="42">
        <f t="shared" si="73"/>
        <v>2026</v>
      </c>
      <c r="H78" s="42" t="s">
        <v>57</v>
      </c>
      <c r="I78" s="1" t="s">
        <v>92</v>
      </c>
      <c r="J78" s="66">
        <f>VLOOKUP(I78,'XE rates'!A:D,4,0)*K78</f>
        <v>3681</v>
      </c>
      <c r="K78" s="20">
        <v>3681</v>
      </c>
      <c r="L78" s="60">
        <v>46143</v>
      </c>
      <c r="M78" s="47" t="str">
        <f t="shared" si="74"/>
        <v>May</v>
      </c>
      <c r="N78" s="42">
        <f t="shared" ca="1" si="75"/>
        <v>49</v>
      </c>
      <c r="O78" s="42" t="str">
        <f t="shared" ca="1" si="76"/>
        <v>31-60 days</v>
      </c>
      <c r="P78" s="1" t="s">
        <v>93</v>
      </c>
      <c r="Q78" s="60">
        <v>46176</v>
      </c>
      <c r="R78" s="60">
        <v>46183</v>
      </c>
      <c r="S78" s="42" t="s">
        <v>94</v>
      </c>
      <c r="T78" s="1" t="s">
        <v>225</v>
      </c>
      <c r="U78" s="42" t="s">
        <v>96</v>
      </c>
      <c r="V78" s="42" t="s">
        <v>104</v>
      </c>
      <c r="W78" s="18"/>
      <c r="X78" s="1"/>
      <c r="Y78" s="7"/>
      <c r="Z78" s="7"/>
      <c r="AA78" s="7"/>
    </row>
    <row r="79" spans="1:27">
      <c r="A79" s="1" t="s">
        <v>56</v>
      </c>
      <c r="B79" s="1" t="s">
        <v>191</v>
      </c>
      <c r="C79" s="42" t="str">
        <f>VLOOKUP(B79,Validation!A:B,2,0)</f>
        <v>APAC</v>
      </c>
      <c r="D79" s="42" t="str">
        <f>VLOOKUP(B79,Validation!A:D,4,0)</f>
        <v>NA</v>
      </c>
      <c r="E79" s="42" t="str">
        <f>VLOOKUP(B79,Validation!A:E,5,0)</f>
        <v>Wendy zhai</v>
      </c>
      <c r="F79" s="42" t="s">
        <v>58</v>
      </c>
      <c r="G79" s="42">
        <f t="shared" si="73"/>
        <v>2026</v>
      </c>
      <c r="H79" s="42" t="s">
        <v>57</v>
      </c>
      <c r="I79" s="1" t="s">
        <v>107</v>
      </c>
      <c r="J79" s="66">
        <f>VLOOKUP(I79,'XE rates'!A:D,4,0)*K79</f>
        <v>3364.1378184357827</v>
      </c>
      <c r="K79" s="20">
        <v>4800.7299999999996</v>
      </c>
      <c r="L79" s="60">
        <v>46143</v>
      </c>
      <c r="M79" s="47" t="str">
        <f t="shared" si="74"/>
        <v>May</v>
      </c>
      <c r="N79" s="42">
        <f t="shared" ca="1" si="75"/>
        <v>50</v>
      </c>
      <c r="O79" s="42" t="str">
        <f t="shared" ca="1" si="76"/>
        <v>31-60 days</v>
      </c>
      <c r="P79" s="1" t="s">
        <v>93</v>
      </c>
      <c r="Q79" s="60">
        <v>46175</v>
      </c>
      <c r="R79" s="60">
        <v>46182</v>
      </c>
      <c r="S79" s="42" t="s">
        <v>112</v>
      </c>
      <c r="T79" s="1" t="s">
        <v>226</v>
      </c>
      <c r="U79" s="42" t="s">
        <v>96</v>
      </c>
      <c r="V79" s="42" t="s">
        <v>104</v>
      </c>
      <c r="W79" s="42" t="s">
        <v>193</v>
      </c>
      <c r="X79" s="1"/>
      <c r="Y79" s="7"/>
      <c r="Z79" s="7"/>
      <c r="AA79" s="7"/>
    </row>
    <row r="80" spans="1:27">
      <c r="A80" s="1" t="s">
        <v>56</v>
      </c>
      <c r="B80" s="1" t="s">
        <v>227</v>
      </c>
      <c r="C80" s="42" t="str">
        <f>VLOOKUP(B80,Validation!A:B,2,0)</f>
        <v>Shared Center</v>
      </c>
      <c r="D80" s="42" t="str">
        <f>VLOOKUP(B80,Validation!A:D,4,0)</f>
        <v>Sanat Patakar</v>
      </c>
      <c r="E80" s="42" t="str">
        <f>VLOOKUP(B80,Validation!A:E,5,0)</f>
        <v>Edward Li</v>
      </c>
      <c r="F80" s="42" t="s">
        <v>58</v>
      </c>
      <c r="G80" s="42">
        <f t="shared" si="73"/>
        <v>2026</v>
      </c>
      <c r="H80" s="42" t="s">
        <v>57</v>
      </c>
      <c r="I80" s="1" t="s">
        <v>92</v>
      </c>
      <c r="J80" s="66">
        <f>VLOOKUP(I80,'XE rates'!A:D,4,0)*K80</f>
        <v>1356.08</v>
      </c>
      <c r="K80" s="20">
        <v>1356.08</v>
      </c>
      <c r="L80" s="60">
        <v>46143</v>
      </c>
      <c r="M80" s="47" t="str">
        <f t="shared" si="74"/>
        <v>May</v>
      </c>
      <c r="N80" s="42">
        <f t="shared" ca="1" si="75"/>
        <v>51</v>
      </c>
      <c r="O80" s="42" t="str">
        <f t="shared" ca="1" si="76"/>
        <v>31-60 days</v>
      </c>
      <c r="P80" s="1" t="s">
        <v>93</v>
      </c>
      <c r="Q80" s="60">
        <v>46174</v>
      </c>
      <c r="R80" s="60">
        <v>46181</v>
      </c>
      <c r="S80" s="42" t="s">
        <v>94</v>
      </c>
      <c r="T80" s="1" t="s">
        <v>228</v>
      </c>
      <c r="U80" s="42" t="s">
        <v>96</v>
      </c>
      <c r="V80" s="42" t="s">
        <v>104</v>
      </c>
      <c r="W80" s="18"/>
      <c r="X80" s="1"/>
      <c r="Y80" s="7"/>
      <c r="Z80" s="7"/>
      <c r="AA80" s="7"/>
    </row>
    <row r="81" spans="1:27">
      <c r="A81" s="1" t="s">
        <v>56</v>
      </c>
      <c r="B81" s="1" t="s">
        <v>229</v>
      </c>
      <c r="C81" s="42" t="str">
        <f>VLOOKUP(B81,Validation!A:B,2,0)</f>
        <v>Shared Center</v>
      </c>
      <c r="D81" s="42" t="str">
        <f>VLOOKUP(B81,Validation!A:D,4,0)</f>
        <v>Sakshi Shanbhag</v>
      </c>
      <c r="E81" s="42" t="str">
        <f>VLOOKUP(B81,Validation!A:E,5,0)</f>
        <v>Vinoth M</v>
      </c>
      <c r="F81" s="42" t="s">
        <v>58</v>
      </c>
      <c r="G81" s="42">
        <f t="shared" si="73"/>
        <v>2026</v>
      </c>
      <c r="H81" s="42" t="s">
        <v>57</v>
      </c>
      <c r="I81" s="1" t="s">
        <v>107</v>
      </c>
      <c r="J81" s="66">
        <f>VLOOKUP(I81,'XE rates'!A:D,4,0)*K81</f>
        <v>4878.3512656012335</v>
      </c>
      <c r="K81" s="20">
        <v>6961.56</v>
      </c>
      <c r="L81" s="60">
        <v>46143</v>
      </c>
      <c r="M81" s="47" t="str">
        <f t="shared" si="74"/>
        <v>May</v>
      </c>
      <c r="N81" s="42">
        <f t="shared" ca="1" si="75"/>
        <v>50</v>
      </c>
      <c r="O81" s="42" t="str">
        <f t="shared" ca="1" si="76"/>
        <v>31-60 days</v>
      </c>
      <c r="P81" s="1" t="s">
        <v>93</v>
      </c>
      <c r="Q81" s="60">
        <v>46175</v>
      </c>
      <c r="R81" s="60">
        <v>46182</v>
      </c>
      <c r="S81" s="42" t="s">
        <v>94</v>
      </c>
      <c r="T81" s="1" t="s">
        <v>230</v>
      </c>
      <c r="U81" s="42" t="s">
        <v>96</v>
      </c>
      <c r="V81" s="42" t="s">
        <v>104</v>
      </c>
      <c r="W81" s="18"/>
      <c r="X81" s="1"/>
      <c r="Y81" s="7"/>
      <c r="Z81" s="7"/>
      <c r="AA81" s="7"/>
    </row>
    <row r="82" spans="1:27">
      <c r="A82" s="1" t="s">
        <v>56</v>
      </c>
      <c r="B82" s="1" t="s">
        <v>121</v>
      </c>
      <c r="C82" s="42" t="str">
        <f>VLOOKUP(B82,Validation!A:B,2,0)</f>
        <v>EU/UK</v>
      </c>
      <c r="D82" s="42" t="str">
        <f>VLOOKUP(B82,Validation!A:D,4,0)</f>
        <v>Sachli Zare</v>
      </c>
      <c r="E82" s="42" t="str">
        <f>VLOOKUP(B82,Validation!A:E,5,0)</f>
        <v>NA</v>
      </c>
      <c r="F82" s="42" t="s">
        <v>58</v>
      </c>
      <c r="G82" s="42">
        <f t="shared" si="73"/>
        <v>2026</v>
      </c>
      <c r="H82" s="42" t="s">
        <v>57</v>
      </c>
      <c r="I82" s="1" t="s">
        <v>92</v>
      </c>
      <c r="J82" s="66">
        <f>VLOOKUP(I82,'XE rates'!A:D,4,0)*K82</f>
        <v>33.9</v>
      </c>
      <c r="K82" s="20">
        <v>33.9</v>
      </c>
      <c r="L82" s="60">
        <v>46143</v>
      </c>
      <c r="M82" s="47" t="str">
        <f t="shared" si="74"/>
        <v>May</v>
      </c>
      <c r="N82" s="42">
        <f t="shared" ca="1" si="75"/>
        <v>48</v>
      </c>
      <c r="O82" s="42" t="str">
        <f t="shared" ca="1" si="76"/>
        <v>31-60 days</v>
      </c>
      <c r="P82" s="1" t="s">
        <v>93</v>
      </c>
      <c r="Q82" s="60">
        <v>46177</v>
      </c>
      <c r="R82" s="60">
        <v>46184</v>
      </c>
      <c r="S82" s="42" t="s">
        <v>94</v>
      </c>
      <c r="T82" s="1" t="s">
        <v>231</v>
      </c>
      <c r="U82" s="42" t="s">
        <v>96</v>
      </c>
      <c r="V82" s="42" t="s">
        <v>104</v>
      </c>
      <c r="W82" s="18"/>
      <c r="X82" s="1"/>
      <c r="Y82" s="7"/>
      <c r="Z82" s="7"/>
      <c r="AA82" s="7"/>
    </row>
    <row r="83" spans="1:27">
      <c r="A83" s="1" t="s">
        <v>56</v>
      </c>
      <c r="B83" s="1" t="s">
        <v>29</v>
      </c>
      <c r="C83" s="42" t="str">
        <f>VLOOKUP(B83,Validation!A:B,2,0)</f>
        <v>Americas</v>
      </c>
      <c r="D83" s="42" t="str">
        <f>VLOOKUP(B83,Validation!A:D,4,0)</f>
        <v>Lia Susin</v>
      </c>
      <c r="E83" s="42" t="str">
        <f>VLOOKUP(B83,Validation!A:E,5,0)</f>
        <v>Christina Hutchinson</v>
      </c>
      <c r="F83" s="42" t="s">
        <v>58</v>
      </c>
      <c r="G83" s="42">
        <f t="shared" si="73"/>
        <v>2026</v>
      </c>
      <c r="H83" s="42" t="s">
        <v>57</v>
      </c>
      <c r="I83" s="1" t="s">
        <v>92</v>
      </c>
      <c r="J83" s="66">
        <f>VLOOKUP(I83,'XE rates'!A:D,4,0)*K83</f>
        <v>7821.2098000000005</v>
      </c>
      <c r="K83" s="20">
        <v>7821.2098000000005</v>
      </c>
      <c r="L83" s="60">
        <v>46143</v>
      </c>
      <c r="M83" s="47" t="str">
        <f t="shared" si="74"/>
        <v>May</v>
      </c>
      <c r="N83" s="42">
        <f t="shared" ca="1" si="75"/>
        <v>49</v>
      </c>
      <c r="O83" s="42" t="str">
        <f t="shared" ca="1" si="76"/>
        <v>31-60 days</v>
      </c>
      <c r="P83" s="1" t="s">
        <v>93</v>
      </c>
      <c r="Q83" s="60">
        <v>46176</v>
      </c>
      <c r="R83" s="60">
        <v>46183</v>
      </c>
      <c r="S83" s="42" t="s">
        <v>94</v>
      </c>
      <c r="T83" s="1" t="s">
        <v>232</v>
      </c>
      <c r="U83" s="42" t="s">
        <v>96</v>
      </c>
      <c r="V83" s="42" t="s">
        <v>104</v>
      </c>
      <c r="W83" s="86" t="s">
        <v>105</v>
      </c>
      <c r="X83" s="1"/>
      <c r="Y83" s="7"/>
      <c r="Z83" s="7"/>
      <c r="AA83" s="7"/>
    </row>
    <row r="84" spans="1:27">
      <c r="A84" s="1" t="s">
        <v>56</v>
      </c>
      <c r="B84" s="1" t="s">
        <v>134</v>
      </c>
      <c r="C84" s="42" t="str">
        <f>VLOOKUP(B84,Validation!A:B,2,0)</f>
        <v>Shared Center</v>
      </c>
      <c r="D84" s="42" t="str">
        <f>VLOOKUP(B84,Validation!A:D,4,0)</f>
        <v>Sanat Patakar</v>
      </c>
      <c r="E84" s="42" t="str">
        <f>VLOOKUP(B84,Validation!A:E,5,0)</f>
        <v>Vinoth M</v>
      </c>
      <c r="F84" s="42" t="s">
        <v>58</v>
      </c>
      <c r="G84" s="42">
        <f t="shared" si="73"/>
        <v>2026</v>
      </c>
      <c r="H84" s="42" t="s">
        <v>57</v>
      </c>
      <c r="I84" s="1" t="s">
        <v>92</v>
      </c>
      <c r="J84" s="66">
        <f>VLOOKUP(I84,'XE rates'!A:D,4,0)*K84</f>
        <v>2956.5</v>
      </c>
      <c r="K84" s="20">
        <v>2956.5</v>
      </c>
      <c r="L84" s="60">
        <v>46143</v>
      </c>
      <c r="M84" s="47" t="str">
        <f t="shared" si="74"/>
        <v>May</v>
      </c>
      <c r="N84" s="42">
        <f t="shared" ca="1" si="75"/>
        <v>42</v>
      </c>
      <c r="O84" s="42" t="str">
        <f t="shared" ca="1" si="76"/>
        <v>31-60 days</v>
      </c>
      <c r="P84" s="1" t="s">
        <v>93</v>
      </c>
      <c r="Q84" s="60">
        <v>46175</v>
      </c>
      <c r="R84" s="60">
        <v>46190</v>
      </c>
      <c r="S84" s="42" t="s">
        <v>94</v>
      </c>
      <c r="T84" s="1" t="s">
        <v>233</v>
      </c>
      <c r="U84" s="42" t="s">
        <v>96</v>
      </c>
      <c r="V84" s="42" t="s">
        <v>104</v>
      </c>
      <c r="W84" s="87" t="s">
        <v>135</v>
      </c>
      <c r="X84" s="1"/>
      <c r="Y84" s="7"/>
      <c r="Z84" s="7"/>
      <c r="AA84" s="7"/>
    </row>
    <row r="85" spans="1:27">
      <c r="A85" s="1" t="s">
        <v>56</v>
      </c>
      <c r="B85" s="1" t="s">
        <v>64</v>
      </c>
      <c r="C85" s="42" t="str">
        <f>VLOOKUP(B85,Validation!A:B,2,0)</f>
        <v>Americas</v>
      </c>
      <c r="D85" s="42" t="str">
        <f>VLOOKUP(B85,Validation!A:D,4,0)</f>
        <v>Tanu Arora</v>
      </c>
      <c r="E85" s="42" t="str">
        <f>VLOOKUP(B85,Validation!A:E,5,0)</f>
        <v>Michael Bermingham</v>
      </c>
      <c r="F85" s="42" t="s">
        <v>58</v>
      </c>
      <c r="G85" s="42">
        <f t="shared" si="73"/>
        <v>2026</v>
      </c>
      <c r="H85" s="42" t="s">
        <v>57</v>
      </c>
      <c r="I85" s="1" t="s">
        <v>177</v>
      </c>
      <c r="J85" s="66">
        <f>VLOOKUP(I85,'XE rates'!A:D,4,0)*K85</f>
        <v>2125.2626815186663</v>
      </c>
      <c r="K85" s="20">
        <v>2996.2757200000001</v>
      </c>
      <c r="L85" s="60">
        <v>46143</v>
      </c>
      <c r="M85" s="47" t="str">
        <f t="shared" si="74"/>
        <v>May</v>
      </c>
      <c r="N85" s="42">
        <f t="shared" ca="1" si="75"/>
        <v>48</v>
      </c>
      <c r="O85" s="42" t="str">
        <f t="shared" ca="1" si="76"/>
        <v>31-60 days</v>
      </c>
      <c r="P85" s="1" t="s">
        <v>93</v>
      </c>
      <c r="Q85" s="60">
        <v>46177</v>
      </c>
      <c r="R85" s="60">
        <v>46184</v>
      </c>
      <c r="S85" s="42" t="s">
        <v>94</v>
      </c>
      <c r="T85" s="1" t="s">
        <v>234</v>
      </c>
      <c r="U85" s="42" t="s">
        <v>96</v>
      </c>
      <c r="V85" s="42" t="s">
        <v>104</v>
      </c>
      <c r="W85" s="87" t="s">
        <v>153</v>
      </c>
      <c r="X85" s="1"/>
      <c r="Y85" s="7"/>
      <c r="Z85" s="7"/>
      <c r="AA85" s="7"/>
    </row>
    <row r="86" spans="1:27">
      <c r="A86" s="1" t="s">
        <v>56</v>
      </c>
      <c r="B86" s="1" t="s">
        <v>66</v>
      </c>
      <c r="C86" s="42" t="str">
        <f>VLOOKUP(B86,Validation!A:B,2,0)</f>
        <v>Americas</v>
      </c>
      <c r="D86" s="42" t="str">
        <f>VLOOKUP(B86,Validation!A:D,4,0)</f>
        <v>Tanu Arora</v>
      </c>
      <c r="E86" s="42" t="str">
        <f>VLOOKUP(B86,Validation!A:E,5,0)</f>
        <v>Michael Bermingham</v>
      </c>
      <c r="F86" s="42" t="s">
        <v>58</v>
      </c>
      <c r="G86" s="42">
        <f t="shared" si="73"/>
        <v>2026</v>
      </c>
      <c r="H86" s="42" t="s">
        <v>57</v>
      </c>
      <c r="I86" s="1" t="s">
        <v>92</v>
      </c>
      <c r="J86" s="66">
        <f>VLOOKUP(I86,'XE rates'!A:D,4,0)*K86</f>
        <v>342.54048</v>
      </c>
      <c r="K86" s="20">
        <v>342.54048</v>
      </c>
      <c r="L86" s="60">
        <v>46143</v>
      </c>
      <c r="M86" s="47" t="str">
        <f t="shared" si="74"/>
        <v>May</v>
      </c>
      <c r="N86" s="42">
        <f t="shared" ca="1" si="75"/>
        <v>50</v>
      </c>
      <c r="O86" s="42" t="str">
        <f t="shared" ca="1" si="76"/>
        <v>31-60 days</v>
      </c>
      <c r="P86" s="1" t="s">
        <v>93</v>
      </c>
      <c r="Q86" s="60">
        <v>46175</v>
      </c>
      <c r="R86" s="60">
        <v>46182</v>
      </c>
      <c r="S86" s="42" t="s">
        <v>94</v>
      </c>
      <c r="T86" s="1" t="s">
        <v>235</v>
      </c>
      <c r="U86" s="42" t="s">
        <v>96</v>
      </c>
      <c r="V86" s="42" t="s">
        <v>104</v>
      </c>
      <c r="W86" s="87" t="s">
        <v>153</v>
      </c>
      <c r="X86" s="1"/>
      <c r="Y86" s="7"/>
      <c r="Z86" s="7"/>
      <c r="AA86" s="7"/>
    </row>
    <row r="87" spans="1:27">
      <c r="A87" s="1" t="s">
        <v>56</v>
      </c>
      <c r="B87" s="1" t="s">
        <v>70</v>
      </c>
      <c r="C87" s="42" t="str">
        <f>VLOOKUP(B87,Validation!A:B,2,0)</f>
        <v>Americas</v>
      </c>
      <c r="D87" s="42" t="str">
        <f>VLOOKUP(B87,Validation!A:D,4,0)</f>
        <v>Tulio Lima</v>
      </c>
      <c r="E87" s="42" t="str">
        <f>VLOOKUP(B87,Validation!A:E,5,0)</f>
        <v>NA</v>
      </c>
      <c r="F87" s="42" t="s">
        <v>58</v>
      </c>
      <c r="G87" s="42">
        <f t="shared" si="73"/>
        <v>2026</v>
      </c>
      <c r="H87" s="42" t="s">
        <v>57</v>
      </c>
      <c r="I87" s="1" t="s">
        <v>92</v>
      </c>
      <c r="J87" s="66">
        <f>VLOOKUP(I87,'XE rates'!A:D,4,0)*K87</f>
        <v>210</v>
      </c>
      <c r="K87" s="20">
        <v>210</v>
      </c>
      <c r="L87" s="60">
        <v>46143</v>
      </c>
      <c r="M87" s="47" t="str">
        <f t="shared" si="74"/>
        <v>May</v>
      </c>
      <c r="N87" s="42">
        <f t="shared" ca="1" si="75"/>
        <v>51</v>
      </c>
      <c r="O87" s="42" t="str">
        <f t="shared" ca="1" si="76"/>
        <v>31-60 days</v>
      </c>
      <c r="P87" s="1" t="s">
        <v>93</v>
      </c>
      <c r="Q87" s="60">
        <v>46174</v>
      </c>
      <c r="R87" s="60">
        <v>46181</v>
      </c>
      <c r="S87" s="42" t="s">
        <v>94</v>
      </c>
      <c r="T87" s="1" t="s">
        <v>236</v>
      </c>
      <c r="U87" s="42" t="s">
        <v>96</v>
      </c>
      <c r="V87" s="42" t="s">
        <v>104</v>
      </c>
      <c r="W87" s="42" t="s">
        <v>61</v>
      </c>
      <c r="X87" s="1"/>
      <c r="Y87" s="7"/>
      <c r="Z87" s="7"/>
      <c r="AA87" s="7"/>
    </row>
    <row r="88" spans="1:27">
      <c r="A88" s="1" t="s">
        <v>56</v>
      </c>
      <c r="B88" s="1" t="s">
        <v>237</v>
      </c>
      <c r="C88" s="42" t="str">
        <f>VLOOKUP(B88,Validation!A:B,2,0)</f>
        <v>Americas</v>
      </c>
      <c r="D88" s="42" t="str">
        <f>VLOOKUP(B88,Validation!A:D,4,0)</f>
        <v>Tulio Lima</v>
      </c>
      <c r="E88" s="42" t="str">
        <f>VLOOKUP(B88,Validation!A:E,5,0)</f>
        <v>Michael Bermingham</v>
      </c>
      <c r="F88" s="42" t="s">
        <v>58</v>
      </c>
      <c r="G88" s="42">
        <f t="shared" ref="G88:G94" si="77">YEAR(L88)</f>
        <v>2026</v>
      </c>
      <c r="H88" s="42" t="s">
        <v>57</v>
      </c>
      <c r="I88" s="1" t="s">
        <v>92</v>
      </c>
      <c r="J88" s="66">
        <f>VLOOKUP(I88,'XE rates'!A:D,4,0)*K88</f>
        <v>2500</v>
      </c>
      <c r="K88" s="20">
        <v>2500</v>
      </c>
      <c r="L88" s="60">
        <v>46174</v>
      </c>
      <c r="M88" s="47" t="str">
        <f t="shared" ref="M88:M94" si="78">TEXT(L88,"mmm")</f>
        <v>Jun</v>
      </c>
      <c r="N88" s="42">
        <f t="shared" ref="N88:N94" ca="1" si="79">$Y$1-R88</f>
        <v>34</v>
      </c>
      <c r="O88" s="42" t="str">
        <f t="shared" ref="O88:O94" ca="1" si="80">IF(N88&lt;=30, "0-30 days", IF(N88&lt;=60, "31-60 days", IF(N88&lt;=90, "61-90 days", "Over 90+ days")))</f>
        <v>31-60 days</v>
      </c>
      <c r="P88" s="1" t="s">
        <v>238</v>
      </c>
      <c r="Q88" s="60">
        <v>46191</v>
      </c>
      <c r="R88" s="60">
        <v>46198</v>
      </c>
      <c r="S88" s="42" t="s">
        <v>94</v>
      </c>
      <c r="T88" s="1" t="s">
        <v>239</v>
      </c>
      <c r="U88" s="42" t="s">
        <v>96</v>
      </c>
      <c r="V88" s="42" t="s">
        <v>104</v>
      </c>
      <c r="W88" s="42" t="s">
        <v>61</v>
      </c>
      <c r="X88" s="1"/>
      <c r="Y88" s="7"/>
      <c r="Z88" s="7"/>
      <c r="AA88" s="7"/>
    </row>
    <row r="89" spans="1:27">
      <c r="A89" s="1" t="s">
        <v>56</v>
      </c>
      <c r="B89" s="1" t="s">
        <v>240</v>
      </c>
      <c r="C89" s="42" t="str">
        <f>VLOOKUP(B89,Validation!A:B,2,0)</f>
        <v>APAC</v>
      </c>
      <c r="D89" s="42" t="str">
        <f>VLOOKUP(B89,Validation!A:D,4,0)</f>
        <v>NA</v>
      </c>
      <c r="E89" s="42" t="str">
        <f>VLOOKUP(B89,Validation!A:E,5,0)</f>
        <v>Edward Li</v>
      </c>
      <c r="F89" s="42" t="s">
        <v>58</v>
      </c>
      <c r="G89" s="42">
        <f t="shared" si="77"/>
        <v>2026</v>
      </c>
      <c r="H89" s="42" t="s">
        <v>57</v>
      </c>
      <c r="I89" s="1" t="s">
        <v>92</v>
      </c>
      <c r="J89" s="66">
        <f>VLOOKUP(I89,'XE rates'!A:D,4,0)*K89</f>
        <v>304.5</v>
      </c>
      <c r="K89" s="20">
        <v>304.5</v>
      </c>
      <c r="L89" s="60">
        <v>46143</v>
      </c>
      <c r="M89" s="47" t="str">
        <f t="shared" si="78"/>
        <v>May</v>
      </c>
      <c r="N89" s="42">
        <f t="shared" ca="1" si="79"/>
        <v>47</v>
      </c>
      <c r="O89" s="42" t="str">
        <f t="shared" ca="1" si="80"/>
        <v>31-60 days</v>
      </c>
      <c r="P89" s="1" t="s">
        <v>93</v>
      </c>
      <c r="Q89" s="60">
        <v>46178</v>
      </c>
      <c r="R89" s="60">
        <v>46185</v>
      </c>
      <c r="S89" s="42" t="s">
        <v>94</v>
      </c>
      <c r="T89" s="1" t="s">
        <v>241</v>
      </c>
      <c r="U89" s="42" t="s">
        <v>96</v>
      </c>
      <c r="V89" s="42" t="s">
        <v>104</v>
      </c>
      <c r="W89" s="42" t="s">
        <v>61</v>
      </c>
      <c r="X89" s="1"/>
      <c r="Y89" s="7"/>
      <c r="Z89" s="7"/>
      <c r="AA89" s="7"/>
    </row>
    <row r="90" spans="1:27">
      <c r="A90" s="1" t="s">
        <v>56</v>
      </c>
      <c r="B90" s="1" t="s">
        <v>181</v>
      </c>
      <c r="C90" s="42" t="str">
        <f>VLOOKUP(B90,Validation!A:B,2,0)</f>
        <v>EU/UK</v>
      </c>
      <c r="D90" s="42" t="str">
        <f>VLOOKUP(B90,Validation!A:D,4,0)</f>
        <v xml:space="preserve">Will Turner </v>
      </c>
      <c r="E90" s="42" t="str">
        <f>VLOOKUP(B90,Validation!A:E,5,0)</f>
        <v>Danny May</v>
      </c>
      <c r="F90" s="42" t="s">
        <v>58</v>
      </c>
      <c r="G90" s="42">
        <f t="shared" si="77"/>
        <v>2026</v>
      </c>
      <c r="H90" s="42" t="s">
        <v>57</v>
      </c>
      <c r="I90" s="1" t="s">
        <v>182</v>
      </c>
      <c r="J90" s="66">
        <f>VLOOKUP(I90,'XE rates'!A:D,4,0)*K90</f>
        <v>4062.1347052540159</v>
      </c>
      <c r="K90" s="20">
        <v>3037.7</v>
      </c>
      <c r="L90" s="60">
        <v>46143</v>
      </c>
      <c r="M90" s="47" t="str">
        <f t="shared" si="78"/>
        <v>May</v>
      </c>
      <c r="N90" s="42">
        <f t="shared" ca="1" si="79"/>
        <v>43</v>
      </c>
      <c r="O90" s="42" t="str">
        <f t="shared" ca="1" si="80"/>
        <v>31-60 days</v>
      </c>
      <c r="P90" s="1" t="s">
        <v>93</v>
      </c>
      <c r="Q90" s="60">
        <v>46175</v>
      </c>
      <c r="R90" s="60">
        <v>46189</v>
      </c>
      <c r="S90" s="42" t="s">
        <v>94</v>
      </c>
      <c r="T90" s="1" t="s">
        <v>242</v>
      </c>
      <c r="U90" s="42" t="s">
        <v>96</v>
      </c>
      <c r="V90" s="42" t="s">
        <v>104</v>
      </c>
      <c r="W90" s="42" t="s">
        <v>61</v>
      </c>
      <c r="X90" s="1"/>
      <c r="Y90" s="7"/>
      <c r="Z90" s="7"/>
      <c r="AA90" s="7"/>
    </row>
    <row r="91" spans="1:27">
      <c r="A91" s="1" t="s">
        <v>56</v>
      </c>
      <c r="B91" s="1" t="s">
        <v>243</v>
      </c>
      <c r="C91" s="42" t="str">
        <f>VLOOKUP(B91,Validation!A:B,2,0)</f>
        <v>Shared Center</v>
      </c>
      <c r="D91" s="42" t="str">
        <f>VLOOKUP(B91,Validation!A:D,4,0)</f>
        <v>Sakshi Shanbhag</v>
      </c>
      <c r="E91" s="42" t="str">
        <f>VLOOKUP(B91,Validation!A:E,5,0)</f>
        <v>Michael Bermingham</v>
      </c>
      <c r="F91" s="42" t="s">
        <v>58</v>
      </c>
      <c r="G91" s="42">
        <f t="shared" si="77"/>
        <v>2026</v>
      </c>
      <c r="H91" s="42" t="s">
        <v>57</v>
      </c>
      <c r="I91" s="1" t="s">
        <v>92</v>
      </c>
      <c r="J91" s="66">
        <f>VLOOKUP(I91,'XE rates'!A:D,4,0)*K91</f>
        <v>1505.67</v>
      </c>
      <c r="K91" s="20">
        <v>1505.67</v>
      </c>
      <c r="L91" s="60">
        <v>46143</v>
      </c>
      <c r="M91" s="47" t="str">
        <f t="shared" si="78"/>
        <v>May</v>
      </c>
      <c r="N91" s="42">
        <f t="shared" ca="1" si="79"/>
        <v>50</v>
      </c>
      <c r="O91" s="42" t="str">
        <f t="shared" ca="1" si="80"/>
        <v>31-60 days</v>
      </c>
      <c r="P91" s="1" t="s">
        <v>93</v>
      </c>
      <c r="Q91" s="60">
        <v>46175</v>
      </c>
      <c r="R91" s="60">
        <v>46182</v>
      </c>
      <c r="S91" s="42" t="s">
        <v>94</v>
      </c>
      <c r="T91" s="1" t="s">
        <v>244</v>
      </c>
      <c r="U91" s="42" t="s">
        <v>96</v>
      </c>
      <c r="V91" s="42" t="s">
        <v>104</v>
      </c>
      <c r="W91" s="42" t="s">
        <v>61</v>
      </c>
      <c r="X91" s="1"/>
      <c r="Y91" s="7"/>
      <c r="Z91" s="7"/>
      <c r="AA91" s="7"/>
    </row>
    <row r="92" spans="1:27">
      <c r="A92" s="1" t="s">
        <v>56</v>
      </c>
      <c r="B92" s="1" t="s">
        <v>245</v>
      </c>
      <c r="C92" s="42" t="str">
        <f>VLOOKUP(B92,Validation!A:B,2,0)</f>
        <v>APAC</v>
      </c>
      <c r="D92" s="42" t="str">
        <f>VLOOKUP(B92,Validation!A:D,4,0)</f>
        <v>XiaoXiao</v>
      </c>
      <c r="E92" s="42" t="str">
        <f>VLOOKUP(B92,Validation!A:E,5,0)</f>
        <v>Gitesh Athavale</v>
      </c>
      <c r="F92" s="42" t="s">
        <v>58</v>
      </c>
      <c r="G92" s="42">
        <f t="shared" si="77"/>
        <v>2026</v>
      </c>
      <c r="H92" s="42" t="s">
        <v>57</v>
      </c>
      <c r="I92" s="1" t="s">
        <v>92</v>
      </c>
      <c r="J92" s="66">
        <f>VLOOKUP(I92,'XE rates'!A:D,4,0)*K92</f>
        <v>7924.32809</v>
      </c>
      <c r="K92" s="20">
        <v>7924.32809</v>
      </c>
      <c r="L92" s="60">
        <v>46174</v>
      </c>
      <c r="M92" s="47" t="str">
        <f t="shared" si="78"/>
        <v>Jun</v>
      </c>
      <c r="N92" s="42">
        <f t="shared" ca="1" si="79"/>
        <v>41</v>
      </c>
      <c r="O92" s="42" t="str">
        <f t="shared" ca="1" si="80"/>
        <v>31-60 days</v>
      </c>
      <c r="P92" s="1" t="s">
        <v>246</v>
      </c>
      <c r="Q92" s="60">
        <v>46177</v>
      </c>
      <c r="R92" s="60">
        <v>46191</v>
      </c>
      <c r="S92" s="42" t="s">
        <v>94</v>
      </c>
      <c r="T92" s="1" t="s">
        <v>247</v>
      </c>
      <c r="U92" s="42" t="s">
        <v>96</v>
      </c>
      <c r="V92" s="42" t="s">
        <v>104</v>
      </c>
      <c r="W92" s="42" t="s">
        <v>61</v>
      </c>
      <c r="X92" s="1"/>
      <c r="Y92" s="7"/>
      <c r="Z92" s="7"/>
      <c r="AA92" s="7"/>
    </row>
    <row r="93" spans="1:27">
      <c r="A93" s="1" t="s">
        <v>56</v>
      </c>
      <c r="B93" s="1" t="s">
        <v>245</v>
      </c>
      <c r="C93" s="42" t="str">
        <f>VLOOKUP(B93,Validation!A:B,2,0)</f>
        <v>APAC</v>
      </c>
      <c r="D93" s="42" t="str">
        <f>VLOOKUP(B93,Validation!A:D,4,0)</f>
        <v>XiaoXiao</v>
      </c>
      <c r="E93" s="42" t="str">
        <f>VLOOKUP(B93,Validation!A:E,5,0)</f>
        <v>Gitesh Athavale</v>
      </c>
      <c r="F93" s="42" t="s">
        <v>58</v>
      </c>
      <c r="G93" s="42">
        <f t="shared" si="77"/>
        <v>2026</v>
      </c>
      <c r="H93" s="42" t="s">
        <v>57</v>
      </c>
      <c r="I93" s="1" t="s">
        <v>92</v>
      </c>
      <c r="J93" s="66">
        <f>VLOOKUP(I93,'XE rates'!A:D,4,0)*K93</f>
        <v>26670.12384</v>
      </c>
      <c r="K93" s="20">
        <v>26670.12384</v>
      </c>
      <c r="L93" s="60">
        <v>46174</v>
      </c>
      <c r="M93" s="47" t="str">
        <f t="shared" si="78"/>
        <v>Jun</v>
      </c>
      <c r="N93" s="42">
        <f t="shared" ca="1" si="79"/>
        <v>41</v>
      </c>
      <c r="O93" s="42" t="str">
        <f t="shared" ca="1" si="80"/>
        <v>31-60 days</v>
      </c>
      <c r="P93" s="1" t="s">
        <v>246</v>
      </c>
      <c r="Q93" s="60">
        <v>46184</v>
      </c>
      <c r="R93" s="60">
        <v>46191</v>
      </c>
      <c r="S93" s="42" t="s">
        <v>94</v>
      </c>
      <c r="T93" s="1" t="s">
        <v>248</v>
      </c>
      <c r="U93" s="42" t="s">
        <v>96</v>
      </c>
      <c r="V93" s="42" t="s">
        <v>104</v>
      </c>
      <c r="W93" s="42" t="s">
        <v>61</v>
      </c>
      <c r="X93" s="1"/>
      <c r="Y93" s="7"/>
      <c r="Z93" s="7"/>
      <c r="AA93" s="7"/>
    </row>
    <row r="94" spans="1:27">
      <c r="A94" s="1" t="s">
        <v>56</v>
      </c>
      <c r="B94" s="1" t="s">
        <v>249</v>
      </c>
      <c r="C94" s="42" t="str">
        <f>VLOOKUP(B94,Validation!A:B,2,0)</f>
        <v>Shared Center</v>
      </c>
      <c r="D94" s="42" t="str">
        <f>VLOOKUP(B94,Validation!A:D,4,0)</f>
        <v>Sakshi Shanbhag</v>
      </c>
      <c r="E94" s="42" t="str">
        <f>VLOOKUP(B94,Validation!A:E,5,0)</f>
        <v>Andrew Gyenis</v>
      </c>
      <c r="F94" s="42" t="s">
        <v>58</v>
      </c>
      <c r="G94" s="42">
        <f t="shared" si="77"/>
        <v>2026</v>
      </c>
      <c r="H94" s="42" t="s">
        <v>57</v>
      </c>
      <c r="I94" s="1" t="s">
        <v>92</v>
      </c>
      <c r="J94" s="66">
        <f>VLOOKUP(I94,'XE rates'!A:D,4,0)*K94</f>
        <v>2500.31</v>
      </c>
      <c r="K94" s="20">
        <v>2500.31</v>
      </c>
      <c r="L94" s="60">
        <v>46143</v>
      </c>
      <c r="M94" s="47" t="str">
        <f t="shared" si="78"/>
        <v>May</v>
      </c>
      <c r="N94" s="42">
        <f t="shared" ca="1" si="79"/>
        <v>29</v>
      </c>
      <c r="O94" s="42" t="str">
        <f t="shared" ca="1" si="80"/>
        <v>0-30 days</v>
      </c>
      <c r="P94" s="1" t="s">
        <v>93</v>
      </c>
      <c r="Q94" s="60">
        <v>46174</v>
      </c>
      <c r="R94" s="60">
        <v>46203</v>
      </c>
      <c r="S94" s="42" t="s">
        <v>94</v>
      </c>
      <c r="T94" s="1" t="s">
        <v>250</v>
      </c>
      <c r="U94" s="42" t="s">
        <v>96</v>
      </c>
      <c r="V94" s="42" t="s">
        <v>104</v>
      </c>
      <c r="W94" s="42" t="s">
        <v>61</v>
      </c>
      <c r="X94" s="1"/>
      <c r="Y94" s="7"/>
      <c r="Z94" s="7"/>
      <c r="AA94" s="7"/>
    </row>
    <row r="95" spans="1:27">
      <c r="A95" s="1" t="s">
        <v>69</v>
      </c>
      <c r="B95" s="1" t="s">
        <v>32</v>
      </c>
      <c r="C95" s="42" t="str">
        <f>VLOOKUP(B95,Validation!A:B,2,0)</f>
        <v>Americas</v>
      </c>
      <c r="D95" s="42" t="str">
        <f>VLOOKUP(B95,Validation!A:D,4,0)</f>
        <v>Lia Susin</v>
      </c>
      <c r="E95" s="42" t="str">
        <f>VLOOKUP(B95,Validation!A:E,5,0)</f>
        <v>NA</v>
      </c>
      <c r="F95" s="42" t="s">
        <v>58</v>
      </c>
      <c r="G95" s="42">
        <f t="shared" ref="G95:G132" si="81">YEAR(L95)</f>
        <v>2026</v>
      </c>
      <c r="H95" s="1" t="s">
        <v>111</v>
      </c>
      <c r="I95" s="1" t="s">
        <v>92</v>
      </c>
      <c r="J95" s="66">
        <f>VLOOKUP(I95,'XE rates'!A:D,4,0)*K95</f>
        <v>-1080.78</v>
      </c>
      <c r="K95" s="20">
        <v>-1080.78</v>
      </c>
      <c r="L95" s="60">
        <v>46174</v>
      </c>
      <c r="M95" s="47" t="str">
        <f t="shared" ref="M95:M132" si="82">TEXT(L95,"mmm")</f>
        <v>Jun</v>
      </c>
      <c r="N95" s="42">
        <f t="shared" ref="N95:N132" ca="1" si="83">$Y$1-R95</f>
        <v>-1</v>
      </c>
      <c r="O95" s="42" t="str">
        <f t="shared" ref="O95:O132" ca="1" si="84">IF(N95&lt;=30, "0-30 days", IF(N95&lt;=60, "31-60 days", IF(N95&lt;=90, "61-90 days", "Over 90+ days")))</f>
        <v>0-30 days</v>
      </c>
      <c r="P95" s="1" t="s">
        <v>252</v>
      </c>
      <c r="Q95" s="60">
        <v>46210</v>
      </c>
      <c r="R95" s="60">
        <v>46233</v>
      </c>
      <c r="S95" s="42" t="s">
        <v>253</v>
      </c>
      <c r="T95" s="1" t="s">
        <v>254</v>
      </c>
      <c r="U95" s="42" t="s">
        <v>96</v>
      </c>
      <c r="V95" s="42" t="s">
        <v>104</v>
      </c>
      <c r="W95" s="42" t="s">
        <v>61</v>
      </c>
      <c r="X95" s="1"/>
      <c r="Y95" s="7"/>
      <c r="Z95" s="7"/>
      <c r="AA95" s="7"/>
    </row>
    <row r="96" spans="1:27">
      <c r="A96" s="1" t="s">
        <v>69</v>
      </c>
      <c r="B96" s="1" t="s">
        <v>184</v>
      </c>
      <c r="C96" s="42" t="str">
        <f>VLOOKUP(B96,Validation!A:B,2,0)</f>
        <v>Shared Center</v>
      </c>
      <c r="D96" s="42" t="str">
        <f>VLOOKUP(B96,Validation!A:D,4,0)</f>
        <v xml:space="preserve"> Simrn</v>
      </c>
      <c r="E96" s="42" t="str">
        <f>VLOOKUP(B96,Validation!A:E,5,0)</f>
        <v>Lisa Sung</v>
      </c>
      <c r="F96" s="42" t="s">
        <v>58</v>
      </c>
      <c r="G96" s="42">
        <f t="shared" si="81"/>
        <v>2026</v>
      </c>
      <c r="H96" s="42" t="s">
        <v>57</v>
      </c>
      <c r="I96" s="1" t="s">
        <v>92</v>
      </c>
      <c r="J96" s="66">
        <f>VLOOKUP(I96,'XE rates'!A:D,4,0)*K96</f>
        <v>5000</v>
      </c>
      <c r="K96" s="20">
        <v>5000</v>
      </c>
      <c r="L96" s="60">
        <v>46174</v>
      </c>
      <c r="M96" s="47" t="str">
        <f t="shared" si="82"/>
        <v>Jun</v>
      </c>
      <c r="N96" s="42">
        <f t="shared" ca="1" si="83"/>
        <v>20</v>
      </c>
      <c r="O96" s="42" t="str">
        <f t="shared" ca="1" si="84"/>
        <v>0-30 days</v>
      </c>
      <c r="P96" s="1" t="s">
        <v>93</v>
      </c>
      <c r="Q96" s="60">
        <v>46205</v>
      </c>
      <c r="R96" s="60">
        <v>46212</v>
      </c>
      <c r="S96" s="42" t="s">
        <v>137</v>
      </c>
      <c r="T96" s="1" t="s">
        <v>255</v>
      </c>
      <c r="U96" s="42" t="s">
        <v>96</v>
      </c>
      <c r="V96" s="42" t="s">
        <v>104</v>
      </c>
      <c r="W96" s="42" t="s">
        <v>61</v>
      </c>
      <c r="X96" s="1"/>
      <c r="Y96" s="7"/>
      <c r="Z96" s="7"/>
      <c r="AA96" s="7"/>
    </row>
    <row r="97" spans="1:27">
      <c r="A97" s="1" t="s">
        <v>69</v>
      </c>
      <c r="B97" s="1" t="s">
        <v>258</v>
      </c>
      <c r="C97" s="42" t="str">
        <f>VLOOKUP(B97,Validation!A:B,2,0)</f>
        <v>APAC</v>
      </c>
      <c r="D97" s="42" t="str">
        <f>VLOOKUP(B97,Validation!A:D,4,0)</f>
        <v>Shi Yin</v>
      </c>
      <c r="E97" s="42" t="str">
        <f>VLOOKUP(B97,Validation!A:E,5,0)</f>
        <v>Gitesh Athavale</v>
      </c>
      <c r="F97" s="42" t="s">
        <v>58</v>
      </c>
      <c r="G97" s="42">
        <f t="shared" si="81"/>
        <v>2026</v>
      </c>
      <c r="H97" s="1" t="s">
        <v>111</v>
      </c>
      <c r="I97" s="1" t="s">
        <v>92</v>
      </c>
      <c r="J97" s="66">
        <f>VLOOKUP(I97,'XE rates'!A:D,4,0)*K97</f>
        <v>20.5</v>
      </c>
      <c r="K97" s="20">
        <v>20.5</v>
      </c>
      <c r="L97" s="60">
        <v>46174</v>
      </c>
      <c r="M97" s="47" t="str">
        <f t="shared" si="82"/>
        <v>Jun</v>
      </c>
      <c r="N97" s="42">
        <f t="shared" ca="1" si="83"/>
        <v>20</v>
      </c>
      <c r="O97" s="42" t="str">
        <f t="shared" ca="1" si="84"/>
        <v>0-30 days</v>
      </c>
      <c r="P97" s="1" t="s">
        <v>93</v>
      </c>
      <c r="Q97" s="60">
        <v>46205</v>
      </c>
      <c r="R97" s="60">
        <v>46212</v>
      </c>
      <c r="S97" s="42" t="s">
        <v>112</v>
      </c>
      <c r="T97" s="1" t="s">
        <v>259</v>
      </c>
      <c r="U97" s="42" t="s">
        <v>96</v>
      </c>
      <c r="V97" s="42" t="s">
        <v>104</v>
      </c>
      <c r="W97" s="42" t="s">
        <v>61</v>
      </c>
      <c r="X97" s="1"/>
      <c r="Y97" s="7"/>
      <c r="Z97" s="7"/>
      <c r="AA97" s="7"/>
    </row>
    <row r="98" spans="1:27">
      <c r="A98" s="1" t="s">
        <v>69</v>
      </c>
      <c r="B98" s="1" t="s">
        <v>260</v>
      </c>
      <c r="C98" s="42" t="str">
        <f>VLOOKUP(B98,Validation!A:B,2,0)</f>
        <v>APAC</v>
      </c>
      <c r="D98" s="42" t="str">
        <f>VLOOKUP(B98,Validation!A:D,4,0)</f>
        <v>Hao Nguyen</v>
      </c>
      <c r="E98" s="42" t="str">
        <f>VLOOKUP(B98,Validation!A:E,5,0)</f>
        <v>NA</v>
      </c>
      <c r="F98" s="42" t="s">
        <v>58</v>
      </c>
      <c r="G98" s="42">
        <f t="shared" si="81"/>
        <v>2026</v>
      </c>
      <c r="H98" s="42" t="s">
        <v>57</v>
      </c>
      <c r="I98" s="1" t="s">
        <v>92</v>
      </c>
      <c r="J98" s="66">
        <f>VLOOKUP(I98,'XE rates'!A:D,4,0)*K98</f>
        <v>-8139.09</v>
      </c>
      <c r="K98" s="20">
        <v>-8139.09</v>
      </c>
      <c r="L98" s="60">
        <v>46204</v>
      </c>
      <c r="M98" s="47" t="str">
        <f t="shared" si="82"/>
        <v>Jul</v>
      </c>
      <c r="N98" s="42">
        <f t="shared" ca="1" si="83"/>
        <v>6</v>
      </c>
      <c r="O98" s="42" t="str">
        <f t="shared" ca="1" si="84"/>
        <v>0-30 days</v>
      </c>
      <c r="P98" s="1" t="s">
        <v>252</v>
      </c>
      <c r="Q98" s="60">
        <v>46219</v>
      </c>
      <c r="R98" s="60">
        <v>46226</v>
      </c>
      <c r="S98" s="42" t="s">
        <v>253</v>
      </c>
      <c r="T98" s="1" t="s">
        <v>261</v>
      </c>
      <c r="U98" s="42" t="s">
        <v>96</v>
      </c>
      <c r="V98" s="42" t="s">
        <v>104</v>
      </c>
      <c r="W98" s="42" t="s">
        <v>61</v>
      </c>
      <c r="X98" s="1"/>
      <c r="Y98" s="7"/>
      <c r="Z98" s="7"/>
      <c r="AA98" s="7"/>
    </row>
    <row r="99" spans="1:27">
      <c r="A99" s="1" t="s">
        <v>69</v>
      </c>
      <c r="B99" s="1" t="s">
        <v>266</v>
      </c>
      <c r="C99" s="42" t="str">
        <f>VLOOKUP(B99,Validation!A:B,2,0)</f>
        <v>Shared Center</v>
      </c>
      <c r="D99" s="42" t="str">
        <f>VLOOKUP(B99,Validation!A:D,4,0)</f>
        <v xml:space="preserve"> Bhavani</v>
      </c>
      <c r="E99" s="42" t="str">
        <f>VLOOKUP(B99,Validation!A:E,5,0)</f>
        <v>Hari Budiman</v>
      </c>
      <c r="F99" s="42" t="s">
        <v>58</v>
      </c>
      <c r="G99" s="42">
        <f t="shared" si="81"/>
        <v>2026</v>
      </c>
      <c r="H99" s="1" t="s">
        <v>111</v>
      </c>
      <c r="I99" s="1" t="s">
        <v>92</v>
      </c>
      <c r="J99" s="66">
        <f>VLOOKUP(I99,'XE rates'!A:D,4,0)*K99</f>
        <v>109.89</v>
      </c>
      <c r="K99" s="20">
        <v>109.89</v>
      </c>
      <c r="L99" s="60">
        <v>46174</v>
      </c>
      <c r="M99" s="47" t="str">
        <f t="shared" si="82"/>
        <v>Jun</v>
      </c>
      <c r="N99" s="42">
        <f t="shared" ca="1" si="83"/>
        <v>8</v>
      </c>
      <c r="O99" s="42" t="str">
        <f t="shared" ca="1" si="84"/>
        <v>0-30 days</v>
      </c>
      <c r="P99" s="1" t="s">
        <v>93</v>
      </c>
      <c r="Q99" s="60">
        <v>46205</v>
      </c>
      <c r="R99" s="60">
        <v>46224</v>
      </c>
      <c r="S99" s="42" t="s">
        <v>112</v>
      </c>
      <c r="T99" s="1" t="s">
        <v>267</v>
      </c>
      <c r="U99" s="42" t="s">
        <v>96</v>
      </c>
      <c r="V99" s="42" t="s">
        <v>104</v>
      </c>
      <c r="W99" s="42" t="s">
        <v>61</v>
      </c>
      <c r="X99" s="1"/>
      <c r="Y99" s="7"/>
      <c r="Z99" s="7"/>
      <c r="AA99" s="7"/>
    </row>
    <row r="100" spans="1:27">
      <c r="A100" s="1" t="s">
        <v>69</v>
      </c>
      <c r="B100" s="1" t="s">
        <v>208</v>
      </c>
      <c r="C100" s="42" t="str">
        <f>VLOOKUP(B100,Validation!A:B,2,0)</f>
        <v>APAC</v>
      </c>
      <c r="D100" s="42" t="str">
        <f>VLOOKUP(B100,Validation!A:D,4,0)</f>
        <v>Hao Nguyen</v>
      </c>
      <c r="E100" s="42" t="str">
        <f>VLOOKUP(B100,Validation!A:E,5,0)</f>
        <v>NA</v>
      </c>
      <c r="F100" s="42" t="s">
        <v>58</v>
      </c>
      <c r="G100" s="42">
        <f t="shared" si="81"/>
        <v>2026</v>
      </c>
      <c r="H100" s="42" t="s">
        <v>57</v>
      </c>
      <c r="I100" s="1" t="s">
        <v>92</v>
      </c>
      <c r="J100" s="66">
        <f>VLOOKUP(I100,'XE rates'!A:D,4,0)*K100</f>
        <v>1618.6</v>
      </c>
      <c r="K100" s="20">
        <v>1618.6</v>
      </c>
      <c r="L100" s="60">
        <v>46174</v>
      </c>
      <c r="M100" s="47" t="str">
        <f t="shared" si="82"/>
        <v>Jun</v>
      </c>
      <c r="N100" s="42">
        <f t="shared" ca="1" si="83"/>
        <v>7</v>
      </c>
      <c r="O100" s="42" t="str">
        <f t="shared" ca="1" si="84"/>
        <v>0-30 days</v>
      </c>
      <c r="P100" s="1" t="s">
        <v>209</v>
      </c>
      <c r="Q100" s="60">
        <v>46210</v>
      </c>
      <c r="R100" s="60">
        <v>46225</v>
      </c>
      <c r="S100" s="42" t="s">
        <v>137</v>
      </c>
      <c r="T100" s="1" t="s">
        <v>268</v>
      </c>
      <c r="U100" s="42" t="s">
        <v>96</v>
      </c>
      <c r="V100" s="42" t="s">
        <v>104</v>
      </c>
      <c r="W100" s="42" t="s">
        <v>61</v>
      </c>
      <c r="X100" s="1"/>
      <c r="Y100" s="7"/>
      <c r="Z100" s="7"/>
      <c r="AA100" s="7"/>
    </row>
    <row r="101" spans="1:27">
      <c r="A101" s="1" t="s">
        <v>69</v>
      </c>
      <c r="B101" s="1" t="s">
        <v>208</v>
      </c>
      <c r="C101" s="42" t="str">
        <f>VLOOKUP(B101,Validation!A:B,2,0)</f>
        <v>APAC</v>
      </c>
      <c r="D101" s="42" t="str">
        <f>VLOOKUP(B101,Validation!A:D,4,0)</f>
        <v>Hao Nguyen</v>
      </c>
      <c r="E101" s="42" t="str">
        <f>VLOOKUP(B101,Validation!A:E,5,0)</f>
        <v>NA</v>
      </c>
      <c r="F101" s="42" t="s">
        <v>58</v>
      </c>
      <c r="G101" s="42">
        <f t="shared" si="81"/>
        <v>2026</v>
      </c>
      <c r="H101" s="42" t="s">
        <v>57</v>
      </c>
      <c r="I101" s="1" t="s">
        <v>92</v>
      </c>
      <c r="J101" s="66">
        <f>VLOOKUP(I101,'XE rates'!A:D,4,0)*K101</f>
        <v>1229.71</v>
      </c>
      <c r="K101" s="20">
        <v>1229.71</v>
      </c>
      <c r="L101" s="60">
        <v>46174</v>
      </c>
      <c r="M101" s="47" t="str">
        <f t="shared" si="82"/>
        <v>Jun</v>
      </c>
      <c r="N101" s="42">
        <f t="shared" ca="1" si="83"/>
        <v>7</v>
      </c>
      <c r="O101" s="42" t="str">
        <f t="shared" ca="1" si="84"/>
        <v>0-30 days</v>
      </c>
      <c r="P101" s="1" t="s">
        <v>93</v>
      </c>
      <c r="Q101" s="60">
        <v>46210</v>
      </c>
      <c r="R101" s="60">
        <v>46225</v>
      </c>
      <c r="S101" s="42" t="s">
        <v>137</v>
      </c>
      <c r="T101" s="1" t="s">
        <v>269</v>
      </c>
      <c r="U101" s="42" t="s">
        <v>96</v>
      </c>
      <c r="V101" s="42" t="s">
        <v>104</v>
      </c>
      <c r="W101" s="42" t="s">
        <v>61</v>
      </c>
      <c r="X101" s="1"/>
      <c r="Y101" s="7"/>
      <c r="Z101" s="7"/>
      <c r="AA101" s="7"/>
    </row>
    <row r="102" spans="1:27">
      <c r="A102" s="1" t="s">
        <v>69</v>
      </c>
      <c r="B102" s="1" t="s">
        <v>212</v>
      </c>
      <c r="C102" s="42" t="str">
        <f>VLOOKUP(B102,Validation!A:B,2,0)</f>
        <v>APAC</v>
      </c>
      <c r="D102" s="42" t="str">
        <f>VLOOKUP(B102,Validation!A:D,4,0)</f>
        <v>Hao Nguyen</v>
      </c>
      <c r="E102" s="42" t="str">
        <f>VLOOKUP(B102,Validation!A:E,5,0)</f>
        <v>Hari Budiman</v>
      </c>
      <c r="F102" s="42" t="s">
        <v>58</v>
      </c>
      <c r="G102" s="42">
        <f t="shared" si="81"/>
        <v>2026</v>
      </c>
      <c r="H102" s="42" t="s">
        <v>57</v>
      </c>
      <c r="I102" s="1" t="s">
        <v>213</v>
      </c>
      <c r="J102" s="66">
        <f>VLOOKUP(I102,'XE rates'!A:D,4,0)*K102</f>
        <v>79.657500458781499</v>
      </c>
      <c r="K102" s="20">
        <v>1427142.63</v>
      </c>
      <c r="L102" s="60">
        <v>46174</v>
      </c>
      <c r="M102" s="47" t="str">
        <f t="shared" si="82"/>
        <v>Jun</v>
      </c>
      <c r="N102" s="42">
        <f t="shared" ca="1" si="83"/>
        <v>-8</v>
      </c>
      <c r="O102" s="42" t="str">
        <f t="shared" ca="1" si="84"/>
        <v>0-30 days</v>
      </c>
      <c r="P102" s="1" t="s">
        <v>93</v>
      </c>
      <c r="Q102" s="60">
        <v>46210</v>
      </c>
      <c r="R102" s="60">
        <v>46240</v>
      </c>
      <c r="S102" s="42" t="s">
        <v>253</v>
      </c>
      <c r="T102" s="1" t="s">
        <v>270</v>
      </c>
      <c r="U102" s="42" t="s">
        <v>96</v>
      </c>
      <c r="V102" s="42" t="s">
        <v>104</v>
      </c>
      <c r="W102" s="42" t="s">
        <v>61</v>
      </c>
      <c r="X102" s="1"/>
      <c r="Y102" s="7"/>
      <c r="Z102" s="7"/>
      <c r="AA102" s="7"/>
    </row>
    <row r="103" spans="1:27">
      <c r="A103" s="1" t="s">
        <v>69</v>
      </c>
      <c r="B103" s="1" t="s">
        <v>165</v>
      </c>
      <c r="C103" s="42" t="str">
        <f>VLOOKUP(B103,Validation!A:B,2,0)</f>
        <v>MEA</v>
      </c>
      <c r="D103" s="42" t="str">
        <f>VLOOKUP(B103,Validation!A:D,4,0)</f>
        <v>Jerome Coelho</v>
      </c>
      <c r="E103" s="42" t="str">
        <f>VLOOKUP(B103,Validation!A:E,5,0)</f>
        <v>Rohit Bammi</v>
      </c>
      <c r="F103" s="42" t="s">
        <v>58</v>
      </c>
      <c r="G103" s="42">
        <f t="shared" si="81"/>
        <v>2026</v>
      </c>
      <c r="H103" s="42" t="s">
        <v>57</v>
      </c>
      <c r="I103" s="1" t="s">
        <v>92</v>
      </c>
      <c r="J103" s="66">
        <f>VLOOKUP(I103,'XE rates'!A:D,4,0)*K103</f>
        <v>5837.25</v>
      </c>
      <c r="K103" s="20">
        <v>5837.25</v>
      </c>
      <c r="L103" s="60">
        <v>46174</v>
      </c>
      <c r="M103" s="47" t="str">
        <f t="shared" si="82"/>
        <v>Jun</v>
      </c>
      <c r="N103" s="42">
        <f t="shared" ca="1" si="83"/>
        <v>19</v>
      </c>
      <c r="O103" s="42" t="str">
        <f t="shared" ca="1" si="84"/>
        <v>0-30 days</v>
      </c>
      <c r="P103" s="1" t="s">
        <v>93</v>
      </c>
      <c r="Q103" s="60">
        <v>46206</v>
      </c>
      <c r="R103" s="60">
        <v>46213</v>
      </c>
      <c r="S103" s="42" t="s">
        <v>137</v>
      </c>
      <c r="T103" s="1" t="s">
        <v>271</v>
      </c>
      <c r="U103" s="42" t="s">
        <v>96</v>
      </c>
      <c r="V103" s="42" t="s">
        <v>104</v>
      </c>
      <c r="W103" s="42" t="s">
        <v>61</v>
      </c>
      <c r="X103" s="1"/>
      <c r="Y103" s="7"/>
      <c r="Z103" s="7"/>
      <c r="AA103" s="7"/>
    </row>
    <row r="104" spans="1:27">
      <c r="A104" s="1" t="s">
        <v>69</v>
      </c>
      <c r="B104" s="1" t="s">
        <v>167</v>
      </c>
      <c r="C104" s="42" t="str">
        <f>VLOOKUP(B104,Validation!A:B,2,0)</f>
        <v>Shared Center</v>
      </c>
      <c r="D104" s="42" t="str">
        <f>VLOOKUP(B104,Validation!A:D,4,0)</f>
        <v xml:space="preserve">Mrinal </v>
      </c>
      <c r="E104" s="42" t="str">
        <f>VLOOKUP(B104,Validation!A:E,5,0)</f>
        <v>Michael Bermingham</v>
      </c>
      <c r="F104" s="42" t="s">
        <v>58</v>
      </c>
      <c r="G104" s="42">
        <f t="shared" si="81"/>
        <v>2026</v>
      </c>
      <c r="H104" s="1" t="s">
        <v>111</v>
      </c>
      <c r="I104" s="1" t="s">
        <v>92</v>
      </c>
      <c r="J104" s="66">
        <f>VLOOKUP(I104,'XE rates'!A:D,4,0)*K104</f>
        <v>2000</v>
      </c>
      <c r="K104" s="20">
        <v>2000</v>
      </c>
      <c r="L104" s="60">
        <v>46174</v>
      </c>
      <c r="M104" s="47" t="str">
        <f t="shared" si="82"/>
        <v>Jun</v>
      </c>
      <c r="N104" s="42">
        <f t="shared" ca="1" si="83"/>
        <v>22</v>
      </c>
      <c r="O104" s="42" t="str">
        <f t="shared" ca="1" si="84"/>
        <v>0-30 days</v>
      </c>
      <c r="P104" s="1" t="s">
        <v>93</v>
      </c>
      <c r="Q104" s="60">
        <v>46205</v>
      </c>
      <c r="R104" s="60">
        <v>46210</v>
      </c>
      <c r="S104" s="42" t="s">
        <v>112</v>
      </c>
      <c r="T104" s="1" t="s">
        <v>276</v>
      </c>
      <c r="U104" s="42" t="s">
        <v>96</v>
      </c>
      <c r="V104" s="42" t="s">
        <v>104</v>
      </c>
      <c r="W104" s="42" t="s">
        <v>61</v>
      </c>
      <c r="X104" s="1"/>
      <c r="Y104" s="7"/>
      <c r="Z104" s="7"/>
      <c r="AA104" s="7"/>
    </row>
    <row r="105" spans="1:27">
      <c r="A105" s="1" t="s">
        <v>69</v>
      </c>
      <c r="B105" s="1" t="s">
        <v>278</v>
      </c>
      <c r="C105" s="42" t="str">
        <f>VLOOKUP(B105,Validation!A:B,2,0)</f>
        <v>APAC</v>
      </c>
      <c r="D105" s="42" t="str">
        <f>VLOOKUP(B105,Validation!A:D,4,0)</f>
        <v>XiaoXiao</v>
      </c>
      <c r="E105" s="42" t="str">
        <f>VLOOKUP(B105,Validation!A:E,5,0)</f>
        <v>NA</v>
      </c>
      <c r="F105" s="42" t="s">
        <v>58</v>
      </c>
      <c r="G105" s="42">
        <f t="shared" si="81"/>
        <v>2026</v>
      </c>
      <c r="H105" s="42" t="s">
        <v>57</v>
      </c>
      <c r="I105" s="1" t="s">
        <v>92</v>
      </c>
      <c r="J105" s="66">
        <f>VLOOKUP(I105,'XE rates'!A:D,4,0)*K105</f>
        <v>3778</v>
      </c>
      <c r="K105" s="20">
        <v>3778</v>
      </c>
      <c r="L105" s="60">
        <v>46174</v>
      </c>
      <c r="M105" s="47" t="str">
        <f t="shared" si="82"/>
        <v>Jun</v>
      </c>
      <c r="N105" s="42">
        <f t="shared" ca="1" si="83"/>
        <v>15</v>
      </c>
      <c r="O105" s="42" t="str">
        <f t="shared" ca="1" si="84"/>
        <v>0-30 days</v>
      </c>
      <c r="P105" s="1" t="s">
        <v>93</v>
      </c>
      <c r="Q105" s="60">
        <v>46206</v>
      </c>
      <c r="R105" s="60">
        <v>46217</v>
      </c>
      <c r="S105" s="42" t="s">
        <v>137</v>
      </c>
      <c r="T105" s="1" t="s">
        <v>279</v>
      </c>
      <c r="U105" s="42" t="s">
        <v>96</v>
      </c>
      <c r="V105" s="42" t="s">
        <v>104</v>
      </c>
      <c r="W105" s="42" t="s">
        <v>61</v>
      </c>
      <c r="X105" s="1"/>
      <c r="Y105" s="7"/>
      <c r="Z105" s="7"/>
      <c r="AA105" s="7"/>
    </row>
    <row r="106" spans="1:27">
      <c r="A106" s="1" t="s">
        <v>69</v>
      </c>
      <c r="B106" s="1" t="s">
        <v>280</v>
      </c>
      <c r="C106" s="42" t="str">
        <f>VLOOKUP(B106,Validation!A:B,2,0)</f>
        <v>Shared Center</v>
      </c>
      <c r="D106" s="42" t="str">
        <f>VLOOKUP(B106,Validation!A:D,4,0)</f>
        <v xml:space="preserve"> Mrinal</v>
      </c>
      <c r="E106" s="42" t="str">
        <f>VLOOKUP(B106,Validation!A:E,5,0)</f>
        <v>Michael Bermingham</v>
      </c>
      <c r="F106" s="42" t="s">
        <v>58</v>
      </c>
      <c r="G106" s="42">
        <f t="shared" si="81"/>
        <v>2026</v>
      </c>
      <c r="H106" s="42" t="s">
        <v>57</v>
      </c>
      <c r="I106" s="1" t="s">
        <v>92</v>
      </c>
      <c r="J106" s="66">
        <f>VLOOKUP(I106,'XE rates'!A:D,4,0)*K106</f>
        <v>2500</v>
      </c>
      <c r="K106" s="20">
        <v>2500</v>
      </c>
      <c r="L106" s="60">
        <v>46174</v>
      </c>
      <c r="M106" s="47" t="str">
        <f t="shared" si="82"/>
        <v>Jun</v>
      </c>
      <c r="N106" s="42">
        <f t="shared" ca="1" si="83"/>
        <v>22</v>
      </c>
      <c r="O106" s="42" t="str">
        <f t="shared" ca="1" si="84"/>
        <v>0-30 days</v>
      </c>
      <c r="P106" s="1" t="s">
        <v>93</v>
      </c>
      <c r="Q106" s="60">
        <v>46205</v>
      </c>
      <c r="R106" s="60">
        <v>46210</v>
      </c>
      <c r="S106" s="42" t="s">
        <v>137</v>
      </c>
      <c r="T106" s="1" t="s">
        <v>281</v>
      </c>
      <c r="U106" s="42" t="s">
        <v>96</v>
      </c>
      <c r="V106" s="42" t="s">
        <v>104</v>
      </c>
      <c r="W106" s="42" t="s">
        <v>61</v>
      </c>
      <c r="X106" s="1"/>
      <c r="Y106" s="7"/>
      <c r="Z106" s="7"/>
      <c r="AA106" s="7"/>
    </row>
    <row r="107" spans="1:27">
      <c r="A107" s="1" t="s">
        <v>56</v>
      </c>
      <c r="B107" s="1" t="s">
        <v>282</v>
      </c>
      <c r="C107" s="42" t="str">
        <f>VLOOKUP(B107,Validation!A:B,2,0)</f>
        <v>APAC</v>
      </c>
      <c r="D107" s="42" t="str">
        <f>VLOOKUP(B107,Validation!A:D,4,0)</f>
        <v>Pat Sarisa</v>
      </c>
      <c r="E107" s="42" t="str">
        <f>VLOOKUP(B107,Validation!A:E,5,0)</f>
        <v>NA</v>
      </c>
      <c r="F107" s="42" t="s">
        <v>58</v>
      </c>
      <c r="G107" s="42">
        <f t="shared" si="81"/>
        <v>2026</v>
      </c>
      <c r="H107" s="42" t="s">
        <v>57</v>
      </c>
      <c r="I107" s="1" t="s">
        <v>92</v>
      </c>
      <c r="J107" s="66">
        <f>VLOOKUP(I107,'XE rates'!A:D,4,0)*K107</f>
        <v>3319.7060000000001</v>
      </c>
      <c r="K107" s="20">
        <v>3319.7060000000001</v>
      </c>
      <c r="L107" s="60">
        <v>46174</v>
      </c>
      <c r="M107" s="47" t="str">
        <f t="shared" si="82"/>
        <v>Jun</v>
      </c>
      <c r="N107" s="42">
        <f t="shared" ca="1" si="83"/>
        <v>15</v>
      </c>
      <c r="O107" s="42" t="str">
        <f t="shared" ca="1" si="84"/>
        <v>0-30 days</v>
      </c>
      <c r="P107" s="1" t="s">
        <v>93</v>
      </c>
      <c r="Q107" s="60">
        <v>46210</v>
      </c>
      <c r="R107" s="60">
        <v>46217</v>
      </c>
      <c r="S107" s="42" t="s">
        <v>94</v>
      </c>
      <c r="T107" s="1" t="s">
        <v>283</v>
      </c>
      <c r="U107" s="42" t="s">
        <v>96</v>
      </c>
      <c r="V107" s="42" t="s">
        <v>104</v>
      </c>
      <c r="W107" s="42" t="s">
        <v>61</v>
      </c>
      <c r="X107" s="1"/>
      <c r="Y107" s="7"/>
      <c r="Z107" s="7"/>
      <c r="AA107" s="7"/>
    </row>
    <row r="108" spans="1:27">
      <c r="A108" s="1" t="s">
        <v>56</v>
      </c>
      <c r="B108" s="1" t="s">
        <v>23</v>
      </c>
      <c r="C108" s="42" t="str">
        <f>VLOOKUP(B108,Validation!A:B,2,0)</f>
        <v>MEA</v>
      </c>
      <c r="D108" s="42" t="str">
        <f>VLOOKUP(B108,Validation!A:D,4,0)</f>
        <v>Jerome Coelho</v>
      </c>
      <c r="E108" s="42" t="str">
        <f>VLOOKUP(B108,Validation!A:E,5,0)</f>
        <v>Ashraf Omran</v>
      </c>
      <c r="F108" s="42" t="s">
        <v>58</v>
      </c>
      <c r="G108" s="42">
        <f t="shared" si="81"/>
        <v>2026</v>
      </c>
      <c r="H108" s="42" t="s">
        <v>57</v>
      </c>
      <c r="I108" s="1" t="s">
        <v>92</v>
      </c>
      <c r="J108" s="66">
        <f>VLOOKUP(I108,'XE rates'!A:D,4,0)*K108</f>
        <v>-48</v>
      </c>
      <c r="K108" s="56">
        <v>-48</v>
      </c>
      <c r="L108" s="60">
        <v>46235</v>
      </c>
      <c r="M108" s="47" t="str">
        <f t="shared" si="82"/>
        <v>Aug</v>
      </c>
      <c r="N108" s="42">
        <f t="shared" ca="1" si="83"/>
        <v>322</v>
      </c>
      <c r="O108" s="42" t="str">
        <f t="shared" ca="1" si="84"/>
        <v>Over 90+ days</v>
      </c>
      <c r="P108" s="1" t="s">
        <v>285</v>
      </c>
      <c r="Q108" s="60">
        <v>45903</v>
      </c>
      <c r="R108" s="60">
        <v>45910</v>
      </c>
      <c r="S108" s="42" t="s">
        <v>108</v>
      </c>
      <c r="T108" s="1" t="s">
        <v>286</v>
      </c>
      <c r="U108" s="42" t="s">
        <v>96</v>
      </c>
      <c r="V108" s="42" t="s">
        <v>104</v>
      </c>
      <c r="W108" s="42" t="s">
        <v>61</v>
      </c>
      <c r="X108" s="1"/>
      <c r="Y108" s="7"/>
      <c r="Z108" s="7"/>
      <c r="AA108" s="7"/>
    </row>
    <row r="109" spans="1:27">
      <c r="A109" s="1" t="s">
        <v>56</v>
      </c>
      <c r="B109" s="1" t="s">
        <v>287</v>
      </c>
      <c r="C109" s="42" t="str">
        <f>VLOOKUP(B109,Validation!A:B,2,0)</f>
        <v>Shared Center</v>
      </c>
      <c r="D109" s="42" t="str">
        <f>VLOOKUP(B109,Validation!A:D,4,0)</f>
        <v xml:space="preserve"> Simrn</v>
      </c>
      <c r="E109" s="42" t="str">
        <f>VLOOKUP(B109,Validation!A:E,5,0)</f>
        <v>Febriali Tan</v>
      </c>
      <c r="F109" s="42" t="s">
        <v>58</v>
      </c>
      <c r="G109" s="42">
        <f t="shared" si="81"/>
        <v>2026</v>
      </c>
      <c r="H109" s="42" t="s">
        <v>57</v>
      </c>
      <c r="I109" s="1" t="s">
        <v>202</v>
      </c>
      <c r="J109" s="66">
        <f>VLOOKUP(I109,'XE rates'!A:D,4,0)*K109</f>
        <v>14.708948995114438</v>
      </c>
      <c r="K109" s="20">
        <v>19</v>
      </c>
      <c r="L109" s="60">
        <v>46174</v>
      </c>
      <c r="M109" s="47" t="str">
        <f t="shared" si="82"/>
        <v>Jun</v>
      </c>
      <c r="N109" s="42">
        <f t="shared" ca="1" si="83"/>
        <v>-5</v>
      </c>
      <c r="O109" s="42" t="str">
        <f t="shared" ca="1" si="84"/>
        <v>0-30 days</v>
      </c>
      <c r="P109" s="1" t="s">
        <v>93</v>
      </c>
      <c r="Q109" s="60">
        <v>46206</v>
      </c>
      <c r="R109" s="60">
        <v>46237</v>
      </c>
      <c r="S109" s="42" t="s">
        <v>253</v>
      </c>
      <c r="T109" s="1" t="s">
        <v>288</v>
      </c>
      <c r="U109" s="42" t="s">
        <v>96</v>
      </c>
      <c r="V109" s="42" t="s">
        <v>104</v>
      </c>
      <c r="W109" s="42" t="s">
        <v>61</v>
      </c>
      <c r="X109" s="1"/>
      <c r="Y109" s="7"/>
      <c r="Z109" s="7"/>
      <c r="AA109" s="7"/>
    </row>
    <row r="110" spans="1:27">
      <c r="A110" s="1" t="s">
        <v>56</v>
      </c>
      <c r="B110" s="1" t="s">
        <v>26</v>
      </c>
      <c r="C110" s="42" t="str">
        <f>VLOOKUP(B110,Validation!A:B,2,0)</f>
        <v>APAC</v>
      </c>
      <c r="D110" s="42" t="str">
        <f>VLOOKUP(B110,Validation!A:D,4,0)</f>
        <v>Shi Yin</v>
      </c>
      <c r="E110" s="42" t="str">
        <f>VLOOKUP(B110,Validation!A:E,5,0)</f>
        <v>Gitesh Athavale</v>
      </c>
      <c r="F110" s="42" t="s">
        <v>58</v>
      </c>
      <c r="G110" s="42">
        <f t="shared" si="81"/>
        <v>2026</v>
      </c>
      <c r="H110" s="42" t="s">
        <v>57</v>
      </c>
      <c r="I110" s="1" t="s">
        <v>202</v>
      </c>
      <c r="J110" s="66">
        <f>VLOOKUP(I110,'XE rates'!A:D,4,0)*K110</f>
        <v>-25456.766939941925</v>
      </c>
      <c r="K110" s="20">
        <v>-32883.285679999972</v>
      </c>
      <c r="L110" s="60">
        <v>46143</v>
      </c>
      <c r="M110" s="47" t="str">
        <f t="shared" si="82"/>
        <v>May</v>
      </c>
      <c r="N110" s="42">
        <f t="shared" ca="1" si="83"/>
        <v>25</v>
      </c>
      <c r="O110" s="42" t="str">
        <f t="shared" ca="1" si="84"/>
        <v>0-30 days</v>
      </c>
      <c r="P110" s="1" t="s">
        <v>93</v>
      </c>
      <c r="Q110" s="60">
        <v>46177</v>
      </c>
      <c r="R110" s="60">
        <v>46207</v>
      </c>
      <c r="S110" s="42" t="s">
        <v>94</v>
      </c>
      <c r="T110" s="1" t="s">
        <v>289</v>
      </c>
      <c r="U110" s="42" t="s">
        <v>96</v>
      </c>
      <c r="V110" s="42" t="s">
        <v>104</v>
      </c>
      <c r="W110" s="42" t="s">
        <v>61</v>
      </c>
      <c r="X110" s="1"/>
      <c r="Y110" s="7"/>
      <c r="Z110" s="7"/>
      <c r="AA110" s="7"/>
    </row>
    <row r="111" spans="1:27">
      <c r="A111" s="1" t="s">
        <v>56</v>
      </c>
      <c r="B111" s="1" t="s">
        <v>26</v>
      </c>
      <c r="C111" s="42" t="str">
        <f>VLOOKUP(B111,Validation!A:B,2,0)</f>
        <v>APAC</v>
      </c>
      <c r="D111" s="42" t="str">
        <f>VLOOKUP(B111,Validation!A:D,4,0)</f>
        <v>Shi Yin</v>
      </c>
      <c r="E111" s="42" t="str">
        <f>VLOOKUP(B111,Validation!A:E,5,0)</f>
        <v>Gitesh Athavale</v>
      </c>
      <c r="F111" s="42" t="s">
        <v>58</v>
      </c>
      <c r="G111" s="42">
        <f t="shared" si="81"/>
        <v>2026</v>
      </c>
      <c r="H111" s="42" t="s">
        <v>57</v>
      </c>
      <c r="I111" s="1" t="s">
        <v>202</v>
      </c>
      <c r="J111" s="66">
        <f>VLOOKUP(I111,'XE rates'!A:D,4,0)*K111</f>
        <v>1618.7043538081384</v>
      </c>
      <c r="K111" s="20">
        <v>2090.9299999999998</v>
      </c>
      <c r="L111" s="60">
        <v>46143</v>
      </c>
      <c r="M111" s="47" t="str">
        <f t="shared" si="82"/>
        <v>May</v>
      </c>
      <c r="N111" s="42">
        <f t="shared" ca="1" si="83"/>
        <v>3</v>
      </c>
      <c r="O111" s="42" t="str">
        <f t="shared" ca="1" si="84"/>
        <v>0-30 days</v>
      </c>
      <c r="P111" s="1" t="s">
        <v>118</v>
      </c>
      <c r="Q111" s="60">
        <v>46199</v>
      </c>
      <c r="R111" s="60">
        <v>46229</v>
      </c>
      <c r="S111" s="42" t="s">
        <v>253</v>
      </c>
      <c r="T111" s="1" t="s">
        <v>290</v>
      </c>
      <c r="U111" s="42" t="s">
        <v>96</v>
      </c>
      <c r="V111" s="42" t="s">
        <v>104</v>
      </c>
      <c r="W111" s="42" t="s">
        <v>61</v>
      </c>
      <c r="X111" s="1"/>
      <c r="Y111" s="7"/>
      <c r="Z111" s="7"/>
      <c r="AA111" s="7"/>
    </row>
    <row r="112" spans="1:27">
      <c r="A112" s="1" t="s">
        <v>56</v>
      </c>
      <c r="B112" s="1" t="s">
        <v>26</v>
      </c>
      <c r="C112" s="42" t="str">
        <f>VLOOKUP(B112,Validation!A:B,2,0)</f>
        <v>APAC</v>
      </c>
      <c r="D112" s="42" t="str">
        <f>VLOOKUP(B112,Validation!A:D,4,0)</f>
        <v>Shi Yin</v>
      </c>
      <c r="E112" s="42" t="str">
        <f>VLOOKUP(B112,Validation!A:E,5,0)</f>
        <v>Gitesh Athavale</v>
      </c>
      <c r="F112" s="42" t="s">
        <v>58</v>
      </c>
      <c r="G112" s="42">
        <f t="shared" si="81"/>
        <v>2026</v>
      </c>
      <c r="H112" s="42" t="s">
        <v>57</v>
      </c>
      <c r="I112" s="1" t="s">
        <v>202</v>
      </c>
      <c r="J112" s="66">
        <f>VLOOKUP(I112,'XE rates'!A:D,4,0)*K112</f>
        <v>861.81741095146299</v>
      </c>
      <c r="K112" s="20">
        <v>1113.235950000002</v>
      </c>
      <c r="L112" s="60">
        <v>46174</v>
      </c>
      <c r="M112" s="47" t="str">
        <f t="shared" si="82"/>
        <v>Jun</v>
      </c>
      <c r="N112" s="42">
        <f t="shared" ca="1" si="83"/>
        <v>-7</v>
      </c>
      <c r="O112" s="42" t="str">
        <f t="shared" ca="1" si="84"/>
        <v>0-30 days</v>
      </c>
      <c r="P112" s="1" t="s">
        <v>93</v>
      </c>
      <c r="Q112" s="60">
        <v>46209</v>
      </c>
      <c r="R112" s="60">
        <v>46239</v>
      </c>
      <c r="S112" s="42" t="s">
        <v>253</v>
      </c>
      <c r="T112" s="1" t="s">
        <v>291</v>
      </c>
      <c r="U112" s="42" t="s">
        <v>96</v>
      </c>
      <c r="V112" s="42" t="s">
        <v>104</v>
      </c>
      <c r="W112" s="42" t="s">
        <v>61</v>
      </c>
      <c r="X112" s="1"/>
      <c r="Y112" s="7"/>
      <c r="Z112" s="7"/>
      <c r="AA112" s="7"/>
    </row>
    <row r="113" spans="1:27">
      <c r="A113" s="1" t="s">
        <v>56</v>
      </c>
      <c r="B113" s="1" t="s">
        <v>217</v>
      </c>
      <c r="C113" s="42" t="str">
        <f>VLOOKUP(B113,Validation!A:B,2,0)</f>
        <v>Americas</v>
      </c>
      <c r="D113" s="42" t="str">
        <f>VLOOKUP(B113,Validation!A:D,4,0)</f>
        <v>Tanu Arora</v>
      </c>
      <c r="E113" s="42" t="str">
        <f>VLOOKUP(B113,Validation!A:E,5,0)</f>
        <v>Michael Bermingham</v>
      </c>
      <c r="F113" s="42" t="s">
        <v>58</v>
      </c>
      <c r="G113" s="42">
        <f t="shared" si="81"/>
        <v>2026</v>
      </c>
      <c r="H113" s="42" t="s">
        <v>57</v>
      </c>
      <c r="I113" s="1" t="s">
        <v>92</v>
      </c>
      <c r="J113" s="66">
        <f>VLOOKUP(I113,'XE rates'!A:D,4,0)*K113</f>
        <v>10000</v>
      </c>
      <c r="K113" s="20">
        <v>10000</v>
      </c>
      <c r="L113" s="60">
        <v>46174</v>
      </c>
      <c r="M113" s="47" t="str">
        <f t="shared" si="82"/>
        <v>Jun</v>
      </c>
      <c r="N113" s="42">
        <f t="shared" ca="1" si="83"/>
        <v>19</v>
      </c>
      <c r="O113" s="42" t="str">
        <f t="shared" ca="1" si="84"/>
        <v>0-30 days</v>
      </c>
      <c r="P113" s="1" t="s">
        <v>93</v>
      </c>
      <c r="Q113" s="60">
        <v>46206</v>
      </c>
      <c r="R113" s="60">
        <v>46213</v>
      </c>
      <c r="S113" s="42" t="s">
        <v>94</v>
      </c>
      <c r="T113" s="1" t="s">
        <v>292</v>
      </c>
      <c r="U113" s="42" t="s">
        <v>96</v>
      </c>
      <c r="V113" s="42" t="s">
        <v>104</v>
      </c>
      <c r="W113" s="42" t="s">
        <v>61</v>
      </c>
      <c r="X113" s="1"/>
      <c r="Y113" s="7"/>
      <c r="Z113" s="7"/>
      <c r="AA113" s="7"/>
    </row>
    <row r="114" spans="1:27">
      <c r="A114" s="1" t="s">
        <v>56</v>
      </c>
      <c r="B114" s="1" t="s">
        <v>293</v>
      </c>
      <c r="C114" s="42" t="str">
        <f>VLOOKUP(B114,Validation!A:B,2,0)</f>
        <v>Shared Center</v>
      </c>
      <c r="D114" s="42" t="str">
        <f>VLOOKUP(B114,Validation!A:D,4,0)</f>
        <v>Sanat Patakar</v>
      </c>
      <c r="E114" s="42" t="str">
        <f>VLOOKUP(B114,Validation!A:E,5,0)</f>
        <v>NA</v>
      </c>
      <c r="F114" s="42" t="s">
        <v>58</v>
      </c>
      <c r="G114" s="42">
        <f t="shared" si="81"/>
        <v>2026</v>
      </c>
      <c r="H114" s="42" t="s">
        <v>57</v>
      </c>
      <c r="I114" s="1" t="s">
        <v>294</v>
      </c>
      <c r="J114" s="66">
        <f>VLOOKUP(I114,'XE rates'!A:D,4,0)*K114</f>
        <v>1090.296721208113</v>
      </c>
      <c r="K114" s="20">
        <v>177742.98</v>
      </c>
      <c r="L114" s="60">
        <v>46174</v>
      </c>
      <c r="M114" s="47" t="str">
        <f t="shared" si="82"/>
        <v>Jun</v>
      </c>
      <c r="N114" s="42">
        <f t="shared" ca="1" si="83"/>
        <v>15</v>
      </c>
      <c r="O114" s="42" t="str">
        <f t="shared" ca="1" si="84"/>
        <v>0-30 days</v>
      </c>
      <c r="P114" s="1" t="s">
        <v>93</v>
      </c>
      <c r="Q114" s="60">
        <v>46210</v>
      </c>
      <c r="R114" s="60">
        <v>46217</v>
      </c>
      <c r="S114" s="42" t="s">
        <v>94</v>
      </c>
      <c r="T114" s="1" t="s">
        <v>295</v>
      </c>
      <c r="U114" s="42" t="s">
        <v>96</v>
      </c>
      <c r="V114" s="42" t="s">
        <v>104</v>
      </c>
      <c r="W114" s="42" t="s">
        <v>61</v>
      </c>
      <c r="X114" s="1"/>
      <c r="Y114" s="7"/>
      <c r="Z114" s="7"/>
      <c r="AA114" s="7"/>
    </row>
    <row r="115" spans="1:27">
      <c r="A115" s="1" t="s">
        <v>56</v>
      </c>
      <c r="B115" s="1" t="s">
        <v>117</v>
      </c>
      <c r="C115" s="42" t="str">
        <f>VLOOKUP(B115,Validation!A:B,2,0)</f>
        <v>APAC</v>
      </c>
      <c r="D115" s="42" t="str">
        <f>VLOOKUP(B115,Validation!A:D,4,0)</f>
        <v>Hao Nguyen</v>
      </c>
      <c r="E115" s="42" t="str">
        <f>VLOOKUP(B115,Validation!A:E,5,0)</f>
        <v>Vinoth M</v>
      </c>
      <c r="F115" s="42" t="s">
        <v>58</v>
      </c>
      <c r="G115" s="42">
        <f t="shared" si="81"/>
        <v>2026</v>
      </c>
      <c r="H115" s="42" t="s">
        <v>57</v>
      </c>
      <c r="I115" s="1" t="s">
        <v>107</v>
      </c>
      <c r="J115" s="66">
        <f>VLOOKUP(I115,'XE rates'!A:D,4,0)*K115</f>
        <v>7719.2917340792592</v>
      </c>
      <c r="K115" s="20">
        <v>11015.671</v>
      </c>
      <c r="L115" s="60">
        <v>46174</v>
      </c>
      <c r="M115" s="47" t="str">
        <f t="shared" si="82"/>
        <v>Jun</v>
      </c>
      <c r="N115" s="42">
        <f t="shared" ca="1" si="83"/>
        <v>-1</v>
      </c>
      <c r="O115" s="42" t="str">
        <f t="shared" ca="1" si="84"/>
        <v>0-30 days</v>
      </c>
      <c r="P115" s="1" t="s">
        <v>93</v>
      </c>
      <c r="Q115" s="60">
        <v>46203</v>
      </c>
      <c r="R115" s="60">
        <v>46233</v>
      </c>
      <c r="S115" s="42" t="s">
        <v>253</v>
      </c>
      <c r="T115" s="1" t="s">
        <v>296</v>
      </c>
      <c r="U115" s="42" t="s">
        <v>96</v>
      </c>
      <c r="V115" s="42" t="s">
        <v>104</v>
      </c>
      <c r="W115" s="42" t="s">
        <v>61</v>
      </c>
      <c r="X115" s="1"/>
      <c r="Y115" s="7"/>
      <c r="Z115" s="7"/>
      <c r="AA115" s="7"/>
    </row>
    <row r="116" spans="1:27">
      <c r="A116" s="1" t="s">
        <v>56</v>
      </c>
      <c r="B116" s="1" t="s">
        <v>117</v>
      </c>
      <c r="C116" s="42" t="str">
        <f>VLOOKUP(B116,Validation!A:B,2,0)</f>
        <v>APAC</v>
      </c>
      <c r="D116" s="42" t="str">
        <f>VLOOKUP(B116,Validation!A:D,4,0)</f>
        <v>Hao Nguyen</v>
      </c>
      <c r="E116" s="42" t="str">
        <f>VLOOKUP(B116,Validation!A:E,5,0)</f>
        <v>Vinoth M</v>
      </c>
      <c r="F116" s="42" t="s">
        <v>58</v>
      </c>
      <c r="G116" s="42">
        <f t="shared" si="81"/>
        <v>2026</v>
      </c>
      <c r="H116" s="42" t="s">
        <v>57</v>
      </c>
      <c r="I116" s="1" t="s">
        <v>107</v>
      </c>
      <c r="J116" s="66">
        <f>VLOOKUP(I116,'XE rates'!A:D,4,0)*K116</f>
        <v>981.82148465591501</v>
      </c>
      <c r="K116" s="20">
        <v>1401.09</v>
      </c>
      <c r="L116" s="60">
        <v>46174</v>
      </c>
      <c r="M116" s="47" t="str">
        <f t="shared" si="82"/>
        <v>Jun</v>
      </c>
      <c r="N116" s="42">
        <f t="shared" ca="1" si="83"/>
        <v>19</v>
      </c>
      <c r="O116" s="42" t="str">
        <f t="shared" ca="1" si="84"/>
        <v>0-30 days</v>
      </c>
      <c r="P116" s="1" t="s">
        <v>297</v>
      </c>
      <c r="Q116" s="60">
        <v>46197</v>
      </c>
      <c r="R116" s="60">
        <v>46213</v>
      </c>
      <c r="S116" s="42" t="s">
        <v>94</v>
      </c>
      <c r="T116" s="1" t="s">
        <v>298</v>
      </c>
      <c r="U116" s="42" t="s">
        <v>96</v>
      </c>
      <c r="V116" s="42" t="s">
        <v>104</v>
      </c>
      <c r="W116" s="42" t="s">
        <v>61</v>
      </c>
      <c r="X116" s="1"/>
      <c r="Y116" s="7"/>
      <c r="Z116" s="7"/>
      <c r="AA116" s="7"/>
    </row>
    <row r="117" spans="1:27">
      <c r="A117" s="1" t="s">
        <v>56</v>
      </c>
      <c r="B117" s="1" t="s">
        <v>223</v>
      </c>
      <c r="C117" s="42" t="str">
        <f>VLOOKUP(B117,Validation!A:B,2,0)</f>
        <v>Shared Center</v>
      </c>
      <c r="D117" s="42" t="str">
        <f>VLOOKUP(B117,Validation!A:D,4,0)</f>
        <v xml:space="preserve"> Bhavani</v>
      </c>
      <c r="E117" s="42" t="str">
        <f>VLOOKUP(B117,Validation!A:E,5,0)</f>
        <v>Vinoth M</v>
      </c>
      <c r="F117" s="42" t="s">
        <v>58</v>
      </c>
      <c r="G117" s="42">
        <f t="shared" si="81"/>
        <v>2026</v>
      </c>
      <c r="H117" s="42" t="s">
        <v>57</v>
      </c>
      <c r="I117" s="1" t="s">
        <v>107</v>
      </c>
      <c r="J117" s="66">
        <f>VLOOKUP(I117,'XE rates'!A:D,4,0)*K117</f>
        <v>2203.8759603186468</v>
      </c>
      <c r="K117" s="20">
        <v>3145</v>
      </c>
      <c r="L117" s="60">
        <v>46174</v>
      </c>
      <c r="M117" s="47" t="str">
        <f t="shared" si="82"/>
        <v>Jun</v>
      </c>
      <c r="N117" s="42">
        <f t="shared" ca="1" si="83"/>
        <v>20</v>
      </c>
      <c r="O117" s="42" t="str">
        <f t="shared" ca="1" si="84"/>
        <v>0-30 days</v>
      </c>
      <c r="P117" s="1" t="s">
        <v>93</v>
      </c>
      <c r="Q117" s="60">
        <v>46205</v>
      </c>
      <c r="R117" s="60">
        <v>46212</v>
      </c>
      <c r="S117" s="42" t="s">
        <v>94</v>
      </c>
      <c r="T117" s="1" t="s">
        <v>299</v>
      </c>
      <c r="U117" s="42" t="s">
        <v>96</v>
      </c>
      <c r="V117" s="42" t="s">
        <v>104</v>
      </c>
      <c r="W117" s="42" t="s">
        <v>61</v>
      </c>
      <c r="X117" s="1"/>
      <c r="Y117" s="7"/>
      <c r="Z117" s="7"/>
      <c r="AA117" s="7"/>
    </row>
    <row r="118" spans="1:27">
      <c r="A118" s="1" t="s">
        <v>56</v>
      </c>
      <c r="B118" s="1" t="s">
        <v>300</v>
      </c>
      <c r="C118" s="42" t="str">
        <f>VLOOKUP(B118,Validation!A:B,2,0)</f>
        <v>Americas</v>
      </c>
      <c r="D118" s="42" t="str">
        <f>VLOOKUP(B118,Validation!A:D,4,0)</f>
        <v>Lia Susin</v>
      </c>
      <c r="E118" s="42" t="str">
        <f>VLOOKUP(B118,Validation!A:E,5,0)</f>
        <v>NA</v>
      </c>
      <c r="F118" s="42" t="s">
        <v>58</v>
      </c>
      <c r="G118" s="42">
        <f t="shared" si="81"/>
        <v>2026</v>
      </c>
      <c r="H118" s="42" t="s">
        <v>57</v>
      </c>
      <c r="I118" s="1" t="s">
        <v>92</v>
      </c>
      <c r="J118" s="66">
        <f>VLOOKUP(I118,'XE rates'!A:D,4,0)*K118</f>
        <v>48865.401279999998</v>
      </c>
      <c r="K118" s="20">
        <v>48865.401279999998</v>
      </c>
      <c r="L118" s="60">
        <v>46174</v>
      </c>
      <c r="M118" s="47" t="str">
        <f t="shared" si="82"/>
        <v>Jun</v>
      </c>
      <c r="N118" s="42">
        <f t="shared" ca="1" si="83"/>
        <v>16</v>
      </c>
      <c r="O118" s="42" t="str">
        <f t="shared" ca="1" si="84"/>
        <v>0-30 days</v>
      </c>
      <c r="P118" s="1" t="s">
        <v>93</v>
      </c>
      <c r="Q118" s="60">
        <v>46209</v>
      </c>
      <c r="R118" s="60">
        <v>46216</v>
      </c>
      <c r="S118" s="42" t="s">
        <v>94</v>
      </c>
      <c r="T118" s="1" t="s">
        <v>301</v>
      </c>
      <c r="U118" s="42" t="s">
        <v>96</v>
      </c>
      <c r="V118" s="42" t="s">
        <v>104</v>
      </c>
      <c r="W118" s="42" t="s">
        <v>61</v>
      </c>
      <c r="X118" s="1"/>
      <c r="Y118" s="7"/>
      <c r="Z118" s="7"/>
      <c r="AA118" s="7"/>
    </row>
    <row r="119" spans="1:27">
      <c r="A119" s="1" t="s">
        <v>56</v>
      </c>
      <c r="B119" s="1" t="s">
        <v>302</v>
      </c>
      <c r="C119" s="42" t="str">
        <f>VLOOKUP(B119,Validation!A:B,2,0)</f>
        <v>MEA</v>
      </c>
      <c r="D119" s="42" t="str">
        <f>VLOOKUP(B119,Validation!A:D,4,0)</f>
        <v>Jerome Coelho</v>
      </c>
      <c r="E119" s="42" t="str">
        <f>VLOOKUP(B119,Validation!A:E,5,0)</f>
        <v>Ashraf Omran</v>
      </c>
      <c r="F119" s="42" t="s">
        <v>58</v>
      </c>
      <c r="G119" s="42">
        <f t="shared" si="81"/>
        <v>2026</v>
      </c>
      <c r="H119" s="42" t="s">
        <v>57</v>
      </c>
      <c r="I119" s="1" t="s">
        <v>92</v>
      </c>
      <c r="J119" s="66">
        <f>VLOOKUP(I119,'XE rates'!A:D,4,0)*K119</f>
        <v>7953.8</v>
      </c>
      <c r="K119" s="20">
        <v>7953.8</v>
      </c>
      <c r="L119" s="60">
        <v>46174</v>
      </c>
      <c r="M119" s="47" t="str">
        <f t="shared" si="82"/>
        <v>Jun</v>
      </c>
      <c r="N119" s="42">
        <f t="shared" ca="1" si="83"/>
        <v>20</v>
      </c>
      <c r="O119" s="42" t="str">
        <f t="shared" ca="1" si="84"/>
        <v>0-30 days</v>
      </c>
      <c r="P119" s="1" t="s">
        <v>93</v>
      </c>
      <c r="Q119" s="60">
        <v>46205</v>
      </c>
      <c r="R119" s="60">
        <v>46212</v>
      </c>
      <c r="S119" s="42" t="s">
        <v>94</v>
      </c>
      <c r="T119" s="1" t="s">
        <v>303</v>
      </c>
      <c r="U119" s="42" t="s">
        <v>96</v>
      </c>
      <c r="V119" s="42" t="s">
        <v>104</v>
      </c>
      <c r="W119" s="42" t="s">
        <v>61</v>
      </c>
      <c r="X119" s="1"/>
      <c r="Y119" s="7"/>
      <c r="Z119" s="7"/>
      <c r="AA119" s="7"/>
    </row>
    <row r="120" spans="1:27">
      <c r="A120" s="1" t="s">
        <v>56</v>
      </c>
      <c r="B120" s="1" t="s">
        <v>304</v>
      </c>
      <c r="C120" s="42" t="str">
        <f>VLOOKUP(B120,Validation!A:B,2,0)</f>
        <v>Shared Center</v>
      </c>
      <c r="D120" s="42" t="str">
        <f>VLOOKUP(B120,Validation!A:D,4,0)</f>
        <v>Sanat Patakar</v>
      </c>
      <c r="E120" s="42" t="str">
        <f>VLOOKUP(B120,Validation!A:E,5,0)</f>
        <v>Gitesh Athavale</v>
      </c>
      <c r="F120" s="42" t="s">
        <v>58</v>
      </c>
      <c r="G120" s="42">
        <f t="shared" si="81"/>
        <v>2026</v>
      </c>
      <c r="H120" s="42" t="s">
        <v>57</v>
      </c>
      <c r="I120" s="1" t="s">
        <v>92</v>
      </c>
      <c r="J120" s="66">
        <f>VLOOKUP(I120,'XE rates'!A:D,4,0)*K120</f>
        <v>5450.3032300000004</v>
      </c>
      <c r="K120" s="20">
        <v>5450.3032300000004</v>
      </c>
      <c r="L120" s="60">
        <v>46174</v>
      </c>
      <c r="M120" s="47" t="str">
        <f t="shared" si="82"/>
        <v>Jun</v>
      </c>
      <c r="N120" s="42">
        <f t="shared" ca="1" si="83"/>
        <v>20</v>
      </c>
      <c r="O120" s="42" t="str">
        <f t="shared" ca="1" si="84"/>
        <v>0-30 days</v>
      </c>
      <c r="P120" s="1" t="s">
        <v>93</v>
      </c>
      <c r="Q120" s="60">
        <v>46205</v>
      </c>
      <c r="R120" s="60">
        <v>46212</v>
      </c>
      <c r="S120" s="42" t="s">
        <v>94</v>
      </c>
      <c r="T120" s="1" t="s">
        <v>305</v>
      </c>
      <c r="U120" s="42" t="s">
        <v>96</v>
      </c>
      <c r="V120" s="42" t="s">
        <v>104</v>
      </c>
      <c r="W120" s="42" t="s">
        <v>61</v>
      </c>
      <c r="X120" s="1"/>
      <c r="Y120" s="7"/>
      <c r="Z120" s="7"/>
      <c r="AA120" s="7"/>
    </row>
    <row r="121" spans="1:27">
      <c r="A121" s="1" t="s">
        <v>56</v>
      </c>
      <c r="B121" s="1" t="s">
        <v>187</v>
      </c>
      <c r="C121" s="42" t="str">
        <f>VLOOKUP(B121,Validation!A:B,2,0)</f>
        <v>MEA</v>
      </c>
      <c r="D121" s="42" t="str">
        <f>VLOOKUP(B121,Validation!A:D,4,0)</f>
        <v>Jerome Coelho</v>
      </c>
      <c r="E121" s="42" t="str">
        <f>VLOOKUP(B121,Validation!A:E,5,0)</f>
        <v>Rohit Bammi</v>
      </c>
      <c r="F121" s="42" t="s">
        <v>58</v>
      </c>
      <c r="G121" s="42">
        <f t="shared" si="81"/>
        <v>2026</v>
      </c>
      <c r="H121" s="42" t="s">
        <v>57</v>
      </c>
      <c r="I121" s="1" t="s">
        <v>92</v>
      </c>
      <c r="J121" s="66">
        <f>VLOOKUP(I121,'XE rates'!A:D,4,0)*K121</f>
        <v>3881.5</v>
      </c>
      <c r="K121" s="20">
        <v>3881.5</v>
      </c>
      <c r="L121" s="60">
        <v>46174</v>
      </c>
      <c r="M121" s="47" t="str">
        <f t="shared" si="82"/>
        <v>Jun</v>
      </c>
      <c r="N121" s="42">
        <f t="shared" ca="1" si="83"/>
        <v>19</v>
      </c>
      <c r="O121" s="42" t="str">
        <f t="shared" ca="1" si="84"/>
        <v>0-30 days</v>
      </c>
      <c r="P121" s="1" t="s">
        <v>93</v>
      </c>
      <c r="Q121" s="60">
        <v>46206</v>
      </c>
      <c r="R121" s="60">
        <v>46213</v>
      </c>
      <c r="S121" s="42" t="s">
        <v>94</v>
      </c>
      <c r="T121" s="1" t="s">
        <v>306</v>
      </c>
      <c r="U121" s="42" t="s">
        <v>96</v>
      </c>
      <c r="V121" s="42" t="s">
        <v>104</v>
      </c>
      <c r="W121" s="42" t="s">
        <v>61</v>
      </c>
      <c r="X121" s="1"/>
      <c r="Y121" s="7"/>
      <c r="Z121" s="7"/>
      <c r="AA121" s="7"/>
    </row>
    <row r="122" spans="1:27">
      <c r="A122" s="1" t="s">
        <v>56</v>
      </c>
      <c r="B122" s="1" t="s">
        <v>189</v>
      </c>
      <c r="C122" s="42" t="str">
        <f>VLOOKUP(B122,Validation!A:B,2,0)</f>
        <v>APAC</v>
      </c>
      <c r="D122" s="42" t="str">
        <f>VLOOKUP(B122,Validation!A:D,4,0)</f>
        <v>NA</v>
      </c>
      <c r="E122" s="42" t="str">
        <f>VLOOKUP(B122,Validation!A:E,5,0)</f>
        <v>Lisa Sung</v>
      </c>
      <c r="F122" s="42" t="s">
        <v>58</v>
      </c>
      <c r="G122" s="42">
        <f t="shared" si="81"/>
        <v>2026</v>
      </c>
      <c r="H122" s="42" t="s">
        <v>57</v>
      </c>
      <c r="I122" s="1" t="s">
        <v>92</v>
      </c>
      <c r="J122" s="66">
        <f>VLOOKUP(I122,'XE rates'!A:D,4,0)*K122</f>
        <v>330</v>
      </c>
      <c r="K122" s="56">
        <v>330</v>
      </c>
      <c r="L122" s="60">
        <v>46174</v>
      </c>
      <c r="M122" s="47" t="str">
        <f t="shared" si="82"/>
        <v>Jun</v>
      </c>
      <c r="N122" s="42">
        <f t="shared" ca="1" si="83"/>
        <v>19</v>
      </c>
      <c r="O122" s="42" t="str">
        <f t="shared" ca="1" si="84"/>
        <v>0-30 days</v>
      </c>
      <c r="P122" s="1" t="s">
        <v>93</v>
      </c>
      <c r="Q122" s="60">
        <v>46206</v>
      </c>
      <c r="R122" s="60">
        <v>46213</v>
      </c>
      <c r="S122" s="42" t="s">
        <v>108</v>
      </c>
      <c r="T122" s="1" t="s">
        <v>308</v>
      </c>
      <c r="U122" s="42" t="s">
        <v>96</v>
      </c>
      <c r="V122" s="42" t="s">
        <v>104</v>
      </c>
      <c r="W122" s="42" t="s">
        <v>61</v>
      </c>
      <c r="X122" s="1"/>
      <c r="Y122" s="7"/>
      <c r="Z122" s="7"/>
      <c r="AA122" s="7"/>
    </row>
    <row r="123" spans="1:27">
      <c r="A123" s="1" t="s">
        <v>56</v>
      </c>
      <c r="B123" s="1" t="s">
        <v>191</v>
      </c>
      <c r="C123" s="42" t="str">
        <f>VLOOKUP(B123,Validation!A:B,2,0)</f>
        <v>APAC</v>
      </c>
      <c r="D123" s="42" t="str">
        <f>VLOOKUP(B123,Validation!A:D,4,0)</f>
        <v>NA</v>
      </c>
      <c r="E123" s="42" t="str">
        <f>VLOOKUP(B123,Validation!A:E,5,0)</f>
        <v>Wendy zhai</v>
      </c>
      <c r="F123" s="42" t="s">
        <v>58</v>
      </c>
      <c r="G123" s="42">
        <f t="shared" si="81"/>
        <v>2026</v>
      </c>
      <c r="H123" s="42" t="s">
        <v>57</v>
      </c>
      <c r="I123" s="1" t="s">
        <v>107</v>
      </c>
      <c r="J123" s="66">
        <f>VLOOKUP(I123,'XE rates'!A:D,4,0)*K123</f>
        <v>3556.9717092976225</v>
      </c>
      <c r="K123" s="20">
        <v>5075.91</v>
      </c>
      <c r="L123" s="60">
        <v>46174</v>
      </c>
      <c r="M123" s="47" t="str">
        <f t="shared" si="82"/>
        <v>Jun</v>
      </c>
      <c r="N123" s="42">
        <f t="shared" ca="1" si="83"/>
        <v>20</v>
      </c>
      <c r="O123" s="42" t="str">
        <f t="shared" ca="1" si="84"/>
        <v>0-30 days</v>
      </c>
      <c r="P123" s="1" t="s">
        <v>93</v>
      </c>
      <c r="Q123" s="60">
        <v>46205</v>
      </c>
      <c r="R123" s="60">
        <v>46212</v>
      </c>
      <c r="S123" s="42" t="s">
        <v>94</v>
      </c>
      <c r="T123" s="1" t="s">
        <v>309</v>
      </c>
      <c r="U123" s="42" t="s">
        <v>96</v>
      </c>
      <c r="V123" s="42" t="s">
        <v>104</v>
      </c>
      <c r="W123" s="42" t="s">
        <v>61</v>
      </c>
      <c r="X123" s="1"/>
      <c r="Y123" s="7"/>
      <c r="Z123" s="7"/>
      <c r="AA123" s="7"/>
    </row>
    <row r="124" spans="1:27">
      <c r="A124" s="1" t="s">
        <v>56</v>
      </c>
      <c r="B124" s="1" t="s">
        <v>141</v>
      </c>
      <c r="C124" s="42" t="str">
        <f>VLOOKUP(B124,Validation!A:B,2,0)</f>
        <v>APAC</v>
      </c>
      <c r="D124" s="42" t="str">
        <f>VLOOKUP(B124,Validation!A:D,4,0)</f>
        <v>NA</v>
      </c>
      <c r="E124" s="42" t="str">
        <f>VLOOKUP(B124,Validation!A:E,5,0)</f>
        <v>Denis Tan</v>
      </c>
      <c r="F124" s="42" t="s">
        <v>58</v>
      </c>
      <c r="G124" s="42">
        <f t="shared" si="81"/>
        <v>2026</v>
      </c>
      <c r="H124" s="42" t="s">
        <v>57</v>
      </c>
      <c r="I124" s="1" t="s">
        <v>92</v>
      </c>
      <c r="J124" s="66">
        <f>VLOOKUP(I124,'XE rates'!A:D,4,0)*K124</f>
        <v>0.43</v>
      </c>
      <c r="K124" s="20">
        <v>0.43</v>
      </c>
      <c r="L124" s="60">
        <v>46174</v>
      </c>
      <c r="M124" s="47" t="str">
        <f t="shared" si="82"/>
        <v>Jun</v>
      </c>
      <c r="N124" s="42">
        <f t="shared" ca="1" si="83"/>
        <v>19</v>
      </c>
      <c r="O124" s="42" t="str">
        <f t="shared" ca="1" si="84"/>
        <v>0-30 days</v>
      </c>
      <c r="P124" s="1" t="s">
        <v>93</v>
      </c>
      <c r="Q124" s="60">
        <v>46206</v>
      </c>
      <c r="R124" s="60">
        <v>46213</v>
      </c>
      <c r="S124" s="42" t="s">
        <v>94</v>
      </c>
      <c r="T124" s="1" t="s">
        <v>310</v>
      </c>
      <c r="U124" s="42" t="s">
        <v>96</v>
      </c>
      <c r="V124" s="42" t="s">
        <v>104</v>
      </c>
      <c r="W124" s="42" t="s">
        <v>61</v>
      </c>
      <c r="X124" s="1"/>
      <c r="Y124" s="7"/>
      <c r="Z124" s="7"/>
      <c r="AA124" s="7"/>
    </row>
    <row r="125" spans="1:27">
      <c r="A125" s="1" t="s">
        <v>56</v>
      </c>
      <c r="B125" s="1" t="s">
        <v>227</v>
      </c>
      <c r="C125" s="42" t="str">
        <f>VLOOKUP(B125,Validation!A:B,2,0)</f>
        <v>Shared Center</v>
      </c>
      <c r="D125" s="42" t="str">
        <f>VLOOKUP(B125,Validation!A:D,4,0)</f>
        <v>Sanat Patakar</v>
      </c>
      <c r="E125" s="42" t="str">
        <f>VLOOKUP(B125,Validation!A:E,5,0)</f>
        <v>Edward Li</v>
      </c>
      <c r="F125" s="42" t="s">
        <v>58</v>
      </c>
      <c r="G125" s="42">
        <f t="shared" si="81"/>
        <v>2026</v>
      </c>
      <c r="H125" s="42" t="s">
        <v>57</v>
      </c>
      <c r="I125" s="1" t="s">
        <v>92</v>
      </c>
      <c r="J125" s="66">
        <f>VLOOKUP(I125,'XE rates'!A:D,4,0)*K125</f>
        <v>1168.1099999999999</v>
      </c>
      <c r="K125" s="20">
        <v>1168.1099999999999</v>
      </c>
      <c r="L125" s="60">
        <v>46174</v>
      </c>
      <c r="M125" s="47" t="str">
        <f t="shared" si="82"/>
        <v>Jun</v>
      </c>
      <c r="N125" s="42">
        <f t="shared" ca="1" si="83"/>
        <v>20</v>
      </c>
      <c r="O125" s="42" t="str">
        <f t="shared" ca="1" si="84"/>
        <v>0-30 days</v>
      </c>
      <c r="P125" s="1" t="s">
        <v>93</v>
      </c>
      <c r="Q125" s="60">
        <v>46205</v>
      </c>
      <c r="R125" s="60">
        <v>46212</v>
      </c>
      <c r="S125" s="42" t="s">
        <v>94</v>
      </c>
      <c r="T125" s="1" t="s">
        <v>311</v>
      </c>
      <c r="U125" s="42" t="s">
        <v>96</v>
      </c>
      <c r="V125" s="42" t="s">
        <v>104</v>
      </c>
      <c r="W125" s="42" t="s">
        <v>61</v>
      </c>
      <c r="X125" s="1"/>
      <c r="Y125" s="7"/>
      <c r="Z125" s="7"/>
      <c r="AA125" s="7"/>
    </row>
    <row r="126" spans="1:27">
      <c r="A126" s="1" t="s">
        <v>56</v>
      </c>
      <c r="B126" s="1" t="s">
        <v>229</v>
      </c>
      <c r="C126" s="42" t="str">
        <f>VLOOKUP(B126,Validation!A:B,2,0)</f>
        <v>Shared Center</v>
      </c>
      <c r="D126" s="42" t="str">
        <f>VLOOKUP(B126,Validation!A:D,4,0)</f>
        <v>Sakshi Shanbhag</v>
      </c>
      <c r="E126" s="42" t="str">
        <f>VLOOKUP(B126,Validation!A:E,5,0)</f>
        <v>Vinoth M</v>
      </c>
      <c r="F126" s="42" t="s">
        <v>58</v>
      </c>
      <c r="G126" s="42">
        <f t="shared" si="81"/>
        <v>2026</v>
      </c>
      <c r="H126" s="42" t="s">
        <v>57</v>
      </c>
      <c r="I126" s="1" t="s">
        <v>107</v>
      </c>
      <c r="J126" s="66">
        <f>VLOOKUP(I126,'XE rates'!A:D,4,0)*K126</f>
        <v>5081.388156139461</v>
      </c>
      <c r="K126" s="20">
        <v>7251.3</v>
      </c>
      <c r="L126" s="60">
        <v>46174</v>
      </c>
      <c r="M126" s="47" t="str">
        <f t="shared" si="82"/>
        <v>Jun</v>
      </c>
      <c r="N126" s="42">
        <f t="shared" ca="1" si="83"/>
        <v>20</v>
      </c>
      <c r="O126" s="42" t="str">
        <f t="shared" ca="1" si="84"/>
        <v>0-30 days</v>
      </c>
      <c r="P126" s="1" t="s">
        <v>93</v>
      </c>
      <c r="Q126" s="60">
        <v>46205</v>
      </c>
      <c r="R126" s="60">
        <v>46212</v>
      </c>
      <c r="S126" s="42" t="s">
        <v>94</v>
      </c>
      <c r="T126" s="1" t="s">
        <v>312</v>
      </c>
      <c r="U126" s="42" t="s">
        <v>96</v>
      </c>
      <c r="V126" s="42" t="s">
        <v>104</v>
      </c>
      <c r="W126" s="42" t="s">
        <v>61</v>
      </c>
      <c r="X126" s="1"/>
      <c r="Y126" s="7"/>
      <c r="Z126" s="7"/>
      <c r="AA126" s="7"/>
    </row>
    <row r="127" spans="1:27">
      <c r="A127" s="1" t="s">
        <v>56</v>
      </c>
      <c r="B127" s="1" t="s">
        <v>121</v>
      </c>
      <c r="C127" s="42" t="str">
        <f>VLOOKUP(B127,Validation!A:B,2,0)</f>
        <v>EU/UK</v>
      </c>
      <c r="D127" s="42" t="str">
        <f>VLOOKUP(B127,Validation!A:D,4,0)</f>
        <v>Sachli Zare</v>
      </c>
      <c r="E127" s="42" t="str">
        <f>VLOOKUP(B127,Validation!A:E,5,0)</f>
        <v>NA</v>
      </c>
      <c r="F127" s="42" t="s">
        <v>58</v>
      </c>
      <c r="G127" s="42">
        <f t="shared" si="81"/>
        <v>2026</v>
      </c>
      <c r="H127" s="42" t="s">
        <v>57</v>
      </c>
      <c r="I127" s="1" t="s">
        <v>92</v>
      </c>
      <c r="J127" s="66">
        <f>VLOOKUP(I127,'XE rates'!A:D,4,0)*K127</f>
        <v>39.100000000000023</v>
      </c>
      <c r="K127" s="56">
        <v>39.100000000000023</v>
      </c>
      <c r="L127" s="60">
        <v>46174</v>
      </c>
      <c r="M127" s="47" t="str">
        <f t="shared" si="82"/>
        <v>Jun</v>
      </c>
      <c r="N127" s="42">
        <f t="shared" ca="1" si="83"/>
        <v>19</v>
      </c>
      <c r="O127" s="42" t="str">
        <f t="shared" ca="1" si="84"/>
        <v>0-30 days</v>
      </c>
      <c r="P127" s="1" t="s">
        <v>93</v>
      </c>
      <c r="Q127" s="60">
        <v>46206</v>
      </c>
      <c r="R127" s="60">
        <v>46213</v>
      </c>
      <c r="S127" s="42" t="s">
        <v>108</v>
      </c>
      <c r="T127" s="1" t="s">
        <v>315</v>
      </c>
      <c r="U127" s="42" t="s">
        <v>96</v>
      </c>
      <c r="V127" s="42" t="s">
        <v>104</v>
      </c>
      <c r="W127" s="42" t="s">
        <v>61</v>
      </c>
      <c r="X127" s="1"/>
      <c r="Y127" s="7"/>
      <c r="Z127" s="7"/>
      <c r="AA127" s="7"/>
    </row>
    <row r="128" spans="1:27">
      <c r="A128" s="1" t="s">
        <v>56</v>
      </c>
      <c r="B128" s="1" t="s">
        <v>67</v>
      </c>
      <c r="C128" s="42" t="str">
        <f>VLOOKUP(B128,Validation!A:B,2,0)</f>
        <v>Americas</v>
      </c>
      <c r="D128" s="42" t="str">
        <f>VLOOKUP(B128,Validation!A:D,4,0)</f>
        <v>Lia Susin</v>
      </c>
      <c r="E128" s="42" t="str">
        <f>VLOOKUP(B128,Validation!A:E,5,0)</f>
        <v>Vinoth M</v>
      </c>
      <c r="F128" s="42" t="s">
        <v>58</v>
      </c>
      <c r="G128" s="42">
        <f t="shared" si="81"/>
        <v>2026</v>
      </c>
      <c r="H128" s="42" t="s">
        <v>57</v>
      </c>
      <c r="I128" s="1" t="s">
        <v>92</v>
      </c>
      <c r="J128" s="66">
        <f>VLOOKUP(I128,'XE rates'!A:D,4,0)*K128</f>
        <v>259.86</v>
      </c>
      <c r="K128" s="20">
        <v>259.86</v>
      </c>
      <c r="L128" s="60">
        <v>46174</v>
      </c>
      <c r="M128" s="47" t="str">
        <f t="shared" si="82"/>
        <v>Jun</v>
      </c>
      <c r="N128" s="42">
        <f t="shared" ca="1" si="83"/>
        <v>20</v>
      </c>
      <c r="O128" s="42" t="str">
        <f t="shared" ca="1" si="84"/>
        <v>0-30 days</v>
      </c>
      <c r="P128" s="1" t="s">
        <v>93</v>
      </c>
      <c r="Q128" s="60">
        <v>46205</v>
      </c>
      <c r="R128" s="60">
        <v>46212</v>
      </c>
      <c r="S128" s="42" t="s">
        <v>94</v>
      </c>
      <c r="T128" s="1" t="s">
        <v>316</v>
      </c>
      <c r="U128" s="42" t="s">
        <v>96</v>
      </c>
      <c r="V128" s="42" t="s">
        <v>104</v>
      </c>
      <c r="W128" s="42" t="s">
        <v>61</v>
      </c>
      <c r="X128" s="1"/>
      <c r="Y128" s="7"/>
      <c r="Z128" s="7"/>
      <c r="AA128" s="7"/>
    </row>
    <row r="129" spans="1:27">
      <c r="A129" s="1" t="s">
        <v>56</v>
      </c>
      <c r="B129" s="1" t="s">
        <v>60</v>
      </c>
      <c r="C129" s="42" t="str">
        <f>VLOOKUP(B129,Validation!A:B,2,0)</f>
        <v>Americas</v>
      </c>
      <c r="D129" s="42" t="str">
        <f>VLOOKUP(B129,Validation!A:D,4,0)</f>
        <v>Tanu Arora</v>
      </c>
      <c r="E129" s="42" t="str">
        <f>VLOOKUP(B129,Validation!A:E,5,0)</f>
        <v>Vinoth M</v>
      </c>
      <c r="F129" s="42" t="s">
        <v>58</v>
      </c>
      <c r="G129" s="42">
        <f t="shared" si="81"/>
        <v>2026</v>
      </c>
      <c r="H129" s="42" t="s">
        <v>57</v>
      </c>
      <c r="I129" s="1" t="s">
        <v>92</v>
      </c>
      <c r="J129" s="66">
        <f>VLOOKUP(I129,'XE rates'!A:D,4,0)*K129</f>
        <v>225.6</v>
      </c>
      <c r="K129" s="20">
        <v>225.6</v>
      </c>
      <c r="L129" s="60">
        <v>46174</v>
      </c>
      <c r="M129" s="47" t="str">
        <f t="shared" si="82"/>
        <v>Jun</v>
      </c>
      <c r="N129" s="42">
        <f t="shared" ca="1" si="83"/>
        <v>19</v>
      </c>
      <c r="O129" s="42" t="str">
        <f t="shared" ca="1" si="84"/>
        <v>0-30 days</v>
      </c>
      <c r="P129" s="1" t="s">
        <v>93</v>
      </c>
      <c r="Q129" s="60">
        <v>46206</v>
      </c>
      <c r="R129" s="60">
        <v>46213</v>
      </c>
      <c r="S129" s="42" t="s">
        <v>94</v>
      </c>
      <c r="T129" s="1" t="s">
        <v>317</v>
      </c>
      <c r="U129" s="42" t="s">
        <v>96</v>
      </c>
      <c r="V129" s="42" t="s">
        <v>104</v>
      </c>
      <c r="W129" s="42" t="s">
        <v>61</v>
      </c>
      <c r="X129" s="1"/>
      <c r="Y129" s="7"/>
      <c r="Z129" s="7"/>
      <c r="AA129" s="7"/>
    </row>
    <row r="130" spans="1:27">
      <c r="A130" s="1" t="s">
        <v>56</v>
      </c>
      <c r="B130" s="1" t="s">
        <v>29</v>
      </c>
      <c r="C130" s="42" t="str">
        <f>VLOOKUP(B130,Validation!A:B,2,0)</f>
        <v>Americas</v>
      </c>
      <c r="D130" s="42" t="str">
        <f>VLOOKUP(B130,Validation!A:D,4,0)</f>
        <v>Lia Susin</v>
      </c>
      <c r="E130" s="42" t="str">
        <f>VLOOKUP(B130,Validation!A:E,5,0)</f>
        <v>Christina Hutchinson</v>
      </c>
      <c r="F130" s="42" t="s">
        <v>58</v>
      </c>
      <c r="G130" s="42">
        <f t="shared" si="81"/>
        <v>2026</v>
      </c>
      <c r="H130" s="42" t="s">
        <v>57</v>
      </c>
      <c r="I130" s="1" t="s">
        <v>92</v>
      </c>
      <c r="J130" s="66">
        <f>VLOOKUP(I130,'XE rates'!A:D,4,0)*K130</f>
        <v>-152.90999999999985</v>
      </c>
      <c r="K130" s="20">
        <v>-152.90999999999985</v>
      </c>
      <c r="L130" s="60">
        <v>46023</v>
      </c>
      <c r="M130" s="47" t="str">
        <f t="shared" si="82"/>
        <v>Jan</v>
      </c>
      <c r="N130" s="42">
        <f t="shared" ca="1" si="83"/>
        <v>169</v>
      </c>
      <c r="O130" s="42" t="str">
        <f t="shared" ca="1" si="84"/>
        <v>Over 90+ days</v>
      </c>
      <c r="P130" s="1" t="s">
        <v>93</v>
      </c>
      <c r="Q130" s="60">
        <v>46056</v>
      </c>
      <c r="R130" s="60">
        <v>46063</v>
      </c>
      <c r="S130" s="42" t="s">
        <v>94</v>
      </c>
      <c r="T130" s="1" t="s">
        <v>318</v>
      </c>
      <c r="U130" s="42" t="s">
        <v>96</v>
      </c>
      <c r="V130" s="42" t="s">
        <v>104</v>
      </c>
      <c r="W130" s="42" t="s">
        <v>61</v>
      </c>
      <c r="X130" s="1"/>
      <c r="Y130" s="7"/>
      <c r="Z130" s="7"/>
      <c r="AA130" s="7"/>
    </row>
    <row r="131" spans="1:27">
      <c r="A131" s="1" t="s">
        <v>56</v>
      </c>
      <c r="B131" s="1" t="s">
        <v>29</v>
      </c>
      <c r="C131" s="42" t="str">
        <f>VLOOKUP(B131,Validation!A:B,2,0)</f>
        <v>Americas</v>
      </c>
      <c r="D131" s="42" t="str">
        <f>VLOOKUP(B131,Validation!A:D,4,0)</f>
        <v>Lia Susin</v>
      </c>
      <c r="E131" s="42" t="str">
        <f>VLOOKUP(B131,Validation!A:E,5,0)</f>
        <v>Christina Hutchinson</v>
      </c>
      <c r="F131" s="42" t="s">
        <v>58</v>
      </c>
      <c r="G131" s="42">
        <f t="shared" si="81"/>
        <v>2026</v>
      </c>
      <c r="H131" s="42" t="s">
        <v>57</v>
      </c>
      <c r="I131" s="1" t="s">
        <v>92</v>
      </c>
      <c r="J131" s="66">
        <f>VLOOKUP(I131,'XE rates'!A:D,4,0)*K131</f>
        <v>3442.49</v>
      </c>
      <c r="K131" s="20">
        <v>3442.49</v>
      </c>
      <c r="L131" s="60">
        <v>46174</v>
      </c>
      <c r="M131" s="47" t="str">
        <f t="shared" si="82"/>
        <v>Jun</v>
      </c>
      <c r="N131" s="42">
        <f t="shared" ca="1" si="83"/>
        <v>20</v>
      </c>
      <c r="O131" s="42" t="str">
        <f t="shared" ca="1" si="84"/>
        <v>0-30 days</v>
      </c>
      <c r="P131" s="1" t="s">
        <v>93</v>
      </c>
      <c r="Q131" s="60">
        <v>46205</v>
      </c>
      <c r="R131" s="60">
        <v>46212</v>
      </c>
      <c r="S131" s="42" t="s">
        <v>94</v>
      </c>
      <c r="T131" s="1" t="s">
        <v>319</v>
      </c>
      <c r="U131" s="42" t="s">
        <v>96</v>
      </c>
      <c r="V131" s="42" t="s">
        <v>104</v>
      </c>
      <c r="W131" s="42" t="s">
        <v>61</v>
      </c>
      <c r="X131" s="1"/>
      <c r="Y131" s="7"/>
      <c r="Z131" s="7"/>
      <c r="AA131" s="7"/>
    </row>
    <row r="132" spans="1:27">
      <c r="A132" s="1" t="s">
        <v>56</v>
      </c>
      <c r="B132" s="1" t="s">
        <v>320</v>
      </c>
      <c r="C132" s="42" t="str">
        <f>VLOOKUP(B132,Validation!A:B,2,0)</f>
        <v>EU/UK</v>
      </c>
      <c r="D132" s="42" t="str">
        <f>VLOOKUP(B132,Validation!A:D,4,0)</f>
        <v>NA</v>
      </c>
      <c r="E132" s="42" t="str">
        <f>VLOOKUP(B132,Validation!A:E,5,0)</f>
        <v>James Winter</v>
      </c>
      <c r="F132" s="42" t="s">
        <v>58</v>
      </c>
      <c r="G132" s="42">
        <f t="shared" si="81"/>
        <v>2026</v>
      </c>
      <c r="H132" s="42" t="s">
        <v>57</v>
      </c>
      <c r="I132" s="1" t="s">
        <v>182</v>
      </c>
      <c r="J132" s="66">
        <f>VLOOKUP(I132,'XE rates'!A:D,4,0)*K132</f>
        <v>2189.3698533374045</v>
      </c>
      <c r="K132" s="20">
        <v>1637.23</v>
      </c>
      <c r="L132" s="60">
        <v>46174</v>
      </c>
      <c r="M132" s="47" t="str">
        <f t="shared" si="82"/>
        <v>Jun</v>
      </c>
      <c r="N132" s="42">
        <f t="shared" ca="1" si="83"/>
        <v>15</v>
      </c>
      <c r="O132" s="42" t="str">
        <f t="shared" ca="1" si="84"/>
        <v>0-30 days</v>
      </c>
      <c r="P132" s="1" t="s">
        <v>93</v>
      </c>
      <c r="Q132" s="60">
        <v>46210</v>
      </c>
      <c r="R132" s="60">
        <v>46217</v>
      </c>
      <c r="S132" s="42" t="s">
        <v>94</v>
      </c>
      <c r="T132" s="1" t="s">
        <v>321</v>
      </c>
      <c r="U132" s="42" t="s">
        <v>96</v>
      </c>
      <c r="V132" s="42" t="s">
        <v>104</v>
      </c>
      <c r="W132" s="42" t="s">
        <v>61</v>
      </c>
      <c r="X132" s="1"/>
      <c r="Y132" s="7"/>
      <c r="Z132" s="7"/>
      <c r="AA132" s="7"/>
    </row>
    <row r="133" spans="1:27">
      <c r="A133" s="1" t="s">
        <v>56</v>
      </c>
      <c r="B133" s="1" t="s">
        <v>322</v>
      </c>
      <c r="C133" s="42" t="str">
        <f>VLOOKUP(B133,Validation!A:B,2,0)</f>
        <v>MEA</v>
      </c>
      <c r="D133" s="42" t="str">
        <f>VLOOKUP(B133,Validation!A:D,4,0)</f>
        <v>Jerome Coelho</v>
      </c>
      <c r="E133" s="42" t="str">
        <f>VLOOKUP(B133,Validation!A:E,5,0)</f>
        <v>Rohit Bammi</v>
      </c>
      <c r="F133" s="42" t="s">
        <v>58</v>
      </c>
      <c r="G133" s="42">
        <f t="shared" ref="G133:G148" si="85">YEAR(L133)</f>
        <v>2026</v>
      </c>
      <c r="H133" s="42" t="s">
        <v>57</v>
      </c>
      <c r="I133" s="1" t="s">
        <v>92</v>
      </c>
      <c r="J133" s="66">
        <f>VLOOKUP(I133,'XE rates'!A:D,4,0)*K133</f>
        <v>824.31</v>
      </c>
      <c r="K133" s="20">
        <v>824.31</v>
      </c>
      <c r="L133" s="60">
        <v>46174</v>
      </c>
      <c r="M133" s="47" t="str">
        <f t="shared" ref="M133:M155" si="86">TEXT(L133,"mmm")</f>
        <v>Jun</v>
      </c>
      <c r="N133" s="42">
        <f t="shared" ref="N133:N155" ca="1" si="87">$Y$1-R133</f>
        <v>19</v>
      </c>
      <c r="O133" s="42" t="str">
        <f t="shared" ref="O133:O155" ca="1" si="88">IF(N133&lt;=30, "0-30 days", IF(N133&lt;=60, "31-60 days", IF(N133&lt;=90, "61-90 days", "Over 90+ days")))</f>
        <v>0-30 days</v>
      </c>
      <c r="P133" s="1" t="s">
        <v>93</v>
      </c>
      <c r="Q133" s="60">
        <v>46206</v>
      </c>
      <c r="R133" s="60">
        <v>46213</v>
      </c>
      <c r="S133" s="42" t="s">
        <v>94</v>
      </c>
      <c r="T133" s="1" t="s">
        <v>323</v>
      </c>
      <c r="U133" s="42" t="s">
        <v>96</v>
      </c>
      <c r="V133" s="42" t="s">
        <v>104</v>
      </c>
      <c r="W133" s="42" t="s">
        <v>61</v>
      </c>
      <c r="X133" s="1"/>
      <c r="Y133" s="7"/>
      <c r="Z133" s="7"/>
      <c r="AA133" s="7"/>
    </row>
    <row r="134" spans="1:27">
      <c r="A134" s="1" t="s">
        <v>56</v>
      </c>
      <c r="B134" s="1" t="s">
        <v>324</v>
      </c>
      <c r="C134" s="42" t="str">
        <f>VLOOKUP(B134,Validation!A:B,2,0)</f>
        <v>Americas</v>
      </c>
      <c r="D134" s="42" t="str">
        <f>VLOOKUP(B134,Validation!A:D,4,0)</f>
        <v>Tulio Lima</v>
      </c>
      <c r="E134" s="42" t="str">
        <f>VLOOKUP(B134,Validation!A:E,5,0)</f>
        <v>Michael Bermingham</v>
      </c>
      <c r="F134" s="42" t="s">
        <v>58</v>
      </c>
      <c r="G134" s="42">
        <f t="shared" si="85"/>
        <v>2026</v>
      </c>
      <c r="H134" s="42" t="s">
        <v>57</v>
      </c>
      <c r="I134" s="1" t="s">
        <v>92</v>
      </c>
      <c r="J134" s="66">
        <f>VLOOKUP(I134,'XE rates'!A:D,4,0)*K134</f>
        <v>-1937.8500000000001</v>
      </c>
      <c r="K134" s="56">
        <v>-1937.8500000000001</v>
      </c>
      <c r="L134" s="60">
        <v>46174</v>
      </c>
      <c r="M134" s="47" t="str">
        <f t="shared" si="86"/>
        <v>Jun</v>
      </c>
      <c r="N134" s="42">
        <f t="shared" ca="1" si="87"/>
        <v>35</v>
      </c>
      <c r="O134" s="42" t="str">
        <f t="shared" ca="1" si="88"/>
        <v>31-60 days</v>
      </c>
      <c r="P134" s="1" t="s">
        <v>325</v>
      </c>
      <c r="Q134" s="60">
        <v>46190</v>
      </c>
      <c r="R134" s="60">
        <v>46197</v>
      </c>
      <c r="S134" s="42" t="s">
        <v>108</v>
      </c>
      <c r="T134" s="1" t="s">
        <v>326</v>
      </c>
      <c r="U134" s="42" t="s">
        <v>96</v>
      </c>
      <c r="V134" s="42" t="s">
        <v>104</v>
      </c>
      <c r="W134" s="42" t="s">
        <v>61</v>
      </c>
      <c r="X134" s="1"/>
      <c r="Y134" s="7"/>
      <c r="Z134" s="7"/>
      <c r="AA134" s="7"/>
    </row>
    <row r="135" spans="1:27">
      <c r="A135" s="1" t="s">
        <v>56</v>
      </c>
      <c r="B135" s="1" t="s">
        <v>134</v>
      </c>
      <c r="C135" s="42" t="str">
        <f>VLOOKUP(B135,Validation!A:B,2,0)</f>
        <v>Shared Center</v>
      </c>
      <c r="D135" s="42" t="str">
        <f>VLOOKUP(B135,Validation!A:D,4,0)</f>
        <v>Sanat Patakar</v>
      </c>
      <c r="E135" s="42" t="str">
        <f>VLOOKUP(B135,Validation!A:E,5,0)</f>
        <v>Vinoth M</v>
      </c>
      <c r="F135" s="42" t="s">
        <v>58</v>
      </c>
      <c r="G135" s="42">
        <f t="shared" si="85"/>
        <v>2026</v>
      </c>
      <c r="H135" s="42" t="s">
        <v>57</v>
      </c>
      <c r="I135" s="1" t="s">
        <v>92</v>
      </c>
      <c r="J135" s="66">
        <f>VLOOKUP(I135,'XE rates'!A:D,4,0)*K135</f>
        <v>2872.5</v>
      </c>
      <c r="K135" s="20">
        <v>2872.5</v>
      </c>
      <c r="L135" s="60">
        <v>46174</v>
      </c>
      <c r="M135" s="47" t="str">
        <f t="shared" si="86"/>
        <v>Jun</v>
      </c>
      <c r="N135" s="42">
        <f t="shared" ca="1" si="87"/>
        <v>12</v>
      </c>
      <c r="O135" s="42" t="str">
        <f t="shared" ca="1" si="88"/>
        <v>0-30 days</v>
      </c>
      <c r="P135" s="1" t="s">
        <v>93</v>
      </c>
      <c r="Q135" s="60">
        <v>46206</v>
      </c>
      <c r="R135" s="60">
        <v>46220</v>
      </c>
      <c r="S135" s="42" t="s">
        <v>94</v>
      </c>
      <c r="T135" s="1" t="s">
        <v>327</v>
      </c>
      <c r="U135" s="42" t="s">
        <v>96</v>
      </c>
      <c r="V135" s="42" t="s">
        <v>104</v>
      </c>
      <c r="W135" s="42" t="s">
        <v>61</v>
      </c>
      <c r="X135" s="1"/>
      <c r="Y135" s="7"/>
      <c r="Z135" s="7"/>
      <c r="AA135" s="7"/>
    </row>
    <row r="136" spans="1:27">
      <c r="A136" s="1" t="s">
        <v>56</v>
      </c>
      <c r="B136" s="1" t="s">
        <v>64</v>
      </c>
      <c r="C136" s="42" t="str">
        <f>VLOOKUP(B136,Validation!A:B,2,0)</f>
        <v>Americas</v>
      </c>
      <c r="D136" s="42" t="str">
        <f>VLOOKUP(B136,Validation!A:D,4,0)</f>
        <v>Tanu Arora</v>
      </c>
      <c r="E136" s="42" t="str">
        <f>VLOOKUP(B136,Validation!A:E,5,0)</f>
        <v>Michael Bermingham</v>
      </c>
      <c r="F136" s="42" t="s">
        <v>58</v>
      </c>
      <c r="G136" s="42">
        <f t="shared" si="85"/>
        <v>2026</v>
      </c>
      <c r="H136" s="42" t="s">
        <v>57</v>
      </c>
      <c r="I136" s="1" t="s">
        <v>177</v>
      </c>
      <c r="J136" s="66">
        <f>VLOOKUP(I136,'XE rates'!A:D,4,0)*K136</f>
        <v>3917.0888279198734</v>
      </c>
      <c r="K136" s="20">
        <v>5522.46</v>
      </c>
      <c r="L136" s="60">
        <v>46174</v>
      </c>
      <c r="M136" s="47" t="str">
        <f t="shared" si="86"/>
        <v>Jun</v>
      </c>
      <c r="N136" s="42">
        <f t="shared" ca="1" si="87"/>
        <v>15</v>
      </c>
      <c r="O136" s="42" t="str">
        <f t="shared" ca="1" si="88"/>
        <v>0-30 days</v>
      </c>
      <c r="P136" s="1" t="s">
        <v>93</v>
      </c>
      <c r="Q136" s="60">
        <v>46210</v>
      </c>
      <c r="R136" s="60">
        <v>46217</v>
      </c>
      <c r="S136" s="42" t="s">
        <v>94</v>
      </c>
      <c r="T136" s="1" t="s">
        <v>328</v>
      </c>
      <c r="U136" s="42" t="s">
        <v>96</v>
      </c>
      <c r="V136" s="42" t="s">
        <v>104</v>
      </c>
      <c r="W136" s="42" t="s">
        <v>61</v>
      </c>
      <c r="X136" s="1"/>
      <c r="Y136" s="7"/>
      <c r="Z136" s="7"/>
      <c r="AA136" s="7"/>
    </row>
    <row r="137" spans="1:27">
      <c r="A137" s="1" t="s">
        <v>56</v>
      </c>
      <c r="B137" s="1" t="s">
        <v>70</v>
      </c>
      <c r="C137" s="42" t="str">
        <f>VLOOKUP(B137,Validation!A:B,2,0)</f>
        <v>Americas</v>
      </c>
      <c r="D137" s="42" t="str">
        <f>VLOOKUP(B137,Validation!A:D,4,0)</f>
        <v>Tulio Lima</v>
      </c>
      <c r="E137" s="42" t="str">
        <f>VLOOKUP(B137,Validation!A:E,5,0)</f>
        <v>NA</v>
      </c>
      <c r="F137" s="42" t="s">
        <v>58</v>
      </c>
      <c r="G137" s="42">
        <f t="shared" si="85"/>
        <v>2026</v>
      </c>
      <c r="H137" s="42" t="s">
        <v>57</v>
      </c>
      <c r="I137" s="1" t="s">
        <v>92</v>
      </c>
      <c r="J137" s="66">
        <f>VLOOKUP(I137,'XE rates'!A:D,4,0)*K137</f>
        <v>180</v>
      </c>
      <c r="K137" s="20">
        <v>180</v>
      </c>
      <c r="L137" s="60">
        <v>46174</v>
      </c>
      <c r="M137" s="47" t="str">
        <f t="shared" si="86"/>
        <v>Jun</v>
      </c>
      <c r="N137" s="42">
        <f t="shared" ca="1" si="87"/>
        <v>21</v>
      </c>
      <c r="O137" s="42" t="str">
        <f t="shared" ca="1" si="88"/>
        <v>0-30 days</v>
      </c>
      <c r="P137" s="1" t="s">
        <v>93</v>
      </c>
      <c r="Q137" s="60">
        <v>46204</v>
      </c>
      <c r="R137" s="60">
        <v>46211</v>
      </c>
      <c r="S137" s="42" t="s">
        <v>94</v>
      </c>
      <c r="T137" s="1" t="s">
        <v>330</v>
      </c>
      <c r="U137" s="42" t="s">
        <v>96</v>
      </c>
      <c r="V137" s="42" t="s">
        <v>104</v>
      </c>
      <c r="W137" s="42" t="s">
        <v>61</v>
      </c>
      <c r="X137" s="1"/>
      <c r="Y137" s="7"/>
      <c r="Z137" s="7"/>
      <c r="AA137" s="7"/>
    </row>
    <row r="138" spans="1:27">
      <c r="A138" s="1" t="s">
        <v>56</v>
      </c>
      <c r="B138" s="1" t="s">
        <v>162</v>
      </c>
      <c r="C138" s="42" t="str">
        <f>VLOOKUP(B138,Validation!A:B,2,0)</f>
        <v>APAC</v>
      </c>
      <c r="D138" s="42" t="str">
        <f>VLOOKUP(B138,Validation!A:D,4,0)</f>
        <v>NA</v>
      </c>
      <c r="E138" s="42" t="str">
        <f>VLOOKUP(B138,Validation!A:E,5,0)</f>
        <v>Vinoth M</v>
      </c>
      <c r="F138" s="42" t="s">
        <v>58</v>
      </c>
      <c r="G138" s="42">
        <f t="shared" si="85"/>
        <v>2026</v>
      </c>
      <c r="H138" s="42" t="s">
        <v>57</v>
      </c>
      <c r="I138" s="1" t="s">
        <v>92</v>
      </c>
      <c r="J138" s="66">
        <f>VLOOKUP(I138,'XE rates'!A:D,4,0)*K138</f>
        <v>19248.97</v>
      </c>
      <c r="K138" s="20">
        <v>19248.97</v>
      </c>
      <c r="L138" s="60">
        <v>46174</v>
      </c>
      <c r="M138" s="47" t="str">
        <f t="shared" si="86"/>
        <v>Jun</v>
      </c>
      <c r="N138" s="42">
        <f t="shared" ca="1" si="87"/>
        <v>15</v>
      </c>
      <c r="O138" s="42" t="str">
        <f t="shared" ca="1" si="88"/>
        <v>0-30 days</v>
      </c>
      <c r="P138" s="1" t="s">
        <v>93</v>
      </c>
      <c r="Q138" s="60">
        <v>46210</v>
      </c>
      <c r="R138" s="60">
        <v>46217</v>
      </c>
      <c r="S138" s="42" t="s">
        <v>94</v>
      </c>
      <c r="T138" s="1" t="s">
        <v>331</v>
      </c>
      <c r="U138" s="42" t="s">
        <v>96</v>
      </c>
      <c r="V138" s="42" t="s">
        <v>104</v>
      </c>
      <c r="W138" s="42" t="s">
        <v>61</v>
      </c>
      <c r="X138" s="1"/>
      <c r="Y138" s="7"/>
      <c r="Z138" s="7"/>
      <c r="AA138" s="7"/>
    </row>
    <row r="139" spans="1:27">
      <c r="A139" s="1" t="s">
        <v>56</v>
      </c>
      <c r="B139" s="1" t="s">
        <v>237</v>
      </c>
      <c r="C139" s="42" t="str">
        <f>VLOOKUP(B139,Validation!A:B,2,0)</f>
        <v>Americas</v>
      </c>
      <c r="D139" s="42" t="str">
        <f>VLOOKUP(B139,Validation!A:D,4,0)</f>
        <v>Tulio Lima</v>
      </c>
      <c r="E139" s="42" t="str">
        <f>VLOOKUP(B139,Validation!A:E,5,0)</f>
        <v>Michael Bermingham</v>
      </c>
      <c r="F139" s="42" t="s">
        <v>58</v>
      </c>
      <c r="G139" s="42">
        <f t="shared" si="85"/>
        <v>2026</v>
      </c>
      <c r="H139" s="42" t="s">
        <v>57</v>
      </c>
      <c r="I139" s="1" t="s">
        <v>92</v>
      </c>
      <c r="J139" s="66">
        <f>VLOOKUP(I139,'XE rates'!A:D,4,0)*K139</f>
        <v>9839.1299999999901</v>
      </c>
      <c r="K139" s="20">
        <v>9839.1299999999901</v>
      </c>
      <c r="L139" s="60">
        <v>46174</v>
      </c>
      <c r="M139" s="47" t="str">
        <f t="shared" si="86"/>
        <v>Jun</v>
      </c>
      <c r="N139" s="42">
        <f t="shared" ca="1" si="87"/>
        <v>18</v>
      </c>
      <c r="O139" s="42" t="str">
        <f t="shared" ca="1" si="88"/>
        <v>0-30 days</v>
      </c>
      <c r="P139" s="1" t="s">
        <v>93</v>
      </c>
      <c r="Q139" s="60">
        <v>46207</v>
      </c>
      <c r="R139" s="60">
        <v>46214</v>
      </c>
      <c r="S139" s="42" t="s">
        <v>94</v>
      </c>
      <c r="T139" s="1" t="s">
        <v>332</v>
      </c>
      <c r="U139" s="42" t="s">
        <v>96</v>
      </c>
      <c r="V139" s="42" t="s">
        <v>104</v>
      </c>
      <c r="W139" s="42" t="s">
        <v>61</v>
      </c>
      <c r="X139" s="1"/>
      <c r="Y139" s="7"/>
      <c r="Z139" s="7"/>
      <c r="AA139" s="7"/>
    </row>
    <row r="140" spans="1:27">
      <c r="A140" s="1" t="s">
        <v>56</v>
      </c>
      <c r="B140" s="1" t="s">
        <v>333</v>
      </c>
      <c r="C140" s="42" t="str">
        <f>VLOOKUP(B140,Validation!A:B,2,0)</f>
        <v>APAC</v>
      </c>
      <c r="D140" s="42" t="str">
        <f>VLOOKUP(B140,Validation!A:D,4,0)</f>
        <v>NA</v>
      </c>
      <c r="E140" s="42" t="str">
        <f>VLOOKUP(B140,Validation!A:E,5,0)</f>
        <v>Vinoth M</v>
      </c>
      <c r="F140" s="42" t="s">
        <v>58</v>
      </c>
      <c r="G140" s="42">
        <f t="shared" si="85"/>
        <v>2026</v>
      </c>
      <c r="H140" s="42" t="s">
        <v>57</v>
      </c>
      <c r="I140" s="1" t="s">
        <v>92</v>
      </c>
      <c r="J140" s="66">
        <f>VLOOKUP(I140,'XE rates'!A:D,4,0)*K140</f>
        <v>10022.25</v>
      </c>
      <c r="K140" s="20">
        <v>10022.25</v>
      </c>
      <c r="L140" s="60">
        <v>46174</v>
      </c>
      <c r="M140" s="47" t="str">
        <f t="shared" si="86"/>
        <v>Jun</v>
      </c>
      <c r="N140" s="42">
        <f t="shared" ca="1" si="87"/>
        <v>18</v>
      </c>
      <c r="O140" s="42" t="str">
        <f t="shared" ca="1" si="88"/>
        <v>0-30 days</v>
      </c>
      <c r="P140" s="1" t="s">
        <v>93</v>
      </c>
      <c r="Q140" s="60">
        <v>46207</v>
      </c>
      <c r="R140" s="60">
        <v>46214</v>
      </c>
      <c r="S140" s="42" t="s">
        <v>94</v>
      </c>
      <c r="T140" s="1" t="s">
        <v>334</v>
      </c>
      <c r="U140" s="42" t="s">
        <v>96</v>
      </c>
      <c r="V140" s="42" t="s">
        <v>104</v>
      </c>
      <c r="W140" s="42" t="s">
        <v>61</v>
      </c>
      <c r="X140" s="1"/>
      <c r="Y140" s="7"/>
      <c r="Z140" s="7"/>
      <c r="AA140" s="7"/>
    </row>
    <row r="141" spans="1:27">
      <c r="A141" s="1" t="s">
        <v>56</v>
      </c>
      <c r="B141" s="1" t="s">
        <v>335</v>
      </c>
      <c r="C141" s="42" t="str">
        <f>VLOOKUP(B141,Validation!A:B,2,0)</f>
        <v>Americas</v>
      </c>
      <c r="D141" s="42" t="str">
        <f>VLOOKUP(B141,Validation!A:D,4,0)</f>
        <v>NA</v>
      </c>
      <c r="E141" s="42" t="str">
        <f>VLOOKUP(B141,Validation!A:E,5,0)</f>
        <v>Michael Minassian</v>
      </c>
      <c r="F141" s="42" t="s">
        <v>58</v>
      </c>
      <c r="G141" s="42">
        <f t="shared" si="85"/>
        <v>2026</v>
      </c>
      <c r="H141" s="42" t="s">
        <v>57</v>
      </c>
      <c r="I141" s="1" t="s">
        <v>92</v>
      </c>
      <c r="J141" s="66">
        <f>VLOOKUP(I141,'XE rates'!A:D,4,0)*K141</f>
        <v>20000</v>
      </c>
      <c r="K141" s="20">
        <v>20000</v>
      </c>
      <c r="L141" s="60">
        <v>46204</v>
      </c>
      <c r="M141" s="47" t="str">
        <f t="shared" si="86"/>
        <v>Jul</v>
      </c>
      <c r="N141" s="42">
        <f t="shared" ca="1" si="87"/>
        <v>13</v>
      </c>
      <c r="O141" s="42" t="str">
        <f t="shared" ca="1" si="88"/>
        <v>0-30 days</v>
      </c>
      <c r="P141" s="1" t="s">
        <v>220</v>
      </c>
      <c r="Q141" s="60">
        <v>46212</v>
      </c>
      <c r="R141" s="60">
        <v>46219</v>
      </c>
      <c r="S141" s="42" t="s">
        <v>94</v>
      </c>
      <c r="T141" s="1" t="s">
        <v>336</v>
      </c>
      <c r="U141" s="42" t="s">
        <v>96</v>
      </c>
      <c r="V141" s="42" t="s">
        <v>104</v>
      </c>
      <c r="W141" s="42" t="s">
        <v>61</v>
      </c>
      <c r="X141" s="1"/>
      <c r="Y141" s="7"/>
      <c r="Z141" s="7"/>
      <c r="AA141" s="7"/>
    </row>
    <row r="142" spans="1:27">
      <c r="A142" s="1" t="s">
        <v>56</v>
      </c>
      <c r="B142" s="1" t="s">
        <v>240</v>
      </c>
      <c r="C142" s="42" t="str">
        <f>VLOOKUP(B142,Validation!A:B,2,0)</f>
        <v>APAC</v>
      </c>
      <c r="D142" s="42" t="str">
        <f>VLOOKUP(B142,Validation!A:D,4,0)</f>
        <v>NA</v>
      </c>
      <c r="E142" s="42" t="str">
        <f>VLOOKUP(B142,Validation!A:E,5,0)</f>
        <v>Edward Li</v>
      </c>
      <c r="F142" s="42" t="s">
        <v>58</v>
      </c>
      <c r="G142" s="42">
        <f t="shared" si="85"/>
        <v>2026</v>
      </c>
      <c r="H142" s="42" t="s">
        <v>57</v>
      </c>
      <c r="I142" s="1" t="s">
        <v>92</v>
      </c>
      <c r="J142" s="66">
        <f>VLOOKUP(I142,'XE rates'!A:D,4,0)*K142</f>
        <v>587</v>
      </c>
      <c r="K142" s="20">
        <v>587</v>
      </c>
      <c r="L142" s="60">
        <v>46174</v>
      </c>
      <c r="M142" s="47" t="str">
        <f t="shared" si="86"/>
        <v>Jun</v>
      </c>
      <c r="N142" s="42">
        <f t="shared" ca="1" si="87"/>
        <v>16</v>
      </c>
      <c r="O142" s="42" t="str">
        <f t="shared" ca="1" si="88"/>
        <v>0-30 days</v>
      </c>
      <c r="P142" s="1" t="s">
        <v>93</v>
      </c>
      <c r="Q142" s="60">
        <v>46209</v>
      </c>
      <c r="R142" s="60">
        <v>46216</v>
      </c>
      <c r="S142" s="42" t="s">
        <v>94</v>
      </c>
      <c r="T142" s="1" t="s">
        <v>337</v>
      </c>
      <c r="U142" s="42" t="s">
        <v>96</v>
      </c>
      <c r="V142" s="42" t="s">
        <v>104</v>
      </c>
      <c r="W142" s="42" t="s">
        <v>61</v>
      </c>
      <c r="X142" s="1"/>
      <c r="Y142" s="7"/>
      <c r="Z142" s="7"/>
      <c r="AA142" s="7"/>
    </row>
    <row r="143" spans="1:27">
      <c r="A143" s="1" t="s">
        <v>56</v>
      </c>
      <c r="B143" s="1" t="s">
        <v>181</v>
      </c>
      <c r="C143" s="42" t="str">
        <f>VLOOKUP(B143,Validation!A:B,2,0)</f>
        <v>EU/UK</v>
      </c>
      <c r="D143" s="42" t="str">
        <f>VLOOKUP(B143,Validation!A:D,4,0)</f>
        <v xml:space="preserve">Will Turner </v>
      </c>
      <c r="E143" s="42" t="str">
        <f>VLOOKUP(B143,Validation!A:E,5,0)</f>
        <v>Danny May</v>
      </c>
      <c r="F143" s="42" t="s">
        <v>58</v>
      </c>
      <c r="G143" s="42">
        <f t="shared" si="85"/>
        <v>2026</v>
      </c>
      <c r="H143" s="42" t="s">
        <v>57</v>
      </c>
      <c r="I143" s="1" t="s">
        <v>182</v>
      </c>
      <c r="J143" s="66">
        <f>VLOOKUP(I143,'XE rates'!A:D,4,0)*K143</f>
        <v>4757.3659108574539</v>
      </c>
      <c r="K143" s="20">
        <v>3557.6</v>
      </c>
      <c r="L143" s="60">
        <v>46174</v>
      </c>
      <c r="M143" s="47" t="str">
        <f t="shared" si="86"/>
        <v>Jun</v>
      </c>
      <c r="N143" s="42">
        <f t="shared" ca="1" si="87"/>
        <v>12</v>
      </c>
      <c r="O143" s="42" t="str">
        <f t="shared" ca="1" si="88"/>
        <v>0-30 days</v>
      </c>
      <c r="P143" s="1" t="s">
        <v>93</v>
      </c>
      <c r="Q143" s="60">
        <v>46206</v>
      </c>
      <c r="R143" s="60">
        <v>46220</v>
      </c>
      <c r="S143" s="42" t="s">
        <v>94</v>
      </c>
      <c r="T143" s="1" t="s">
        <v>339</v>
      </c>
      <c r="U143" s="42" t="s">
        <v>96</v>
      </c>
      <c r="V143" s="42" t="s">
        <v>104</v>
      </c>
      <c r="W143" s="42" t="s">
        <v>61</v>
      </c>
      <c r="X143" s="1"/>
      <c r="Y143" s="7"/>
      <c r="Z143" s="7"/>
      <c r="AA143" s="7"/>
    </row>
    <row r="144" spans="1:27">
      <c r="A144" s="1" t="s">
        <v>56</v>
      </c>
      <c r="B144" s="1" t="s">
        <v>243</v>
      </c>
      <c r="C144" s="42" t="str">
        <f>VLOOKUP(B144,Validation!A:B,2,0)</f>
        <v>Shared Center</v>
      </c>
      <c r="D144" s="42" t="str">
        <f>VLOOKUP(B144,Validation!A:D,4,0)</f>
        <v>Sakshi Shanbhag</v>
      </c>
      <c r="E144" s="42" t="str">
        <f>VLOOKUP(B144,Validation!A:E,5,0)</f>
        <v>Michael Bermingham</v>
      </c>
      <c r="F144" s="42" t="s">
        <v>58</v>
      </c>
      <c r="G144" s="42">
        <f t="shared" si="85"/>
        <v>2026</v>
      </c>
      <c r="H144" s="42" t="s">
        <v>57</v>
      </c>
      <c r="I144" s="1" t="s">
        <v>92</v>
      </c>
      <c r="J144" s="66">
        <f>VLOOKUP(I144,'XE rates'!A:D,4,0)*K144</f>
        <v>2000.67</v>
      </c>
      <c r="K144" s="20">
        <v>2000.67</v>
      </c>
      <c r="L144" s="60">
        <v>46174</v>
      </c>
      <c r="M144" s="47" t="str">
        <f t="shared" si="86"/>
        <v>Jun</v>
      </c>
      <c r="N144" s="42">
        <f t="shared" ca="1" si="87"/>
        <v>20</v>
      </c>
      <c r="O144" s="42" t="str">
        <f t="shared" ca="1" si="88"/>
        <v>0-30 days</v>
      </c>
      <c r="P144" s="1" t="s">
        <v>93</v>
      </c>
      <c r="Q144" s="60">
        <v>46205</v>
      </c>
      <c r="R144" s="60">
        <v>46212</v>
      </c>
      <c r="S144" s="42" t="s">
        <v>94</v>
      </c>
      <c r="T144" s="1" t="s">
        <v>340</v>
      </c>
      <c r="U144" s="42" t="s">
        <v>96</v>
      </c>
      <c r="V144" s="42" t="s">
        <v>104</v>
      </c>
      <c r="W144" s="42" t="s">
        <v>61</v>
      </c>
      <c r="X144" s="1"/>
      <c r="Y144" s="7"/>
      <c r="Z144" s="7"/>
      <c r="AA144" s="7"/>
    </row>
    <row r="145" spans="1:27">
      <c r="A145" s="1" t="s">
        <v>56</v>
      </c>
      <c r="B145" s="1" t="s">
        <v>341</v>
      </c>
      <c r="C145" s="42" t="str">
        <f>VLOOKUP(B145,Validation!A:B,2,0)</f>
        <v>Americas</v>
      </c>
      <c r="D145" s="42" t="str">
        <f>VLOOKUP(B145,Validation!A:D,4,0)</f>
        <v>NA</v>
      </c>
      <c r="E145" s="42" t="str">
        <f>VLOOKUP(B145,Validation!A:E,5,0)</f>
        <v>Michael Bermingham</v>
      </c>
      <c r="F145" s="42" t="s">
        <v>58</v>
      </c>
      <c r="G145" s="42">
        <f t="shared" si="85"/>
        <v>2026</v>
      </c>
      <c r="H145" s="42" t="s">
        <v>57</v>
      </c>
      <c r="I145" s="1" t="s">
        <v>92</v>
      </c>
      <c r="J145" s="66">
        <f>VLOOKUP(I145,'XE rates'!A:D,4,0)*K145</f>
        <v>48.1</v>
      </c>
      <c r="K145" s="20">
        <v>48.1</v>
      </c>
      <c r="L145" s="60">
        <v>46174</v>
      </c>
      <c r="M145" s="47" t="str">
        <f t="shared" si="86"/>
        <v>Jun</v>
      </c>
      <c r="N145" s="42">
        <f t="shared" ca="1" si="87"/>
        <v>-4</v>
      </c>
      <c r="O145" s="42" t="str">
        <f t="shared" ca="1" si="88"/>
        <v>0-30 days</v>
      </c>
      <c r="P145" s="1" t="s">
        <v>93</v>
      </c>
      <c r="Q145" s="60">
        <v>46206</v>
      </c>
      <c r="R145" s="60">
        <v>46236</v>
      </c>
      <c r="S145" s="42" t="s">
        <v>253</v>
      </c>
      <c r="T145" s="1" t="s">
        <v>342</v>
      </c>
      <c r="U145" s="42" t="s">
        <v>96</v>
      </c>
      <c r="V145" s="42" t="s">
        <v>104</v>
      </c>
      <c r="W145" s="42" t="s">
        <v>61</v>
      </c>
      <c r="X145" s="1"/>
      <c r="Y145" s="7"/>
      <c r="Z145" s="7"/>
      <c r="AA145" s="7"/>
    </row>
    <row r="146" spans="1:27">
      <c r="A146" s="1" t="s">
        <v>56</v>
      </c>
      <c r="B146" s="1" t="s">
        <v>200</v>
      </c>
      <c r="C146" s="42" t="str">
        <f>VLOOKUP(B146,Validation!A:B,2,0)</f>
        <v>APAC</v>
      </c>
      <c r="D146" s="42" t="str">
        <f>VLOOKUP(B146,Validation!A:D,4,0)</f>
        <v>NA</v>
      </c>
      <c r="E146" s="42" t="str">
        <f>VLOOKUP(B146,Validation!A:E,5,0)</f>
        <v>Lisa Sung</v>
      </c>
      <c r="F146" s="42" t="s">
        <v>58</v>
      </c>
      <c r="G146" s="42">
        <f t="shared" si="85"/>
        <v>2026</v>
      </c>
      <c r="H146" s="42" t="s">
        <v>57</v>
      </c>
      <c r="I146" s="1" t="s">
        <v>92</v>
      </c>
      <c r="J146" s="66">
        <f>VLOOKUP(I146,'XE rates'!A:D,4,0)*K146</f>
        <v>15050</v>
      </c>
      <c r="K146" s="20">
        <v>15050</v>
      </c>
      <c r="L146" s="60">
        <v>46174</v>
      </c>
      <c r="M146" s="47" t="str">
        <f t="shared" si="86"/>
        <v>Jun</v>
      </c>
      <c r="N146" s="42">
        <f t="shared" ca="1" si="87"/>
        <v>20</v>
      </c>
      <c r="O146" s="42" t="str">
        <f t="shared" ca="1" si="88"/>
        <v>0-30 days</v>
      </c>
      <c r="P146" s="1" t="s">
        <v>93</v>
      </c>
      <c r="Q146" s="60">
        <v>46205</v>
      </c>
      <c r="R146" s="60">
        <v>46212</v>
      </c>
      <c r="S146" s="42" t="s">
        <v>94</v>
      </c>
      <c r="T146" s="1" t="s">
        <v>344</v>
      </c>
      <c r="U146" s="42" t="s">
        <v>96</v>
      </c>
      <c r="V146" s="42" t="s">
        <v>104</v>
      </c>
      <c r="W146" s="42" t="s">
        <v>61</v>
      </c>
      <c r="X146" s="1"/>
      <c r="Y146" s="7"/>
      <c r="Z146" s="7"/>
      <c r="AA146" s="7"/>
    </row>
    <row r="147" spans="1:27">
      <c r="A147" s="1" t="s">
        <v>56</v>
      </c>
      <c r="B147" s="1" t="s">
        <v>346</v>
      </c>
      <c r="C147" s="42" t="str">
        <f>VLOOKUP(B147,Validation!A:B,2,0)</f>
        <v>Americas</v>
      </c>
      <c r="D147" s="42" t="str">
        <f>VLOOKUP(B147,Validation!A:D,4,0)</f>
        <v>Tulio Lima</v>
      </c>
      <c r="E147" s="42" t="str">
        <f>VLOOKUP(B147,Validation!A:E,5,0)</f>
        <v>Tyler Reed</v>
      </c>
      <c r="F147" s="42" t="s">
        <v>58</v>
      </c>
      <c r="G147" s="42">
        <f t="shared" si="85"/>
        <v>2026</v>
      </c>
      <c r="H147" s="42" t="s">
        <v>57</v>
      </c>
      <c r="I147" s="1" t="s">
        <v>92</v>
      </c>
      <c r="J147" s="66">
        <f>VLOOKUP(I147,'XE rates'!A:D,4,0)*K147</f>
        <v>18670.63638</v>
      </c>
      <c r="K147" s="20">
        <v>18670.63638</v>
      </c>
      <c r="L147" s="60">
        <v>46174</v>
      </c>
      <c r="M147" s="47" t="str">
        <f t="shared" si="86"/>
        <v>Jun</v>
      </c>
      <c r="N147" s="42">
        <f t="shared" ca="1" si="87"/>
        <v>19</v>
      </c>
      <c r="O147" s="42" t="str">
        <f t="shared" ca="1" si="88"/>
        <v>0-30 days</v>
      </c>
      <c r="P147" s="1" t="s">
        <v>93</v>
      </c>
      <c r="Q147" s="60">
        <v>46206</v>
      </c>
      <c r="R147" s="60">
        <v>46213</v>
      </c>
      <c r="S147" s="42" t="s">
        <v>94</v>
      </c>
      <c r="T147" s="1" t="s">
        <v>347</v>
      </c>
      <c r="U147" s="42" t="s">
        <v>96</v>
      </c>
      <c r="V147" s="42" t="s">
        <v>104</v>
      </c>
      <c r="W147" s="42" t="s">
        <v>61</v>
      </c>
      <c r="X147" s="1"/>
      <c r="Y147" s="7"/>
      <c r="Z147" s="7"/>
      <c r="AA147" s="7"/>
    </row>
    <row r="148" spans="1:27">
      <c r="A148" s="1" t="s">
        <v>56</v>
      </c>
      <c r="B148" s="1" t="s">
        <v>348</v>
      </c>
      <c r="C148" s="42" t="str">
        <f>VLOOKUP(B148,Validation!A:B,2,0)</f>
        <v>APAC</v>
      </c>
      <c r="D148" s="42" t="str">
        <f>VLOOKUP(B148,Validation!A:D,4,0)</f>
        <v>NA</v>
      </c>
      <c r="E148" s="42" t="str">
        <f>VLOOKUP(B148,Validation!A:E,5,0)</f>
        <v>Lisa Sung</v>
      </c>
      <c r="F148" s="42" t="s">
        <v>58</v>
      </c>
      <c r="G148" s="42">
        <f t="shared" si="85"/>
        <v>2026</v>
      </c>
      <c r="H148" s="42" t="s">
        <v>57</v>
      </c>
      <c r="I148" s="1" t="s">
        <v>92</v>
      </c>
      <c r="J148" s="66">
        <f>VLOOKUP(I148,'XE rates'!A:D,4,0)*K148</f>
        <v>25667.655999999999</v>
      </c>
      <c r="K148" s="20">
        <v>25667.655999999999</v>
      </c>
      <c r="L148" s="60">
        <v>46174</v>
      </c>
      <c r="M148" s="47" t="str">
        <f t="shared" si="86"/>
        <v>Jun</v>
      </c>
      <c r="N148" s="42">
        <f t="shared" ca="1" si="87"/>
        <v>-4</v>
      </c>
      <c r="O148" s="42" t="str">
        <f t="shared" ca="1" si="88"/>
        <v>0-30 days</v>
      </c>
      <c r="P148" s="1" t="s">
        <v>93</v>
      </c>
      <c r="Q148" s="60">
        <v>46206</v>
      </c>
      <c r="R148" s="60">
        <v>46236</v>
      </c>
      <c r="S148" s="42" t="s">
        <v>253</v>
      </c>
      <c r="T148" s="1" t="s">
        <v>349</v>
      </c>
      <c r="U148" s="42" t="s">
        <v>96</v>
      </c>
      <c r="V148" s="42" t="s">
        <v>104</v>
      </c>
      <c r="W148" s="42" t="s">
        <v>61</v>
      </c>
      <c r="X148" s="1"/>
      <c r="Y148" s="7"/>
      <c r="Z148" s="7"/>
      <c r="AA148" s="7"/>
    </row>
    <row r="149" spans="1:27">
      <c r="A149" s="1" t="s">
        <v>56</v>
      </c>
      <c r="B149" s="1" t="s">
        <v>282</v>
      </c>
      <c r="C149" s="42" t="str">
        <f>VLOOKUP(B149,Validation!A:B,2,0)</f>
        <v>APAC</v>
      </c>
      <c r="D149" s="1" t="s">
        <v>767</v>
      </c>
      <c r="E149" s="1"/>
      <c r="F149" s="42" t="s">
        <v>58</v>
      </c>
      <c r="G149" s="42">
        <f t="shared" ref="G149:G155" si="89">YEAR(L149)</f>
        <v>2026</v>
      </c>
      <c r="H149" s="42" t="s">
        <v>57</v>
      </c>
      <c r="I149" s="1" t="s">
        <v>92</v>
      </c>
      <c r="J149" s="66">
        <f>VLOOKUP(I149,'XE rates'!A:D,4,0)*K149</f>
        <v>58336.26</v>
      </c>
      <c r="K149" s="59">
        <v>58336.26</v>
      </c>
      <c r="L149" s="60">
        <v>46204</v>
      </c>
      <c r="M149" s="47" t="str">
        <f t="shared" si="86"/>
        <v>Jul</v>
      </c>
      <c r="N149" s="42">
        <f t="shared" ca="1" si="87"/>
        <v>-6</v>
      </c>
      <c r="O149" s="42" t="str">
        <f t="shared" ca="1" si="88"/>
        <v>0-30 days</v>
      </c>
      <c r="P149" s="41" t="s">
        <v>246</v>
      </c>
      <c r="Q149" s="60">
        <v>46231</v>
      </c>
      <c r="R149" s="60">
        <v>46238</v>
      </c>
      <c r="S149" s="1" t="s">
        <v>253</v>
      </c>
      <c r="T149" s="1" t="s">
        <v>1272</v>
      </c>
      <c r="U149" s="42" t="s">
        <v>96</v>
      </c>
      <c r="V149" s="42" t="s">
        <v>104</v>
      </c>
      <c r="W149" s="42" t="s">
        <v>61</v>
      </c>
      <c r="X149" s="41"/>
    </row>
    <row r="150" spans="1:27">
      <c r="A150" s="1" t="s">
        <v>56</v>
      </c>
      <c r="B150" s="1" t="s">
        <v>26</v>
      </c>
      <c r="C150" s="42" t="str">
        <f>VLOOKUP(B150,Validation!A:B,2,0)</f>
        <v>APAC</v>
      </c>
      <c r="D150" s="1" t="s">
        <v>27</v>
      </c>
      <c r="E150" s="1"/>
      <c r="F150" s="42" t="s">
        <v>58</v>
      </c>
      <c r="G150" s="42">
        <f t="shared" si="89"/>
        <v>2026</v>
      </c>
      <c r="H150" s="42" t="s">
        <v>57</v>
      </c>
      <c r="I150" s="1" t="s">
        <v>202</v>
      </c>
      <c r="J150" s="66">
        <f>VLOOKUP(I150,'XE rates'!A:D,4,0)*K150</f>
        <v>427462.251714101</v>
      </c>
      <c r="K150" s="59">
        <v>552166.08510000003</v>
      </c>
      <c r="L150" s="60">
        <v>46204</v>
      </c>
      <c r="M150" s="47" t="str">
        <f t="shared" si="86"/>
        <v>Jul</v>
      </c>
      <c r="N150" s="42">
        <f t="shared" ca="1" si="87"/>
        <v>1</v>
      </c>
      <c r="O150" s="42" t="str">
        <f t="shared" ca="1" si="88"/>
        <v>0-30 days</v>
      </c>
      <c r="P150" s="41" t="s">
        <v>246</v>
      </c>
      <c r="Q150" s="60">
        <v>46224</v>
      </c>
      <c r="R150" s="60">
        <v>46231</v>
      </c>
      <c r="S150" s="1" t="s">
        <v>94</v>
      </c>
      <c r="T150" s="1" t="s">
        <v>1273</v>
      </c>
      <c r="U150" s="42" t="s">
        <v>96</v>
      </c>
      <c r="V150" s="42" t="s">
        <v>104</v>
      </c>
      <c r="W150" s="42" t="s">
        <v>61</v>
      </c>
      <c r="X150" s="41"/>
    </row>
    <row r="151" spans="1:27">
      <c r="A151" s="1" t="s">
        <v>56</v>
      </c>
      <c r="B151" s="1" t="s">
        <v>117</v>
      </c>
      <c r="C151" s="42" t="str">
        <f>VLOOKUP(B151,Validation!A:B,2,0)</f>
        <v>APAC</v>
      </c>
      <c r="D151" s="1" t="s">
        <v>727</v>
      </c>
      <c r="E151" s="1"/>
      <c r="F151" s="42" t="s">
        <v>58</v>
      </c>
      <c r="G151" s="42">
        <f t="shared" si="89"/>
        <v>2026</v>
      </c>
      <c r="H151" s="42" t="s">
        <v>57</v>
      </c>
      <c r="I151" s="1" t="s">
        <v>107</v>
      </c>
      <c r="J151" s="66">
        <f>VLOOKUP(I151,'XE rates'!A:D,4,0)*K151</f>
        <v>175702.70805679227</v>
      </c>
      <c r="K151" s="59">
        <v>250733.26574999999</v>
      </c>
      <c r="L151" s="60">
        <v>46204</v>
      </c>
      <c r="M151" s="47" t="str">
        <f t="shared" si="86"/>
        <v>Jul</v>
      </c>
      <c r="N151" s="42">
        <f t="shared" ca="1" si="87"/>
        <v>-6</v>
      </c>
      <c r="O151" s="42" t="str">
        <f t="shared" ca="1" si="88"/>
        <v>0-30 days</v>
      </c>
      <c r="P151" s="41" t="s">
        <v>246</v>
      </c>
      <c r="Q151" s="60">
        <v>46231</v>
      </c>
      <c r="R151" s="60">
        <v>46238</v>
      </c>
      <c r="S151" s="1" t="s">
        <v>253</v>
      </c>
      <c r="T151" s="1" t="s">
        <v>1274</v>
      </c>
      <c r="U151" s="42" t="s">
        <v>96</v>
      </c>
      <c r="V151" s="42" t="s">
        <v>104</v>
      </c>
      <c r="W151" s="42" t="s">
        <v>61</v>
      </c>
      <c r="X151" s="41"/>
    </row>
    <row r="152" spans="1:27">
      <c r="A152" s="1" t="s">
        <v>56</v>
      </c>
      <c r="B152" s="1" t="s">
        <v>75</v>
      </c>
      <c r="C152" s="42" t="str">
        <f>VLOOKUP(B152,Validation!A:B,2,0)</f>
        <v>Shared Center</v>
      </c>
      <c r="D152" s="1" t="s">
        <v>729</v>
      </c>
      <c r="E152" s="1"/>
      <c r="F152" s="42" t="s">
        <v>58</v>
      </c>
      <c r="G152" s="42">
        <f t="shared" si="89"/>
        <v>2026</v>
      </c>
      <c r="H152" s="42" t="s">
        <v>57</v>
      </c>
      <c r="I152" s="1" t="s">
        <v>202</v>
      </c>
      <c r="J152" s="66">
        <f>VLOOKUP(I152,'XE rates'!A:D,4,0)*K152</f>
        <v>27238.805904363184</v>
      </c>
      <c r="K152" s="59">
        <v>35185.199999999997</v>
      </c>
      <c r="L152" s="60">
        <v>46204</v>
      </c>
      <c r="M152" s="47" t="str">
        <f t="shared" si="86"/>
        <v>Jul</v>
      </c>
      <c r="N152" s="42">
        <f t="shared" ca="1" si="87"/>
        <v>-6</v>
      </c>
      <c r="O152" s="42" t="str">
        <f t="shared" ca="1" si="88"/>
        <v>0-30 days</v>
      </c>
      <c r="P152" s="41" t="s">
        <v>1281</v>
      </c>
      <c r="Q152" s="60">
        <v>46231</v>
      </c>
      <c r="R152" s="60">
        <v>46238</v>
      </c>
      <c r="S152" s="1" t="s">
        <v>253</v>
      </c>
      <c r="T152" s="1" t="s">
        <v>1275</v>
      </c>
      <c r="U152" s="42" t="s">
        <v>96</v>
      </c>
      <c r="V152" s="42" t="s">
        <v>104</v>
      </c>
      <c r="W152" s="42" t="s">
        <v>61</v>
      </c>
      <c r="X152" s="41"/>
    </row>
    <row r="153" spans="1:27">
      <c r="A153" s="1" t="s">
        <v>56</v>
      </c>
      <c r="B153" s="1" t="s">
        <v>1279</v>
      </c>
      <c r="C153" s="1" t="s">
        <v>12</v>
      </c>
      <c r="D153" s="1" t="s">
        <v>34</v>
      </c>
      <c r="E153" s="1" t="s">
        <v>1280</v>
      </c>
      <c r="F153" s="42" t="s">
        <v>58</v>
      </c>
      <c r="G153" s="42">
        <f t="shared" si="89"/>
        <v>2026</v>
      </c>
      <c r="H153" s="42" t="s">
        <v>57</v>
      </c>
      <c r="I153" s="1" t="s">
        <v>92</v>
      </c>
      <c r="J153" s="66">
        <f>VLOOKUP(I153,'XE rates'!A:D,4,0)*K153</f>
        <v>1500</v>
      </c>
      <c r="K153" s="59">
        <v>1500</v>
      </c>
      <c r="L153" s="60">
        <v>46204</v>
      </c>
      <c r="M153" s="47" t="str">
        <f t="shared" si="86"/>
        <v>Jul</v>
      </c>
      <c r="N153" s="42">
        <f t="shared" ca="1" si="87"/>
        <v>-5</v>
      </c>
      <c r="O153" s="42" t="str">
        <f t="shared" ca="1" si="88"/>
        <v>0-30 days</v>
      </c>
      <c r="P153" s="41" t="s">
        <v>1282</v>
      </c>
      <c r="Q153" s="60">
        <v>46230</v>
      </c>
      <c r="R153" s="60">
        <v>46237</v>
      </c>
      <c r="S153" s="1" t="s">
        <v>253</v>
      </c>
      <c r="T153" s="1" t="s">
        <v>1276</v>
      </c>
      <c r="U153" s="42" t="s">
        <v>96</v>
      </c>
      <c r="V153" s="42" t="s">
        <v>104</v>
      </c>
      <c r="W153" s="42" t="s">
        <v>61</v>
      </c>
      <c r="X153" s="41"/>
    </row>
    <row r="154" spans="1:27">
      <c r="A154" s="1" t="s">
        <v>56</v>
      </c>
      <c r="B154" s="1" t="s">
        <v>343</v>
      </c>
      <c r="C154" s="42" t="str">
        <f>VLOOKUP(B154,Validation!A:B,2,0)</f>
        <v>APAC</v>
      </c>
      <c r="D154" s="1" t="s">
        <v>358</v>
      </c>
      <c r="E154" s="1"/>
      <c r="F154" s="42" t="s">
        <v>58</v>
      </c>
      <c r="G154" s="42">
        <f t="shared" si="89"/>
        <v>2026</v>
      </c>
      <c r="H154" s="42" t="s">
        <v>57</v>
      </c>
      <c r="I154" s="1" t="s">
        <v>92</v>
      </c>
      <c r="J154" s="66">
        <f>VLOOKUP(I154,'XE rates'!A:D,4,0)*K154</f>
        <v>-106493</v>
      </c>
      <c r="K154" s="59">
        <v>-106493</v>
      </c>
      <c r="L154" s="60">
        <v>46204</v>
      </c>
      <c r="M154" s="47" t="str">
        <f t="shared" si="86"/>
        <v>Jul</v>
      </c>
      <c r="N154" s="42">
        <f t="shared" ca="1" si="87"/>
        <v>-1</v>
      </c>
      <c r="O154" s="42" t="str">
        <f t="shared" ca="1" si="88"/>
        <v>0-30 days</v>
      </c>
      <c r="P154" s="41" t="s">
        <v>1283</v>
      </c>
      <c r="Q154" s="60">
        <v>46226</v>
      </c>
      <c r="R154" s="60">
        <v>46233</v>
      </c>
      <c r="S154" s="1" t="s">
        <v>108</v>
      </c>
      <c r="T154" s="1" t="s">
        <v>1277</v>
      </c>
      <c r="U154" s="42" t="s">
        <v>96</v>
      </c>
      <c r="V154" s="42" t="s">
        <v>104</v>
      </c>
      <c r="W154" s="42" t="s">
        <v>61</v>
      </c>
      <c r="X154" s="41"/>
    </row>
    <row r="155" spans="1:27">
      <c r="A155" s="1" t="s">
        <v>56</v>
      </c>
      <c r="B155" s="1" t="s">
        <v>995</v>
      </c>
      <c r="C155" s="42" t="str">
        <f>VLOOKUP(B155,Validation!A:B,2,0)</f>
        <v>APAC</v>
      </c>
      <c r="D155" s="1" t="s">
        <v>727</v>
      </c>
      <c r="E155" s="1"/>
      <c r="F155" s="42" t="s">
        <v>58</v>
      </c>
      <c r="G155" s="42">
        <f t="shared" si="89"/>
        <v>2026</v>
      </c>
      <c r="H155" s="42" t="s">
        <v>57</v>
      </c>
      <c r="I155" s="1" t="s">
        <v>378</v>
      </c>
      <c r="J155" s="66">
        <f>VLOOKUP(I155,'XE rates'!A:D,4,0)*K155</f>
        <v>-647.30028485817638</v>
      </c>
      <c r="K155" s="59">
        <v>-1110.06</v>
      </c>
      <c r="L155" s="60">
        <v>46204</v>
      </c>
      <c r="M155" s="47" t="str">
        <f t="shared" si="86"/>
        <v>Jul</v>
      </c>
      <c r="N155" s="42">
        <f t="shared" ca="1" si="87"/>
        <v>1</v>
      </c>
      <c r="O155" s="42" t="str">
        <f t="shared" ca="1" si="88"/>
        <v>0-30 days</v>
      </c>
      <c r="P155" s="41" t="s">
        <v>252</v>
      </c>
      <c r="Q155" s="60">
        <v>46224</v>
      </c>
      <c r="R155" s="60">
        <v>46231</v>
      </c>
      <c r="S155" s="1" t="s">
        <v>94</v>
      </c>
      <c r="T155" s="1" t="s">
        <v>1278</v>
      </c>
      <c r="U155" s="42" t="s">
        <v>96</v>
      </c>
      <c r="V155" s="42" t="s">
        <v>104</v>
      </c>
      <c r="W155" s="42" t="s">
        <v>61</v>
      </c>
      <c r="X155" s="41"/>
    </row>
  </sheetData>
  <conditionalFormatting sqref="T1:T1048576">
    <cfRule type="duplicateValues" dxfId="2"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10"/>
  <sheetViews>
    <sheetView topLeftCell="B1" zoomScale="85" zoomScaleNormal="85" workbookViewId="0">
      <selection activeCell="C1" sqref="C1"/>
    </sheetView>
  </sheetViews>
  <sheetFormatPr defaultRowHeight="14.4"/>
  <cols>
    <col min="1" max="1" width="8.88671875" bestFit="1" customWidth="1"/>
    <col min="2" max="2" width="27.44140625" bestFit="1" customWidth="1"/>
    <col min="3" max="3" width="15.33203125" customWidth="1"/>
    <col min="4" max="4" width="21.44140625" customWidth="1"/>
    <col min="5" max="5" width="18.109375" customWidth="1"/>
    <col min="6" max="6" width="14.6640625" bestFit="1" customWidth="1"/>
    <col min="7" max="7" width="10.88671875" bestFit="1" customWidth="1"/>
    <col min="8" max="8" width="14.44140625" customWidth="1"/>
    <col min="9" max="9" width="13.88671875" bestFit="1" customWidth="1"/>
    <col min="10" max="10" width="11" bestFit="1" customWidth="1"/>
    <col min="11" max="11" width="14.6640625" style="7" customWidth="1"/>
    <col min="12" max="12" width="13.109375" style="10" bestFit="1" customWidth="1"/>
    <col min="13" max="13" width="12.44140625" bestFit="1" customWidth="1"/>
    <col min="14" max="14" width="11" customWidth="1"/>
    <col min="15" max="15" width="8.109375" customWidth="1"/>
    <col min="16" max="16" width="13.109375" bestFit="1" customWidth="1"/>
    <col min="17" max="17" width="14.109375" bestFit="1" customWidth="1"/>
    <col min="18" max="18" width="18.44140625" customWidth="1"/>
    <col min="19" max="19" width="25.44140625" customWidth="1"/>
    <col min="20" max="20" width="21.5546875" customWidth="1"/>
    <col min="21" max="21" width="25.88671875" bestFit="1" customWidth="1"/>
    <col min="22" max="22" width="12.33203125" bestFit="1" customWidth="1"/>
    <col min="23" max="23" width="41.33203125" customWidth="1"/>
    <col min="24" max="24" width="46.88671875" customWidth="1"/>
  </cols>
  <sheetData>
    <row r="1" spans="1:25">
      <c r="A1" s="43" t="s">
        <v>40</v>
      </c>
      <c r="B1" s="43" t="s">
        <v>19</v>
      </c>
      <c r="C1" s="43" t="s">
        <v>15</v>
      </c>
      <c r="D1" s="43" t="s">
        <v>20</v>
      </c>
      <c r="E1" s="43" t="s">
        <v>21</v>
      </c>
      <c r="F1" s="43" t="s">
        <v>42</v>
      </c>
      <c r="G1" s="43" t="s">
        <v>44</v>
      </c>
      <c r="H1" s="43" t="s">
        <v>41</v>
      </c>
      <c r="I1" s="43" t="s">
        <v>77</v>
      </c>
      <c r="J1" s="62" t="s">
        <v>78</v>
      </c>
      <c r="K1" s="62" t="s">
        <v>79</v>
      </c>
      <c r="L1" s="44" t="s">
        <v>80</v>
      </c>
      <c r="M1" s="45" t="s">
        <v>39</v>
      </c>
      <c r="N1" s="43" t="s">
        <v>81</v>
      </c>
      <c r="O1" s="43" t="s">
        <v>82</v>
      </c>
      <c r="P1" s="43" t="s">
        <v>83</v>
      </c>
      <c r="Q1" s="44" t="s">
        <v>84</v>
      </c>
      <c r="R1" s="44" t="s">
        <v>85</v>
      </c>
      <c r="S1" s="43" t="s">
        <v>86</v>
      </c>
      <c r="T1" s="44" t="s">
        <v>87</v>
      </c>
      <c r="U1" s="44" t="s">
        <v>88</v>
      </c>
      <c r="V1" s="44" t="s">
        <v>89</v>
      </c>
      <c r="W1" s="44" t="s">
        <v>43</v>
      </c>
      <c r="X1" s="44" t="s">
        <v>90</v>
      </c>
      <c r="Y1" s="1"/>
    </row>
    <row r="2" spans="1:25">
      <c r="A2" s="41" t="s">
        <v>56</v>
      </c>
      <c r="B2" s="41" t="s">
        <v>23</v>
      </c>
      <c r="C2" s="42" t="s">
        <v>350</v>
      </c>
      <c r="D2" s="42" t="s">
        <v>24</v>
      </c>
      <c r="E2" s="42" t="s">
        <v>25</v>
      </c>
      <c r="F2" s="42" t="s">
        <v>58</v>
      </c>
      <c r="G2" s="42">
        <v>2025</v>
      </c>
      <c r="H2" s="41" t="s">
        <v>351</v>
      </c>
      <c r="I2" s="41" t="s">
        <v>92</v>
      </c>
      <c r="J2" s="50">
        <v>-48</v>
      </c>
      <c r="K2" s="59">
        <v>-48</v>
      </c>
      <c r="L2" s="46">
        <v>45870</v>
      </c>
      <c r="M2" s="47" t="s">
        <v>54</v>
      </c>
      <c r="N2" s="42">
        <v>293</v>
      </c>
      <c r="O2" s="42" t="s">
        <v>7</v>
      </c>
      <c r="P2" s="41" t="s">
        <v>285</v>
      </c>
      <c r="Q2" s="61">
        <v>45903</v>
      </c>
      <c r="R2" s="61">
        <v>45910</v>
      </c>
      <c r="S2" s="41" t="s">
        <v>108</v>
      </c>
      <c r="T2" s="41" t="s">
        <v>286</v>
      </c>
      <c r="U2" s="1"/>
      <c r="V2" s="1"/>
      <c r="W2" s="36"/>
      <c r="X2" s="41"/>
      <c r="Y2" s="41" t="s">
        <v>108</v>
      </c>
    </row>
    <row r="3" spans="1:25">
      <c r="A3" s="41" t="s">
        <v>56</v>
      </c>
      <c r="B3" s="41" t="s">
        <v>26</v>
      </c>
      <c r="C3" s="42" t="s">
        <v>10</v>
      </c>
      <c r="D3" s="42" t="s">
        <v>27</v>
      </c>
      <c r="E3" s="42" t="s">
        <v>28</v>
      </c>
      <c r="F3" s="42" t="s">
        <v>58</v>
      </c>
      <c r="G3" s="42">
        <v>2026</v>
      </c>
      <c r="H3" s="41" t="s">
        <v>351</v>
      </c>
      <c r="I3" s="41" t="s">
        <v>202</v>
      </c>
      <c r="J3" s="50">
        <v>-25787.318267605482</v>
      </c>
      <c r="K3" s="59">
        <v>-32883.285679999972</v>
      </c>
      <c r="L3" s="61">
        <v>46143</v>
      </c>
      <c r="M3" s="47" t="s">
        <v>352</v>
      </c>
      <c r="N3" s="42">
        <v>-4</v>
      </c>
      <c r="O3" s="42" t="s">
        <v>4</v>
      </c>
      <c r="P3" s="41" t="s">
        <v>93</v>
      </c>
      <c r="Q3" s="61">
        <v>46177</v>
      </c>
      <c r="R3" s="61">
        <v>46207</v>
      </c>
      <c r="S3" s="41" t="s">
        <v>253</v>
      </c>
      <c r="T3" s="41" t="s">
        <v>289</v>
      </c>
      <c r="U3" s="1"/>
      <c r="V3" s="1"/>
      <c r="W3" s="36"/>
      <c r="X3" s="41"/>
      <c r="Y3" s="41" t="s">
        <v>253</v>
      </c>
    </row>
    <row r="4" spans="1:25">
      <c r="A4" s="41" t="s">
        <v>56</v>
      </c>
      <c r="B4" s="41" t="s">
        <v>29</v>
      </c>
      <c r="C4" s="42" t="s">
        <v>55</v>
      </c>
      <c r="D4" s="42" t="s">
        <v>33</v>
      </c>
      <c r="E4" s="42" t="s">
        <v>31</v>
      </c>
      <c r="F4" s="42" t="s">
        <v>58</v>
      </c>
      <c r="G4" s="42">
        <v>2026</v>
      </c>
      <c r="H4" s="41" t="s">
        <v>351</v>
      </c>
      <c r="I4" s="41" t="s">
        <v>92</v>
      </c>
      <c r="J4" s="50">
        <v>-152.90999999999985</v>
      </c>
      <c r="K4" s="59">
        <v>-152.90999999999985</v>
      </c>
      <c r="L4" s="46">
        <v>46023</v>
      </c>
      <c r="M4" s="47" t="s">
        <v>45</v>
      </c>
      <c r="N4" s="42">
        <v>140</v>
      </c>
      <c r="O4" s="42" t="s">
        <v>7</v>
      </c>
      <c r="P4" s="41" t="s">
        <v>93</v>
      </c>
      <c r="Q4" s="61">
        <v>46056</v>
      </c>
      <c r="R4" s="61">
        <v>46063</v>
      </c>
      <c r="S4" s="41" t="s">
        <v>94</v>
      </c>
      <c r="T4" s="41" t="s">
        <v>318</v>
      </c>
      <c r="U4" s="1"/>
      <c r="V4" s="1"/>
      <c r="W4" s="36"/>
      <c r="X4" s="41"/>
      <c r="Y4" s="41" t="s">
        <v>94</v>
      </c>
    </row>
    <row r="5" spans="1:25">
      <c r="A5" s="41" t="s">
        <v>56</v>
      </c>
      <c r="B5" s="41" t="s">
        <v>322</v>
      </c>
      <c r="C5" s="42" t="s">
        <v>350</v>
      </c>
      <c r="D5" s="42" t="s">
        <v>24</v>
      </c>
      <c r="E5" s="42" t="s">
        <v>353</v>
      </c>
      <c r="F5" s="42" t="s">
        <v>58</v>
      </c>
      <c r="G5" s="42">
        <v>2026</v>
      </c>
      <c r="H5" s="41" t="s">
        <v>351</v>
      </c>
      <c r="I5" s="41" t="s">
        <v>92</v>
      </c>
      <c r="J5" s="50">
        <v>-2954.5</v>
      </c>
      <c r="K5" s="59">
        <v>-2954.5</v>
      </c>
      <c r="L5" s="61">
        <v>46143</v>
      </c>
      <c r="M5" s="47" t="s">
        <v>352</v>
      </c>
      <c r="N5" s="42">
        <v>19</v>
      </c>
      <c r="O5" s="42" t="s">
        <v>4</v>
      </c>
      <c r="P5" s="41" t="s">
        <v>354</v>
      </c>
      <c r="Q5" s="61">
        <v>46177</v>
      </c>
      <c r="R5" s="61">
        <v>46184</v>
      </c>
      <c r="S5" s="41" t="s">
        <v>94</v>
      </c>
      <c r="T5" s="41" t="s">
        <v>355</v>
      </c>
      <c r="U5" s="1"/>
      <c r="V5" s="1"/>
      <c r="W5" s="36"/>
      <c r="X5" s="41"/>
      <c r="Y5" s="41" t="s">
        <v>94</v>
      </c>
    </row>
    <row r="6" spans="1:25">
      <c r="A6" s="41" t="s">
        <v>56</v>
      </c>
      <c r="B6" s="41" t="s">
        <v>322</v>
      </c>
      <c r="C6" s="42" t="s">
        <v>350</v>
      </c>
      <c r="D6" s="42" t="s">
        <v>24</v>
      </c>
      <c r="E6" s="42" t="s">
        <v>353</v>
      </c>
      <c r="F6" s="42" t="s">
        <v>58</v>
      </c>
      <c r="G6" s="42">
        <v>2026</v>
      </c>
      <c r="H6" s="41" t="s">
        <v>351</v>
      </c>
      <c r="I6" s="41" t="s">
        <v>92</v>
      </c>
      <c r="J6" s="50">
        <v>-232.06000000000006</v>
      </c>
      <c r="K6" s="59">
        <v>-232.06000000000006</v>
      </c>
      <c r="L6" s="61">
        <v>46143</v>
      </c>
      <c r="M6" s="47" t="s">
        <v>352</v>
      </c>
      <c r="N6" s="42">
        <v>19</v>
      </c>
      <c r="O6" s="42" t="s">
        <v>4</v>
      </c>
      <c r="P6" s="41" t="s">
        <v>93</v>
      </c>
      <c r="Q6" s="61">
        <v>46177</v>
      </c>
      <c r="R6" s="61">
        <v>46184</v>
      </c>
      <c r="S6" s="41" t="s">
        <v>94</v>
      </c>
      <c r="T6" s="41" t="s">
        <v>356</v>
      </c>
      <c r="U6" s="1"/>
      <c r="V6" s="1"/>
      <c r="W6" s="36"/>
      <c r="X6" s="41"/>
      <c r="Y6" s="41" t="s">
        <v>94</v>
      </c>
    </row>
    <row r="7" spans="1:25">
      <c r="A7" s="41" t="s">
        <v>56</v>
      </c>
      <c r="B7" s="41" t="s">
        <v>324</v>
      </c>
      <c r="C7" s="42" t="s">
        <v>55</v>
      </c>
      <c r="D7" s="42" t="s">
        <v>71</v>
      </c>
      <c r="E7" s="42" t="s">
        <v>65</v>
      </c>
      <c r="F7" s="42" t="s">
        <v>58</v>
      </c>
      <c r="G7" s="42">
        <v>2026</v>
      </c>
      <c r="H7" s="41" t="s">
        <v>351</v>
      </c>
      <c r="I7" s="41" t="s">
        <v>92</v>
      </c>
      <c r="J7" s="50">
        <v>-2132.65</v>
      </c>
      <c r="K7" s="59">
        <v>-2132.65</v>
      </c>
      <c r="L7" s="61">
        <v>46174</v>
      </c>
      <c r="M7" s="47" t="s">
        <v>357</v>
      </c>
      <c r="N7" s="42">
        <v>6</v>
      </c>
      <c r="O7" s="42" t="s">
        <v>4</v>
      </c>
      <c r="P7" s="41" t="s">
        <v>325</v>
      </c>
      <c r="Q7" s="61">
        <v>46190</v>
      </c>
      <c r="R7" s="61">
        <v>46197</v>
      </c>
      <c r="S7" s="41" t="s">
        <v>253</v>
      </c>
      <c r="T7" s="41" t="s">
        <v>326</v>
      </c>
      <c r="U7" s="1"/>
      <c r="V7" s="1"/>
      <c r="W7" s="36"/>
      <c r="X7" s="41"/>
      <c r="Y7" s="41" t="s">
        <v>94</v>
      </c>
    </row>
    <row r="8" spans="1:25">
      <c r="A8" s="41" t="s">
        <v>56</v>
      </c>
      <c r="B8" s="41" t="s">
        <v>343</v>
      </c>
      <c r="C8" s="42" t="s">
        <v>10</v>
      </c>
      <c r="D8" s="42" t="s">
        <v>358</v>
      </c>
      <c r="E8" s="42" t="s">
        <v>28</v>
      </c>
      <c r="F8" s="42" t="s">
        <v>58</v>
      </c>
      <c r="G8" s="42">
        <v>2026</v>
      </c>
      <c r="H8" s="41" t="s">
        <v>351</v>
      </c>
      <c r="I8" s="41" t="s">
        <v>92</v>
      </c>
      <c r="J8" s="50">
        <v>-3325.1822000000029</v>
      </c>
      <c r="K8" s="59">
        <v>-3325.1822000000029</v>
      </c>
      <c r="L8" s="61">
        <v>46143</v>
      </c>
      <c r="M8" s="47" t="s">
        <v>352</v>
      </c>
      <c r="N8" s="42">
        <v>19</v>
      </c>
      <c r="O8" s="42" t="s">
        <v>4</v>
      </c>
      <c r="P8" s="41" t="s">
        <v>93</v>
      </c>
      <c r="Q8" s="61">
        <v>46177</v>
      </c>
      <c r="R8" s="61">
        <v>46184</v>
      </c>
      <c r="S8" s="41" t="s">
        <v>94</v>
      </c>
      <c r="T8" s="41" t="s">
        <v>359</v>
      </c>
      <c r="U8" s="1"/>
      <c r="V8" s="1"/>
      <c r="W8" s="36"/>
      <c r="X8" s="41"/>
      <c r="Y8" s="41" t="s">
        <v>94</v>
      </c>
    </row>
    <row r="9" spans="1:25">
      <c r="A9" s="41"/>
      <c r="B9" s="41"/>
      <c r="C9" s="41"/>
      <c r="D9" s="41"/>
      <c r="E9" s="41"/>
      <c r="F9" s="41"/>
      <c r="G9" s="41"/>
      <c r="H9" s="41"/>
      <c r="I9" s="41"/>
      <c r="J9" s="63">
        <f>SUM(J2:J8)</f>
        <v>-34632.620467605491</v>
      </c>
      <c r="K9" s="1"/>
      <c r="L9" s="64"/>
      <c r="M9" s="41"/>
      <c r="N9" s="41"/>
      <c r="O9" s="41"/>
      <c r="P9" s="41"/>
      <c r="Q9" s="41"/>
      <c r="R9" s="41"/>
      <c r="S9" s="41"/>
      <c r="T9" s="41"/>
      <c r="U9" s="41"/>
      <c r="V9" s="41"/>
      <c r="W9" s="41"/>
      <c r="X9" s="41"/>
      <c r="Y9" s="41"/>
    </row>
    <row r="10" spans="1:25">
      <c r="J10" s="65"/>
    </row>
  </sheetData>
  <conditionalFormatting sqref="T1">
    <cfRule type="duplicateValues" dxfId="1" priority="5"/>
  </conditionalFormatting>
  <conditionalFormatting sqref="T2:T8">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87"/>
    </sheetView>
  </sheetViews>
  <sheetFormatPr defaultRowHeight="14.4"/>
  <sheetData>
    <row r="1" spans="1:4">
      <c r="A1" s="15" t="s">
        <v>77</v>
      </c>
      <c r="B1" s="16" t="s">
        <v>360</v>
      </c>
      <c r="C1" s="16" t="s">
        <v>361</v>
      </c>
      <c r="D1" s="17" t="s">
        <v>362</v>
      </c>
    </row>
    <row r="2" spans="1:4">
      <c r="A2" t="s">
        <v>92</v>
      </c>
      <c r="B2" t="s">
        <v>363</v>
      </c>
      <c r="C2">
        <v>1</v>
      </c>
      <c r="D2">
        <v>1</v>
      </c>
    </row>
    <row r="3" spans="1:4">
      <c r="A3" t="s">
        <v>263</v>
      </c>
      <c r="B3" t="s">
        <v>364</v>
      </c>
      <c r="C3">
        <v>0.87663869770527303</v>
      </c>
      <c r="D3">
        <v>1.1407208039271299</v>
      </c>
    </row>
    <row r="4" spans="1:4">
      <c r="A4" t="s">
        <v>182</v>
      </c>
      <c r="B4" t="s">
        <v>365</v>
      </c>
      <c r="C4">
        <v>0.74780878045993404</v>
      </c>
      <c r="D4">
        <v>1.3372402492853199</v>
      </c>
    </row>
    <row r="5" spans="1:4">
      <c r="A5" t="s">
        <v>366</v>
      </c>
      <c r="B5" t="s">
        <v>367</v>
      </c>
      <c r="C5">
        <v>96.290191819081002</v>
      </c>
      <c r="D5">
        <v>1.03852737346176E-2</v>
      </c>
    </row>
    <row r="6" spans="1:4">
      <c r="A6" t="s">
        <v>107</v>
      </c>
      <c r="B6" t="s">
        <v>368</v>
      </c>
      <c r="C6">
        <v>1.4270313105757899</v>
      </c>
      <c r="D6">
        <v>0.70075547227937895</v>
      </c>
    </row>
    <row r="7" spans="1:4">
      <c r="A7" t="s">
        <v>177</v>
      </c>
      <c r="B7" t="s">
        <v>369</v>
      </c>
      <c r="C7">
        <v>1.4098378266628699</v>
      </c>
      <c r="D7">
        <v>0.70930143956133196</v>
      </c>
    </row>
    <row r="8" spans="1:4">
      <c r="A8" t="s">
        <v>202</v>
      </c>
      <c r="B8" t="s">
        <v>370</v>
      </c>
      <c r="C8">
        <v>1.29173063325672</v>
      </c>
      <c r="D8">
        <v>0.77415521026918099</v>
      </c>
    </row>
    <row r="9" spans="1:4">
      <c r="A9" t="s">
        <v>371</v>
      </c>
      <c r="B9" t="s">
        <v>372</v>
      </c>
      <c r="C9">
        <v>0.81230057974245395</v>
      </c>
      <c r="D9">
        <v>1.2310713853202599</v>
      </c>
    </row>
    <row r="10" spans="1:4">
      <c r="A10" t="s">
        <v>373</v>
      </c>
      <c r="B10" t="s">
        <v>374</v>
      </c>
      <c r="C10">
        <v>4.0888767331325999</v>
      </c>
      <c r="D10">
        <v>0.24456594445533</v>
      </c>
    </row>
    <row r="11" spans="1:4">
      <c r="A11" t="s">
        <v>294</v>
      </c>
      <c r="B11" t="s">
        <v>375</v>
      </c>
      <c r="C11">
        <v>163.02257591222499</v>
      </c>
      <c r="D11">
        <v>6.1341197340570803E-3</v>
      </c>
    </row>
    <row r="12" spans="1:4">
      <c r="A12" t="s">
        <v>376</v>
      </c>
      <c r="B12" t="s">
        <v>377</v>
      </c>
      <c r="C12">
        <v>6.7707653901674698</v>
      </c>
      <c r="D12">
        <v>0.14769378975266201</v>
      </c>
    </row>
    <row r="13" spans="1:4">
      <c r="A13" t="s">
        <v>378</v>
      </c>
      <c r="B13" t="s">
        <v>379</v>
      </c>
      <c r="C13">
        <v>1.71490732503418</v>
      </c>
      <c r="D13">
        <v>0.58312188967999601</v>
      </c>
    </row>
    <row r="14" spans="1:4">
      <c r="A14" t="s">
        <v>380</v>
      </c>
      <c r="B14" t="s">
        <v>381</v>
      </c>
      <c r="C14">
        <v>33.704466500448603</v>
      </c>
      <c r="D14">
        <v>2.9669658173841401E-2</v>
      </c>
    </row>
    <row r="15" spans="1:4">
      <c r="A15" t="s">
        <v>382</v>
      </c>
      <c r="B15" t="s">
        <v>383</v>
      </c>
      <c r="C15">
        <v>317.34798007146998</v>
      </c>
      <c r="D15">
        <v>3.1511150623198701E-3</v>
      </c>
    </row>
    <row r="16" spans="1:4">
      <c r="A16" t="s">
        <v>384</v>
      </c>
      <c r="B16" t="s">
        <v>385</v>
      </c>
      <c r="C16">
        <v>3.6724999999999999</v>
      </c>
      <c r="D16">
        <v>0.27229407760381202</v>
      </c>
    </row>
    <row r="17" spans="1:4">
      <c r="A17" t="s">
        <v>386</v>
      </c>
      <c r="B17" t="s">
        <v>387</v>
      </c>
      <c r="C17">
        <v>7.8418683766104396</v>
      </c>
      <c r="D17">
        <v>0.12752063054037599</v>
      </c>
    </row>
    <row r="18" spans="1:4">
      <c r="A18" t="s">
        <v>388</v>
      </c>
      <c r="B18" t="s">
        <v>389</v>
      </c>
      <c r="C18">
        <v>17.3950678393578</v>
      </c>
      <c r="D18">
        <v>5.7487559648224801E-2</v>
      </c>
    </row>
    <row r="19" spans="1:4">
      <c r="A19" t="s">
        <v>390</v>
      </c>
      <c r="B19" t="s">
        <v>391</v>
      </c>
      <c r="C19">
        <v>16.460679095693902</v>
      </c>
      <c r="D19">
        <v>6.0750835016375203E-2</v>
      </c>
    </row>
    <row r="20" spans="1:4">
      <c r="A20" t="s">
        <v>392</v>
      </c>
      <c r="B20" t="s">
        <v>393</v>
      </c>
      <c r="C20">
        <v>61.753765935776897</v>
      </c>
      <c r="D20">
        <v>1.6193344403319199E-2</v>
      </c>
    </row>
    <row r="21" spans="1:4">
      <c r="A21" t="s">
        <v>394</v>
      </c>
      <c r="B21" t="s">
        <v>395</v>
      </c>
      <c r="C21">
        <v>9.6939160366526504</v>
      </c>
      <c r="D21">
        <v>0.10315748519164</v>
      </c>
    </row>
    <row r="22" spans="1:4">
      <c r="A22" t="s">
        <v>213</v>
      </c>
      <c r="B22" t="s">
        <v>396</v>
      </c>
      <c r="C22">
        <v>17915.985585544</v>
      </c>
      <c r="D22">
        <v>5.5816075271174197E-5</v>
      </c>
    </row>
    <row r="23" spans="1:4">
      <c r="A23" t="s">
        <v>397</v>
      </c>
      <c r="B23" t="s">
        <v>398</v>
      </c>
      <c r="C23">
        <v>5.0770923906672403</v>
      </c>
      <c r="D23">
        <v>0.19696312831300999</v>
      </c>
    </row>
    <row r="24" spans="1:4">
      <c r="A24" t="s">
        <v>399</v>
      </c>
      <c r="B24" t="s">
        <v>400</v>
      </c>
      <c r="C24">
        <v>3.75</v>
      </c>
      <c r="D24">
        <v>0.266666666666666</v>
      </c>
    </row>
    <row r="25" spans="1:4">
      <c r="A25" t="s">
        <v>401</v>
      </c>
      <c r="B25" t="s">
        <v>402</v>
      </c>
      <c r="C25">
        <v>47.1994170009878</v>
      </c>
      <c r="D25">
        <v>2.1186702369206601E-2</v>
      </c>
    </row>
    <row r="26" spans="1:4">
      <c r="A26" t="s">
        <v>403</v>
      </c>
      <c r="B26" t="s">
        <v>404</v>
      </c>
      <c r="C26">
        <v>129.29416009419199</v>
      </c>
      <c r="D26">
        <v>7.7343013734842104E-3</v>
      </c>
    </row>
    <row r="27" spans="1:4">
      <c r="A27" t="s">
        <v>405</v>
      </c>
      <c r="B27" t="s">
        <v>406</v>
      </c>
      <c r="C27">
        <v>1480.33567006048</v>
      </c>
      <c r="D27">
        <v>6.7552246441453603E-4</v>
      </c>
    </row>
    <row r="28" spans="1:4">
      <c r="A28" t="s">
        <v>407</v>
      </c>
      <c r="B28" t="s">
        <v>408</v>
      </c>
      <c r="C28">
        <v>51.004578001947003</v>
      </c>
      <c r="D28">
        <v>1.96060832022142E-2</v>
      </c>
    </row>
    <row r="29" spans="1:4">
      <c r="A29" t="s">
        <v>409</v>
      </c>
      <c r="B29" t="s">
        <v>410</v>
      </c>
      <c r="C29">
        <v>1310.4737612860399</v>
      </c>
      <c r="D29">
        <v>7.6308280985240096E-4</v>
      </c>
    </row>
    <row r="30" spans="1:4">
      <c r="A30" t="s">
        <v>411</v>
      </c>
      <c r="B30" t="s">
        <v>412</v>
      </c>
      <c r="C30">
        <v>9.6280448606898101</v>
      </c>
      <c r="D30">
        <v>0.103863246844941</v>
      </c>
    </row>
    <row r="31" spans="1:4">
      <c r="A31" t="s">
        <v>413</v>
      </c>
      <c r="B31" t="s">
        <v>414</v>
      </c>
      <c r="C31">
        <v>0.30958148760502202</v>
      </c>
      <c r="D31">
        <v>3.23016730663121</v>
      </c>
    </row>
    <row r="32" spans="1:4">
      <c r="A32" t="s">
        <v>415</v>
      </c>
      <c r="B32" t="s">
        <v>416</v>
      </c>
      <c r="C32">
        <v>6.5532623155494196</v>
      </c>
      <c r="D32">
        <v>0.15259575335893699</v>
      </c>
    </row>
    <row r="33" spans="1:4">
      <c r="A33" t="s">
        <v>417</v>
      </c>
      <c r="B33" t="s">
        <v>418</v>
      </c>
      <c r="C33">
        <v>277.85247702188099</v>
      </c>
      <c r="D33">
        <v>3.5990321580658298E-3</v>
      </c>
    </row>
    <row r="34" spans="1:4">
      <c r="A34" t="s">
        <v>419</v>
      </c>
      <c r="B34" t="s">
        <v>420</v>
      </c>
      <c r="C34">
        <v>3.0495281044598199</v>
      </c>
      <c r="D34">
        <v>0.327919588128254</v>
      </c>
    </row>
    <row r="35" spans="1:4">
      <c r="A35" t="s">
        <v>421</v>
      </c>
      <c r="B35" t="s">
        <v>422</v>
      </c>
      <c r="C35">
        <v>3.7931370782941101</v>
      </c>
      <c r="D35">
        <v>0.263634026231851</v>
      </c>
    </row>
    <row r="36" spans="1:4">
      <c r="A36" t="s">
        <v>423</v>
      </c>
      <c r="B36" t="s">
        <v>424</v>
      </c>
      <c r="C36">
        <v>3.64</v>
      </c>
      <c r="D36">
        <v>0.27472527472527403</v>
      </c>
    </row>
    <row r="37" spans="1:4">
      <c r="A37" t="s">
        <v>425</v>
      </c>
      <c r="B37" t="s">
        <v>426</v>
      </c>
      <c r="C37">
        <v>2.4542581870755202E-4</v>
      </c>
      <c r="D37">
        <v>4074.55093871599</v>
      </c>
    </row>
    <row r="38" spans="1:4">
      <c r="A38" t="s">
        <v>427</v>
      </c>
      <c r="B38" t="s">
        <v>428</v>
      </c>
      <c r="C38">
        <v>0.38477038882243902</v>
      </c>
      <c r="D38">
        <v>2.5989525936765099</v>
      </c>
    </row>
    <row r="39" spans="1:4">
      <c r="A39" t="s">
        <v>429</v>
      </c>
      <c r="B39" t="s">
        <v>430</v>
      </c>
      <c r="C39">
        <v>3248.8997884638102</v>
      </c>
      <c r="D39">
        <v>3.0779650500480099E-4</v>
      </c>
    </row>
    <row r="40" spans="1:4">
      <c r="A40" t="s">
        <v>431</v>
      </c>
      <c r="B40" t="s">
        <v>432</v>
      </c>
      <c r="C40">
        <v>932.92609424085799</v>
      </c>
      <c r="D40">
        <v>1.07189626935424E-3</v>
      </c>
    </row>
    <row r="41" spans="1:4">
      <c r="A41" t="s">
        <v>433</v>
      </c>
      <c r="B41" t="s">
        <v>434</v>
      </c>
      <c r="C41">
        <v>32.373252138888397</v>
      </c>
      <c r="D41">
        <v>3.08896985607061E-2</v>
      </c>
    </row>
    <row r="42" spans="1:4">
      <c r="A42" t="s">
        <v>435</v>
      </c>
      <c r="B42" t="s">
        <v>436</v>
      </c>
      <c r="C42">
        <v>1477.42725813682</v>
      </c>
      <c r="D42">
        <v>6.76852274447062E-4</v>
      </c>
    </row>
    <row r="43" spans="1:4">
      <c r="A43" t="s">
        <v>437</v>
      </c>
      <c r="B43" t="s">
        <v>438</v>
      </c>
      <c r="C43">
        <v>21.205272308853999</v>
      </c>
      <c r="D43">
        <v>4.7158083397139901E-2</v>
      </c>
    </row>
    <row r="44" spans="1:4">
      <c r="A44" t="s">
        <v>439</v>
      </c>
      <c r="B44" t="s">
        <v>440</v>
      </c>
      <c r="C44">
        <v>26308.302977332201</v>
      </c>
      <c r="D44">
        <v>3.8010813577052797E-5</v>
      </c>
    </row>
    <row r="45" spans="1:4">
      <c r="A45" t="s">
        <v>441</v>
      </c>
      <c r="B45" t="s">
        <v>442</v>
      </c>
      <c r="C45">
        <v>9.3908922715761491</v>
      </c>
      <c r="D45">
        <v>0.10648615393307601</v>
      </c>
    </row>
    <row r="46" spans="1:4">
      <c r="A46" t="s">
        <v>443</v>
      </c>
      <c r="B46" t="s">
        <v>444</v>
      </c>
      <c r="C46">
        <v>0.70899999999999996</v>
      </c>
      <c r="D46">
        <v>1.4104372355430099</v>
      </c>
    </row>
    <row r="47" spans="1:4">
      <c r="A47" t="s">
        <v>445</v>
      </c>
      <c r="B47" t="s">
        <v>446</v>
      </c>
      <c r="C47">
        <v>0.376</v>
      </c>
      <c r="D47">
        <v>2.6595744680851001</v>
      </c>
    </row>
    <row r="48" spans="1:4">
      <c r="A48" t="s">
        <v>447</v>
      </c>
      <c r="B48" t="s">
        <v>448</v>
      </c>
      <c r="C48">
        <v>575.03729023065796</v>
      </c>
      <c r="D48">
        <v>1.73901765500961E-3</v>
      </c>
    </row>
    <row r="49" spans="1:4">
      <c r="A49" t="s">
        <v>449</v>
      </c>
      <c r="B49" t="s">
        <v>450</v>
      </c>
      <c r="C49">
        <v>336.36496154571699</v>
      </c>
      <c r="D49">
        <v>2.9729612603067801E-3</v>
      </c>
    </row>
    <row r="50" spans="1:4">
      <c r="A50" t="s">
        <v>451</v>
      </c>
      <c r="B50" t="s">
        <v>452</v>
      </c>
      <c r="C50">
        <v>44.752639236978197</v>
      </c>
      <c r="D50">
        <v>2.2345050862915699E-2</v>
      </c>
    </row>
    <row r="51" spans="1:4">
      <c r="A51" t="s">
        <v>453</v>
      </c>
      <c r="B51" t="s">
        <v>454</v>
      </c>
      <c r="C51">
        <v>1378.29157543014</v>
      </c>
      <c r="D51">
        <v>7.2553588647446905E-4</v>
      </c>
    </row>
    <row r="52" spans="1:4">
      <c r="A52" t="s">
        <v>455</v>
      </c>
      <c r="B52" t="s">
        <v>456</v>
      </c>
      <c r="C52">
        <v>2.9468902755661599</v>
      </c>
      <c r="D52">
        <v>0.33934076483654402</v>
      </c>
    </row>
    <row r="53" spans="1:4">
      <c r="A53" t="s">
        <v>457</v>
      </c>
      <c r="B53" t="s">
        <v>458</v>
      </c>
      <c r="C53">
        <v>3726.8820339467502</v>
      </c>
      <c r="D53">
        <v>2.6832080835706001E-4</v>
      </c>
    </row>
    <row r="54" spans="1:4">
      <c r="A54" t="s">
        <v>459</v>
      </c>
      <c r="B54" t="s">
        <v>460</v>
      </c>
      <c r="C54">
        <v>4.5935464303969002</v>
      </c>
      <c r="D54">
        <v>0.21769672194509501</v>
      </c>
    </row>
    <row r="55" spans="1:4">
      <c r="A55" t="s">
        <v>461</v>
      </c>
      <c r="B55" t="s">
        <v>462</v>
      </c>
      <c r="C55">
        <v>123.338291244654</v>
      </c>
      <c r="D55">
        <v>8.1077821810940798E-3</v>
      </c>
    </row>
    <row r="56" spans="1:4">
      <c r="A56" t="s">
        <v>463</v>
      </c>
      <c r="B56" t="s">
        <v>464</v>
      </c>
      <c r="C56">
        <v>3.3972986938448799</v>
      </c>
      <c r="D56">
        <v>0.294351509866284</v>
      </c>
    </row>
    <row r="57" spans="1:4">
      <c r="A57" t="s">
        <v>465</v>
      </c>
      <c r="B57" t="s">
        <v>466</v>
      </c>
      <c r="C57">
        <v>2.6216940104744202</v>
      </c>
      <c r="D57">
        <v>0.38143276675489601</v>
      </c>
    </row>
    <row r="58" spans="1:4">
      <c r="A58" t="s">
        <v>467</v>
      </c>
      <c r="B58" t="s">
        <v>468</v>
      </c>
      <c r="C58">
        <v>575.03729023065796</v>
      </c>
      <c r="D58">
        <v>1.73901765500961E-3</v>
      </c>
    </row>
    <row r="59" spans="1:4">
      <c r="A59" t="s">
        <v>469</v>
      </c>
      <c r="B59" t="s">
        <v>470</v>
      </c>
      <c r="C59">
        <v>2.2207846857775801</v>
      </c>
      <c r="D59">
        <v>0.450291289562751</v>
      </c>
    </row>
    <row r="60" spans="1:4">
      <c r="A60" t="s">
        <v>471</v>
      </c>
      <c r="B60" t="s">
        <v>472</v>
      </c>
      <c r="C60">
        <v>732.84807330184196</v>
      </c>
      <c r="D60">
        <v>1.36453930416233E-3</v>
      </c>
    </row>
    <row r="61" spans="1:4">
      <c r="A61" t="s">
        <v>473</v>
      </c>
      <c r="B61" t="s">
        <v>474</v>
      </c>
      <c r="C61">
        <v>11973.3525789287</v>
      </c>
      <c r="D61">
        <v>8.3518796711945802E-5</v>
      </c>
    </row>
    <row r="62" spans="1:4">
      <c r="A62" t="s">
        <v>475</v>
      </c>
      <c r="B62" t="s">
        <v>476</v>
      </c>
      <c r="C62">
        <v>133.19746167555499</v>
      </c>
      <c r="D62">
        <v>7.5076505769743401E-3</v>
      </c>
    </row>
    <row r="63" spans="1:4">
      <c r="A63" t="s">
        <v>477</v>
      </c>
      <c r="B63" t="s">
        <v>478</v>
      </c>
      <c r="C63">
        <v>58.435248296227499</v>
      </c>
      <c r="D63">
        <v>1.7112958858849499E-2</v>
      </c>
    </row>
    <row r="64" spans="1:4">
      <c r="A64" t="s">
        <v>479</v>
      </c>
      <c r="B64" t="s">
        <v>480</v>
      </c>
      <c r="C64">
        <v>125.36125603214001</v>
      </c>
      <c r="D64">
        <v>7.9769462404206907E-3</v>
      </c>
    </row>
    <row r="65" spans="1:4">
      <c r="A65" t="s">
        <v>481</v>
      </c>
      <c r="B65" t="s">
        <v>482</v>
      </c>
      <c r="C65">
        <v>453.67289673472402</v>
      </c>
      <c r="D65">
        <v>2.2042313023269001E-3</v>
      </c>
    </row>
    <row r="66" spans="1:4">
      <c r="A66" t="s">
        <v>483</v>
      </c>
      <c r="B66" t="s">
        <v>484</v>
      </c>
      <c r="C66">
        <v>1.6968662554592E-2</v>
      </c>
      <c r="D66">
        <v>58.932163733162199</v>
      </c>
    </row>
    <row r="67" spans="1:4">
      <c r="A67" t="s">
        <v>485</v>
      </c>
      <c r="B67" t="s">
        <v>486</v>
      </c>
      <c r="C67">
        <v>158.49959819927901</v>
      </c>
      <c r="D67">
        <v>6.30916425884383E-3</v>
      </c>
    </row>
    <row r="68" spans="1:4">
      <c r="A68" t="s">
        <v>487</v>
      </c>
      <c r="B68" t="s">
        <v>488</v>
      </c>
      <c r="C68">
        <v>6.4105405293563198</v>
      </c>
      <c r="D68">
        <v>0.155993085984031</v>
      </c>
    </row>
    <row r="69" spans="1:4">
      <c r="A69" t="s">
        <v>489</v>
      </c>
      <c r="B69" t="s">
        <v>490</v>
      </c>
      <c r="C69">
        <v>11.5859419953858</v>
      </c>
      <c r="D69">
        <v>8.6311497191877695E-2</v>
      </c>
    </row>
    <row r="70" spans="1:4">
      <c r="A70" t="s">
        <v>491</v>
      </c>
      <c r="B70" t="s">
        <v>492</v>
      </c>
      <c r="C70">
        <v>47.251144419817201</v>
      </c>
      <c r="D70">
        <v>2.11635085727277E-2</v>
      </c>
    </row>
    <row r="71" spans="1:4">
      <c r="A71" t="s">
        <v>493</v>
      </c>
      <c r="B71" t="s">
        <v>494</v>
      </c>
      <c r="C71">
        <v>915.80692704996795</v>
      </c>
      <c r="D71">
        <v>1.0919332126272899E-3</v>
      </c>
    </row>
    <row r="72" spans="1:4">
      <c r="A72" t="s">
        <v>495</v>
      </c>
      <c r="B72" t="s">
        <v>496</v>
      </c>
      <c r="C72">
        <v>40.153333334286899</v>
      </c>
      <c r="D72">
        <v>2.49045326243462E-2</v>
      </c>
    </row>
    <row r="73" spans="1:4">
      <c r="A73" t="s">
        <v>497</v>
      </c>
      <c r="B73" t="s">
        <v>498</v>
      </c>
      <c r="C73">
        <v>66.826042207031307</v>
      </c>
      <c r="D73">
        <v>1.49642260258648E-2</v>
      </c>
    </row>
    <row r="74" spans="1:4">
      <c r="A74" t="s">
        <v>499</v>
      </c>
      <c r="B74" t="s">
        <v>500</v>
      </c>
      <c r="C74">
        <v>89806.692913400795</v>
      </c>
      <c r="D74">
        <v>1.1135027552615501E-5</v>
      </c>
    </row>
    <row r="75" spans="1:4">
      <c r="A75" t="s">
        <v>501</v>
      </c>
      <c r="B75" t="s">
        <v>502</v>
      </c>
      <c r="C75">
        <v>104.61082311480401</v>
      </c>
      <c r="D75">
        <v>9.55924033694441E-3</v>
      </c>
    </row>
    <row r="76" spans="1:4">
      <c r="A76" t="s">
        <v>503</v>
      </c>
      <c r="B76" t="s">
        <v>504</v>
      </c>
      <c r="C76">
        <v>6.78748507651488</v>
      </c>
      <c r="D76">
        <v>0.14732997402234599</v>
      </c>
    </row>
    <row r="77" spans="1:4">
      <c r="A77" t="s">
        <v>505</v>
      </c>
      <c r="B77" t="s">
        <v>506</v>
      </c>
      <c r="C77">
        <v>2637.51957734079</v>
      </c>
      <c r="D77">
        <v>3.7914410516270801E-4</v>
      </c>
    </row>
    <row r="78" spans="1:4">
      <c r="A78" t="s">
        <v>507</v>
      </c>
      <c r="B78" t="s">
        <v>508</v>
      </c>
      <c r="C78">
        <v>82.1315444467661</v>
      </c>
      <c r="D78">
        <v>1.21755898630172E-2</v>
      </c>
    </row>
    <row r="79" spans="1:4">
      <c r="A79" t="s">
        <v>509</v>
      </c>
      <c r="B79" t="s">
        <v>510</v>
      </c>
      <c r="C79">
        <v>2.7073633732709199</v>
      </c>
      <c r="D79">
        <v>0.36936305258198199</v>
      </c>
    </row>
    <row r="80" spans="1:4">
      <c r="A80" t="s">
        <v>511</v>
      </c>
      <c r="B80" t="s">
        <v>512</v>
      </c>
      <c r="C80">
        <v>7.6280192263881004</v>
      </c>
      <c r="D80">
        <v>0.13109563181757999</v>
      </c>
    </row>
    <row r="81" spans="1:4">
      <c r="A81" t="s">
        <v>513</v>
      </c>
      <c r="B81" t="s">
        <v>514</v>
      </c>
      <c r="C81">
        <v>154.13652455439399</v>
      </c>
      <c r="D81">
        <v>6.4877549490037004E-3</v>
      </c>
    </row>
    <row r="82" spans="1:4">
      <c r="A82" t="s">
        <v>515</v>
      </c>
      <c r="B82" t="s">
        <v>516</v>
      </c>
      <c r="C82">
        <v>10.756670281184601</v>
      </c>
      <c r="D82">
        <v>9.2965571488155999E-2</v>
      </c>
    </row>
    <row r="83" spans="1:4">
      <c r="A83" t="s">
        <v>517</v>
      </c>
      <c r="B83" t="s">
        <v>518</v>
      </c>
      <c r="C83">
        <v>2</v>
      </c>
      <c r="D83">
        <v>0.5</v>
      </c>
    </row>
    <row r="84" spans="1:4">
      <c r="A84" t="s">
        <v>519</v>
      </c>
      <c r="B84" t="s">
        <v>520</v>
      </c>
      <c r="C84">
        <v>22589.023154062601</v>
      </c>
      <c r="D84">
        <v>4.4269289255217203E-5</v>
      </c>
    </row>
    <row r="85" spans="1:4">
      <c r="A85" t="s">
        <v>521</v>
      </c>
      <c r="B85" t="s">
        <v>522</v>
      </c>
      <c r="C85">
        <v>1.29173063325672</v>
      </c>
      <c r="D85">
        <v>0.77415521026918099</v>
      </c>
    </row>
    <row r="86" spans="1:4">
      <c r="A86" t="s">
        <v>523</v>
      </c>
      <c r="B86" t="s">
        <v>524</v>
      </c>
      <c r="C86">
        <v>14.2854832059849</v>
      </c>
      <c r="D86">
        <v>7.0001132308989605E-2</v>
      </c>
    </row>
    <row r="87" spans="1:4">
      <c r="A87" t="s">
        <v>525</v>
      </c>
      <c r="B87" t="s">
        <v>526</v>
      </c>
      <c r="C87">
        <v>26.7806106423721</v>
      </c>
      <c r="D87">
        <v>3.73404480336159E-2</v>
      </c>
    </row>
    <row r="88" spans="1:4">
      <c r="A88" t="s">
        <v>527</v>
      </c>
      <c r="B88" t="s">
        <v>528</v>
      </c>
      <c r="C88">
        <v>6072.0035248027698</v>
      </c>
      <c r="D88">
        <v>1.6469028647879099E-4</v>
      </c>
    </row>
    <row r="89" spans="1:4">
      <c r="A89" t="s">
        <v>529</v>
      </c>
      <c r="B89" t="s">
        <v>530</v>
      </c>
      <c r="C89">
        <v>161.11426486455099</v>
      </c>
      <c r="D89">
        <v>6.2067750539699304E-3</v>
      </c>
    </row>
    <row r="90" spans="1:4">
      <c r="A90" t="s">
        <v>531</v>
      </c>
      <c r="B90" t="s">
        <v>532</v>
      </c>
      <c r="C90">
        <v>16.460679095693902</v>
      </c>
      <c r="D90">
        <v>6.0750835016375203E-2</v>
      </c>
    </row>
    <row r="91" spans="1:4">
      <c r="A91" t="s">
        <v>533</v>
      </c>
      <c r="B91" t="s">
        <v>534</v>
      </c>
      <c r="C91">
        <v>4.47322260571935</v>
      </c>
      <c r="D91">
        <v>0.22355247841263701</v>
      </c>
    </row>
    <row r="92" spans="1:4">
      <c r="A92" t="s">
        <v>535</v>
      </c>
      <c r="B92" t="s">
        <v>536</v>
      </c>
      <c r="C92">
        <v>600.23025072196299</v>
      </c>
      <c r="D92">
        <v>1.66602732667537E-3</v>
      </c>
    </row>
    <row r="93" spans="1:4">
      <c r="A93" t="s">
        <v>537</v>
      </c>
      <c r="B93" t="s">
        <v>538</v>
      </c>
      <c r="C93">
        <v>8.0771244279087497</v>
      </c>
      <c r="D93">
        <v>0.12380643741784</v>
      </c>
    </row>
    <row r="94" spans="1:4">
      <c r="A94" t="s">
        <v>539</v>
      </c>
      <c r="B94" t="s">
        <v>540</v>
      </c>
      <c r="C94">
        <v>1</v>
      </c>
      <c r="D94">
        <v>1</v>
      </c>
    </row>
    <row r="95" spans="1:4">
      <c r="A95" t="s">
        <v>541</v>
      </c>
      <c r="B95" t="s">
        <v>542</v>
      </c>
      <c r="C95">
        <v>36.801237753143901</v>
      </c>
      <c r="D95">
        <v>2.7172999090623502E-2</v>
      </c>
    </row>
    <row r="96" spans="1:4">
      <c r="A96" t="s">
        <v>543</v>
      </c>
      <c r="B96" t="s">
        <v>544</v>
      </c>
      <c r="C96">
        <v>1.7145562641329</v>
      </c>
      <c r="D96">
        <v>0.58324128575956902</v>
      </c>
    </row>
    <row r="97" spans="1:4">
      <c r="A97" t="s">
        <v>545</v>
      </c>
      <c r="B97" t="s">
        <v>546</v>
      </c>
      <c r="C97">
        <v>468.98145188108901</v>
      </c>
      <c r="D97">
        <v>2.1322804899617802E-3</v>
      </c>
    </row>
    <row r="98" spans="1:4">
      <c r="A98" t="s">
        <v>547</v>
      </c>
      <c r="B98" t="s">
        <v>548</v>
      </c>
      <c r="C98">
        <v>1</v>
      </c>
      <c r="D98">
        <v>1</v>
      </c>
    </row>
    <row r="99" spans="1:4">
      <c r="A99" t="s">
        <v>549</v>
      </c>
      <c r="B99" t="s">
        <v>550</v>
      </c>
      <c r="C99">
        <v>209.20293378274999</v>
      </c>
      <c r="D99">
        <v>4.7800476882339602E-3</v>
      </c>
    </row>
    <row r="100" spans="1:4">
      <c r="A100" t="s">
        <v>551</v>
      </c>
      <c r="B100" t="s">
        <v>552</v>
      </c>
      <c r="C100">
        <v>237.859786139362</v>
      </c>
      <c r="D100">
        <v>4.2041574838299796E-3</v>
      </c>
    </row>
    <row r="101" spans="1:4">
      <c r="A101" t="s">
        <v>553</v>
      </c>
      <c r="B101" t="s">
        <v>554</v>
      </c>
      <c r="C101">
        <v>4289.8909566360298</v>
      </c>
      <c r="D101">
        <v>2.3310615820038399E-4</v>
      </c>
    </row>
    <row r="102" spans="1:4">
      <c r="A102" t="s">
        <v>555</v>
      </c>
      <c r="B102" t="s">
        <v>556</v>
      </c>
      <c r="C102">
        <v>0.83174589024755596</v>
      </c>
      <c r="D102">
        <v>1.2022902808721601</v>
      </c>
    </row>
    <row r="103" spans="1:4">
      <c r="A103" t="s">
        <v>557</v>
      </c>
      <c r="B103" t="s">
        <v>558</v>
      </c>
      <c r="C103">
        <v>63.822255742314901</v>
      </c>
      <c r="D103">
        <v>1.5668515447613399E-2</v>
      </c>
    </row>
    <row r="104" spans="1:4">
      <c r="A104" t="s">
        <v>559</v>
      </c>
      <c r="B104" t="s">
        <v>560</v>
      </c>
      <c r="C104">
        <v>102.89814363722</v>
      </c>
      <c r="D104">
        <v>9.7183483069006003E-3</v>
      </c>
    </row>
    <row r="105" spans="1:4">
      <c r="A105" t="s">
        <v>561</v>
      </c>
      <c r="B105" t="s">
        <v>562</v>
      </c>
      <c r="C105">
        <v>14.1571884256389</v>
      </c>
      <c r="D105">
        <v>7.0635494134483598E-2</v>
      </c>
    </row>
    <row r="106" spans="1:4">
      <c r="A106" t="s">
        <v>563</v>
      </c>
      <c r="B106" t="s">
        <v>564</v>
      </c>
      <c r="C106">
        <v>366.68450483561497</v>
      </c>
      <c r="D106">
        <v>2.7271400531317801E-3</v>
      </c>
    </row>
    <row r="107" spans="1:4">
      <c r="A107" t="s">
        <v>565</v>
      </c>
      <c r="B107" t="s">
        <v>566</v>
      </c>
      <c r="C107">
        <v>1.6999999105402399</v>
      </c>
      <c r="D107">
        <v>0.58823532507258003</v>
      </c>
    </row>
    <row r="108" spans="1:4">
      <c r="A108" t="s">
        <v>567</v>
      </c>
      <c r="B108" t="s">
        <v>568</v>
      </c>
      <c r="C108">
        <v>8.0721884952213294</v>
      </c>
      <c r="D108">
        <v>0.12388214182461001</v>
      </c>
    </row>
    <row r="109" spans="1:4">
      <c r="A109" t="s">
        <v>569</v>
      </c>
      <c r="B109" t="s">
        <v>570</v>
      </c>
      <c r="C109">
        <v>2.40840735021701</v>
      </c>
      <c r="D109">
        <v>0.41521215250812599</v>
      </c>
    </row>
    <row r="110" spans="1:4">
      <c r="A110" t="s">
        <v>571</v>
      </c>
      <c r="B110" t="s">
        <v>572</v>
      </c>
      <c r="C110">
        <v>2.01378844886196</v>
      </c>
      <c r="D110">
        <v>0.49657649022921002</v>
      </c>
    </row>
    <row r="111" spans="1:4">
      <c r="A111" t="s">
        <v>573</v>
      </c>
      <c r="B111" t="s">
        <v>574</v>
      </c>
      <c r="C111">
        <v>74.027308620141</v>
      </c>
      <c r="D111">
        <v>1.35085283882375E-2</v>
      </c>
    </row>
    <row r="112" spans="1:4">
      <c r="A112" t="s">
        <v>575</v>
      </c>
      <c r="B112" t="s">
        <v>576</v>
      </c>
      <c r="C112">
        <v>1733.8668668087601</v>
      </c>
      <c r="D112">
        <v>5.7674555015895304E-4</v>
      </c>
    </row>
    <row r="113" spans="1:4">
      <c r="A113" t="s">
        <v>577</v>
      </c>
      <c r="B113" t="s">
        <v>578</v>
      </c>
      <c r="C113">
        <v>2983.3687413405701</v>
      </c>
      <c r="D113">
        <v>3.3519155246985901E-4</v>
      </c>
    </row>
    <row r="114" spans="1:4">
      <c r="A114" t="s">
        <v>579</v>
      </c>
      <c r="B114" t="s">
        <v>580</v>
      </c>
      <c r="C114">
        <v>130.695058990251</v>
      </c>
      <c r="D114">
        <v>7.6513986659173701E-3</v>
      </c>
    </row>
    <row r="115" spans="1:4">
      <c r="A115" t="s">
        <v>581</v>
      </c>
      <c r="B115" t="s">
        <v>582</v>
      </c>
      <c r="C115">
        <v>571.03971170384102</v>
      </c>
      <c r="D115">
        <v>1.75119169386004E-3</v>
      </c>
    </row>
    <row r="116" spans="1:4">
      <c r="A116" t="s">
        <v>583</v>
      </c>
      <c r="B116" t="s">
        <v>584</v>
      </c>
      <c r="C116">
        <v>8776.3778413375803</v>
      </c>
      <c r="D116">
        <v>1.13942222871251E-4</v>
      </c>
    </row>
    <row r="117" spans="1:4">
      <c r="A117" t="s">
        <v>585</v>
      </c>
      <c r="B117" t="s">
        <v>586</v>
      </c>
      <c r="C117">
        <v>3589.0113736376002</v>
      </c>
      <c r="D117">
        <v>2.78628261628064E-4</v>
      </c>
    </row>
    <row r="118" spans="1:4">
      <c r="A118" t="s">
        <v>587</v>
      </c>
      <c r="B118" t="s">
        <v>588</v>
      </c>
      <c r="C118">
        <v>15.459745740683999</v>
      </c>
      <c r="D118">
        <v>6.4684116852477505E-2</v>
      </c>
    </row>
    <row r="119" spans="1:4">
      <c r="A119" t="s">
        <v>589</v>
      </c>
      <c r="B119" t="s">
        <v>590</v>
      </c>
      <c r="C119">
        <v>2307.9999708207702</v>
      </c>
      <c r="D119">
        <v>4.3327556873598198E-4</v>
      </c>
    </row>
    <row r="120" spans="1:4">
      <c r="A120" t="s">
        <v>591</v>
      </c>
      <c r="B120" t="s">
        <v>592</v>
      </c>
      <c r="C120">
        <v>21.617857499939799</v>
      </c>
      <c r="D120">
        <v>4.6258053093503101E-2</v>
      </c>
    </row>
    <row r="121" spans="1:4">
      <c r="A121" t="s">
        <v>593</v>
      </c>
      <c r="B121" t="s">
        <v>594</v>
      </c>
      <c r="C121">
        <v>9.2408857871897307</v>
      </c>
      <c r="D121">
        <v>0.108214734282968</v>
      </c>
    </row>
    <row r="122" spans="1:4">
      <c r="A122" t="s">
        <v>595</v>
      </c>
      <c r="B122" t="s">
        <v>596</v>
      </c>
      <c r="C122">
        <v>87.438670579255898</v>
      </c>
      <c r="D122">
        <v>1.1436587420363201E-2</v>
      </c>
    </row>
    <row r="123" spans="1:4">
      <c r="A123" t="s">
        <v>597</v>
      </c>
      <c r="B123" t="s">
        <v>598</v>
      </c>
      <c r="C123">
        <v>181.02362244592501</v>
      </c>
      <c r="D123">
        <v>5.5241409186732801E-3</v>
      </c>
    </row>
    <row r="124" spans="1:4">
      <c r="A124" t="s">
        <v>599</v>
      </c>
      <c r="B124" t="s">
        <v>600</v>
      </c>
      <c r="C124">
        <v>16.460679095693902</v>
      </c>
      <c r="D124">
        <v>6.0750835016375203E-2</v>
      </c>
    </row>
    <row r="125" spans="1:4">
      <c r="A125" t="s">
        <v>601</v>
      </c>
      <c r="B125" t="s">
        <v>602</v>
      </c>
      <c r="C125">
        <v>2099.3481120367901</v>
      </c>
      <c r="D125">
        <v>4.7633834249137302E-4</v>
      </c>
    </row>
    <row r="126" spans="1:4">
      <c r="A126" t="s">
        <v>603</v>
      </c>
      <c r="B126" t="s">
        <v>604</v>
      </c>
      <c r="C126">
        <v>0.74780878045993404</v>
      </c>
      <c r="D126">
        <v>1.3372402492853199</v>
      </c>
    </row>
    <row r="127" spans="1:4">
      <c r="A127" t="s">
        <v>605</v>
      </c>
      <c r="B127" t="s">
        <v>606</v>
      </c>
      <c r="C127">
        <v>6.1278084854358105E-4</v>
      </c>
      <c r="D127">
        <v>1631.9047868038499</v>
      </c>
    </row>
    <row r="128" spans="1:4">
      <c r="A128" t="s">
        <v>607</v>
      </c>
      <c r="B128" t="s">
        <v>608</v>
      </c>
      <c r="C128">
        <v>17.598264728053099</v>
      </c>
      <c r="D128">
        <v>5.68237843590291E-2</v>
      </c>
    </row>
    <row r="129" spans="1:4">
      <c r="A129" t="s">
        <v>609</v>
      </c>
      <c r="B129" t="s">
        <v>610</v>
      </c>
      <c r="C129">
        <v>4037.5428222563401</v>
      </c>
      <c r="D129">
        <v>2.4767539169805202E-4</v>
      </c>
    </row>
    <row r="130" spans="1:4">
      <c r="A130" t="s">
        <v>611</v>
      </c>
      <c r="B130" t="s">
        <v>612</v>
      </c>
      <c r="C130">
        <v>53.934184053783497</v>
      </c>
      <c r="D130">
        <v>1.8541116687753899E-2</v>
      </c>
    </row>
    <row r="131" spans="1:4">
      <c r="A131" t="s">
        <v>613</v>
      </c>
      <c r="B131" t="s">
        <v>614</v>
      </c>
      <c r="C131">
        <v>119.457233451928</v>
      </c>
      <c r="D131">
        <v>8.3711967128588492E-3</v>
      </c>
    </row>
    <row r="132" spans="1:4">
      <c r="A132" t="s">
        <v>615</v>
      </c>
      <c r="B132" t="s">
        <v>616</v>
      </c>
      <c r="C132">
        <v>39.941366340220299</v>
      </c>
      <c r="D132">
        <v>2.5036699833501101E-2</v>
      </c>
    </row>
    <row r="133" spans="1:4">
      <c r="A133" t="s">
        <v>617</v>
      </c>
      <c r="B133" t="s">
        <v>618</v>
      </c>
      <c r="C133">
        <v>16.460679095693902</v>
      </c>
      <c r="D133">
        <v>6.0750835016375203E-2</v>
      </c>
    </row>
    <row r="134" spans="1:4">
      <c r="A134" t="s">
        <v>619</v>
      </c>
      <c r="B134" t="s">
        <v>620</v>
      </c>
      <c r="C134">
        <v>96.666949195960498</v>
      </c>
      <c r="D134">
        <v>1.0344797351293501E-2</v>
      </c>
    </row>
    <row r="135" spans="1:4">
      <c r="A135" t="s">
        <v>621</v>
      </c>
      <c r="B135" t="s">
        <v>622</v>
      </c>
      <c r="C135">
        <v>37.717450158997799</v>
      </c>
      <c r="D135">
        <v>2.65129269286365E-2</v>
      </c>
    </row>
    <row r="136" spans="1:4">
      <c r="A136" t="s">
        <v>623</v>
      </c>
      <c r="B136" t="s">
        <v>624</v>
      </c>
      <c r="C136">
        <v>8.75</v>
      </c>
      <c r="D136">
        <v>0.114285714285714</v>
      </c>
    </row>
    <row r="137" spans="1:4">
      <c r="A137" t="s">
        <v>625</v>
      </c>
      <c r="B137" t="s">
        <v>626</v>
      </c>
      <c r="C137">
        <v>7.8037175404981898E-4</v>
      </c>
      <c r="D137">
        <v>1281.440537552</v>
      </c>
    </row>
    <row r="138" spans="1:4">
      <c r="A138" t="s">
        <v>627</v>
      </c>
      <c r="B138" t="s">
        <v>628</v>
      </c>
      <c r="C138">
        <v>1</v>
      </c>
      <c r="D138">
        <v>1</v>
      </c>
    </row>
    <row r="139" spans="1:4">
      <c r="A139" t="s">
        <v>629</v>
      </c>
      <c r="B139" t="s">
        <v>630</v>
      </c>
      <c r="C139">
        <v>0.73549628525777999</v>
      </c>
      <c r="D139">
        <v>1.3596261735700099</v>
      </c>
    </row>
    <row r="140" spans="1:4">
      <c r="A140" t="s">
        <v>631</v>
      </c>
      <c r="B140" t="s">
        <v>632</v>
      </c>
      <c r="C140">
        <v>1471.6292955978799</v>
      </c>
      <c r="D140">
        <v>6.79518954257921E-4</v>
      </c>
    </row>
    <row r="141" spans="1:4">
      <c r="A141" t="s">
        <v>633</v>
      </c>
      <c r="B141" t="s">
        <v>634</v>
      </c>
      <c r="C141">
        <v>1.79</v>
      </c>
      <c r="D141">
        <v>0.55865921787709405</v>
      </c>
    </row>
    <row r="142" spans="1:4">
      <c r="A142" t="s">
        <v>635</v>
      </c>
      <c r="B142" t="s">
        <v>636</v>
      </c>
      <c r="C142">
        <v>96.290191819081002</v>
      </c>
      <c r="D142">
        <v>1.03852737346176E-2</v>
      </c>
    </row>
    <row r="143" spans="1:4">
      <c r="A143" t="s">
        <v>637</v>
      </c>
      <c r="B143" t="s">
        <v>638</v>
      </c>
      <c r="C143">
        <v>178.05588710078101</v>
      </c>
      <c r="D143">
        <v>5.6162141914127602E-3</v>
      </c>
    </row>
    <row r="144" spans="1:4">
      <c r="A144" t="s">
        <v>639</v>
      </c>
      <c r="B144" t="s">
        <v>640</v>
      </c>
      <c r="C144">
        <v>431.27796767299299</v>
      </c>
      <c r="D144">
        <v>2.3186902066794799E-3</v>
      </c>
    </row>
    <row r="145" spans="1:4">
      <c r="A145" t="s">
        <v>641</v>
      </c>
      <c r="B145" t="s">
        <v>642</v>
      </c>
      <c r="C145">
        <v>15</v>
      </c>
      <c r="D145">
        <v>6.6666666666666596E-2</v>
      </c>
    </row>
    <row r="146" spans="1:4">
      <c r="A146" t="s">
        <v>643</v>
      </c>
      <c r="B146" t="s">
        <v>644</v>
      </c>
      <c r="C146">
        <v>0.74780878045993404</v>
      </c>
      <c r="D146">
        <v>1.3372402492853199</v>
      </c>
    </row>
    <row r="147" spans="1:4">
      <c r="A147" t="s">
        <v>645</v>
      </c>
      <c r="B147" t="s">
        <v>646</v>
      </c>
      <c r="C147">
        <v>0.74780878045993404</v>
      </c>
      <c r="D147">
        <v>1.3372402492853199</v>
      </c>
    </row>
    <row r="148" spans="1:4">
      <c r="A148" t="s">
        <v>647</v>
      </c>
      <c r="B148" t="s">
        <v>648</v>
      </c>
      <c r="C148">
        <v>0.16666666599999999</v>
      </c>
      <c r="D148">
        <v>6.0000000240000002</v>
      </c>
    </row>
    <row r="149" spans="1:4">
      <c r="A149" t="s">
        <v>649</v>
      </c>
      <c r="B149" t="s">
        <v>650</v>
      </c>
      <c r="C149">
        <v>2.7419705537425498</v>
      </c>
      <c r="D149">
        <v>0.36470121775563402</v>
      </c>
    </row>
    <row r="150" spans="1:4">
      <c r="A150" t="s">
        <v>651</v>
      </c>
      <c r="B150" t="s">
        <v>652</v>
      </c>
      <c r="C150">
        <v>0.74780878045993404</v>
      </c>
      <c r="D150">
        <v>1.3372402492853199</v>
      </c>
    </row>
    <row r="151" spans="1:4">
      <c r="A151" t="s">
        <v>653</v>
      </c>
      <c r="B151" t="s">
        <v>654</v>
      </c>
      <c r="C151">
        <v>3.5063230181484601</v>
      </c>
      <c r="D151">
        <v>0.28519905177705301</v>
      </c>
    </row>
    <row r="152" spans="1:4">
      <c r="A152" t="s">
        <v>655</v>
      </c>
      <c r="B152" t="s">
        <v>656</v>
      </c>
      <c r="C152">
        <v>0.74780878045993404</v>
      </c>
      <c r="D152">
        <v>1.3372402492853199</v>
      </c>
    </row>
    <row r="153" spans="1:4">
      <c r="A153" t="s">
        <v>657</v>
      </c>
      <c r="B153" t="s">
        <v>658</v>
      </c>
      <c r="C153">
        <v>0.74780878045993404</v>
      </c>
      <c r="D153">
        <v>1.3372402492853199</v>
      </c>
    </row>
    <row r="154" spans="1:4">
      <c r="A154" t="s">
        <v>659</v>
      </c>
      <c r="B154" t="s">
        <v>660</v>
      </c>
      <c r="C154">
        <v>1.4270313105757899</v>
      </c>
      <c r="D154">
        <v>0.70075547227937895</v>
      </c>
    </row>
    <row r="155" spans="1:4">
      <c r="A155" t="s">
        <v>661</v>
      </c>
      <c r="B155" t="s">
        <v>662</v>
      </c>
      <c r="C155">
        <v>18.414104758952401</v>
      </c>
      <c r="D155">
        <v>5.4306196966421902E-2</v>
      </c>
    </row>
    <row r="156" spans="1:4">
      <c r="A156" t="s">
        <v>663</v>
      </c>
      <c r="B156" t="s">
        <v>664</v>
      </c>
      <c r="C156">
        <v>5.7159680303815898</v>
      </c>
      <c r="D156">
        <v>0.17494849423313499</v>
      </c>
    </row>
    <row r="157" spans="1:4">
      <c r="A157" t="s">
        <v>665</v>
      </c>
      <c r="B157" t="s">
        <v>665</v>
      </c>
      <c r="C157">
        <v>11.137885408659599</v>
      </c>
      <c r="D157">
        <v>8.9783649526731596E-2</v>
      </c>
    </row>
    <row r="158" spans="1:4">
      <c r="A158" t="s">
        <v>666</v>
      </c>
      <c r="B158" t="s">
        <v>666</v>
      </c>
      <c r="C158">
        <v>0.15117163203699599</v>
      </c>
      <c r="D158">
        <v>6.6149977117086802</v>
      </c>
    </row>
    <row r="159" spans="1:4">
      <c r="A159" t="s">
        <v>667</v>
      </c>
      <c r="B159" t="s">
        <v>668</v>
      </c>
      <c r="C159">
        <v>4.4295257836151104E-3</v>
      </c>
      <c r="D159">
        <v>225.75780091381699</v>
      </c>
    </row>
    <row r="160" spans="1:4">
      <c r="A160" t="s">
        <v>669</v>
      </c>
      <c r="B160" t="s">
        <v>669</v>
      </c>
      <c r="C160">
        <v>1.7393714764953299E-3</v>
      </c>
      <c r="D160">
        <v>574.92031662776503</v>
      </c>
    </row>
    <row r="161" spans="1:4">
      <c r="A161" t="s">
        <v>670</v>
      </c>
      <c r="B161" t="s">
        <v>671</v>
      </c>
      <c r="C161">
        <v>1.49977313356032E-5</v>
      </c>
      <c r="D161">
        <v>66676.751144760696</v>
      </c>
    </row>
    <row r="162" spans="1:4">
      <c r="A162" t="s">
        <v>672</v>
      </c>
      <c r="B162" t="s">
        <v>672</v>
      </c>
      <c r="C162">
        <v>2.3292410629964001E-2</v>
      </c>
      <c r="D162">
        <v>42.932439062943999</v>
      </c>
    </row>
    <row r="163" spans="1:4">
      <c r="A163" t="s">
        <v>673</v>
      </c>
      <c r="B163" t="s">
        <v>674</v>
      </c>
      <c r="C163">
        <v>6.7677161147581097</v>
      </c>
      <c r="D163">
        <v>0.147760334955441</v>
      </c>
    </row>
    <row r="164" spans="1:4">
      <c r="A164" t="s">
        <v>675</v>
      </c>
      <c r="B164" t="s">
        <v>675</v>
      </c>
      <c r="C164">
        <v>1.0000499334462201</v>
      </c>
      <c r="D164">
        <v>0.99995006904699901</v>
      </c>
    </row>
    <row r="165" spans="1:4">
      <c r="A165" t="s">
        <v>676</v>
      </c>
      <c r="B165" t="s">
        <v>677</v>
      </c>
      <c r="C165">
        <v>13.621397153826001</v>
      </c>
      <c r="D165">
        <v>7.3413908184823198E-2</v>
      </c>
    </row>
    <row r="166" spans="1:4">
      <c r="A166" t="s">
        <v>678</v>
      </c>
      <c r="B166" t="s">
        <v>679</v>
      </c>
      <c r="C166">
        <v>1.17843594432405</v>
      </c>
      <c r="D166">
        <v>0.84858239840401195</v>
      </c>
    </row>
    <row r="167" spans="1:4">
      <c r="A167" t="s">
        <v>680</v>
      </c>
      <c r="B167" t="s">
        <v>681</v>
      </c>
      <c r="C167">
        <v>5.1785911366898597E-4</v>
      </c>
      <c r="D167">
        <v>1931.02713383778</v>
      </c>
    </row>
    <row r="168" spans="1:4">
      <c r="A168" t="s">
        <v>682</v>
      </c>
      <c r="B168" t="s">
        <v>682</v>
      </c>
      <c r="C168">
        <v>0.87688368235223202</v>
      </c>
      <c r="D168">
        <v>1.1404021081992399</v>
      </c>
    </row>
    <row r="169" spans="1:4">
      <c r="A169" t="s">
        <v>683</v>
      </c>
      <c r="B169" t="s">
        <v>684</v>
      </c>
      <c r="C169">
        <v>0.11510936082968</v>
      </c>
      <c r="D169">
        <v>8.6873907803174095</v>
      </c>
    </row>
    <row r="170" spans="1:4">
      <c r="A170" t="s">
        <v>685</v>
      </c>
      <c r="B170" t="s">
        <v>686</v>
      </c>
      <c r="C170">
        <v>2.0903227834027802E-2</v>
      </c>
      <c r="D170">
        <v>47.839501532491802</v>
      </c>
    </row>
    <row r="171" spans="1:4">
      <c r="A171" t="s">
        <v>687</v>
      </c>
      <c r="B171" t="s">
        <v>688</v>
      </c>
      <c r="C171">
        <v>18.196932199151099</v>
      </c>
      <c r="D171">
        <v>5.49543180716279E-2</v>
      </c>
    </row>
    <row r="172" spans="1:4">
      <c r="A172" t="s">
        <v>689</v>
      </c>
      <c r="B172" t="s">
        <v>689</v>
      </c>
      <c r="C172">
        <v>1.97668917317999</v>
      </c>
      <c r="D172">
        <v>0.50589643205828405</v>
      </c>
    </row>
    <row r="173" spans="1:4">
      <c r="A173" t="s">
        <v>690</v>
      </c>
      <c r="B173" t="s">
        <v>690</v>
      </c>
      <c r="C173">
        <v>12.4260155261299</v>
      </c>
      <c r="D173">
        <v>8.0476319854676001E-2</v>
      </c>
    </row>
    <row r="174" spans="1:4">
      <c r="A174" t="s">
        <v>691</v>
      </c>
      <c r="B174" t="s">
        <v>692</v>
      </c>
      <c r="C174">
        <v>22.9146697033975</v>
      </c>
      <c r="D174">
        <v>4.3640166449867297E-2</v>
      </c>
    </row>
    <row r="175" spans="1:4">
      <c r="A175" t="s">
        <v>693</v>
      </c>
      <c r="B175" t="s">
        <v>693</v>
      </c>
      <c r="C175">
        <v>1.28080817565779E-2</v>
      </c>
      <c r="D175">
        <v>78.0757039973156</v>
      </c>
    </row>
    <row r="176" spans="1:4">
      <c r="A176" t="s">
        <v>694</v>
      </c>
      <c r="B176" t="s">
        <v>694</v>
      </c>
      <c r="C176">
        <v>4882.8544861747796</v>
      </c>
      <c r="D176">
        <v>2.04798238987333E-4</v>
      </c>
    </row>
    <row r="177" spans="1:4">
      <c r="A177" t="s">
        <v>695</v>
      </c>
      <c r="B177" t="s">
        <v>695</v>
      </c>
      <c r="C177">
        <v>3.0491608596272601</v>
      </c>
      <c r="D177">
        <v>0.32795908318272199</v>
      </c>
    </row>
    <row r="178" spans="1:4">
      <c r="A178" t="s">
        <v>696</v>
      </c>
      <c r="B178" t="s">
        <v>697</v>
      </c>
      <c r="C178">
        <v>0.272776791037873</v>
      </c>
      <c r="D178">
        <v>3.6660010413464899</v>
      </c>
    </row>
    <row r="179" spans="1:4">
      <c r="A179" t="s">
        <v>698</v>
      </c>
      <c r="B179" t="s">
        <v>698</v>
      </c>
      <c r="C179">
        <v>1.0000113723403199</v>
      </c>
      <c r="D179">
        <v>0.999988627788998</v>
      </c>
    </row>
    <row r="180" spans="1:4">
      <c r="A180" t="s">
        <v>699</v>
      </c>
      <c r="B180" t="s">
        <v>699</v>
      </c>
      <c r="C180">
        <v>1.0065135798426801</v>
      </c>
      <c r="D180">
        <v>0.99352857231821401</v>
      </c>
    </row>
    <row r="181" spans="1:4">
      <c r="A181" t="s">
        <v>700</v>
      </c>
      <c r="B181" t="s">
        <v>700</v>
      </c>
      <c r="C181">
        <v>1.00058011193521</v>
      </c>
      <c r="D181">
        <v>0.99942022439952904</v>
      </c>
    </row>
    <row r="182" spans="1:4">
      <c r="A182" t="s">
        <v>701</v>
      </c>
      <c r="B182" t="s">
        <v>701</v>
      </c>
      <c r="C182">
        <v>732.84807330184196</v>
      </c>
      <c r="D182">
        <v>1.36453930416233E-3</v>
      </c>
    </row>
    <row r="183" spans="1:4">
      <c r="A183" t="s">
        <v>702</v>
      </c>
      <c r="B183" t="s">
        <v>702</v>
      </c>
      <c r="C183">
        <v>1.49977313356032E-5</v>
      </c>
      <c r="D183">
        <v>66676.751144760696</v>
      </c>
    </row>
    <row r="184" spans="1:4">
      <c r="A184" t="s">
        <v>703</v>
      </c>
      <c r="B184" t="s">
        <v>704</v>
      </c>
      <c r="C184">
        <v>1.8023655518506101</v>
      </c>
      <c r="D184">
        <v>0.55482640520577597</v>
      </c>
    </row>
    <row r="185" spans="1:4">
      <c r="A185" t="s">
        <v>705</v>
      </c>
      <c r="B185" t="s">
        <v>706</v>
      </c>
      <c r="C185">
        <v>5.1854900765671399</v>
      </c>
      <c r="D185">
        <v>0.19284580343117899</v>
      </c>
    </row>
    <row r="186" spans="1:4">
      <c r="A186" t="s">
        <v>707</v>
      </c>
      <c r="B186" t="s">
        <v>708</v>
      </c>
      <c r="C186">
        <v>0.86638947825657697</v>
      </c>
      <c r="D186">
        <v>1.15421530973839</v>
      </c>
    </row>
    <row r="187" spans="1:4">
      <c r="A187" t="s">
        <v>709</v>
      </c>
      <c r="B187" t="s">
        <v>710</v>
      </c>
      <c r="C187">
        <v>26.926300212243699</v>
      </c>
      <c r="D187">
        <v>3.7138410851754698E-2</v>
      </c>
    </row>
    <row r="188" spans="1:4">
      <c r="A188" t="s">
        <v>700</v>
      </c>
      <c r="B188" t="s">
        <v>700</v>
      </c>
      <c r="C188">
        <v>0.99971060608045403</v>
      </c>
      <c r="D188">
        <v>1.0002894776926201</v>
      </c>
    </row>
    <row r="189" spans="1:4">
      <c r="A189" t="s">
        <v>701</v>
      </c>
      <c r="B189" t="s">
        <v>701</v>
      </c>
      <c r="C189">
        <v>481.62581268543801</v>
      </c>
      <c r="D189">
        <v>2.0763006750494101E-3</v>
      </c>
    </row>
    <row r="190" spans="1:4">
      <c r="A190" t="s">
        <v>702</v>
      </c>
      <c r="B190" t="s">
        <v>702</v>
      </c>
      <c r="C190">
        <v>1.25983615589311E-5</v>
      </c>
      <c r="D190">
        <v>79375.400945775196</v>
      </c>
    </row>
    <row r="191" spans="1:4">
      <c r="A191" t="s">
        <v>703</v>
      </c>
      <c r="B191" t="s">
        <v>704</v>
      </c>
      <c r="C191">
        <v>1.80163427835181</v>
      </c>
      <c r="D191">
        <v>0.55505160620879601</v>
      </c>
    </row>
    <row r="192" spans="1:4">
      <c r="A192" t="s">
        <v>705</v>
      </c>
      <c r="B192" t="s">
        <v>706</v>
      </c>
      <c r="C192">
        <v>5.5240243329343004</v>
      </c>
      <c r="D192">
        <v>0.18102744298897899</v>
      </c>
    </row>
    <row r="193" spans="1:4">
      <c r="A193" t="s">
        <v>707</v>
      </c>
      <c r="B193" t="s">
        <v>708</v>
      </c>
      <c r="C193">
        <v>0.68570580711712503</v>
      </c>
      <c r="D193">
        <v>1.4583513652950399</v>
      </c>
    </row>
    <row r="194" spans="1:4">
      <c r="A194" t="s">
        <v>709</v>
      </c>
      <c r="B194" t="s">
        <v>710</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1:E3239"/>
  <sheetViews>
    <sheetView topLeftCell="A313" workbookViewId="0">
      <selection activeCell="A344" sqref="A344"/>
    </sheetView>
  </sheetViews>
  <sheetFormatPr defaultRowHeight="14.4"/>
  <cols>
    <col min="1" max="1" width="37" style="34" customWidth="1"/>
    <col min="4" max="4" width="27.33203125" customWidth="1"/>
    <col min="5" max="5" width="14.5546875" customWidth="1"/>
  </cols>
  <sheetData>
    <row r="1" spans="1:5">
      <c r="A1" s="31" t="s">
        <v>19</v>
      </c>
      <c r="B1" s="76" t="s">
        <v>15</v>
      </c>
      <c r="C1" s="13" t="s">
        <v>711</v>
      </c>
      <c r="D1" s="76" t="s">
        <v>20</v>
      </c>
      <c r="E1" s="13" t="s">
        <v>21</v>
      </c>
    </row>
    <row r="2" spans="1:5">
      <c r="A2" s="32" t="s">
        <v>712</v>
      </c>
      <c r="B2" s="5" t="s">
        <v>10</v>
      </c>
      <c r="C2" s="5" t="s">
        <v>10</v>
      </c>
      <c r="D2" s="9" t="s">
        <v>358</v>
      </c>
      <c r="E2" s="9" t="s">
        <v>34</v>
      </c>
    </row>
    <row r="3" spans="1:5">
      <c r="A3" s="32" t="s">
        <v>713</v>
      </c>
      <c r="B3" s="5" t="s">
        <v>12</v>
      </c>
      <c r="C3" s="5" t="s">
        <v>12</v>
      </c>
      <c r="D3" s="9" t="s">
        <v>714</v>
      </c>
      <c r="E3" s="9" t="s">
        <v>715</v>
      </c>
    </row>
    <row r="4" spans="1:5">
      <c r="A4" s="32" t="s">
        <v>716</v>
      </c>
      <c r="B4" s="5" t="s">
        <v>10</v>
      </c>
      <c r="C4" s="5" t="s">
        <v>10</v>
      </c>
      <c r="D4" s="9" t="s">
        <v>714</v>
      </c>
      <c r="E4" s="9" t="s">
        <v>28</v>
      </c>
    </row>
    <row r="5" spans="1:5">
      <c r="A5" s="32" t="s">
        <v>717</v>
      </c>
      <c r="B5" s="5" t="s">
        <v>10</v>
      </c>
      <c r="C5" s="5" t="s">
        <v>10</v>
      </c>
      <c r="D5" s="9" t="s">
        <v>714</v>
      </c>
      <c r="E5" s="9" t="s">
        <v>28</v>
      </c>
    </row>
    <row r="6" spans="1:5">
      <c r="A6" s="32" t="s">
        <v>718</v>
      </c>
      <c r="B6" s="5" t="s">
        <v>12</v>
      </c>
      <c r="C6" s="5" t="s">
        <v>12</v>
      </c>
      <c r="D6" s="9" t="s">
        <v>62</v>
      </c>
      <c r="E6" s="9" t="s">
        <v>34</v>
      </c>
    </row>
    <row r="7" spans="1:5">
      <c r="A7" s="32" t="s">
        <v>719</v>
      </c>
      <c r="B7" s="5" t="s">
        <v>12</v>
      </c>
      <c r="C7" s="5" t="s">
        <v>12</v>
      </c>
      <c r="D7" s="9" t="s">
        <v>714</v>
      </c>
      <c r="E7" s="9" t="s">
        <v>34</v>
      </c>
    </row>
    <row r="8" spans="1:5">
      <c r="A8" s="32" t="s">
        <v>76</v>
      </c>
      <c r="B8" s="5" t="s">
        <v>11</v>
      </c>
      <c r="C8" s="5" t="s">
        <v>11</v>
      </c>
      <c r="D8" s="41" t="s">
        <v>720</v>
      </c>
      <c r="E8" s="9" t="s">
        <v>28</v>
      </c>
    </row>
    <row r="9" spans="1:5">
      <c r="A9" s="32" t="s">
        <v>721</v>
      </c>
      <c r="B9" s="5" t="s">
        <v>11</v>
      </c>
      <c r="C9" s="5" t="s">
        <v>11</v>
      </c>
      <c r="D9" s="9" t="s">
        <v>34</v>
      </c>
      <c r="E9" s="9" t="s">
        <v>63</v>
      </c>
    </row>
    <row r="10" spans="1:5">
      <c r="A10" s="77" t="s">
        <v>722</v>
      </c>
      <c r="B10" s="78" t="s">
        <v>9</v>
      </c>
      <c r="C10" s="5" t="s">
        <v>723</v>
      </c>
      <c r="D10" s="41" t="s">
        <v>724</v>
      </c>
      <c r="E10" s="9" t="s">
        <v>28</v>
      </c>
    </row>
    <row r="11" spans="1:5">
      <c r="A11" s="77" t="s">
        <v>725</v>
      </c>
      <c r="B11" s="78" t="s">
        <v>9</v>
      </c>
      <c r="C11" s="5" t="s">
        <v>723</v>
      </c>
      <c r="D11" s="41" t="s">
        <v>724</v>
      </c>
      <c r="E11" s="9" t="s">
        <v>28</v>
      </c>
    </row>
    <row r="12" spans="1:5">
      <c r="A12" s="32" t="s">
        <v>726</v>
      </c>
      <c r="B12" s="5" t="s">
        <v>10</v>
      </c>
      <c r="C12" s="5" t="s">
        <v>10</v>
      </c>
      <c r="D12" s="9" t="s">
        <v>714</v>
      </c>
      <c r="E12" s="9" t="s">
        <v>28</v>
      </c>
    </row>
    <row r="13" spans="1:5">
      <c r="A13" s="32" t="s">
        <v>345</v>
      </c>
      <c r="B13" s="5" t="s">
        <v>10</v>
      </c>
      <c r="C13" s="5" t="s">
        <v>10</v>
      </c>
      <c r="D13" s="9" t="s">
        <v>727</v>
      </c>
      <c r="E13" s="9" t="s">
        <v>63</v>
      </c>
    </row>
    <row r="14" spans="1:5">
      <c r="A14" s="32" t="s">
        <v>728</v>
      </c>
      <c r="B14" s="5" t="s">
        <v>11</v>
      </c>
      <c r="C14" s="5" t="s">
        <v>11</v>
      </c>
      <c r="D14" s="9" t="s">
        <v>729</v>
      </c>
      <c r="E14" s="9" t="s">
        <v>34</v>
      </c>
    </row>
    <row r="15" spans="1:5">
      <c r="A15" s="32" t="s">
        <v>730</v>
      </c>
      <c r="B15" s="5" t="s">
        <v>13</v>
      </c>
      <c r="C15" s="5" t="str">
        <f>B15</f>
        <v>MEA</v>
      </c>
      <c r="D15" s="9" t="s">
        <v>24</v>
      </c>
      <c r="E15" s="9" t="s">
        <v>353</v>
      </c>
    </row>
    <row r="16" spans="1:5">
      <c r="A16" s="32" t="s">
        <v>731</v>
      </c>
      <c r="B16" s="5" t="s">
        <v>732</v>
      </c>
      <c r="C16" s="5" t="s">
        <v>732</v>
      </c>
      <c r="D16" s="9" t="s">
        <v>733</v>
      </c>
      <c r="E16" s="9" t="s">
        <v>34</v>
      </c>
    </row>
    <row r="17" spans="1:5">
      <c r="A17" s="32" t="s">
        <v>734</v>
      </c>
      <c r="B17" s="5" t="s">
        <v>10</v>
      </c>
      <c r="C17" s="5" t="s">
        <v>10</v>
      </c>
      <c r="D17" s="9" t="s">
        <v>714</v>
      </c>
      <c r="E17" s="9" t="s">
        <v>28</v>
      </c>
    </row>
    <row r="18" spans="1:5" ht="28.8">
      <c r="A18" s="32" t="s">
        <v>735</v>
      </c>
      <c r="B18" s="5" t="s">
        <v>9</v>
      </c>
      <c r="C18" s="5" t="s">
        <v>736</v>
      </c>
      <c r="D18" s="9" t="s">
        <v>714</v>
      </c>
      <c r="E18" s="9" t="s">
        <v>34</v>
      </c>
    </row>
    <row r="19" spans="1:5" ht="28.8">
      <c r="A19" s="32" t="s">
        <v>737</v>
      </c>
      <c r="B19" s="5" t="s">
        <v>9</v>
      </c>
      <c r="C19" s="5" t="s">
        <v>736</v>
      </c>
      <c r="D19" s="9" t="s">
        <v>714</v>
      </c>
      <c r="E19" s="9" t="s">
        <v>34</v>
      </c>
    </row>
    <row r="20" spans="1:5" ht="28.8">
      <c r="A20" s="32" t="s">
        <v>738</v>
      </c>
      <c r="B20" s="5" t="s">
        <v>9</v>
      </c>
      <c r="C20" s="5" t="s">
        <v>736</v>
      </c>
      <c r="D20" s="9" t="s">
        <v>714</v>
      </c>
      <c r="E20" s="9" t="s">
        <v>34</v>
      </c>
    </row>
    <row r="21" spans="1:5" ht="28.8">
      <c r="A21" s="32" t="s">
        <v>739</v>
      </c>
      <c r="B21" s="5" t="s">
        <v>9</v>
      </c>
      <c r="C21" s="5" t="s">
        <v>736</v>
      </c>
      <c r="D21" s="9" t="s">
        <v>714</v>
      </c>
      <c r="E21" s="9" t="s">
        <v>34</v>
      </c>
    </row>
    <row r="22" spans="1:5">
      <c r="A22" s="77" t="s">
        <v>740</v>
      </c>
      <c r="B22" s="78" t="s">
        <v>9</v>
      </c>
      <c r="C22" s="5" t="s">
        <v>736</v>
      </c>
      <c r="D22" s="41" t="s">
        <v>724</v>
      </c>
      <c r="E22" s="9" t="s">
        <v>28</v>
      </c>
    </row>
    <row r="23" spans="1:5">
      <c r="A23" s="32" t="s">
        <v>741</v>
      </c>
      <c r="B23" s="5" t="s">
        <v>9</v>
      </c>
      <c r="C23" s="5" t="s">
        <v>736</v>
      </c>
      <c r="D23" s="41" t="s">
        <v>714</v>
      </c>
      <c r="E23" s="9" t="s">
        <v>34</v>
      </c>
    </row>
    <row r="24" spans="1:5">
      <c r="A24" s="32" t="s">
        <v>742</v>
      </c>
      <c r="B24" s="5" t="s">
        <v>10</v>
      </c>
      <c r="C24" s="5" t="s">
        <v>10</v>
      </c>
      <c r="D24" s="9" t="s">
        <v>714</v>
      </c>
      <c r="E24" s="9" t="s">
        <v>28</v>
      </c>
    </row>
    <row r="25" spans="1:5">
      <c r="A25" s="32" t="s">
        <v>743</v>
      </c>
      <c r="B25" s="5" t="s">
        <v>10</v>
      </c>
      <c r="C25" s="5" t="s">
        <v>10</v>
      </c>
      <c r="D25" s="9" t="s">
        <v>714</v>
      </c>
      <c r="E25" s="9" t="s">
        <v>28</v>
      </c>
    </row>
    <row r="26" spans="1:5">
      <c r="A26" s="32" t="s">
        <v>106</v>
      </c>
      <c r="B26" s="5" t="s">
        <v>10</v>
      </c>
      <c r="C26" s="5" t="s">
        <v>10</v>
      </c>
      <c r="D26" s="9" t="s">
        <v>727</v>
      </c>
      <c r="E26" s="9" t="s">
        <v>34</v>
      </c>
    </row>
    <row r="27" spans="1:5">
      <c r="A27" s="77" t="s">
        <v>275</v>
      </c>
      <c r="B27" s="78" t="s">
        <v>9</v>
      </c>
      <c r="C27" s="5" t="s">
        <v>736</v>
      </c>
      <c r="D27" s="9" t="s">
        <v>724</v>
      </c>
      <c r="E27" s="9" t="s">
        <v>34</v>
      </c>
    </row>
    <row r="28" spans="1:5">
      <c r="A28" s="77" t="s">
        <v>262</v>
      </c>
      <c r="B28" s="78" t="s">
        <v>9</v>
      </c>
      <c r="C28" s="5" t="s">
        <v>736</v>
      </c>
      <c r="D28" s="9" t="s">
        <v>724</v>
      </c>
      <c r="E28" s="9" t="s">
        <v>34</v>
      </c>
    </row>
    <row r="29" spans="1:5">
      <c r="A29" s="32" t="s">
        <v>744</v>
      </c>
      <c r="B29" s="5" t="s">
        <v>13</v>
      </c>
      <c r="C29" s="5" t="str">
        <f>B29</f>
        <v>MEA</v>
      </c>
      <c r="D29" s="9" t="s">
        <v>24</v>
      </c>
      <c r="E29" s="9" t="s">
        <v>353</v>
      </c>
    </row>
    <row r="30" spans="1:5">
      <c r="A30" s="32" t="s">
        <v>745</v>
      </c>
      <c r="B30" s="5" t="s">
        <v>11</v>
      </c>
      <c r="C30" s="5" t="s">
        <v>17</v>
      </c>
      <c r="D30" s="9" t="s">
        <v>746</v>
      </c>
      <c r="E30" s="6" t="s">
        <v>715</v>
      </c>
    </row>
    <row r="31" spans="1:5">
      <c r="A31" s="33" t="s">
        <v>747</v>
      </c>
      <c r="B31" s="5" t="s">
        <v>9</v>
      </c>
      <c r="C31" s="5" t="s">
        <v>723</v>
      </c>
      <c r="D31" s="41" t="s">
        <v>748</v>
      </c>
      <c r="E31" s="9" t="s">
        <v>28</v>
      </c>
    </row>
    <row r="32" spans="1:5">
      <c r="A32" s="33" t="s">
        <v>749</v>
      </c>
      <c r="B32" s="5" t="s">
        <v>11</v>
      </c>
      <c r="C32" s="5" t="s">
        <v>17</v>
      </c>
      <c r="D32" s="9" t="s">
        <v>714</v>
      </c>
      <c r="E32" s="9" t="s">
        <v>65</v>
      </c>
    </row>
    <row r="33" spans="1:5">
      <c r="A33" s="33" t="s">
        <v>750</v>
      </c>
      <c r="B33" s="5" t="s">
        <v>10</v>
      </c>
      <c r="C33" s="5" t="s">
        <v>10</v>
      </c>
      <c r="D33" s="9" t="s">
        <v>714</v>
      </c>
      <c r="E33" s="9" t="s">
        <v>28</v>
      </c>
    </row>
    <row r="34" spans="1:5">
      <c r="A34" s="33" t="s">
        <v>751</v>
      </c>
      <c r="B34" s="5" t="s">
        <v>11</v>
      </c>
      <c r="C34" s="5" t="s">
        <v>11</v>
      </c>
      <c r="D34" s="9" t="s">
        <v>752</v>
      </c>
      <c r="E34" s="9" t="s">
        <v>28</v>
      </c>
    </row>
    <row r="35" spans="1:5">
      <c r="A35" s="33" t="s">
        <v>753</v>
      </c>
      <c r="B35" s="5" t="s">
        <v>10</v>
      </c>
      <c r="C35" s="5" t="s">
        <v>10</v>
      </c>
      <c r="D35" s="9" t="s">
        <v>714</v>
      </c>
      <c r="E35" s="9" t="s">
        <v>754</v>
      </c>
    </row>
    <row r="36" spans="1:5">
      <c r="A36" s="33" t="s">
        <v>343</v>
      </c>
      <c r="B36" s="5" t="s">
        <v>10</v>
      </c>
      <c r="C36" s="5" t="s">
        <v>10</v>
      </c>
      <c r="D36" s="9" t="s">
        <v>358</v>
      </c>
      <c r="E36" s="9" t="s">
        <v>28</v>
      </c>
    </row>
    <row r="37" spans="1:5">
      <c r="A37" s="33" t="s">
        <v>755</v>
      </c>
      <c r="B37" s="5" t="s">
        <v>11</v>
      </c>
      <c r="C37" s="71" t="s">
        <v>756</v>
      </c>
      <c r="D37" s="9" t="s">
        <v>729</v>
      </c>
      <c r="E37" s="9" t="s">
        <v>63</v>
      </c>
    </row>
    <row r="38" spans="1:5">
      <c r="A38" s="33" t="s">
        <v>757</v>
      </c>
      <c r="B38" s="5" t="s">
        <v>10</v>
      </c>
      <c r="C38" s="5" t="s">
        <v>10</v>
      </c>
      <c r="D38" s="9" t="s">
        <v>27</v>
      </c>
      <c r="E38" s="9" t="s">
        <v>28</v>
      </c>
    </row>
    <row r="39" spans="1:5">
      <c r="A39" s="33" t="s">
        <v>26</v>
      </c>
      <c r="B39" s="5" t="s">
        <v>10</v>
      </c>
      <c r="C39" s="5" t="s">
        <v>10</v>
      </c>
      <c r="D39" s="9" t="s">
        <v>27</v>
      </c>
      <c r="E39" s="9" t="s">
        <v>28</v>
      </c>
    </row>
    <row r="40" spans="1:5">
      <c r="A40" s="33" t="s">
        <v>117</v>
      </c>
      <c r="B40" s="5" t="s">
        <v>10</v>
      </c>
      <c r="C40" s="5" t="s">
        <v>10</v>
      </c>
      <c r="D40" s="9" t="s">
        <v>727</v>
      </c>
      <c r="E40" s="9" t="s">
        <v>63</v>
      </c>
    </row>
    <row r="41" spans="1:5">
      <c r="A41" s="33" t="s">
        <v>758</v>
      </c>
      <c r="B41" s="5" t="s">
        <v>12</v>
      </c>
      <c r="C41" s="5" t="s">
        <v>12</v>
      </c>
      <c r="D41" s="9" t="s">
        <v>714</v>
      </c>
      <c r="E41" s="9" t="s">
        <v>33</v>
      </c>
    </row>
    <row r="42" spans="1:5">
      <c r="A42" s="33" t="s">
        <v>759</v>
      </c>
      <c r="B42" s="5" t="s">
        <v>13</v>
      </c>
      <c r="C42" s="5" t="str">
        <f>B42</f>
        <v>MEA</v>
      </c>
      <c r="D42" s="9" t="s">
        <v>24</v>
      </c>
      <c r="E42" s="9" t="s">
        <v>25</v>
      </c>
    </row>
    <row r="43" spans="1:5">
      <c r="A43" s="33" t="s">
        <v>760</v>
      </c>
      <c r="B43" s="5" t="s">
        <v>12</v>
      </c>
      <c r="C43" s="5" t="s">
        <v>12</v>
      </c>
      <c r="D43" s="14" t="s">
        <v>33</v>
      </c>
      <c r="E43" s="9" t="s">
        <v>28</v>
      </c>
    </row>
    <row r="44" spans="1:5">
      <c r="A44" s="33" t="s">
        <v>761</v>
      </c>
      <c r="B44" s="5" t="s">
        <v>10</v>
      </c>
      <c r="C44" s="5" t="s">
        <v>10</v>
      </c>
      <c r="D44" s="72" t="s">
        <v>358</v>
      </c>
      <c r="E44" s="9" t="s">
        <v>28</v>
      </c>
    </row>
    <row r="45" spans="1:5">
      <c r="A45" s="33" t="s">
        <v>762</v>
      </c>
      <c r="B45" s="5" t="s">
        <v>13</v>
      </c>
      <c r="C45" s="5" t="str">
        <f>B45</f>
        <v>MEA</v>
      </c>
      <c r="D45" s="9" t="s">
        <v>24</v>
      </c>
      <c r="E45" s="9" t="s">
        <v>763</v>
      </c>
    </row>
    <row r="46" spans="1:5">
      <c r="A46" s="36" t="s">
        <v>764</v>
      </c>
      <c r="B46" s="78" t="s">
        <v>9</v>
      </c>
      <c r="C46" s="5" t="s">
        <v>736</v>
      </c>
      <c r="D46" s="41" t="s">
        <v>765</v>
      </c>
      <c r="E46" s="9" t="s">
        <v>766</v>
      </c>
    </row>
    <row r="47" spans="1:5">
      <c r="A47" s="33" t="s">
        <v>750</v>
      </c>
      <c r="B47" s="5" t="s">
        <v>10</v>
      </c>
      <c r="C47" s="5" t="s">
        <v>10</v>
      </c>
      <c r="D47" s="9" t="s">
        <v>767</v>
      </c>
      <c r="E47" s="9" t="s">
        <v>28</v>
      </c>
    </row>
    <row r="48" spans="1:5">
      <c r="A48" s="33" t="s">
        <v>313</v>
      </c>
      <c r="B48" s="5" t="s">
        <v>10</v>
      </c>
      <c r="C48" s="5" t="s">
        <v>10</v>
      </c>
      <c r="D48" s="9" t="s">
        <v>767</v>
      </c>
      <c r="E48" s="9" t="s">
        <v>28</v>
      </c>
    </row>
    <row r="49" spans="1:5">
      <c r="A49" s="33" t="s">
        <v>74</v>
      </c>
      <c r="B49" s="5" t="s">
        <v>10</v>
      </c>
      <c r="C49" s="5" t="s">
        <v>10</v>
      </c>
      <c r="D49" s="9" t="s">
        <v>714</v>
      </c>
      <c r="E49" s="9" t="s">
        <v>28</v>
      </c>
    </row>
    <row r="50" spans="1:5">
      <c r="A50" s="33" t="s">
        <v>768</v>
      </c>
      <c r="B50" s="5" t="s">
        <v>10</v>
      </c>
      <c r="C50" s="5" t="s">
        <v>10</v>
      </c>
      <c r="D50" s="9" t="s">
        <v>27</v>
      </c>
      <c r="E50" s="9" t="s">
        <v>28</v>
      </c>
    </row>
    <row r="51" spans="1:5">
      <c r="A51" s="33" t="s">
        <v>75</v>
      </c>
      <c r="B51" s="5" t="s">
        <v>11</v>
      </c>
      <c r="C51" s="5" t="s">
        <v>11</v>
      </c>
      <c r="D51" s="9" t="s">
        <v>729</v>
      </c>
      <c r="E51" s="9" t="s">
        <v>28</v>
      </c>
    </row>
    <row r="52" spans="1:5" ht="28.8">
      <c r="A52" s="33" t="s">
        <v>769</v>
      </c>
      <c r="B52" s="5" t="s">
        <v>13</v>
      </c>
      <c r="C52" s="5" t="str">
        <f>B52</f>
        <v>MEA</v>
      </c>
      <c r="D52" s="9" t="s">
        <v>24</v>
      </c>
      <c r="E52" s="9" t="s">
        <v>25</v>
      </c>
    </row>
    <row r="53" spans="1:5">
      <c r="A53" s="33" t="s">
        <v>770</v>
      </c>
      <c r="B53" s="5" t="s">
        <v>9</v>
      </c>
      <c r="C53" s="5" t="s">
        <v>723</v>
      </c>
      <c r="D53" s="9" t="s">
        <v>714</v>
      </c>
      <c r="E53" s="9" t="s">
        <v>771</v>
      </c>
    </row>
    <row r="54" spans="1:5">
      <c r="A54" s="33" t="s">
        <v>772</v>
      </c>
      <c r="B54" s="5" t="s">
        <v>10</v>
      </c>
      <c r="C54" s="5" t="s">
        <v>10</v>
      </c>
      <c r="D54" s="9" t="s">
        <v>767</v>
      </c>
      <c r="E54" s="9" t="s">
        <v>28</v>
      </c>
    </row>
    <row r="55" spans="1:5" ht="28.8">
      <c r="A55" s="33" t="s">
        <v>773</v>
      </c>
      <c r="B55" s="5" t="s">
        <v>12</v>
      </c>
      <c r="C55" s="5" t="s">
        <v>12</v>
      </c>
      <c r="D55" s="9" t="s">
        <v>62</v>
      </c>
      <c r="E55" s="9" t="s">
        <v>65</v>
      </c>
    </row>
    <row r="56" spans="1:5">
      <c r="A56" s="36" t="s">
        <v>774</v>
      </c>
      <c r="B56" s="78" t="s">
        <v>9</v>
      </c>
      <c r="C56" s="5" t="s">
        <v>736</v>
      </c>
      <c r="D56" s="41" t="s">
        <v>765</v>
      </c>
      <c r="E56" s="9" t="s">
        <v>28</v>
      </c>
    </row>
    <row r="57" spans="1:5">
      <c r="A57" s="36" t="s">
        <v>740</v>
      </c>
      <c r="B57" s="78" t="s">
        <v>9</v>
      </c>
      <c r="C57" s="5" t="s">
        <v>736</v>
      </c>
      <c r="D57" s="41" t="s">
        <v>765</v>
      </c>
      <c r="E57" s="9" t="s">
        <v>28</v>
      </c>
    </row>
    <row r="58" spans="1:5">
      <c r="A58" s="36" t="s">
        <v>775</v>
      </c>
      <c r="B58" s="78" t="s">
        <v>9</v>
      </c>
      <c r="C58" s="5" t="s">
        <v>736</v>
      </c>
      <c r="D58" s="41" t="s">
        <v>765</v>
      </c>
      <c r="E58" s="9" t="s">
        <v>28</v>
      </c>
    </row>
    <row r="59" spans="1:5">
      <c r="A59" s="36" t="s">
        <v>776</v>
      </c>
      <c r="B59" s="78" t="s">
        <v>9</v>
      </c>
      <c r="C59" s="5" t="s">
        <v>723</v>
      </c>
      <c r="D59" s="41" t="s">
        <v>765</v>
      </c>
      <c r="E59" s="9" t="s">
        <v>28</v>
      </c>
    </row>
    <row r="60" spans="1:5">
      <c r="A60" s="33" t="s">
        <v>777</v>
      </c>
      <c r="B60" s="5" t="s">
        <v>10</v>
      </c>
      <c r="C60" s="5" t="s">
        <v>10</v>
      </c>
      <c r="D60" s="9" t="s">
        <v>714</v>
      </c>
      <c r="E60" s="9" t="s">
        <v>353</v>
      </c>
    </row>
    <row r="61" spans="1:5">
      <c r="A61" s="33" t="s">
        <v>778</v>
      </c>
      <c r="B61" s="5" t="s">
        <v>11</v>
      </c>
      <c r="C61" s="5" t="s">
        <v>11</v>
      </c>
      <c r="D61" s="41" t="s">
        <v>779</v>
      </c>
      <c r="E61" s="9" t="s">
        <v>28</v>
      </c>
    </row>
    <row r="62" spans="1:5">
      <c r="A62" s="33" t="s">
        <v>751</v>
      </c>
      <c r="B62" s="5" t="s">
        <v>11</v>
      </c>
      <c r="C62" s="5" t="s">
        <v>11</v>
      </c>
      <c r="D62" s="9" t="s">
        <v>752</v>
      </c>
      <c r="E62" s="9" t="s">
        <v>28</v>
      </c>
    </row>
    <row r="63" spans="1:5">
      <c r="A63" s="36" t="s">
        <v>780</v>
      </c>
      <c r="B63" s="78" t="s">
        <v>9</v>
      </c>
      <c r="C63" s="5" t="s">
        <v>723</v>
      </c>
      <c r="D63" s="9" t="s">
        <v>724</v>
      </c>
      <c r="E63" s="9" t="s">
        <v>781</v>
      </c>
    </row>
    <row r="64" spans="1:5">
      <c r="A64" s="33" t="s">
        <v>753</v>
      </c>
      <c r="B64" s="5" t="s">
        <v>10</v>
      </c>
      <c r="C64" s="5" t="s">
        <v>10</v>
      </c>
      <c r="D64" s="9" t="s">
        <v>714</v>
      </c>
      <c r="E64" s="9" t="s">
        <v>754</v>
      </c>
    </row>
    <row r="65" spans="1:5">
      <c r="A65" s="33" t="s">
        <v>742</v>
      </c>
      <c r="B65" s="5" t="s">
        <v>10</v>
      </c>
      <c r="C65" s="5" t="s">
        <v>10</v>
      </c>
      <c r="D65" s="9" t="s">
        <v>714</v>
      </c>
      <c r="E65" s="9" t="s">
        <v>28</v>
      </c>
    </row>
    <row r="66" spans="1:5">
      <c r="A66" s="33" t="s">
        <v>782</v>
      </c>
      <c r="B66" s="5" t="s">
        <v>10</v>
      </c>
      <c r="C66" s="5" t="s">
        <v>10</v>
      </c>
      <c r="D66" s="9" t="s">
        <v>767</v>
      </c>
      <c r="E66" s="9" t="s">
        <v>28</v>
      </c>
    </row>
    <row r="67" spans="1:5">
      <c r="A67" s="33" t="s">
        <v>783</v>
      </c>
      <c r="B67" s="5" t="s">
        <v>12</v>
      </c>
      <c r="C67" s="5" t="s">
        <v>12</v>
      </c>
      <c r="D67" s="9" t="s">
        <v>33</v>
      </c>
      <c r="E67" s="9" t="s">
        <v>771</v>
      </c>
    </row>
    <row r="68" spans="1:5" ht="28.8">
      <c r="A68" s="33" t="s">
        <v>784</v>
      </c>
      <c r="B68" s="5" t="s">
        <v>13</v>
      </c>
      <c r="C68" s="5" t="str">
        <f>B68</f>
        <v>MEA</v>
      </c>
      <c r="D68" s="9" t="s">
        <v>24</v>
      </c>
      <c r="E68" s="9" t="s">
        <v>25</v>
      </c>
    </row>
    <row r="69" spans="1:5">
      <c r="A69" s="33" t="s">
        <v>338</v>
      </c>
      <c r="B69" s="5" t="s">
        <v>10</v>
      </c>
      <c r="C69" s="5" t="s">
        <v>10</v>
      </c>
      <c r="D69" s="9" t="s">
        <v>27</v>
      </c>
      <c r="E69" s="9" t="s">
        <v>28</v>
      </c>
    </row>
    <row r="70" spans="1:5">
      <c r="A70" s="33" t="s">
        <v>785</v>
      </c>
      <c r="B70" s="5" t="s">
        <v>10</v>
      </c>
      <c r="C70" s="5" t="s">
        <v>10</v>
      </c>
      <c r="D70" s="9" t="s">
        <v>767</v>
      </c>
      <c r="E70" s="9" t="s">
        <v>28</v>
      </c>
    </row>
    <row r="71" spans="1:5">
      <c r="A71" s="33" t="s">
        <v>726</v>
      </c>
      <c r="B71" s="5" t="s">
        <v>10</v>
      </c>
      <c r="C71" s="5" t="s">
        <v>10</v>
      </c>
      <c r="D71" s="9" t="s">
        <v>714</v>
      </c>
      <c r="E71" s="9" t="s">
        <v>28</v>
      </c>
    </row>
    <row r="72" spans="1:5">
      <c r="A72" s="33" t="s">
        <v>91</v>
      </c>
      <c r="B72" s="5" t="s">
        <v>11</v>
      </c>
      <c r="C72" s="5" t="s">
        <v>11</v>
      </c>
      <c r="D72" s="9" t="s">
        <v>786</v>
      </c>
      <c r="E72" s="9" t="s">
        <v>63</v>
      </c>
    </row>
    <row r="73" spans="1:5" ht="28.8">
      <c r="A73" s="33" t="s">
        <v>787</v>
      </c>
      <c r="B73" s="5" t="s">
        <v>11</v>
      </c>
      <c r="C73" s="5" t="s">
        <v>11</v>
      </c>
      <c r="D73" s="41" t="s">
        <v>720</v>
      </c>
      <c r="E73" s="9" t="s">
        <v>788</v>
      </c>
    </row>
    <row r="74" spans="1:5">
      <c r="A74" s="36" t="s">
        <v>181</v>
      </c>
      <c r="B74" s="78" t="s">
        <v>9</v>
      </c>
      <c r="C74" s="5" t="s">
        <v>723</v>
      </c>
      <c r="D74" s="69" t="s">
        <v>724</v>
      </c>
      <c r="E74" s="9" t="s">
        <v>771</v>
      </c>
    </row>
    <row r="75" spans="1:5">
      <c r="A75" s="33" t="s">
        <v>789</v>
      </c>
      <c r="B75" s="5" t="s">
        <v>11</v>
      </c>
      <c r="C75" s="5" t="s">
        <v>11</v>
      </c>
      <c r="D75" s="41" t="s">
        <v>752</v>
      </c>
      <c r="E75" s="9" t="s">
        <v>28</v>
      </c>
    </row>
    <row r="76" spans="1:5">
      <c r="A76" s="33" t="s">
        <v>345</v>
      </c>
      <c r="B76" s="5" t="s">
        <v>10</v>
      </c>
      <c r="C76" s="5" t="s">
        <v>10</v>
      </c>
      <c r="D76" s="9" t="s">
        <v>727</v>
      </c>
      <c r="E76" s="9" t="s">
        <v>34</v>
      </c>
    </row>
    <row r="77" spans="1:5">
      <c r="A77" s="33" t="s">
        <v>106</v>
      </c>
      <c r="B77" s="5" t="s">
        <v>10</v>
      </c>
      <c r="C77" s="5" t="s">
        <v>10</v>
      </c>
      <c r="D77" s="9" t="s">
        <v>727</v>
      </c>
      <c r="E77" s="9" t="s">
        <v>34</v>
      </c>
    </row>
    <row r="78" spans="1:5">
      <c r="A78" s="33" t="s">
        <v>249</v>
      </c>
      <c r="B78" s="5" t="s">
        <v>11</v>
      </c>
      <c r="C78" s="5" t="s">
        <v>17</v>
      </c>
      <c r="D78" s="9" t="s">
        <v>746</v>
      </c>
      <c r="E78" s="6" t="s">
        <v>790</v>
      </c>
    </row>
    <row r="79" spans="1:5">
      <c r="A79" s="77" t="s">
        <v>791</v>
      </c>
      <c r="B79" s="78" t="s">
        <v>9</v>
      </c>
      <c r="C79" s="5" t="s">
        <v>723</v>
      </c>
      <c r="D79" s="9" t="s">
        <v>724</v>
      </c>
      <c r="E79" s="9" t="s">
        <v>34</v>
      </c>
    </row>
    <row r="80" spans="1:5">
      <c r="A80" s="32" t="s">
        <v>792</v>
      </c>
      <c r="B80" s="5" t="s">
        <v>12</v>
      </c>
      <c r="C80" s="5" t="s">
        <v>12</v>
      </c>
      <c r="D80" s="9" t="s">
        <v>714</v>
      </c>
      <c r="E80" s="9" t="s">
        <v>65</v>
      </c>
    </row>
    <row r="81" spans="1:5">
      <c r="A81" s="32" t="s">
        <v>277</v>
      </c>
      <c r="B81" s="5" t="s">
        <v>10</v>
      </c>
      <c r="C81" s="5" t="s">
        <v>10</v>
      </c>
      <c r="D81" s="9" t="s">
        <v>358</v>
      </c>
      <c r="E81" s="9" t="s">
        <v>34</v>
      </c>
    </row>
    <row r="82" spans="1:5">
      <c r="A82" s="32" t="s">
        <v>793</v>
      </c>
      <c r="B82" s="5" t="s">
        <v>11</v>
      </c>
      <c r="C82" s="5" t="s">
        <v>17</v>
      </c>
      <c r="D82" t="s">
        <v>779</v>
      </c>
      <c r="E82" s="9" t="s">
        <v>34</v>
      </c>
    </row>
    <row r="83" spans="1:5">
      <c r="A83" s="77" t="s">
        <v>264</v>
      </c>
      <c r="B83" s="78" t="s">
        <v>9</v>
      </c>
      <c r="C83" s="5" t="s">
        <v>736</v>
      </c>
      <c r="D83" s="9" t="s">
        <v>724</v>
      </c>
      <c r="E83" s="9" t="s">
        <v>34</v>
      </c>
    </row>
    <row r="84" spans="1:5">
      <c r="A84" s="77" t="s">
        <v>265</v>
      </c>
      <c r="B84" s="78" t="s">
        <v>9</v>
      </c>
      <c r="C84" s="5" t="s">
        <v>736</v>
      </c>
      <c r="D84" s="9" t="s">
        <v>724</v>
      </c>
      <c r="E84" s="9" t="s">
        <v>34</v>
      </c>
    </row>
    <row r="85" spans="1:5">
      <c r="A85" s="77" t="s">
        <v>275</v>
      </c>
      <c r="B85" s="78" t="s">
        <v>9</v>
      </c>
      <c r="C85" s="5" t="s">
        <v>736</v>
      </c>
      <c r="D85" s="9" t="s">
        <v>724</v>
      </c>
      <c r="E85" s="9" t="s">
        <v>34</v>
      </c>
    </row>
    <row r="86" spans="1:5">
      <c r="A86" s="32" t="s">
        <v>280</v>
      </c>
      <c r="B86" s="5" t="s">
        <v>11</v>
      </c>
      <c r="C86" s="5" t="s">
        <v>17</v>
      </c>
      <c r="D86" t="s">
        <v>720</v>
      </c>
      <c r="E86" s="9" t="s">
        <v>65</v>
      </c>
    </row>
    <row r="87" spans="1:5">
      <c r="A87" s="41" t="s">
        <v>167</v>
      </c>
      <c r="B87" s="5" t="s">
        <v>11</v>
      </c>
      <c r="C87" s="5" t="s">
        <v>17</v>
      </c>
      <c r="D87" s="41" t="s">
        <v>794</v>
      </c>
      <c r="E87" s="9" t="s">
        <v>65</v>
      </c>
    </row>
    <row r="88" spans="1:5">
      <c r="A88" s="32" t="s">
        <v>795</v>
      </c>
      <c r="B88" s="9" t="s">
        <v>732</v>
      </c>
      <c r="C88" s="5" t="s">
        <v>732</v>
      </c>
      <c r="D88" s="9" t="s">
        <v>796</v>
      </c>
      <c r="E88" s="9" t="s">
        <v>796</v>
      </c>
    </row>
    <row r="89" spans="1:5">
      <c r="A89" s="32" t="s">
        <v>273</v>
      </c>
      <c r="B89" s="5" t="s">
        <v>12</v>
      </c>
      <c r="C89" s="5" t="s">
        <v>12</v>
      </c>
      <c r="D89" s="9" t="s">
        <v>62</v>
      </c>
      <c r="E89" s="6" t="s">
        <v>797</v>
      </c>
    </row>
    <row r="90" spans="1:5">
      <c r="A90" s="77" t="s">
        <v>262</v>
      </c>
      <c r="B90" s="78" t="s">
        <v>9</v>
      </c>
      <c r="C90" s="5" t="s">
        <v>736</v>
      </c>
      <c r="D90" s="9" t="s">
        <v>724</v>
      </c>
      <c r="E90" s="9" t="s">
        <v>34</v>
      </c>
    </row>
    <row r="91" spans="1:5">
      <c r="A91" s="32" t="s">
        <v>798</v>
      </c>
      <c r="B91" s="5" t="s">
        <v>10</v>
      </c>
      <c r="C91" s="5" t="s">
        <v>10</v>
      </c>
      <c r="D91" s="69" t="s">
        <v>799</v>
      </c>
      <c r="E91" s="9" t="s">
        <v>34</v>
      </c>
    </row>
    <row r="92" spans="1:5">
      <c r="A92" s="32" t="s">
        <v>800</v>
      </c>
      <c r="B92" s="5" t="s">
        <v>10</v>
      </c>
      <c r="C92" s="5" t="s">
        <v>10</v>
      </c>
      <c r="D92" s="9" t="s">
        <v>801</v>
      </c>
      <c r="E92" s="9" t="s">
        <v>801</v>
      </c>
    </row>
    <row r="93" spans="1:5">
      <c r="A93" s="77" t="s">
        <v>272</v>
      </c>
      <c r="B93" s="78" t="s">
        <v>9</v>
      </c>
      <c r="C93" s="5" t="s">
        <v>736</v>
      </c>
      <c r="D93" s="69" t="s">
        <v>724</v>
      </c>
      <c r="E93" s="9" t="s">
        <v>715</v>
      </c>
    </row>
    <row r="94" spans="1:5">
      <c r="A94" s="32" t="s">
        <v>744</v>
      </c>
      <c r="B94" s="5" t="s">
        <v>13</v>
      </c>
      <c r="C94" s="5" t="str">
        <f t="shared" ref="C94:C95" si="0">B94</f>
        <v>MEA</v>
      </c>
      <c r="D94" s="9" t="s">
        <v>24</v>
      </c>
      <c r="E94" s="9" t="s">
        <v>353</v>
      </c>
    </row>
    <row r="95" spans="1:5">
      <c r="A95" s="32" t="s">
        <v>730</v>
      </c>
      <c r="B95" s="5" t="s">
        <v>13</v>
      </c>
      <c r="C95" s="5" t="str">
        <f t="shared" si="0"/>
        <v>MEA</v>
      </c>
      <c r="D95" s="9" t="s">
        <v>24</v>
      </c>
      <c r="E95" s="9" t="s">
        <v>353</v>
      </c>
    </row>
    <row r="96" spans="1:5">
      <c r="A96" s="32" t="s">
        <v>206</v>
      </c>
      <c r="B96" s="5" t="s">
        <v>11</v>
      </c>
      <c r="C96" s="5" t="s">
        <v>11</v>
      </c>
      <c r="D96" s="9" t="s">
        <v>786</v>
      </c>
      <c r="E96" s="9" t="s">
        <v>63</v>
      </c>
    </row>
    <row r="97" spans="1:5">
      <c r="A97" s="32" t="s">
        <v>802</v>
      </c>
      <c r="B97" s="5" t="s">
        <v>12</v>
      </c>
      <c r="C97" s="5" t="s">
        <v>12</v>
      </c>
      <c r="D97" s="69" t="s">
        <v>714</v>
      </c>
      <c r="E97" s="6" t="s">
        <v>31</v>
      </c>
    </row>
    <row r="98" spans="1:5">
      <c r="A98" s="32" t="s">
        <v>803</v>
      </c>
      <c r="B98" s="5" t="s">
        <v>10</v>
      </c>
      <c r="C98" s="5" t="s">
        <v>10</v>
      </c>
      <c r="D98" s="69" t="s">
        <v>27</v>
      </c>
      <c r="E98" s="9" t="s">
        <v>28</v>
      </c>
    </row>
    <row r="99" spans="1:5">
      <c r="A99" s="32" t="s">
        <v>804</v>
      </c>
      <c r="B99" s="5" t="s">
        <v>12</v>
      </c>
      <c r="C99" s="5" t="s">
        <v>12</v>
      </c>
      <c r="D99" s="9" t="s">
        <v>714</v>
      </c>
      <c r="E99" s="6" t="s">
        <v>715</v>
      </c>
    </row>
    <row r="100" spans="1:5">
      <c r="A100" s="32" t="s">
        <v>721</v>
      </c>
      <c r="B100" s="5" t="s">
        <v>11</v>
      </c>
      <c r="C100" s="5" t="s">
        <v>11</v>
      </c>
      <c r="D100" s="9" t="s">
        <v>34</v>
      </c>
      <c r="E100" s="9" t="s">
        <v>63</v>
      </c>
    </row>
    <row r="101" spans="1:5">
      <c r="A101" s="32" t="s">
        <v>805</v>
      </c>
      <c r="B101" s="5" t="s">
        <v>12</v>
      </c>
      <c r="C101" s="5" t="s">
        <v>12</v>
      </c>
      <c r="D101" s="9" t="s">
        <v>62</v>
      </c>
      <c r="E101" s="6" t="s">
        <v>797</v>
      </c>
    </row>
    <row r="102" spans="1:5">
      <c r="A102" s="32" t="s">
        <v>806</v>
      </c>
      <c r="B102" s="5" t="s">
        <v>10</v>
      </c>
      <c r="C102" s="5" t="s">
        <v>10</v>
      </c>
      <c r="D102" s="9" t="s">
        <v>714</v>
      </c>
      <c r="E102" s="9" t="s">
        <v>28</v>
      </c>
    </row>
    <row r="103" spans="1:5">
      <c r="A103" s="32" t="s">
        <v>274</v>
      </c>
      <c r="B103" s="5" t="s">
        <v>12</v>
      </c>
      <c r="C103" s="5" t="s">
        <v>12</v>
      </c>
      <c r="D103" s="9" t="s">
        <v>62</v>
      </c>
      <c r="E103" s="6" t="s">
        <v>797</v>
      </c>
    </row>
    <row r="104" spans="1:5">
      <c r="A104" s="32" t="s">
        <v>807</v>
      </c>
      <c r="B104" s="5" t="s">
        <v>10</v>
      </c>
      <c r="C104" s="5" t="s">
        <v>10</v>
      </c>
      <c r="D104" s="9" t="s">
        <v>358</v>
      </c>
      <c r="E104" s="9" t="s">
        <v>353</v>
      </c>
    </row>
    <row r="105" spans="1:5">
      <c r="A105" s="32" t="s">
        <v>808</v>
      </c>
      <c r="B105" s="5" t="s">
        <v>9</v>
      </c>
      <c r="C105" s="5" t="s">
        <v>736</v>
      </c>
      <c r="D105" s="9" t="s">
        <v>714</v>
      </c>
      <c r="E105" s="9" t="s">
        <v>34</v>
      </c>
    </row>
    <row r="106" spans="1:5">
      <c r="A106" s="32" t="s">
        <v>68</v>
      </c>
      <c r="B106" s="5" t="s">
        <v>12</v>
      </c>
      <c r="C106" s="5" t="s">
        <v>12</v>
      </c>
      <c r="D106" s="9" t="s">
        <v>33</v>
      </c>
      <c r="E106" s="6" t="s">
        <v>31</v>
      </c>
    </row>
    <row r="107" spans="1:5">
      <c r="A107" s="32" t="s">
        <v>809</v>
      </c>
      <c r="B107" s="5" t="s">
        <v>13</v>
      </c>
      <c r="C107" s="5" t="str">
        <f>B107</f>
        <v>MEA</v>
      </c>
      <c r="D107" s="9" t="s">
        <v>24</v>
      </c>
      <c r="E107" s="9" t="s">
        <v>353</v>
      </c>
    </row>
    <row r="108" spans="1:5">
      <c r="A108" s="32" t="s">
        <v>810</v>
      </c>
      <c r="B108" s="5" t="s">
        <v>10</v>
      </c>
      <c r="C108" s="5" t="s">
        <v>10</v>
      </c>
      <c r="D108" s="9" t="s">
        <v>714</v>
      </c>
      <c r="E108" s="9" t="s">
        <v>34</v>
      </c>
    </row>
    <row r="109" spans="1:5">
      <c r="A109" s="32" t="s">
        <v>208</v>
      </c>
      <c r="B109" s="5" t="s">
        <v>10</v>
      </c>
      <c r="C109" s="5" t="s">
        <v>10</v>
      </c>
      <c r="D109" s="9" t="s">
        <v>727</v>
      </c>
      <c r="E109" s="9" t="s">
        <v>34</v>
      </c>
    </row>
    <row r="110" spans="1:5">
      <c r="A110" s="32" t="s">
        <v>811</v>
      </c>
      <c r="B110" s="5" t="s">
        <v>13</v>
      </c>
      <c r="C110" s="5" t="str">
        <f>B110</f>
        <v>MEA</v>
      </c>
      <c r="D110" s="9" t="s">
        <v>24</v>
      </c>
      <c r="E110" s="9" t="s">
        <v>353</v>
      </c>
    </row>
    <row r="111" spans="1:5">
      <c r="A111" s="32" t="s">
        <v>812</v>
      </c>
      <c r="B111" s="5" t="s">
        <v>11</v>
      </c>
      <c r="C111" s="5" t="s">
        <v>11</v>
      </c>
      <c r="D111" s="41" t="s">
        <v>720</v>
      </c>
      <c r="E111" s="9" t="s">
        <v>34</v>
      </c>
    </row>
    <row r="112" spans="1:5">
      <c r="A112" s="32" t="s">
        <v>813</v>
      </c>
      <c r="B112" s="5" t="s">
        <v>11</v>
      </c>
      <c r="C112" s="5" t="s">
        <v>11</v>
      </c>
      <c r="D112" s="9" t="s">
        <v>746</v>
      </c>
      <c r="E112" s="9" t="s">
        <v>34</v>
      </c>
    </row>
    <row r="113" spans="1:5">
      <c r="A113" s="32" t="s">
        <v>814</v>
      </c>
      <c r="B113" s="5" t="s">
        <v>10</v>
      </c>
      <c r="C113" s="5" t="s">
        <v>10</v>
      </c>
      <c r="D113" s="9" t="s">
        <v>34</v>
      </c>
      <c r="E113" s="9" t="s">
        <v>754</v>
      </c>
    </row>
    <row r="114" spans="1:5">
      <c r="A114" s="32" t="s">
        <v>815</v>
      </c>
      <c r="B114" s="5" t="s">
        <v>11</v>
      </c>
      <c r="C114" s="9" t="s">
        <v>11</v>
      </c>
      <c r="D114" s="9" t="s">
        <v>746</v>
      </c>
      <c r="E114" s="9" t="s">
        <v>65</v>
      </c>
    </row>
    <row r="115" spans="1:5">
      <c r="A115" s="32" t="s">
        <v>816</v>
      </c>
      <c r="B115" s="5" t="s">
        <v>12</v>
      </c>
      <c r="C115" s="5" t="s">
        <v>12</v>
      </c>
      <c r="D115" s="73" t="s">
        <v>62</v>
      </c>
      <c r="E115" s="9" t="s">
        <v>65</v>
      </c>
    </row>
    <row r="116" spans="1:5">
      <c r="A116" s="33" t="s">
        <v>817</v>
      </c>
      <c r="B116" s="5" t="s">
        <v>12</v>
      </c>
      <c r="C116" s="5" t="s">
        <v>12</v>
      </c>
      <c r="D116" s="9" t="s">
        <v>714</v>
      </c>
      <c r="E116" s="9" t="s">
        <v>31</v>
      </c>
    </row>
    <row r="117" spans="1:5">
      <c r="A117" s="33" t="s">
        <v>818</v>
      </c>
      <c r="B117" s="5" t="s">
        <v>12</v>
      </c>
      <c r="C117" s="5" t="s">
        <v>12</v>
      </c>
      <c r="D117" s="9" t="s">
        <v>62</v>
      </c>
      <c r="E117" s="9" t="s">
        <v>34</v>
      </c>
    </row>
    <row r="118" spans="1:5">
      <c r="A118" s="33" t="s">
        <v>819</v>
      </c>
      <c r="B118" s="5" t="s">
        <v>12</v>
      </c>
      <c r="C118" s="5" t="s">
        <v>12</v>
      </c>
      <c r="D118" s="9" t="s">
        <v>62</v>
      </c>
      <c r="E118" s="9" t="s">
        <v>34</v>
      </c>
    </row>
    <row r="119" spans="1:5">
      <c r="A119" s="33" t="s">
        <v>820</v>
      </c>
      <c r="B119" s="5" t="s">
        <v>9</v>
      </c>
      <c r="C119" s="5" t="s">
        <v>736</v>
      </c>
      <c r="D119" s="9" t="s">
        <v>714</v>
      </c>
      <c r="E119" s="9" t="s">
        <v>34</v>
      </c>
    </row>
    <row r="120" spans="1:5">
      <c r="A120" s="33" t="s">
        <v>821</v>
      </c>
      <c r="B120" s="5" t="s">
        <v>12</v>
      </c>
      <c r="C120" s="5" t="s">
        <v>12</v>
      </c>
      <c r="D120" s="9" t="s">
        <v>62</v>
      </c>
      <c r="E120" s="9" t="s">
        <v>34</v>
      </c>
    </row>
    <row r="121" spans="1:5">
      <c r="A121" s="77" t="s">
        <v>822</v>
      </c>
      <c r="B121" s="78" t="s">
        <v>9</v>
      </c>
      <c r="C121" s="5" t="s">
        <v>736</v>
      </c>
      <c r="D121" s="9" t="s">
        <v>724</v>
      </c>
      <c r="E121" s="9" t="s">
        <v>34</v>
      </c>
    </row>
    <row r="122" spans="1:5">
      <c r="A122" s="32" t="s">
        <v>32</v>
      </c>
      <c r="B122" s="5" t="s">
        <v>12</v>
      </c>
      <c r="C122" s="5" t="s">
        <v>12</v>
      </c>
      <c r="D122" s="9" t="s">
        <v>33</v>
      </c>
      <c r="E122" s="9" t="s">
        <v>34</v>
      </c>
    </row>
    <row r="123" spans="1:5">
      <c r="A123" s="32" t="s">
        <v>32</v>
      </c>
      <c r="B123" s="5" t="s">
        <v>12</v>
      </c>
      <c r="C123" s="5" t="s">
        <v>12</v>
      </c>
      <c r="D123" s="9" t="s">
        <v>33</v>
      </c>
      <c r="E123" s="9" t="s">
        <v>34</v>
      </c>
    </row>
    <row r="124" spans="1:5">
      <c r="A124" s="32" t="s">
        <v>823</v>
      </c>
      <c r="B124" s="5" t="s">
        <v>10</v>
      </c>
      <c r="C124" s="5" t="s">
        <v>10</v>
      </c>
      <c r="D124" s="9" t="s">
        <v>34</v>
      </c>
      <c r="E124" s="9" t="s">
        <v>63</v>
      </c>
    </row>
    <row r="125" spans="1:5">
      <c r="A125" s="32" t="s">
        <v>824</v>
      </c>
      <c r="B125" s="5" t="s">
        <v>10</v>
      </c>
      <c r="C125" s="5" t="s">
        <v>10</v>
      </c>
      <c r="D125" s="9" t="s">
        <v>727</v>
      </c>
      <c r="E125" s="9" t="s">
        <v>63</v>
      </c>
    </row>
    <row r="126" spans="1:5">
      <c r="A126" s="33" t="s">
        <v>825</v>
      </c>
      <c r="B126" s="5" t="s">
        <v>11</v>
      </c>
      <c r="C126" s="5" t="s">
        <v>11</v>
      </c>
      <c r="D126" s="41" t="s">
        <v>720</v>
      </c>
      <c r="E126" s="9" t="s">
        <v>34</v>
      </c>
    </row>
    <row r="127" spans="1:5">
      <c r="A127" s="33" t="s">
        <v>826</v>
      </c>
      <c r="B127" s="5" t="s">
        <v>13</v>
      </c>
      <c r="C127" s="5" t="str">
        <f>B127</f>
        <v>MEA</v>
      </c>
      <c r="D127" s="9" t="s">
        <v>24</v>
      </c>
      <c r="E127" s="9" t="s">
        <v>763</v>
      </c>
    </row>
    <row r="128" spans="1:5">
      <c r="A128" s="33" t="s">
        <v>282</v>
      </c>
      <c r="B128" s="5" t="s">
        <v>10</v>
      </c>
      <c r="C128" s="5" t="s">
        <v>10</v>
      </c>
      <c r="D128" s="72" t="s">
        <v>767</v>
      </c>
      <c r="E128" s="9" t="s">
        <v>34</v>
      </c>
    </row>
    <row r="129" spans="1:5">
      <c r="A129" s="33" t="s">
        <v>827</v>
      </c>
      <c r="B129" s="5" t="s">
        <v>9</v>
      </c>
      <c r="C129" s="5" t="s">
        <v>736</v>
      </c>
      <c r="D129" s="9" t="s">
        <v>34</v>
      </c>
      <c r="E129" s="9" t="s">
        <v>766</v>
      </c>
    </row>
    <row r="130" spans="1:5">
      <c r="A130" s="33" t="s">
        <v>828</v>
      </c>
      <c r="B130" s="5" t="s">
        <v>10</v>
      </c>
      <c r="C130" s="5" t="s">
        <v>10</v>
      </c>
      <c r="D130" s="72" t="s">
        <v>767</v>
      </c>
      <c r="E130" s="9" t="s">
        <v>34</v>
      </c>
    </row>
    <row r="131" spans="1:5">
      <c r="A131" s="33" t="s">
        <v>829</v>
      </c>
      <c r="B131" s="5" t="s">
        <v>11</v>
      </c>
      <c r="C131" s="5" t="s">
        <v>11</v>
      </c>
      <c r="D131" s="9" t="s">
        <v>786</v>
      </c>
      <c r="E131" s="9" t="s">
        <v>63</v>
      </c>
    </row>
    <row r="132" spans="1:5">
      <c r="A132" s="33" t="s">
        <v>830</v>
      </c>
      <c r="B132" s="5" t="s">
        <v>10</v>
      </c>
      <c r="C132" s="5" t="s">
        <v>10</v>
      </c>
      <c r="D132" s="9" t="s">
        <v>727</v>
      </c>
      <c r="E132" s="9" t="s">
        <v>34</v>
      </c>
    </row>
    <row r="133" spans="1:5">
      <c r="A133" s="33" t="s">
        <v>831</v>
      </c>
      <c r="B133" s="5" t="s">
        <v>11</v>
      </c>
      <c r="C133" s="5" t="s">
        <v>11</v>
      </c>
      <c r="D133" s="9" t="s">
        <v>786</v>
      </c>
      <c r="E133" s="9" t="s">
        <v>34</v>
      </c>
    </row>
    <row r="134" spans="1:5">
      <c r="A134" s="33" t="s">
        <v>832</v>
      </c>
      <c r="B134" s="5" t="s">
        <v>11</v>
      </c>
      <c r="C134" s="5" t="s">
        <v>11</v>
      </c>
      <c r="D134" s="9" t="s">
        <v>746</v>
      </c>
      <c r="E134" s="9" t="s">
        <v>31</v>
      </c>
    </row>
    <row r="135" spans="1:5">
      <c r="A135" s="33" t="s">
        <v>833</v>
      </c>
      <c r="B135" s="5" t="s">
        <v>11</v>
      </c>
      <c r="C135" s="5" t="s">
        <v>11</v>
      </c>
      <c r="D135" s="9" t="s">
        <v>786</v>
      </c>
      <c r="E135" s="9" t="s">
        <v>34</v>
      </c>
    </row>
    <row r="136" spans="1:5">
      <c r="A136" s="33" t="s">
        <v>834</v>
      </c>
      <c r="B136" s="5" t="s">
        <v>11</v>
      </c>
      <c r="C136" s="5" t="s">
        <v>11</v>
      </c>
      <c r="D136" s="9" t="s">
        <v>729</v>
      </c>
      <c r="E136" s="9" t="s">
        <v>835</v>
      </c>
    </row>
    <row r="137" spans="1:5">
      <c r="A137" s="32" t="s">
        <v>836</v>
      </c>
      <c r="B137" s="5" t="s">
        <v>11</v>
      </c>
      <c r="C137" s="5" t="s">
        <v>11</v>
      </c>
      <c r="D137" s="9" t="s">
        <v>786</v>
      </c>
      <c r="E137" s="9" t="s">
        <v>34</v>
      </c>
    </row>
    <row r="138" spans="1:5">
      <c r="A138" s="32" t="s">
        <v>837</v>
      </c>
      <c r="B138" s="5" t="s">
        <v>11</v>
      </c>
      <c r="C138" s="5" t="s">
        <v>11</v>
      </c>
      <c r="D138" s="9" t="s">
        <v>34</v>
      </c>
      <c r="E138" s="9" t="s">
        <v>838</v>
      </c>
    </row>
    <row r="139" spans="1:5">
      <c r="A139" s="32" t="s">
        <v>839</v>
      </c>
      <c r="B139" s="5" t="s">
        <v>11</v>
      </c>
      <c r="C139" s="5" t="s">
        <v>11</v>
      </c>
      <c r="D139" s="9" t="s">
        <v>34</v>
      </c>
      <c r="E139" s="9" t="s">
        <v>838</v>
      </c>
    </row>
    <row r="140" spans="1:5">
      <c r="A140" s="33" t="s">
        <v>840</v>
      </c>
      <c r="B140" s="5" t="s">
        <v>10</v>
      </c>
      <c r="C140" s="5" t="s">
        <v>10</v>
      </c>
      <c r="D140" s="69" t="s">
        <v>358</v>
      </c>
      <c r="E140" s="5" t="s">
        <v>841</v>
      </c>
    </row>
    <row r="141" spans="1:5">
      <c r="A141" s="33" t="s">
        <v>304</v>
      </c>
      <c r="B141" s="5" t="s">
        <v>11</v>
      </c>
      <c r="C141" s="5" t="s">
        <v>17</v>
      </c>
      <c r="D141" s="9" t="s">
        <v>729</v>
      </c>
      <c r="E141" s="5" t="s">
        <v>28</v>
      </c>
    </row>
    <row r="142" spans="1:5">
      <c r="A142" s="33" t="s">
        <v>842</v>
      </c>
      <c r="B142" s="5" t="s">
        <v>10</v>
      </c>
      <c r="C142" s="5" t="s">
        <v>10</v>
      </c>
      <c r="D142" s="9" t="s">
        <v>727</v>
      </c>
      <c r="E142" s="9" t="s">
        <v>63</v>
      </c>
    </row>
    <row r="143" spans="1:5">
      <c r="A143" s="32" t="s">
        <v>843</v>
      </c>
      <c r="B143" s="5" t="s">
        <v>10</v>
      </c>
      <c r="C143" s="5" t="s">
        <v>10</v>
      </c>
      <c r="D143" s="9" t="s">
        <v>34</v>
      </c>
      <c r="E143" s="9" t="s">
        <v>34</v>
      </c>
    </row>
    <row r="144" spans="1:5">
      <c r="A144" s="32" t="s">
        <v>844</v>
      </c>
      <c r="B144" s="5" t="s">
        <v>12</v>
      </c>
      <c r="C144" s="5" t="s">
        <v>12</v>
      </c>
      <c r="D144" s="9" t="s">
        <v>714</v>
      </c>
      <c r="E144" s="9" t="s">
        <v>34</v>
      </c>
    </row>
    <row r="145" spans="1:5">
      <c r="A145" s="32" t="s">
        <v>266</v>
      </c>
      <c r="B145" s="5" t="s">
        <v>11</v>
      </c>
      <c r="C145" s="5" t="s">
        <v>11</v>
      </c>
      <c r="D145" s="41" t="s">
        <v>779</v>
      </c>
      <c r="E145" s="9" t="s">
        <v>838</v>
      </c>
    </row>
    <row r="146" spans="1:5">
      <c r="A146" s="33" t="s">
        <v>845</v>
      </c>
      <c r="B146" s="5" t="s">
        <v>12</v>
      </c>
      <c r="C146" s="5" t="s">
        <v>12</v>
      </c>
      <c r="D146" s="9" t="s">
        <v>33</v>
      </c>
      <c r="E146" s="9" t="s">
        <v>34</v>
      </c>
    </row>
    <row r="147" spans="1:5">
      <c r="A147" s="33" t="s">
        <v>846</v>
      </c>
      <c r="B147" s="5" t="s">
        <v>12</v>
      </c>
      <c r="C147" s="5" t="s">
        <v>12</v>
      </c>
      <c r="D147" s="9" t="s">
        <v>34</v>
      </c>
      <c r="E147" s="9" t="s">
        <v>847</v>
      </c>
    </row>
    <row r="148" spans="1:5">
      <c r="A148" s="33" t="s">
        <v>848</v>
      </c>
      <c r="B148" s="5" t="s">
        <v>12</v>
      </c>
      <c r="C148" s="5" t="s">
        <v>12</v>
      </c>
      <c r="D148" s="9" t="s">
        <v>849</v>
      </c>
      <c r="E148" s="9" t="s">
        <v>65</v>
      </c>
    </row>
    <row r="149" spans="1:5">
      <c r="A149" s="33" t="s">
        <v>850</v>
      </c>
      <c r="B149" s="5" t="s">
        <v>12</v>
      </c>
      <c r="C149" s="5" t="s">
        <v>12</v>
      </c>
      <c r="D149" s="9" t="s">
        <v>849</v>
      </c>
      <c r="E149" s="9" t="s">
        <v>65</v>
      </c>
    </row>
    <row r="150" spans="1:5">
      <c r="A150" s="33" t="s">
        <v>162</v>
      </c>
      <c r="B150" s="5" t="s">
        <v>10</v>
      </c>
      <c r="C150" s="5" t="s">
        <v>10</v>
      </c>
      <c r="D150" s="9" t="s">
        <v>34</v>
      </c>
      <c r="E150" s="9" t="s">
        <v>63</v>
      </c>
    </row>
    <row r="151" spans="1:5">
      <c r="A151" s="33" t="s">
        <v>851</v>
      </c>
      <c r="B151" s="5" t="s">
        <v>12</v>
      </c>
      <c r="C151" s="5" t="s">
        <v>12</v>
      </c>
      <c r="D151" s="9" t="s">
        <v>34</v>
      </c>
      <c r="E151" s="9" t="s">
        <v>847</v>
      </c>
    </row>
    <row r="152" spans="1:5" ht="28.8">
      <c r="A152" s="32" t="s">
        <v>852</v>
      </c>
      <c r="B152" s="5" t="s">
        <v>10</v>
      </c>
      <c r="C152" s="5" t="s">
        <v>10</v>
      </c>
      <c r="D152" s="9" t="s">
        <v>767</v>
      </c>
      <c r="E152" s="9" t="s">
        <v>34</v>
      </c>
    </row>
    <row r="153" spans="1:5">
      <c r="A153" s="32" t="s">
        <v>853</v>
      </c>
      <c r="B153" s="5" t="s">
        <v>12</v>
      </c>
      <c r="C153" s="5" t="s">
        <v>12</v>
      </c>
      <c r="D153" s="9" t="s">
        <v>34</v>
      </c>
      <c r="E153" s="9" t="s">
        <v>34</v>
      </c>
    </row>
    <row r="154" spans="1:5">
      <c r="A154" s="32" t="s">
        <v>854</v>
      </c>
      <c r="B154" s="5" t="s">
        <v>12</v>
      </c>
      <c r="C154" s="5" t="s">
        <v>12</v>
      </c>
      <c r="D154" s="9" t="s">
        <v>71</v>
      </c>
      <c r="E154" s="9" t="s">
        <v>65</v>
      </c>
    </row>
    <row r="155" spans="1:5">
      <c r="A155" s="32" t="s">
        <v>855</v>
      </c>
      <c r="B155" s="5" t="s">
        <v>10</v>
      </c>
      <c r="C155" s="5" t="s">
        <v>10</v>
      </c>
      <c r="D155" s="9" t="s">
        <v>34</v>
      </c>
      <c r="E155" s="9" t="s">
        <v>353</v>
      </c>
    </row>
    <row r="156" spans="1:5">
      <c r="A156" s="32" t="s">
        <v>856</v>
      </c>
      <c r="B156" s="5" t="s">
        <v>12</v>
      </c>
      <c r="C156" s="5" t="s">
        <v>12</v>
      </c>
      <c r="D156" s="9" t="s">
        <v>71</v>
      </c>
      <c r="E156" s="9" t="s">
        <v>65</v>
      </c>
    </row>
    <row r="157" spans="1:5">
      <c r="A157" s="32" t="s">
        <v>857</v>
      </c>
      <c r="B157" s="5" t="s">
        <v>10</v>
      </c>
      <c r="C157" s="5" t="s">
        <v>10</v>
      </c>
      <c r="D157" s="9" t="s">
        <v>801</v>
      </c>
      <c r="E157" s="9" t="s">
        <v>801</v>
      </c>
    </row>
    <row r="158" spans="1:5">
      <c r="A158" s="32" t="s">
        <v>858</v>
      </c>
      <c r="B158" s="5" t="s">
        <v>10</v>
      </c>
      <c r="C158" s="5" t="s">
        <v>10</v>
      </c>
      <c r="D158" s="9" t="s">
        <v>34</v>
      </c>
      <c r="E158" s="9" t="s">
        <v>838</v>
      </c>
    </row>
    <row r="159" spans="1:5">
      <c r="A159" s="32" t="s">
        <v>859</v>
      </c>
      <c r="B159" s="5" t="s">
        <v>11</v>
      </c>
      <c r="C159" s="5" t="s">
        <v>17</v>
      </c>
      <c r="D159" s="9" t="s">
        <v>729</v>
      </c>
      <c r="E159" s="9" t="s">
        <v>838</v>
      </c>
    </row>
    <row r="160" spans="1:5">
      <c r="A160" s="32" t="s">
        <v>860</v>
      </c>
      <c r="B160" s="5" t="s">
        <v>12</v>
      </c>
      <c r="C160" s="5" t="s">
        <v>12</v>
      </c>
      <c r="D160" s="9" t="s">
        <v>849</v>
      </c>
      <c r="E160" s="9" t="s">
        <v>861</v>
      </c>
    </row>
    <row r="161" spans="1:5">
      <c r="A161" s="32" t="s">
        <v>212</v>
      </c>
      <c r="B161" s="5" t="s">
        <v>10</v>
      </c>
      <c r="C161" s="5" t="s">
        <v>10</v>
      </c>
      <c r="D161" s="9" t="s">
        <v>727</v>
      </c>
      <c r="E161" s="9" t="s">
        <v>838</v>
      </c>
    </row>
    <row r="162" spans="1:5">
      <c r="A162" s="74" t="s">
        <v>862</v>
      </c>
      <c r="B162" s="5" t="s">
        <v>12</v>
      </c>
      <c r="C162" s="5" t="s">
        <v>12</v>
      </c>
      <c r="D162" s="9" t="s">
        <v>34</v>
      </c>
      <c r="E162" s="9" t="s">
        <v>847</v>
      </c>
    </row>
    <row r="163" spans="1:5">
      <c r="A163" s="74" t="s">
        <v>863</v>
      </c>
      <c r="B163" s="5" t="s">
        <v>12</v>
      </c>
      <c r="C163" s="5" t="s">
        <v>12</v>
      </c>
      <c r="D163" s="69" t="s">
        <v>714</v>
      </c>
      <c r="E163" s="9" t="s">
        <v>861</v>
      </c>
    </row>
    <row r="164" spans="1:5">
      <c r="A164" s="74" t="s">
        <v>864</v>
      </c>
      <c r="B164" s="5" t="s">
        <v>12</v>
      </c>
      <c r="C164" s="5" t="s">
        <v>12</v>
      </c>
      <c r="D164" s="9" t="s">
        <v>34</v>
      </c>
      <c r="E164" s="9" t="s">
        <v>847</v>
      </c>
    </row>
    <row r="165" spans="1:5">
      <c r="A165" s="74" t="s">
        <v>346</v>
      </c>
      <c r="B165" s="5" t="s">
        <v>12</v>
      </c>
      <c r="C165" s="5" t="s">
        <v>12</v>
      </c>
      <c r="D165" s="9" t="s">
        <v>71</v>
      </c>
      <c r="E165" s="9" t="s">
        <v>865</v>
      </c>
    </row>
    <row r="166" spans="1:5">
      <c r="A166" s="74" t="s">
        <v>866</v>
      </c>
      <c r="B166" s="5" t="s">
        <v>11</v>
      </c>
      <c r="C166" s="5" t="s">
        <v>11</v>
      </c>
      <c r="D166" s="41" t="s">
        <v>720</v>
      </c>
      <c r="E166" s="9" t="s">
        <v>25</v>
      </c>
    </row>
    <row r="167" spans="1:5">
      <c r="A167" s="74" t="s">
        <v>867</v>
      </c>
      <c r="B167" s="5" t="s">
        <v>11</v>
      </c>
      <c r="C167" s="5" t="s">
        <v>17</v>
      </c>
      <c r="D167" s="9" t="s">
        <v>746</v>
      </c>
      <c r="E167" s="9" t="s">
        <v>861</v>
      </c>
    </row>
    <row r="168" spans="1:5">
      <c r="A168" s="74" t="s">
        <v>868</v>
      </c>
      <c r="B168" s="5" t="s">
        <v>11</v>
      </c>
      <c r="C168" s="5" t="s">
        <v>11</v>
      </c>
      <c r="D168" s="41" t="s">
        <v>779</v>
      </c>
      <c r="E168" s="9" t="s">
        <v>34</v>
      </c>
    </row>
    <row r="169" spans="1:5">
      <c r="A169" s="74" t="s">
        <v>869</v>
      </c>
      <c r="B169" s="5" t="s">
        <v>12</v>
      </c>
      <c r="C169" s="5" t="s">
        <v>12</v>
      </c>
      <c r="D169" s="9" t="s">
        <v>34</v>
      </c>
      <c r="E169" s="9" t="s">
        <v>65</v>
      </c>
    </row>
    <row r="170" spans="1:5">
      <c r="A170" s="32" t="s">
        <v>870</v>
      </c>
      <c r="B170" s="5" t="s">
        <v>10</v>
      </c>
      <c r="C170" s="5" t="s">
        <v>10</v>
      </c>
      <c r="D170" s="9" t="s">
        <v>34</v>
      </c>
      <c r="E170" s="9" t="s">
        <v>28</v>
      </c>
    </row>
    <row r="171" spans="1:5">
      <c r="A171" s="33" t="s">
        <v>871</v>
      </c>
      <c r="B171" s="5" t="s">
        <v>13</v>
      </c>
      <c r="C171" s="5" t="str">
        <f>B171</f>
        <v>MEA</v>
      </c>
      <c r="D171" s="9" t="s">
        <v>24</v>
      </c>
      <c r="E171" s="9" t="s">
        <v>763</v>
      </c>
    </row>
    <row r="172" spans="1:5">
      <c r="A172" s="33" t="s">
        <v>872</v>
      </c>
      <c r="B172" s="5" t="s">
        <v>10</v>
      </c>
      <c r="C172" s="5" t="s">
        <v>10</v>
      </c>
      <c r="D172" s="9" t="s">
        <v>27</v>
      </c>
      <c r="E172" s="9" t="s">
        <v>28</v>
      </c>
    </row>
    <row r="173" spans="1:5">
      <c r="A173" s="33" t="s">
        <v>136</v>
      </c>
      <c r="B173" s="5" t="s">
        <v>11</v>
      </c>
      <c r="C173" s="5" t="s">
        <v>17</v>
      </c>
      <c r="D173" s="41" t="s">
        <v>752</v>
      </c>
      <c r="E173" s="9" t="s">
        <v>34</v>
      </c>
    </row>
    <row r="174" spans="1:5">
      <c r="A174" s="33" t="s">
        <v>873</v>
      </c>
      <c r="B174" s="5" t="s">
        <v>12</v>
      </c>
      <c r="C174" s="5" t="s">
        <v>12</v>
      </c>
      <c r="D174" s="69" t="s">
        <v>714</v>
      </c>
      <c r="E174" s="9" t="s">
        <v>34</v>
      </c>
    </row>
    <row r="175" spans="1:5">
      <c r="A175" s="33" t="s">
        <v>874</v>
      </c>
      <c r="B175" s="9" t="s">
        <v>9</v>
      </c>
      <c r="C175" s="5" t="s">
        <v>736</v>
      </c>
      <c r="D175" s="9" t="s">
        <v>34</v>
      </c>
      <c r="E175" s="9" t="s">
        <v>34</v>
      </c>
    </row>
    <row r="176" spans="1:5">
      <c r="A176" s="33" t="s">
        <v>875</v>
      </c>
      <c r="B176" s="5" t="s">
        <v>9</v>
      </c>
      <c r="C176" s="5" t="s">
        <v>9</v>
      </c>
      <c r="D176" s="9" t="s">
        <v>748</v>
      </c>
      <c r="E176" s="9" t="s">
        <v>34</v>
      </c>
    </row>
    <row r="177" spans="1:5">
      <c r="A177" s="33" t="s">
        <v>876</v>
      </c>
      <c r="B177" s="5" t="s">
        <v>10</v>
      </c>
      <c r="C177" s="5" t="s">
        <v>10</v>
      </c>
      <c r="D177" s="9" t="s">
        <v>34</v>
      </c>
      <c r="E177" s="9" t="s">
        <v>34</v>
      </c>
    </row>
    <row r="178" spans="1:5">
      <c r="A178" s="32" t="s">
        <v>877</v>
      </c>
      <c r="B178" s="5" t="s">
        <v>11</v>
      </c>
      <c r="C178" s="5" t="s">
        <v>17</v>
      </c>
      <c r="D178" s="9" t="s">
        <v>746</v>
      </c>
      <c r="E178" s="9" t="s">
        <v>34</v>
      </c>
    </row>
    <row r="179" spans="1:5">
      <c r="A179" s="77" t="s">
        <v>878</v>
      </c>
      <c r="B179" s="41" t="s">
        <v>9</v>
      </c>
      <c r="C179" s="5" t="s">
        <v>736</v>
      </c>
      <c r="D179" s="9" t="s">
        <v>879</v>
      </c>
      <c r="E179" s="9" t="s">
        <v>34</v>
      </c>
    </row>
    <row r="180" spans="1:5">
      <c r="A180" s="32" t="s">
        <v>184</v>
      </c>
      <c r="B180" s="5" t="s">
        <v>11</v>
      </c>
      <c r="C180" s="5" t="s">
        <v>11</v>
      </c>
      <c r="D180" s="9" t="s">
        <v>786</v>
      </c>
      <c r="E180" s="9" t="s">
        <v>754</v>
      </c>
    </row>
    <row r="181" spans="1:5">
      <c r="A181" s="33" t="s">
        <v>880</v>
      </c>
      <c r="B181" s="5" t="s">
        <v>13</v>
      </c>
      <c r="C181" s="5" t="str">
        <f>B181</f>
        <v>MEA</v>
      </c>
      <c r="D181" s="9" t="s">
        <v>24</v>
      </c>
      <c r="E181" s="9" t="s">
        <v>881</v>
      </c>
    </row>
    <row r="182" spans="1:5">
      <c r="A182" s="33" t="s">
        <v>882</v>
      </c>
      <c r="B182" s="5" t="s">
        <v>11</v>
      </c>
      <c r="C182" s="5" t="s">
        <v>11</v>
      </c>
      <c r="D182" s="41" t="s">
        <v>720</v>
      </c>
      <c r="E182" s="9" t="s">
        <v>65</v>
      </c>
    </row>
    <row r="183" spans="1:5">
      <c r="A183" s="33" t="s">
        <v>883</v>
      </c>
      <c r="B183" s="5" t="s">
        <v>13</v>
      </c>
      <c r="C183" s="5" t="str">
        <f>B183</f>
        <v>MEA</v>
      </c>
      <c r="D183" s="9" t="s">
        <v>24</v>
      </c>
      <c r="E183" s="9" t="s">
        <v>25</v>
      </c>
    </row>
    <row r="184" spans="1:5">
      <c r="A184" s="33" t="s">
        <v>227</v>
      </c>
      <c r="B184" s="5" t="s">
        <v>11</v>
      </c>
      <c r="C184" s="5" t="s">
        <v>11</v>
      </c>
      <c r="D184" s="9" t="s">
        <v>729</v>
      </c>
      <c r="E184" s="9" t="s">
        <v>841</v>
      </c>
    </row>
    <row r="185" spans="1:5">
      <c r="A185" s="33" t="s">
        <v>884</v>
      </c>
      <c r="B185" s="5" t="s">
        <v>11</v>
      </c>
      <c r="C185" s="5" t="s">
        <v>11</v>
      </c>
      <c r="D185" s="9" t="s">
        <v>786</v>
      </c>
      <c r="E185" s="9" t="s">
        <v>841</v>
      </c>
    </row>
    <row r="186" spans="1:5">
      <c r="A186" s="33" t="s">
        <v>130</v>
      </c>
      <c r="B186" s="5" t="s">
        <v>13</v>
      </c>
      <c r="C186" s="5" t="str">
        <f>B186</f>
        <v>MEA</v>
      </c>
      <c r="D186" s="9" t="s">
        <v>24</v>
      </c>
      <c r="E186" s="9" t="s">
        <v>25</v>
      </c>
    </row>
    <row r="187" spans="1:5">
      <c r="A187" s="33" t="s">
        <v>67</v>
      </c>
      <c r="B187" s="5" t="s">
        <v>12</v>
      </c>
      <c r="C187" s="5" t="s">
        <v>12</v>
      </c>
      <c r="D187" s="9" t="s">
        <v>33</v>
      </c>
      <c r="E187" s="9" t="s">
        <v>63</v>
      </c>
    </row>
    <row r="188" spans="1:5">
      <c r="A188" s="33" t="s">
        <v>29</v>
      </c>
      <c r="B188" s="5" t="s">
        <v>12</v>
      </c>
      <c r="C188" s="5" t="s">
        <v>12</v>
      </c>
      <c r="D188" s="9" t="s">
        <v>33</v>
      </c>
      <c r="E188" s="9" t="s">
        <v>31</v>
      </c>
    </row>
    <row r="189" spans="1:5">
      <c r="A189" s="33" t="s">
        <v>885</v>
      </c>
      <c r="B189" s="5" t="s">
        <v>11</v>
      </c>
      <c r="C189" s="5" t="s">
        <v>11</v>
      </c>
      <c r="D189" s="41" t="s">
        <v>720</v>
      </c>
      <c r="E189" s="9" t="s">
        <v>353</v>
      </c>
    </row>
    <row r="190" spans="1:5">
      <c r="A190" s="33" t="s">
        <v>886</v>
      </c>
      <c r="B190" s="5" t="s">
        <v>12</v>
      </c>
      <c r="C190" s="5" t="s">
        <v>12</v>
      </c>
      <c r="D190" s="9" t="s">
        <v>62</v>
      </c>
      <c r="E190" s="9" t="s">
        <v>861</v>
      </c>
    </row>
    <row r="191" spans="1:5">
      <c r="A191" s="33" t="s">
        <v>887</v>
      </c>
      <c r="B191" s="5" t="s">
        <v>12</v>
      </c>
      <c r="C191" s="5" t="s">
        <v>12</v>
      </c>
      <c r="D191" s="9" t="s">
        <v>62</v>
      </c>
      <c r="E191" s="9" t="s">
        <v>861</v>
      </c>
    </row>
    <row r="192" spans="1:5">
      <c r="A192" s="33" t="s">
        <v>888</v>
      </c>
      <c r="B192" s="5" t="s">
        <v>12</v>
      </c>
      <c r="C192" s="5" t="s">
        <v>12</v>
      </c>
      <c r="D192" s="9" t="s">
        <v>62</v>
      </c>
      <c r="E192" s="9" t="s">
        <v>861</v>
      </c>
    </row>
    <row r="193" spans="1:5">
      <c r="A193" s="33" t="s">
        <v>889</v>
      </c>
      <c r="B193" s="5" t="s">
        <v>10</v>
      </c>
      <c r="C193" s="5" t="s">
        <v>10</v>
      </c>
      <c r="D193" s="9" t="s">
        <v>34</v>
      </c>
      <c r="E193" s="9" t="s">
        <v>890</v>
      </c>
    </row>
    <row r="194" spans="1:5">
      <c r="A194" s="32" t="s">
        <v>891</v>
      </c>
      <c r="B194" s="5" t="s">
        <v>10</v>
      </c>
      <c r="C194" s="5" t="s">
        <v>10</v>
      </c>
      <c r="D194" s="9" t="s">
        <v>767</v>
      </c>
      <c r="E194" s="9" t="s">
        <v>34</v>
      </c>
    </row>
    <row r="195" spans="1:5">
      <c r="A195" s="32" t="s">
        <v>892</v>
      </c>
      <c r="B195" s="5" t="s">
        <v>9</v>
      </c>
      <c r="C195" s="5" t="s">
        <v>736</v>
      </c>
      <c r="D195" s="9" t="s">
        <v>714</v>
      </c>
      <c r="E195" s="9" t="s">
        <v>34</v>
      </c>
    </row>
    <row r="196" spans="1:5">
      <c r="A196" s="32" t="s">
        <v>893</v>
      </c>
      <c r="B196" s="5" t="s">
        <v>10</v>
      </c>
      <c r="C196" s="5" t="s">
        <v>10</v>
      </c>
      <c r="D196" s="9" t="s">
        <v>358</v>
      </c>
      <c r="E196" s="9" t="s">
        <v>34</v>
      </c>
    </row>
    <row r="197" spans="1:5" ht="28.8">
      <c r="A197" s="32" t="s">
        <v>278</v>
      </c>
      <c r="B197" s="5" t="s">
        <v>10</v>
      </c>
      <c r="C197" s="5" t="s">
        <v>10</v>
      </c>
      <c r="D197" s="9" t="s">
        <v>358</v>
      </c>
      <c r="E197" s="9" t="s">
        <v>34</v>
      </c>
    </row>
    <row r="198" spans="1:5">
      <c r="A198" s="32" t="s">
        <v>163</v>
      </c>
      <c r="B198" s="5" t="s">
        <v>11</v>
      </c>
      <c r="C198" s="5" t="s">
        <v>10</v>
      </c>
      <c r="D198" s="41" t="s">
        <v>720</v>
      </c>
      <c r="E198" s="9" t="s">
        <v>353</v>
      </c>
    </row>
    <row r="199" spans="1:5">
      <c r="A199" s="33" t="s">
        <v>894</v>
      </c>
      <c r="B199" s="5" t="s">
        <v>11</v>
      </c>
      <c r="C199" s="5" t="s">
        <v>11</v>
      </c>
      <c r="D199" s="9" t="s">
        <v>746</v>
      </c>
      <c r="E199" s="9" t="s">
        <v>865</v>
      </c>
    </row>
    <row r="200" spans="1:5">
      <c r="A200" s="33" t="s">
        <v>895</v>
      </c>
      <c r="B200" s="5" t="s">
        <v>11</v>
      </c>
      <c r="C200" s="5" t="s">
        <v>11</v>
      </c>
      <c r="D200" s="41" t="s">
        <v>720</v>
      </c>
      <c r="E200" s="9" t="s">
        <v>861</v>
      </c>
    </row>
    <row r="201" spans="1:5">
      <c r="A201" s="33" t="s">
        <v>70</v>
      </c>
      <c r="B201" s="5" t="s">
        <v>12</v>
      </c>
      <c r="C201" s="5" t="s">
        <v>12</v>
      </c>
      <c r="D201" s="9" t="s">
        <v>71</v>
      </c>
      <c r="E201" s="9" t="s">
        <v>34</v>
      </c>
    </row>
    <row r="202" spans="1:5">
      <c r="A202" s="33" t="s">
        <v>896</v>
      </c>
      <c r="B202" s="5" t="s">
        <v>11</v>
      </c>
      <c r="C202" s="5" t="s">
        <v>11</v>
      </c>
      <c r="D202" s="9" t="s">
        <v>786</v>
      </c>
      <c r="E202" s="9" t="s">
        <v>841</v>
      </c>
    </row>
    <row r="203" spans="1:5">
      <c r="A203" s="33" t="s">
        <v>897</v>
      </c>
      <c r="B203" s="5" t="s">
        <v>12</v>
      </c>
      <c r="C203" s="5" t="s">
        <v>12</v>
      </c>
      <c r="D203" s="9" t="s">
        <v>71</v>
      </c>
      <c r="E203" s="9" t="s">
        <v>34</v>
      </c>
    </row>
    <row r="204" spans="1:5">
      <c r="A204" s="33" t="s">
        <v>223</v>
      </c>
      <c r="B204" s="5" t="s">
        <v>11</v>
      </c>
      <c r="C204" s="5" t="s">
        <v>11</v>
      </c>
      <c r="D204" s="41" t="s">
        <v>779</v>
      </c>
      <c r="E204" s="9" t="s">
        <v>63</v>
      </c>
    </row>
    <row r="205" spans="1:5">
      <c r="A205" s="36" t="s">
        <v>898</v>
      </c>
      <c r="B205" s="78" t="s">
        <v>9</v>
      </c>
      <c r="C205" s="5" t="s">
        <v>736</v>
      </c>
      <c r="D205" s="71" t="s">
        <v>724</v>
      </c>
      <c r="E205" s="9" t="s">
        <v>766</v>
      </c>
    </row>
    <row r="206" spans="1:5">
      <c r="A206" s="33" t="s">
        <v>899</v>
      </c>
      <c r="B206" s="5" t="s">
        <v>10</v>
      </c>
      <c r="C206" s="5" t="s">
        <v>10</v>
      </c>
      <c r="D206" s="9" t="s">
        <v>801</v>
      </c>
      <c r="E206" s="9" t="s">
        <v>34</v>
      </c>
    </row>
    <row r="207" spans="1:5">
      <c r="A207" s="33" t="s">
        <v>900</v>
      </c>
      <c r="B207" s="5" t="s">
        <v>12</v>
      </c>
      <c r="C207" s="5" t="s">
        <v>12</v>
      </c>
      <c r="D207" s="9" t="s">
        <v>714</v>
      </c>
      <c r="E207" s="9" t="s">
        <v>34</v>
      </c>
    </row>
    <row r="208" spans="1:5">
      <c r="A208" s="33" t="s">
        <v>901</v>
      </c>
      <c r="B208" s="5" t="s">
        <v>11</v>
      </c>
      <c r="C208" s="5" t="s">
        <v>11</v>
      </c>
      <c r="D208" s="9" t="s">
        <v>746</v>
      </c>
      <c r="E208" s="9" t="s">
        <v>65</v>
      </c>
    </row>
    <row r="209" spans="1:5">
      <c r="A209" s="33" t="s">
        <v>902</v>
      </c>
      <c r="B209" s="5" t="s">
        <v>11</v>
      </c>
      <c r="C209" s="5" t="s">
        <v>17</v>
      </c>
      <c r="D209" s="41" t="s">
        <v>752</v>
      </c>
      <c r="E209" s="9" t="s">
        <v>34</v>
      </c>
    </row>
    <row r="210" spans="1:5">
      <c r="A210" s="33" t="s">
        <v>903</v>
      </c>
      <c r="B210" s="5" t="s">
        <v>9</v>
      </c>
      <c r="C210" s="5" t="s">
        <v>736</v>
      </c>
      <c r="D210" s="9" t="s">
        <v>34</v>
      </c>
      <c r="E210" s="9" t="s">
        <v>34</v>
      </c>
    </row>
    <row r="211" spans="1:5">
      <c r="A211" s="33" t="s">
        <v>904</v>
      </c>
      <c r="B211" s="5" t="s">
        <v>12</v>
      </c>
      <c r="C211" s="5" t="s">
        <v>12</v>
      </c>
      <c r="D211" s="9" t="s">
        <v>34</v>
      </c>
      <c r="E211" s="9" t="s">
        <v>861</v>
      </c>
    </row>
    <row r="212" spans="1:5">
      <c r="A212" s="33" t="s">
        <v>229</v>
      </c>
      <c r="B212" s="5" t="s">
        <v>11</v>
      </c>
      <c r="C212" s="5" t="s">
        <v>11</v>
      </c>
      <c r="D212" s="9" t="s">
        <v>746</v>
      </c>
      <c r="E212" s="9" t="s">
        <v>63</v>
      </c>
    </row>
    <row r="213" spans="1:5">
      <c r="A213" s="33" t="s">
        <v>905</v>
      </c>
      <c r="B213" s="5" t="s">
        <v>10</v>
      </c>
      <c r="C213" s="5" t="s">
        <v>10</v>
      </c>
      <c r="D213" s="9" t="s">
        <v>34</v>
      </c>
      <c r="E213" s="9" t="s">
        <v>63</v>
      </c>
    </row>
    <row r="214" spans="1:5">
      <c r="A214" s="33" t="s">
        <v>906</v>
      </c>
      <c r="B214" s="5" t="s">
        <v>10</v>
      </c>
      <c r="C214" s="5" t="s">
        <v>10</v>
      </c>
      <c r="D214" s="9" t="s">
        <v>767</v>
      </c>
      <c r="E214" s="9" t="s">
        <v>841</v>
      </c>
    </row>
    <row r="215" spans="1:5">
      <c r="A215" s="33" t="s">
        <v>907</v>
      </c>
      <c r="B215" s="5" t="s">
        <v>10</v>
      </c>
      <c r="C215" s="5" t="s">
        <v>10</v>
      </c>
      <c r="D215" s="9" t="s">
        <v>727</v>
      </c>
      <c r="E215" s="9" t="s">
        <v>63</v>
      </c>
    </row>
    <row r="216" spans="1:5">
      <c r="A216" s="33" t="s">
        <v>908</v>
      </c>
      <c r="B216" s="5" t="s">
        <v>11</v>
      </c>
      <c r="C216" s="5" t="s">
        <v>17</v>
      </c>
      <c r="D216" s="9" t="s">
        <v>729</v>
      </c>
      <c r="E216" s="9" t="s">
        <v>28</v>
      </c>
    </row>
    <row r="217" spans="1:5">
      <c r="A217" s="33" t="s">
        <v>169</v>
      </c>
      <c r="B217" s="5" t="s">
        <v>13</v>
      </c>
      <c r="C217" s="5" t="str">
        <f>B217</f>
        <v>MEA</v>
      </c>
      <c r="D217" s="9" t="s">
        <v>24</v>
      </c>
      <c r="E217" s="9" t="s">
        <v>881</v>
      </c>
    </row>
    <row r="218" spans="1:5">
      <c r="A218" s="33" t="s">
        <v>909</v>
      </c>
      <c r="B218" s="5" t="s">
        <v>12</v>
      </c>
      <c r="C218" s="5" t="s">
        <v>12</v>
      </c>
      <c r="D218" s="9" t="s">
        <v>714</v>
      </c>
      <c r="E218" s="9" t="s">
        <v>31</v>
      </c>
    </row>
    <row r="219" spans="1:5">
      <c r="A219" s="33" t="s">
        <v>910</v>
      </c>
      <c r="B219" s="5" t="s">
        <v>10</v>
      </c>
      <c r="C219" s="5" t="s">
        <v>10</v>
      </c>
      <c r="D219" s="9" t="s">
        <v>767</v>
      </c>
      <c r="E219" s="9" t="s">
        <v>28</v>
      </c>
    </row>
    <row r="220" spans="1:5">
      <c r="A220" s="33" t="s">
        <v>911</v>
      </c>
      <c r="B220" s="5" t="s">
        <v>11</v>
      </c>
      <c r="C220" s="5" t="s">
        <v>11</v>
      </c>
      <c r="D220" s="9" t="s">
        <v>912</v>
      </c>
      <c r="E220" s="9" t="s">
        <v>841</v>
      </c>
    </row>
    <row r="221" spans="1:5">
      <c r="A221" s="33" t="s">
        <v>125</v>
      </c>
      <c r="B221" s="5" t="s">
        <v>11</v>
      </c>
      <c r="C221" s="5" t="s">
        <v>17</v>
      </c>
      <c r="D221" s="7" t="s">
        <v>720</v>
      </c>
      <c r="E221" s="9" t="s">
        <v>865</v>
      </c>
    </row>
    <row r="222" spans="1:5">
      <c r="A222" s="33" t="s">
        <v>322</v>
      </c>
      <c r="B222" s="5" t="s">
        <v>13</v>
      </c>
      <c r="C222" s="5" t="str">
        <f>B222</f>
        <v>MEA</v>
      </c>
      <c r="D222" s="9" t="s">
        <v>24</v>
      </c>
      <c r="E222" s="9" t="s">
        <v>353</v>
      </c>
    </row>
    <row r="223" spans="1:5">
      <c r="A223" s="33" t="s">
        <v>913</v>
      </c>
      <c r="B223" s="5" t="s">
        <v>10</v>
      </c>
      <c r="C223" s="5" t="s">
        <v>10</v>
      </c>
      <c r="D223" s="9" t="s">
        <v>767</v>
      </c>
      <c r="E223" s="9" t="s">
        <v>34</v>
      </c>
    </row>
    <row r="224" spans="1:5">
      <c r="A224" s="33" t="s">
        <v>914</v>
      </c>
      <c r="B224" s="5" t="s">
        <v>10</v>
      </c>
      <c r="C224" s="5" t="s">
        <v>10</v>
      </c>
      <c r="D224" s="9" t="s">
        <v>767</v>
      </c>
      <c r="E224" s="9" t="s">
        <v>34</v>
      </c>
    </row>
    <row r="225" spans="1:5">
      <c r="A225" s="33" t="s">
        <v>915</v>
      </c>
      <c r="B225" s="5" t="s">
        <v>10</v>
      </c>
      <c r="C225" s="5" t="s">
        <v>10</v>
      </c>
      <c r="D225" s="9" t="s">
        <v>767</v>
      </c>
      <c r="E225" s="9" t="s">
        <v>34</v>
      </c>
    </row>
    <row r="226" spans="1:5">
      <c r="A226" s="33" t="s">
        <v>916</v>
      </c>
      <c r="B226" s="5" t="s">
        <v>10</v>
      </c>
      <c r="C226" s="5" t="s">
        <v>10</v>
      </c>
      <c r="D226" s="75" t="s">
        <v>767</v>
      </c>
      <c r="E226" s="9" t="s">
        <v>34</v>
      </c>
    </row>
    <row r="227" spans="1:5">
      <c r="A227" s="33" t="s">
        <v>917</v>
      </c>
      <c r="B227" s="5" t="s">
        <v>13</v>
      </c>
      <c r="C227" s="5" t="str">
        <f t="shared" ref="C227:C229" si="1">B227</f>
        <v>MEA</v>
      </c>
      <c r="D227" s="9" t="s">
        <v>24</v>
      </c>
      <c r="E227" s="9" t="s">
        <v>34</v>
      </c>
    </row>
    <row r="228" spans="1:5">
      <c r="A228" s="33" t="s">
        <v>187</v>
      </c>
      <c r="B228" s="5" t="s">
        <v>13</v>
      </c>
      <c r="C228" s="5" t="str">
        <f t="shared" si="1"/>
        <v>MEA</v>
      </c>
      <c r="D228" s="9" t="s">
        <v>24</v>
      </c>
      <c r="E228" s="9" t="s">
        <v>353</v>
      </c>
    </row>
    <row r="229" spans="1:5">
      <c r="A229" s="33" t="s">
        <v>307</v>
      </c>
      <c r="B229" s="5" t="s">
        <v>13</v>
      </c>
      <c r="C229" s="5" t="str">
        <f t="shared" si="1"/>
        <v>MEA</v>
      </c>
      <c r="D229" s="9" t="s">
        <v>24</v>
      </c>
      <c r="E229" s="9" t="s">
        <v>353</v>
      </c>
    </row>
    <row r="230" spans="1:5">
      <c r="A230" s="33" t="s">
        <v>60</v>
      </c>
      <c r="B230" s="5" t="s">
        <v>12</v>
      </c>
      <c r="C230" s="5" t="s">
        <v>12</v>
      </c>
      <c r="D230" s="9" t="s">
        <v>62</v>
      </c>
      <c r="E230" s="9" t="s">
        <v>63</v>
      </c>
    </row>
    <row r="231" spans="1:5">
      <c r="A231" s="33" t="s">
        <v>918</v>
      </c>
      <c r="B231" s="5" t="s">
        <v>11</v>
      </c>
      <c r="C231" s="5" t="s">
        <v>17</v>
      </c>
      <c r="D231" s="9" t="s">
        <v>729</v>
      </c>
      <c r="E231" s="9" t="s">
        <v>353</v>
      </c>
    </row>
    <row r="232" spans="1:5">
      <c r="A232" s="33" t="s">
        <v>919</v>
      </c>
      <c r="B232" s="5" t="s">
        <v>11</v>
      </c>
      <c r="C232" s="5" t="s">
        <v>11</v>
      </c>
      <c r="D232" s="41" t="s">
        <v>720</v>
      </c>
      <c r="E232" s="9" t="s">
        <v>861</v>
      </c>
    </row>
    <row r="233" spans="1:5">
      <c r="A233" s="33" t="s">
        <v>920</v>
      </c>
      <c r="B233" s="5" t="s">
        <v>10</v>
      </c>
      <c r="C233" s="5" t="s">
        <v>10</v>
      </c>
      <c r="D233" s="9" t="s">
        <v>727</v>
      </c>
      <c r="E233" s="9" t="s">
        <v>34</v>
      </c>
    </row>
    <row r="234" spans="1:5">
      <c r="A234" s="33" t="s">
        <v>921</v>
      </c>
      <c r="B234" s="5" t="s">
        <v>10</v>
      </c>
      <c r="C234" s="5" t="s">
        <v>10</v>
      </c>
      <c r="D234" s="9" t="s">
        <v>34</v>
      </c>
      <c r="E234" s="9" t="s">
        <v>754</v>
      </c>
    </row>
    <row r="235" spans="1:5">
      <c r="A235" s="33" t="s">
        <v>922</v>
      </c>
      <c r="B235" s="5" t="s">
        <v>11</v>
      </c>
      <c r="C235" s="5" t="s">
        <v>17</v>
      </c>
      <c r="D235" s="9" t="s">
        <v>729</v>
      </c>
      <c r="E235" s="9" t="s">
        <v>34</v>
      </c>
    </row>
    <row r="236" spans="1:5">
      <c r="A236" s="33" t="s">
        <v>923</v>
      </c>
      <c r="B236" s="5" t="s">
        <v>11</v>
      </c>
      <c r="C236" s="5" t="s">
        <v>11</v>
      </c>
      <c r="D236" s="41" t="s">
        <v>779</v>
      </c>
      <c r="E236" s="9" t="s">
        <v>838</v>
      </c>
    </row>
    <row r="237" spans="1:5">
      <c r="A237" s="33" t="s">
        <v>924</v>
      </c>
      <c r="B237" s="5" t="s">
        <v>11</v>
      </c>
      <c r="C237" s="5" t="s">
        <v>17</v>
      </c>
      <c r="D237" s="9" t="s">
        <v>729</v>
      </c>
      <c r="E237" s="9" t="s">
        <v>34</v>
      </c>
    </row>
    <row r="238" spans="1:5">
      <c r="A238" s="36" t="s">
        <v>925</v>
      </c>
      <c r="B238" s="5" t="s">
        <v>13</v>
      </c>
      <c r="C238" s="5" t="str">
        <f>B238</f>
        <v>MEA</v>
      </c>
      <c r="D238" s="9" t="s">
        <v>24</v>
      </c>
      <c r="E238" s="9" t="s">
        <v>763</v>
      </c>
    </row>
    <row r="239" spans="1:5">
      <c r="A239" s="36" t="s">
        <v>926</v>
      </c>
      <c r="B239" s="42" t="s">
        <v>10</v>
      </c>
      <c r="C239" s="42" t="s">
        <v>10</v>
      </c>
      <c r="D239" s="9" t="s">
        <v>767</v>
      </c>
      <c r="E239" s="9" t="s">
        <v>34</v>
      </c>
    </row>
    <row r="240" spans="1:5">
      <c r="A240" s="36" t="s">
        <v>165</v>
      </c>
      <c r="B240" s="5" t="s">
        <v>13</v>
      </c>
      <c r="C240" s="5" t="str">
        <f>B240</f>
        <v>MEA</v>
      </c>
      <c r="D240" s="9" t="s">
        <v>24</v>
      </c>
      <c r="E240" s="9" t="s">
        <v>353</v>
      </c>
    </row>
    <row r="241" spans="1:5">
      <c r="A241" s="36" t="s">
        <v>927</v>
      </c>
      <c r="B241" s="5" t="s">
        <v>12</v>
      </c>
      <c r="C241" s="5" t="s">
        <v>12</v>
      </c>
      <c r="D241" s="9" t="s">
        <v>714</v>
      </c>
      <c r="E241" s="9" t="s">
        <v>31</v>
      </c>
    </row>
    <row r="242" spans="1:5">
      <c r="A242" s="36" t="s">
        <v>928</v>
      </c>
      <c r="B242" s="5" t="s">
        <v>12</v>
      </c>
      <c r="C242" s="5" t="s">
        <v>12</v>
      </c>
      <c r="D242" s="71" t="s">
        <v>929</v>
      </c>
      <c r="E242" s="9" t="s">
        <v>31</v>
      </c>
    </row>
    <row r="243" spans="1:5">
      <c r="A243" s="36" t="s">
        <v>930</v>
      </c>
      <c r="B243" s="5" t="s">
        <v>12</v>
      </c>
      <c r="C243" s="5" t="s">
        <v>12</v>
      </c>
      <c r="D243" s="9" t="s">
        <v>71</v>
      </c>
      <c r="E243" s="9" t="s">
        <v>34</v>
      </c>
    </row>
    <row r="244" spans="1:5">
      <c r="A244" s="36" t="s">
        <v>931</v>
      </c>
      <c r="B244" s="5" t="s">
        <v>11</v>
      </c>
      <c r="C244" s="5" t="s">
        <v>17</v>
      </c>
      <c r="D244" s="9" t="s">
        <v>729</v>
      </c>
      <c r="E244" s="41" t="s">
        <v>835</v>
      </c>
    </row>
    <row r="245" spans="1:5">
      <c r="A245" s="36" t="s">
        <v>932</v>
      </c>
      <c r="B245" s="5" t="s">
        <v>11</v>
      </c>
      <c r="C245" s="5" t="s">
        <v>11</v>
      </c>
      <c r="D245" s="9" t="s">
        <v>786</v>
      </c>
      <c r="E245" s="41" t="s">
        <v>835</v>
      </c>
    </row>
    <row r="246" spans="1:5">
      <c r="A246" s="36" t="s">
        <v>933</v>
      </c>
      <c r="B246" s="42" t="s">
        <v>10</v>
      </c>
      <c r="C246" s="42" t="s">
        <v>10</v>
      </c>
      <c r="D246" s="41" t="s">
        <v>34</v>
      </c>
      <c r="E246" s="41" t="s">
        <v>754</v>
      </c>
    </row>
    <row r="247" spans="1:5">
      <c r="A247" s="36" t="s">
        <v>934</v>
      </c>
      <c r="B247" s="5" t="s">
        <v>11</v>
      </c>
      <c r="C247" s="5" t="s">
        <v>11</v>
      </c>
      <c r="D247" s="41" t="s">
        <v>779</v>
      </c>
      <c r="E247" s="41" t="s">
        <v>34</v>
      </c>
    </row>
    <row r="248" spans="1:5">
      <c r="A248" s="36" t="s">
        <v>935</v>
      </c>
      <c r="B248" s="42" t="s">
        <v>10</v>
      </c>
      <c r="C248" s="42" t="s">
        <v>10</v>
      </c>
      <c r="D248" s="41" t="s">
        <v>34</v>
      </c>
      <c r="E248" s="41" t="s">
        <v>838</v>
      </c>
    </row>
    <row r="249" spans="1:5">
      <c r="A249" s="36" t="s">
        <v>23</v>
      </c>
      <c r="B249" s="5" t="s">
        <v>13</v>
      </c>
      <c r="C249" s="5" t="str">
        <f>B249</f>
        <v>MEA</v>
      </c>
      <c r="D249" s="9" t="s">
        <v>24</v>
      </c>
      <c r="E249" s="41" t="s">
        <v>25</v>
      </c>
    </row>
    <row r="250" spans="1:5">
      <c r="A250" s="36" t="s">
        <v>936</v>
      </c>
      <c r="B250" s="42" t="s">
        <v>10</v>
      </c>
      <c r="C250" s="42" t="s">
        <v>10</v>
      </c>
      <c r="D250" s="41" t="s">
        <v>767</v>
      </c>
      <c r="E250" s="41" t="s">
        <v>34</v>
      </c>
    </row>
    <row r="251" spans="1:5">
      <c r="A251" s="36" t="s">
        <v>302</v>
      </c>
      <c r="B251" s="5" t="s">
        <v>13</v>
      </c>
      <c r="C251" s="5" t="str">
        <f>B251</f>
        <v>MEA</v>
      </c>
      <c r="D251" s="9" t="s">
        <v>24</v>
      </c>
      <c r="E251" s="41" t="s">
        <v>25</v>
      </c>
    </row>
    <row r="252" spans="1:5">
      <c r="A252" s="36" t="s">
        <v>141</v>
      </c>
      <c r="B252" s="42" t="s">
        <v>10</v>
      </c>
      <c r="C252" s="42" t="s">
        <v>10</v>
      </c>
      <c r="D252" s="41" t="s">
        <v>34</v>
      </c>
      <c r="E252" s="41" t="s">
        <v>937</v>
      </c>
    </row>
    <row r="253" spans="1:5">
      <c r="A253" s="36" t="s">
        <v>314</v>
      </c>
      <c r="B253" s="42" t="s">
        <v>10</v>
      </c>
      <c r="C253" s="42" t="s">
        <v>10</v>
      </c>
      <c r="D253" s="41" t="s">
        <v>767</v>
      </c>
      <c r="E253" s="41" t="s">
        <v>34</v>
      </c>
    </row>
    <row r="254" spans="1:5">
      <c r="A254" s="36" t="s">
        <v>938</v>
      </c>
      <c r="B254" s="42" t="s">
        <v>10</v>
      </c>
      <c r="C254" s="42" t="s">
        <v>10</v>
      </c>
      <c r="D254" s="41" t="s">
        <v>801</v>
      </c>
      <c r="E254" s="41" t="s">
        <v>34</v>
      </c>
    </row>
    <row r="255" spans="1:5" ht="28.8">
      <c r="A255" s="36" t="s">
        <v>348</v>
      </c>
      <c r="B255" s="42" t="s">
        <v>10</v>
      </c>
      <c r="C255" s="71" t="s">
        <v>929</v>
      </c>
      <c r="D255" s="41" t="s">
        <v>34</v>
      </c>
      <c r="E255" s="41" t="s">
        <v>754</v>
      </c>
    </row>
    <row r="256" spans="1:5">
      <c r="A256" s="36" t="s">
        <v>939</v>
      </c>
      <c r="B256" s="78" t="s">
        <v>9</v>
      </c>
      <c r="C256" s="5" t="s">
        <v>736</v>
      </c>
      <c r="D256" s="41" t="s">
        <v>765</v>
      </c>
      <c r="E256" s="41" t="s">
        <v>34</v>
      </c>
    </row>
    <row r="257" spans="1:5">
      <c r="A257" s="36" t="s">
        <v>110</v>
      </c>
      <c r="B257" s="5" t="s">
        <v>11</v>
      </c>
      <c r="C257" s="42" t="s">
        <v>17</v>
      </c>
      <c r="D257" s="41" t="s">
        <v>752</v>
      </c>
      <c r="E257" s="41" t="s">
        <v>34</v>
      </c>
    </row>
    <row r="258" spans="1:5">
      <c r="A258" s="36" t="s">
        <v>940</v>
      </c>
      <c r="B258" s="5" t="s">
        <v>12</v>
      </c>
      <c r="C258" s="5" t="s">
        <v>12</v>
      </c>
      <c r="D258" s="41" t="s">
        <v>71</v>
      </c>
      <c r="E258" s="41" t="s">
        <v>34</v>
      </c>
    </row>
    <row r="259" spans="1:5">
      <c r="A259" s="36" t="s">
        <v>941</v>
      </c>
      <c r="B259" s="5" t="s">
        <v>12</v>
      </c>
      <c r="C259" s="5" t="s">
        <v>12</v>
      </c>
      <c r="D259" s="41" t="s">
        <v>34</v>
      </c>
      <c r="E259" s="41" t="s">
        <v>65</v>
      </c>
    </row>
    <row r="260" spans="1:5">
      <c r="A260" s="36" t="s">
        <v>121</v>
      </c>
      <c r="B260" s="42" t="s">
        <v>9</v>
      </c>
      <c r="C260" s="42" t="s">
        <v>723</v>
      </c>
      <c r="D260" s="41" t="s">
        <v>748</v>
      </c>
      <c r="E260" s="41" t="s">
        <v>34</v>
      </c>
    </row>
    <row r="261" spans="1:5">
      <c r="A261" s="36" t="s">
        <v>942</v>
      </c>
      <c r="B261" s="5" t="s">
        <v>11</v>
      </c>
      <c r="C261" s="5" t="s">
        <v>11</v>
      </c>
      <c r="D261" s="41" t="s">
        <v>720</v>
      </c>
      <c r="E261" s="41" t="s">
        <v>65</v>
      </c>
    </row>
    <row r="262" spans="1:5">
      <c r="A262" s="36" t="s">
        <v>943</v>
      </c>
      <c r="B262" s="5" t="s">
        <v>13</v>
      </c>
      <c r="C262" s="5" t="str">
        <f>B262</f>
        <v>MEA</v>
      </c>
      <c r="D262" s="9" t="s">
        <v>24</v>
      </c>
      <c r="E262" s="41" t="s">
        <v>353</v>
      </c>
    </row>
    <row r="263" spans="1:5" ht="28.8">
      <c r="A263" s="36" t="s">
        <v>944</v>
      </c>
      <c r="B263" s="42" t="s">
        <v>10</v>
      </c>
      <c r="C263" s="42" t="s">
        <v>10</v>
      </c>
      <c r="D263" s="41" t="s">
        <v>34</v>
      </c>
      <c r="E263" s="41" t="s">
        <v>754</v>
      </c>
    </row>
    <row r="264" spans="1:5">
      <c r="A264" s="33" t="s">
        <v>245</v>
      </c>
      <c r="B264" s="5" t="s">
        <v>10</v>
      </c>
      <c r="C264" s="5" t="s">
        <v>10</v>
      </c>
      <c r="D264" s="9" t="s">
        <v>358</v>
      </c>
      <c r="E264" s="9" t="s">
        <v>28</v>
      </c>
    </row>
    <row r="265" spans="1:5">
      <c r="A265" s="36" t="s">
        <v>945</v>
      </c>
      <c r="B265" s="5" t="s">
        <v>11</v>
      </c>
      <c r="C265" s="5" t="s">
        <v>11</v>
      </c>
      <c r="D265" s="9" t="s">
        <v>729</v>
      </c>
      <c r="E265" s="41" t="s">
        <v>34</v>
      </c>
    </row>
    <row r="266" spans="1:5" ht="28.8">
      <c r="A266" s="36" t="s">
        <v>946</v>
      </c>
      <c r="B266" s="5" t="s">
        <v>13</v>
      </c>
      <c r="C266" s="5" t="str">
        <f t="shared" ref="C266:C267" si="2">B266</f>
        <v>MEA</v>
      </c>
      <c r="D266" s="9" t="s">
        <v>24</v>
      </c>
      <c r="E266" s="41" t="s">
        <v>34</v>
      </c>
    </row>
    <row r="267" spans="1:5">
      <c r="A267" s="36" t="s">
        <v>947</v>
      </c>
      <c r="B267" s="5" t="s">
        <v>13</v>
      </c>
      <c r="C267" s="5" t="str">
        <f t="shared" si="2"/>
        <v>MEA</v>
      </c>
      <c r="D267" s="9" t="s">
        <v>24</v>
      </c>
      <c r="E267" s="41" t="s">
        <v>34</v>
      </c>
    </row>
    <row r="268" spans="1:5">
      <c r="A268" s="36" t="s">
        <v>948</v>
      </c>
      <c r="B268" s="42" t="s">
        <v>732</v>
      </c>
      <c r="C268" s="42" t="s">
        <v>732</v>
      </c>
      <c r="D268" s="41" t="s">
        <v>34</v>
      </c>
      <c r="E268" s="41" t="s">
        <v>34</v>
      </c>
    </row>
    <row r="269" spans="1:5">
      <c r="A269" s="36" t="s">
        <v>948</v>
      </c>
      <c r="B269" s="42" t="s">
        <v>732</v>
      </c>
      <c r="C269" s="42" t="s">
        <v>732</v>
      </c>
      <c r="D269" s="41" t="s">
        <v>34</v>
      </c>
      <c r="E269" s="41" t="s">
        <v>34</v>
      </c>
    </row>
    <row r="270" spans="1:5">
      <c r="A270" s="36" t="s">
        <v>949</v>
      </c>
      <c r="B270" s="5" t="s">
        <v>11</v>
      </c>
      <c r="C270" s="5" t="s">
        <v>11</v>
      </c>
      <c r="D270" s="41" t="s">
        <v>720</v>
      </c>
      <c r="E270" s="41" t="s">
        <v>34</v>
      </c>
    </row>
    <row r="271" spans="1:5">
      <c r="A271" s="36" t="s">
        <v>950</v>
      </c>
      <c r="B271" s="5" t="s">
        <v>11</v>
      </c>
      <c r="C271" s="5" t="s">
        <v>11</v>
      </c>
      <c r="D271" s="9" t="s">
        <v>729</v>
      </c>
      <c r="E271" s="41" t="s">
        <v>34</v>
      </c>
    </row>
    <row r="272" spans="1:5">
      <c r="A272" s="36" t="s">
        <v>951</v>
      </c>
      <c r="B272" s="5" t="s">
        <v>12</v>
      </c>
      <c r="C272" s="5" t="s">
        <v>12</v>
      </c>
      <c r="D272" s="41" t="s">
        <v>71</v>
      </c>
      <c r="E272" s="41" t="s">
        <v>34</v>
      </c>
    </row>
    <row r="273" spans="1:5">
      <c r="A273" s="36" t="s">
        <v>952</v>
      </c>
      <c r="B273" s="5" t="s">
        <v>13</v>
      </c>
      <c r="C273" s="5" t="str">
        <f t="shared" ref="C273:C274" si="3">B273</f>
        <v>MEA</v>
      </c>
      <c r="D273" s="9" t="s">
        <v>881</v>
      </c>
      <c r="E273" s="41" t="s">
        <v>34</v>
      </c>
    </row>
    <row r="274" spans="1:5">
      <c r="A274" s="36" t="s">
        <v>953</v>
      </c>
      <c r="B274" s="5" t="s">
        <v>13</v>
      </c>
      <c r="C274" s="5" t="str">
        <f t="shared" si="3"/>
        <v>MEA</v>
      </c>
      <c r="D274" s="9" t="s">
        <v>24</v>
      </c>
      <c r="E274" s="41" t="s">
        <v>34</v>
      </c>
    </row>
    <row r="275" spans="1:5">
      <c r="A275" s="36" t="s">
        <v>260</v>
      </c>
      <c r="B275" s="42" t="s">
        <v>10</v>
      </c>
      <c r="C275" s="42" t="s">
        <v>10</v>
      </c>
      <c r="D275" s="41" t="s">
        <v>727</v>
      </c>
      <c r="E275" s="41" t="s">
        <v>34</v>
      </c>
    </row>
    <row r="276" spans="1:5">
      <c r="A276" s="36" t="s">
        <v>954</v>
      </c>
      <c r="B276" s="42" t="s">
        <v>10</v>
      </c>
      <c r="C276" s="42" t="s">
        <v>10</v>
      </c>
      <c r="D276" s="41" t="s">
        <v>727</v>
      </c>
      <c r="E276" s="41" t="s">
        <v>34</v>
      </c>
    </row>
    <row r="277" spans="1:5">
      <c r="A277" s="36" t="s">
        <v>955</v>
      </c>
      <c r="B277" s="5" t="s">
        <v>12</v>
      </c>
      <c r="C277" s="5" t="s">
        <v>12</v>
      </c>
      <c r="D277" s="41" t="s">
        <v>71</v>
      </c>
      <c r="E277" s="41" t="s">
        <v>34</v>
      </c>
    </row>
    <row r="278" spans="1:5">
      <c r="A278" s="36" t="s">
        <v>956</v>
      </c>
      <c r="B278" s="5" t="s">
        <v>11</v>
      </c>
      <c r="C278" s="5" t="s">
        <v>17</v>
      </c>
      <c r="D278" s="9" t="s">
        <v>729</v>
      </c>
      <c r="E278" s="41" t="s">
        <v>34</v>
      </c>
    </row>
    <row r="279" spans="1:5">
      <c r="A279" s="36" t="s">
        <v>957</v>
      </c>
      <c r="B279" s="5" t="s">
        <v>11</v>
      </c>
      <c r="C279" s="5" t="s">
        <v>11</v>
      </c>
      <c r="D279" s="41" t="s">
        <v>779</v>
      </c>
      <c r="E279" s="41" t="s">
        <v>34</v>
      </c>
    </row>
    <row r="280" spans="1:5">
      <c r="A280" s="36" t="s">
        <v>958</v>
      </c>
      <c r="B280" s="5" t="s">
        <v>11</v>
      </c>
      <c r="C280" s="5" t="s">
        <v>11</v>
      </c>
      <c r="D280" s="9" t="s">
        <v>786</v>
      </c>
      <c r="E280" s="41" t="s">
        <v>34</v>
      </c>
    </row>
    <row r="281" spans="1:5">
      <c r="A281" s="36" t="s">
        <v>959</v>
      </c>
      <c r="B281" s="42" t="s">
        <v>10</v>
      </c>
      <c r="C281" s="42" t="s">
        <v>10</v>
      </c>
      <c r="D281" s="41" t="s">
        <v>767</v>
      </c>
      <c r="E281" s="41" t="s">
        <v>34</v>
      </c>
    </row>
    <row r="282" spans="1:5">
      <c r="A282" s="36" t="s">
        <v>959</v>
      </c>
      <c r="B282" s="42" t="s">
        <v>10</v>
      </c>
      <c r="C282" s="42" t="s">
        <v>10</v>
      </c>
      <c r="D282" s="41" t="s">
        <v>767</v>
      </c>
      <c r="E282" s="41" t="s">
        <v>34</v>
      </c>
    </row>
    <row r="283" spans="1:5">
      <c r="A283" s="36" t="s">
        <v>960</v>
      </c>
      <c r="B283" s="5" t="s">
        <v>13</v>
      </c>
      <c r="C283" s="5" t="str">
        <f>B283</f>
        <v>MEA</v>
      </c>
      <c r="D283" s="9" t="s">
        <v>24</v>
      </c>
      <c r="E283" s="41" t="s">
        <v>25</v>
      </c>
    </row>
    <row r="284" spans="1:5">
      <c r="A284" s="36" t="s">
        <v>961</v>
      </c>
      <c r="B284" s="5" t="s">
        <v>11</v>
      </c>
      <c r="C284" s="5" t="s">
        <v>17</v>
      </c>
      <c r="D284" s="9" t="s">
        <v>729</v>
      </c>
      <c r="E284" s="41" t="s">
        <v>63</v>
      </c>
    </row>
    <row r="285" spans="1:5">
      <c r="A285" s="36" t="s">
        <v>962</v>
      </c>
      <c r="B285" s="5" t="s">
        <v>12</v>
      </c>
      <c r="C285" s="5" t="s">
        <v>12</v>
      </c>
      <c r="D285" s="41" t="s">
        <v>71</v>
      </c>
      <c r="E285" s="41" t="s">
        <v>31</v>
      </c>
    </row>
    <row r="286" spans="1:5">
      <c r="A286" s="36" t="s">
        <v>963</v>
      </c>
      <c r="B286" s="42" t="s">
        <v>10</v>
      </c>
      <c r="C286" s="42" t="s">
        <v>10</v>
      </c>
      <c r="D286" s="41" t="s">
        <v>801</v>
      </c>
      <c r="E286" s="41" t="s">
        <v>34</v>
      </c>
    </row>
    <row r="287" spans="1:5">
      <c r="A287" s="36" t="s">
        <v>964</v>
      </c>
      <c r="B287" s="42" t="s">
        <v>10</v>
      </c>
      <c r="C287" s="42" t="s">
        <v>10</v>
      </c>
      <c r="D287" s="41" t="s">
        <v>34</v>
      </c>
      <c r="E287" s="41" t="s">
        <v>63</v>
      </c>
    </row>
    <row r="288" spans="1:5">
      <c r="A288" s="36" t="s">
        <v>324</v>
      </c>
      <c r="B288" s="5" t="s">
        <v>12</v>
      </c>
      <c r="C288" s="5" t="s">
        <v>12</v>
      </c>
      <c r="D288" s="41" t="s">
        <v>71</v>
      </c>
      <c r="E288" s="41" t="s">
        <v>65</v>
      </c>
    </row>
    <row r="289" spans="1:5">
      <c r="A289" s="36" t="s">
        <v>134</v>
      </c>
      <c r="B289" s="5" t="s">
        <v>11</v>
      </c>
      <c r="C289" s="5" t="s">
        <v>11</v>
      </c>
      <c r="D289" s="9" t="s">
        <v>729</v>
      </c>
      <c r="E289" s="41" t="s">
        <v>63</v>
      </c>
    </row>
    <row r="290" spans="1:5">
      <c r="A290" s="36" t="s">
        <v>243</v>
      </c>
      <c r="B290" s="5" t="s">
        <v>11</v>
      </c>
      <c r="C290" s="42" t="s">
        <v>17</v>
      </c>
      <c r="D290" s="9" t="s">
        <v>746</v>
      </c>
      <c r="E290" s="41" t="s">
        <v>65</v>
      </c>
    </row>
    <row r="291" spans="1:5">
      <c r="A291" s="36" t="s">
        <v>287</v>
      </c>
      <c r="B291" s="5" t="s">
        <v>11</v>
      </c>
      <c r="C291" s="5" t="s">
        <v>11</v>
      </c>
      <c r="D291" s="9" t="s">
        <v>786</v>
      </c>
      <c r="E291" s="41" t="s">
        <v>835</v>
      </c>
    </row>
    <row r="292" spans="1:5">
      <c r="A292" s="36" t="s">
        <v>965</v>
      </c>
      <c r="B292" s="5" t="s">
        <v>13</v>
      </c>
      <c r="C292" s="5" t="str">
        <f>B292</f>
        <v>MEA</v>
      </c>
      <c r="D292" s="9" t="s">
        <v>24</v>
      </c>
      <c r="E292" s="41" t="s">
        <v>25</v>
      </c>
    </row>
    <row r="293" spans="1:5">
      <c r="A293" s="36" t="s">
        <v>966</v>
      </c>
      <c r="B293" s="5" t="s">
        <v>12</v>
      </c>
      <c r="C293" s="5" t="s">
        <v>12</v>
      </c>
      <c r="D293" s="41" t="s">
        <v>62</v>
      </c>
      <c r="E293" s="41" t="s">
        <v>65</v>
      </c>
    </row>
    <row r="294" spans="1:5">
      <c r="A294" s="36" t="s">
        <v>200</v>
      </c>
      <c r="B294" s="42" t="s">
        <v>10</v>
      </c>
      <c r="C294" s="42" t="s">
        <v>10</v>
      </c>
      <c r="D294" s="41" t="s">
        <v>34</v>
      </c>
      <c r="E294" s="41" t="s">
        <v>754</v>
      </c>
    </row>
    <row r="295" spans="1:5">
      <c r="A295" s="36" t="s">
        <v>967</v>
      </c>
      <c r="B295" s="5" t="s">
        <v>12</v>
      </c>
      <c r="C295" s="5" t="s">
        <v>12</v>
      </c>
      <c r="D295" s="41" t="s">
        <v>34</v>
      </c>
      <c r="E295" s="41" t="s">
        <v>65</v>
      </c>
    </row>
    <row r="296" spans="1:5">
      <c r="A296" s="36" t="s">
        <v>968</v>
      </c>
      <c r="B296" s="42" t="s">
        <v>10</v>
      </c>
      <c r="C296" s="42" t="s">
        <v>10</v>
      </c>
      <c r="D296" s="41" t="s">
        <v>34</v>
      </c>
      <c r="E296" s="41" t="s">
        <v>801</v>
      </c>
    </row>
    <row r="297" spans="1:5">
      <c r="A297" s="36" t="s">
        <v>969</v>
      </c>
      <c r="B297" s="42" t="s">
        <v>10</v>
      </c>
      <c r="C297" s="42" t="s">
        <v>10</v>
      </c>
      <c r="D297" s="41" t="s">
        <v>34</v>
      </c>
      <c r="E297" s="41" t="s">
        <v>801</v>
      </c>
    </row>
    <row r="298" spans="1:5">
      <c r="A298" s="36" t="s">
        <v>970</v>
      </c>
      <c r="B298" s="5" t="s">
        <v>13</v>
      </c>
      <c r="C298" s="5" t="str">
        <f>B298</f>
        <v>MEA</v>
      </c>
      <c r="D298" s="9" t="s">
        <v>24</v>
      </c>
      <c r="E298" s="41" t="s">
        <v>763</v>
      </c>
    </row>
    <row r="299" spans="1:5">
      <c r="A299" s="36" t="s">
        <v>971</v>
      </c>
      <c r="B299" s="5" t="s">
        <v>11</v>
      </c>
      <c r="C299" s="5" t="s">
        <v>11</v>
      </c>
      <c r="D299" s="9" t="s">
        <v>786</v>
      </c>
      <c r="E299" s="41" t="s">
        <v>835</v>
      </c>
    </row>
    <row r="300" spans="1:5">
      <c r="A300" s="36" t="s">
        <v>237</v>
      </c>
      <c r="B300" s="5" t="s">
        <v>12</v>
      </c>
      <c r="C300" s="5" t="s">
        <v>12</v>
      </c>
      <c r="D300" s="41" t="s">
        <v>71</v>
      </c>
      <c r="E300" s="41" t="s">
        <v>65</v>
      </c>
    </row>
    <row r="301" spans="1:5">
      <c r="A301" s="33" t="s">
        <v>972</v>
      </c>
      <c r="B301" s="5" t="s">
        <v>11</v>
      </c>
      <c r="C301" s="5" t="s">
        <v>11</v>
      </c>
      <c r="D301" s="9" t="s">
        <v>729</v>
      </c>
      <c r="E301" s="41" t="s">
        <v>835</v>
      </c>
    </row>
    <row r="302" spans="1:5">
      <c r="A302" s="33" t="s">
        <v>191</v>
      </c>
      <c r="B302" s="42" t="s">
        <v>10</v>
      </c>
      <c r="C302" s="42" t="s">
        <v>10</v>
      </c>
      <c r="D302" s="41" t="s">
        <v>34</v>
      </c>
      <c r="E302" s="41" t="s">
        <v>973</v>
      </c>
    </row>
    <row r="303" spans="1:5">
      <c r="A303" s="33" t="s">
        <v>174</v>
      </c>
      <c r="B303" s="42" t="s">
        <v>10</v>
      </c>
      <c r="C303" s="42" t="s">
        <v>10</v>
      </c>
      <c r="D303" s="41" t="s">
        <v>34</v>
      </c>
      <c r="E303" s="41" t="s">
        <v>841</v>
      </c>
    </row>
    <row r="304" spans="1:5">
      <c r="A304" s="33" t="s">
        <v>64</v>
      </c>
      <c r="B304" s="5" t="s">
        <v>12</v>
      </c>
      <c r="C304" s="5" t="s">
        <v>12</v>
      </c>
      <c r="D304" s="41" t="s">
        <v>62</v>
      </c>
      <c r="E304" s="41" t="s">
        <v>65</v>
      </c>
    </row>
    <row r="305" spans="1:5">
      <c r="A305" s="33" t="s">
        <v>66</v>
      </c>
      <c r="B305" s="5" t="s">
        <v>12</v>
      </c>
      <c r="C305" s="5" t="s">
        <v>12</v>
      </c>
      <c r="D305" s="41" t="s">
        <v>62</v>
      </c>
      <c r="E305" s="41" t="s">
        <v>65</v>
      </c>
    </row>
    <row r="306" spans="1:5">
      <c r="A306" s="33" t="s">
        <v>341</v>
      </c>
      <c r="B306" s="5" t="s">
        <v>12</v>
      </c>
      <c r="C306" s="5" t="s">
        <v>12</v>
      </c>
      <c r="D306" s="41" t="s">
        <v>34</v>
      </c>
      <c r="E306" s="41" t="s">
        <v>65</v>
      </c>
    </row>
    <row r="307" spans="1:5">
      <c r="A307" s="33" t="s">
        <v>258</v>
      </c>
      <c r="B307" s="42" t="s">
        <v>10</v>
      </c>
      <c r="C307" s="42" t="s">
        <v>10</v>
      </c>
      <c r="D307" s="41" t="s">
        <v>27</v>
      </c>
      <c r="E307" s="41" t="s">
        <v>28</v>
      </c>
    </row>
    <row r="308" spans="1:5">
      <c r="A308" s="33" t="s">
        <v>974</v>
      </c>
      <c r="B308" s="5" t="s">
        <v>11</v>
      </c>
      <c r="C308" s="5" t="s">
        <v>11</v>
      </c>
      <c r="D308" s="9" t="s">
        <v>746</v>
      </c>
      <c r="E308" s="41" t="s">
        <v>34</v>
      </c>
    </row>
    <row r="309" spans="1:5">
      <c r="A309" s="33" t="s">
        <v>975</v>
      </c>
      <c r="B309" s="5" t="s">
        <v>13</v>
      </c>
      <c r="C309" s="5" t="str">
        <f>B309</f>
        <v>MEA</v>
      </c>
      <c r="D309" s="41" t="s">
        <v>24</v>
      </c>
      <c r="E309" s="41" t="s">
        <v>25</v>
      </c>
    </row>
    <row r="310" spans="1:5">
      <c r="A310" s="33" t="s">
        <v>976</v>
      </c>
      <c r="B310" s="5" t="s">
        <v>11</v>
      </c>
      <c r="C310" s="5" t="s">
        <v>17</v>
      </c>
      <c r="D310" s="41" t="s">
        <v>752</v>
      </c>
      <c r="E310" s="41" t="s">
        <v>34</v>
      </c>
    </row>
    <row r="311" spans="1:5">
      <c r="A311" s="33" t="s">
        <v>977</v>
      </c>
      <c r="B311" s="5" t="s">
        <v>11</v>
      </c>
      <c r="C311" s="5" t="s">
        <v>11</v>
      </c>
      <c r="D311" s="9" t="s">
        <v>714</v>
      </c>
      <c r="E311" s="41" t="s">
        <v>34</v>
      </c>
    </row>
    <row r="312" spans="1:5">
      <c r="A312" s="33" t="s">
        <v>945</v>
      </c>
      <c r="B312" s="5" t="s">
        <v>11</v>
      </c>
      <c r="C312" s="5" t="s">
        <v>17</v>
      </c>
      <c r="D312" s="9" t="s">
        <v>729</v>
      </c>
      <c r="E312" s="41" t="s">
        <v>34</v>
      </c>
    </row>
    <row r="313" spans="1:5">
      <c r="A313" s="33" t="s">
        <v>978</v>
      </c>
      <c r="B313" s="5" t="s">
        <v>11</v>
      </c>
      <c r="C313" s="5" t="s">
        <v>17</v>
      </c>
      <c r="D313" s="41" t="s">
        <v>752</v>
      </c>
      <c r="E313" s="41" t="s">
        <v>34</v>
      </c>
    </row>
    <row r="314" spans="1:5">
      <c r="A314" s="33" t="s">
        <v>979</v>
      </c>
      <c r="B314" s="5" t="s">
        <v>11</v>
      </c>
      <c r="C314" s="5" t="s">
        <v>17</v>
      </c>
      <c r="D314" s="41" t="s">
        <v>714</v>
      </c>
      <c r="E314" s="41" t="s">
        <v>34</v>
      </c>
    </row>
    <row r="315" spans="1:5">
      <c r="A315" s="41" t="s">
        <v>980</v>
      </c>
      <c r="B315" s="5" t="s">
        <v>13</v>
      </c>
      <c r="C315" s="5" t="str">
        <f>B315</f>
        <v>MEA</v>
      </c>
      <c r="D315" s="41" t="s">
        <v>34</v>
      </c>
      <c r="E315" s="41" t="s">
        <v>25</v>
      </c>
    </row>
    <row r="316" spans="1:5">
      <c r="A316" s="41" t="s">
        <v>981</v>
      </c>
      <c r="B316" s="5" t="s">
        <v>12</v>
      </c>
      <c r="C316" s="5" t="s">
        <v>12</v>
      </c>
      <c r="D316" s="41" t="s">
        <v>34</v>
      </c>
      <c r="E316" s="41" t="s">
        <v>65</v>
      </c>
    </row>
    <row r="317" spans="1:5">
      <c r="A317" s="41" t="s">
        <v>982</v>
      </c>
      <c r="B317" s="5" t="s">
        <v>13</v>
      </c>
      <c r="C317" s="5" t="str">
        <f>B317</f>
        <v>MEA</v>
      </c>
      <c r="D317" s="41" t="s">
        <v>34</v>
      </c>
      <c r="E317" s="41" t="s">
        <v>25</v>
      </c>
    </row>
    <row r="318" spans="1:5">
      <c r="A318" s="41" t="s">
        <v>333</v>
      </c>
      <c r="B318" s="42" t="s">
        <v>10</v>
      </c>
      <c r="C318" s="42" t="s">
        <v>10</v>
      </c>
      <c r="D318" s="41" t="s">
        <v>34</v>
      </c>
      <c r="E318" s="41" t="s">
        <v>63</v>
      </c>
    </row>
    <row r="319" spans="1:5">
      <c r="A319" s="1" t="s">
        <v>189</v>
      </c>
      <c r="B319" s="42" t="s">
        <v>10</v>
      </c>
      <c r="C319" s="42" t="s">
        <v>10</v>
      </c>
      <c r="D319" s="41" t="s">
        <v>34</v>
      </c>
      <c r="E319" s="41" t="s">
        <v>754</v>
      </c>
    </row>
    <row r="320" spans="1:5">
      <c r="A320" s="41" t="s">
        <v>983</v>
      </c>
      <c r="B320" s="78" t="s">
        <v>9</v>
      </c>
      <c r="C320" s="5" t="s">
        <v>736</v>
      </c>
      <c r="D320" s="41" t="s">
        <v>765</v>
      </c>
      <c r="E320" s="41" t="s">
        <v>28</v>
      </c>
    </row>
    <row r="321" spans="1:5">
      <c r="A321" s="1" t="s">
        <v>984</v>
      </c>
      <c r="B321" s="5" t="s">
        <v>12</v>
      </c>
      <c r="C321" s="5" t="s">
        <v>12</v>
      </c>
      <c r="D321" s="41" t="s">
        <v>34</v>
      </c>
      <c r="E321" s="41" t="s">
        <v>65</v>
      </c>
    </row>
    <row r="322" spans="1:5">
      <c r="A322" s="41" t="s">
        <v>293</v>
      </c>
      <c r="B322" s="5" t="s">
        <v>11</v>
      </c>
      <c r="C322" s="42" t="s">
        <v>11</v>
      </c>
      <c r="D322" s="9" t="s">
        <v>729</v>
      </c>
      <c r="E322" s="41" t="s">
        <v>34</v>
      </c>
    </row>
    <row r="323" spans="1:5">
      <c r="A323" s="41" t="s">
        <v>985</v>
      </c>
      <c r="B323" s="5" t="s">
        <v>11</v>
      </c>
      <c r="C323" s="42" t="s">
        <v>17</v>
      </c>
      <c r="D323" s="9" t="s">
        <v>746</v>
      </c>
      <c r="E323" s="41" t="s">
        <v>34</v>
      </c>
    </row>
    <row r="324" spans="1:5">
      <c r="A324" s="41" t="s">
        <v>217</v>
      </c>
      <c r="B324" s="5" t="s">
        <v>12</v>
      </c>
      <c r="C324" s="5" t="s">
        <v>12</v>
      </c>
      <c r="D324" s="41" t="s">
        <v>62</v>
      </c>
      <c r="E324" s="41" t="s">
        <v>65</v>
      </c>
    </row>
    <row r="325" spans="1:5">
      <c r="A325" s="41" t="s">
        <v>986</v>
      </c>
      <c r="B325" s="42" t="s">
        <v>9</v>
      </c>
      <c r="C325" s="42" t="s">
        <v>9</v>
      </c>
      <c r="D325" s="41" t="s">
        <v>34</v>
      </c>
      <c r="E325" s="41" t="s">
        <v>987</v>
      </c>
    </row>
    <row r="326" spans="1:5">
      <c r="A326" s="41" t="s">
        <v>219</v>
      </c>
      <c r="B326" s="5" t="s">
        <v>12</v>
      </c>
      <c r="C326" s="5" t="s">
        <v>12</v>
      </c>
      <c r="D326" s="41" t="s">
        <v>849</v>
      </c>
      <c r="E326" s="41" t="s">
        <v>65</v>
      </c>
    </row>
    <row r="327" spans="1:5">
      <c r="A327" s="41" t="s">
        <v>988</v>
      </c>
      <c r="B327" s="5" t="s">
        <v>13</v>
      </c>
      <c r="C327" s="5" t="str">
        <f t="shared" ref="C327:C328" si="4">B327</f>
        <v>MEA</v>
      </c>
      <c r="D327" s="41" t="s">
        <v>34</v>
      </c>
      <c r="E327" s="41" t="s">
        <v>25</v>
      </c>
    </row>
    <row r="328" spans="1:5">
      <c r="A328" s="41" t="s">
        <v>989</v>
      </c>
      <c r="B328" s="5" t="s">
        <v>13</v>
      </c>
      <c r="C328" s="5" t="str">
        <f t="shared" si="4"/>
        <v>MEA</v>
      </c>
      <c r="D328" s="41" t="s">
        <v>34</v>
      </c>
      <c r="E328" s="41" t="s">
        <v>25</v>
      </c>
    </row>
    <row r="329" spans="1:5">
      <c r="A329" s="41" t="s">
        <v>240</v>
      </c>
      <c r="B329" s="42" t="s">
        <v>10</v>
      </c>
      <c r="C329" s="42" t="s">
        <v>10</v>
      </c>
      <c r="D329" s="41" t="s">
        <v>34</v>
      </c>
      <c r="E329" s="41" t="s">
        <v>841</v>
      </c>
    </row>
    <row r="330" spans="1:5">
      <c r="A330" s="41" t="s">
        <v>990</v>
      </c>
      <c r="B330" s="5" t="s">
        <v>12</v>
      </c>
      <c r="C330" s="5" t="s">
        <v>12</v>
      </c>
      <c r="D330" s="41" t="s">
        <v>34</v>
      </c>
      <c r="E330" s="41" t="s">
        <v>65</v>
      </c>
    </row>
    <row r="331" spans="1:5">
      <c r="A331" s="41" t="s">
        <v>251</v>
      </c>
      <c r="B331" s="5" t="s">
        <v>13</v>
      </c>
      <c r="C331" s="5" t="str">
        <f>B331</f>
        <v>MEA</v>
      </c>
      <c r="D331" s="41" t="s">
        <v>24</v>
      </c>
      <c r="E331" s="41" t="s">
        <v>34</v>
      </c>
    </row>
    <row r="332" spans="1:5">
      <c r="A332" s="41" t="s">
        <v>256</v>
      </c>
      <c r="B332" s="5" t="s">
        <v>11</v>
      </c>
      <c r="C332" s="5" t="s">
        <v>11</v>
      </c>
      <c r="D332" s="41" t="s">
        <v>720</v>
      </c>
      <c r="E332" s="41" t="s">
        <v>991</v>
      </c>
    </row>
    <row r="333" spans="1:5">
      <c r="A333" s="41" t="s">
        <v>257</v>
      </c>
      <c r="B333" s="5" t="s">
        <v>11</v>
      </c>
      <c r="C333" s="42" t="s">
        <v>17</v>
      </c>
      <c r="D333" s="9" t="s">
        <v>746</v>
      </c>
      <c r="E333" s="41" t="s">
        <v>34</v>
      </c>
    </row>
    <row r="334" spans="1:5">
      <c r="A334" s="41" t="s">
        <v>284</v>
      </c>
      <c r="B334" s="5" t="s">
        <v>13</v>
      </c>
      <c r="C334" s="5" t="str">
        <f>B334</f>
        <v>MEA</v>
      </c>
      <c r="D334" s="41" t="s">
        <v>24</v>
      </c>
      <c r="E334" s="41" t="s">
        <v>34</v>
      </c>
    </row>
    <row r="335" spans="1:5">
      <c r="A335" s="41" t="s">
        <v>300</v>
      </c>
      <c r="B335" s="5" t="s">
        <v>12</v>
      </c>
      <c r="C335" s="5" t="s">
        <v>12</v>
      </c>
      <c r="D335" s="9" t="s">
        <v>33</v>
      </c>
      <c r="E335" s="41" t="s">
        <v>34</v>
      </c>
    </row>
    <row r="336" spans="1:5">
      <c r="A336" s="41" t="s">
        <v>320</v>
      </c>
      <c r="B336" s="42" t="s">
        <v>9</v>
      </c>
      <c r="C336" s="42" t="s">
        <v>9</v>
      </c>
      <c r="D336" s="41" t="s">
        <v>34</v>
      </c>
      <c r="E336" s="41" t="s">
        <v>992</v>
      </c>
    </row>
    <row r="337" spans="1:5">
      <c r="A337" s="41" t="s">
        <v>329</v>
      </c>
      <c r="B337" s="42" t="s">
        <v>10</v>
      </c>
      <c r="C337" s="42" t="s">
        <v>10</v>
      </c>
      <c r="D337" s="41" t="s">
        <v>34</v>
      </c>
      <c r="E337" s="41" t="s">
        <v>993</v>
      </c>
    </row>
    <row r="338" spans="1:5">
      <c r="A338" s="41" t="s">
        <v>329</v>
      </c>
      <c r="B338" s="42" t="s">
        <v>10</v>
      </c>
      <c r="C338" s="42" t="s">
        <v>10</v>
      </c>
      <c r="D338" s="41" t="s">
        <v>34</v>
      </c>
      <c r="E338" s="41" t="s">
        <v>993</v>
      </c>
    </row>
    <row r="339" spans="1:5">
      <c r="A339" s="41" t="s">
        <v>994</v>
      </c>
      <c r="B339" s="5" t="s">
        <v>12</v>
      </c>
      <c r="C339" s="5" t="s">
        <v>12</v>
      </c>
      <c r="D339" s="9" t="s">
        <v>33</v>
      </c>
      <c r="E339" s="41" t="s">
        <v>34</v>
      </c>
    </row>
    <row r="340" spans="1:5">
      <c r="A340" s="41" t="s">
        <v>335</v>
      </c>
      <c r="B340" s="5" t="s">
        <v>12</v>
      </c>
      <c r="C340" s="5" t="s">
        <v>12</v>
      </c>
      <c r="D340" s="41" t="s">
        <v>34</v>
      </c>
      <c r="E340" s="41" t="s">
        <v>991</v>
      </c>
    </row>
    <row r="341" spans="1:5">
      <c r="A341" s="41" t="s">
        <v>995</v>
      </c>
      <c r="B341" s="42" t="s">
        <v>10</v>
      </c>
      <c r="C341" s="42" t="s">
        <v>10</v>
      </c>
      <c r="D341" s="41" t="s">
        <v>727</v>
      </c>
      <c r="E341" s="41" t="s">
        <v>34</v>
      </c>
    </row>
    <row r="342" spans="1:5">
      <c r="A342" s="35"/>
      <c r="B342" s="79"/>
      <c r="C342" s="8"/>
    </row>
    <row r="343" spans="1:5">
      <c r="A343" s="35"/>
      <c r="B343" s="79"/>
      <c r="C343" s="8"/>
    </row>
    <row r="344" spans="1:5">
      <c r="A344" s="35"/>
      <c r="B344" s="79"/>
      <c r="C344" s="8"/>
    </row>
    <row r="345" spans="1:5">
      <c r="A345" s="35"/>
      <c r="B345" s="79"/>
      <c r="C345" s="8"/>
    </row>
    <row r="346" spans="1:5">
      <c r="A346" s="35"/>
      <c r="B346" s="79"/>
      <c r="C346" s="8"/>
    </row>
    <row r="347" spans="1:5">
      <c r="A347" s="35"/>
      <c r="B347" s="79"/>
      <c r="C347" s="8"/>
    </row>
    <row r="348" spans="1:5">
      <c r="A348" s="35"/>
      <c r="B348" s="79"/>
      <c r="C348" s="8"/>
    </row>
    <row r="349" spans="1:5">
      <c r="A349" s="35"/>
      <c r="B349" s="79"/>
      <c r="C349" s="8"/>
    </row>
    <row r="350" spans="1:5">
      <c r="A350" s="35"/>
      <c r="B350" s="79"/>
      <c r="C350" s="8"/>
    </row>
    <row r="351" spans="1:5">
      <c r="A351" s="35"/>
      <c r="B351" s="79"/>
      <c r="C351" s="8"/>
    </row>
    <row r="352" spans="1:5">
      <c r="A352" s="35"/>
      <c r="B352" s="79"/>
      <c r="C352" s="8"/>
    </row>
    <row r="353" spans="1:3">
      <c r="A353" s="35"/>
      <c r="B353" s="79"/>
      <c r="C353" s="8"/>
    </row>
    <row r="354" spans="1:3">
      <c r="A354" s="35"/>
      <c r="B354" s="79"/>
      <c r="C354" s="8"/>
    </row>
    <row r="355" spans="1:3">
      <c r="A355" s="35"/>
      <c r="B355" s="79"/>
      <c r="C355" s="8"/>
    </row>
    <row r="356" spans="1:3">
      <c r="A356" s="35"/>
      <c r="B356" s="79"/>
      <c r="C356" s="8"/>
    </row>
    <row r="357" spans="1:3">
      <c r="A357" s="35"/>
      <c r="B357" s="79"/>
      <c r="C357" s="8"/>
    </row>
    <row r="358" spans="1:3">
      <c r="A358" s="35"/>
      <c r="B358" s="79"/>
      <c r="C358" s="8"/>
    </row>
    <row r="359" spans="1:3">
      <c r="A359" s="35"/>
      <c r="B359" s="79"/>
      <c r="C359" s="8"/>
    </row>
    <row r="360" spans="1:3">
      <c r="A360" s="35"/>
      <c r="B360" s="79"/>
      <c r="C360" s="8"/>
    </row>
    <row r="361" spans="1:3">
      <c r="A361" s="35"/>
      <c r="B361" s="79"/>
      <c r="C361" s="8"/>
    </row>
    <row r="362" spans="1:3">
      <c r="A362" s="35"/>
      <c r="B362" s="79"/>
      <c r="C362" s="8"/>
    </row>
    <row r="363" spans="1:3">
      <c r="A363" s="35"/>
      <c r="B363" s="79"/>
      <c r="C363" s="8"/>
    </row>
    <row r="364" spans="1:3">
      <c r="A364" s="35"/>
      <c r="B364" s="79"/>
      <c r="C364" s="8"/>
    </row>
    <row r="365" spans="1:3">
      <c r="A365" s="35"/>
      <c r="B365" s="79"/>
      <c r="C365" s="8"/>
    </row>
    <row r="366" spans="1:3">
      <c r="A366" s="35"/>
      <c r="B366" s="79"/>
      <c r="C366" s="8"/>
    </row>
    <row r="367" spans="1:3">
      <c r="A367" s="35"/>
      <c r="B367" s="79"/>
      <c r="C367" s="8"/>
    </row>
    <row r="368" spans="1:3">
      <c r="A368" s="35"/>
      <c r="B368" s="79"/>
      <c r="C368" s="8"/>
    </row>
    <row r="369" spans="1:3">
      <c r="A369" s="35"/>
      <c r="B369" s="79"/>
      <c r="C369" s="8"/>
    </row>
    <row r="370" spans="1:3">
      <c r="A370" s="35"/>
      <c r="B370" s="79"/>
      <c r="C370" s="8"/>
    </row>
    <row r="371" spans="1:3">
      <c r="A371" s="35"/>
      <c r="B371" s="79"/>
      <c r="C371" s="8"/>
    </row>
    <row r="372" spans="1:3">
      <c r="A372" s="35"/>
      <c r="B372" s="79"/>
      <c r="C372" s="8"/>
    </row>
    <row r="373" spans="1:3">
      <c r="A373" s="35"/>
      <c r="B373" s="79"/>
      <c r="C373" s="8"/>
    </row>
    <row r="374" spans="1:3">
      <c r="A374" s="35"/>
      <c r="B374" s="79"/>
      <c r="C374" s="8"/>
    </row>
    <row r="375" spans="1:3">
      <c r="A375" s="35"/>
      <c r="B375" s="79"/>
      <c r="C375" s="8"/>
    </row>
    <row r="376" spans="1:3">
      <c r="A376" s="35"/>
      <c r="B376" s="79"/>
      <c r="C376" s="8"/>
    </row>
    <row r="377" spans="1:3">
      <c r="A377" s="35"/>
      <c r="B377" s="79"/>
      <c r="C377" s="8"/>
    </row>
    <row r="378" spans="1:3">
      <c r="A378" s="35"/>
      <c r="B378" s="79"/>
      <c r="C378" s="8"/>
    </row>
    <row r="379" spans="1:3">
      <c r="A379" s="35"/>
      <c r="B379" s="79"/>
      <c r="C379" s="8"/>
    </row>
    <row r="380" spans="1:3">
      <c r="A380" s="35"/>
      <c r="B380" s="79"/>
      <c r="C380" s="8"/>
    </row>
    <row r="381" spans="1:3">
      <c r="A381" s="35"/>
      <c r="B381" s="79"/>
      <c r="C381" s="8"/>
    </row>
    <row r="382" spans="1:3">
      <c r="A382" s="35"/>
      <c r="B382" s="79"/>
      <c r="C382" s="8"/>
    </row>
    <row r="383" spans="1:3">
      <c r="A383" s="35"/>
      <c r="B383" s="79"/>
      <c r="C383" s="8"/>
    </row>
    <row r="384" spans="1:3">
      <c r="A384" s="35"/>
      <c r="B384" s="79"/>
      <c r="C384" s="8"/>
    </row>
    <row r="385" spans="1:3">
      <c r="A385" s="35"/>
      <c r="B385" s="79"/>
      <c r="C385" s="8"/>
    </row>
    <row r="386" spans="1:3">
      <c r="A386" s="35"/>
      <c r="B386" s="79"/>
      <c r="C386" s="8"/>
    </row>
    <row r="387" spans="1:3">
      <c r="A387" s="35"/>
      <c r="B387" s="79"/>
      <c r="C387" s="8"/>
    </row>
    <row r="388" spans="1:3">
      <c r="A388" s="35"/>
      <c r="B388" s="79"/>
      <c r="C388" s="8"/>
    </row>
    <row r="389" spans="1:3">
      <c r="A389" s="35"/>
      <c r="B389" s="79"/>
      <c r="C389" s="8"/>
    </row>
    <row r="390" spans="1:3">
      <c r="A390" s="35"/>
      <c r="B390" s="79"/>
      <c r="C390" s="8"/>
    </row>
    <row r="391" spans="1:3">
      <c r="A391" s="35"/>
      <c r="B391" s="79"/>
      <c r="C391" s="8"/>
    </row>
    <row r="392" spans="1:3">
      <c r="A392" s="35"/>
      <c r="B392" s="79"/>
      <c r="C392" s="8"/>
    </row>
    <row r="393" spans="1:3">
      <c r="A393" s="35"/>
      <c r="B393" s="79"/>
      <c r="C393" s="8"/>
    </row>
    <row r="394" spans="1:3">
      <c r="A394" s="35"/>
      <c r="B394" s="79"/>
      <c r="C394" s="8"/>
    </row>
    <row r="395" spans="1:3">
      <c r="A395" s="35"/>
      <c r="B395" s="79"/>
      <c r="C395" s="8"/>
    </row>
    <row r="396" spans="1:3">
      <c r="A396" s="35"/>
      <c r="B396" s="79"/>
      <c r="C396" s="8"/>
    </row>
    <row r="397" spans="1:3">
      <c r="A397" s="35"/>
      <c r="B397" s="79"/>
      <c r="C397" s="8"/>
    </row>
    <row r="398" spans="1:3">
      <c r="A398" s="35"/>
      <c r="B398" s="79"/>
      <c r="C398" s="8"/>
    </row>
    <row r="399" spans="1:3">
      <c r="A399" s="35"/>
      <c r="B399" s="79"/>
      <c r="C399" s="8"/>
    </row>
    <row r="400" spans="1:3">
      <c r="A400" s="35"/>
      <c r="B400" s="79"/>
      <c r="C400" s="8"/>
    </row>
    <row r="401" spans="1:3">
      <c r="A401" s="35"/>
      <c r="B401" s="79"/>
      <c r="C401" s="8"/>
    </row>
    <row r="402" spans="1:3">
      <c r="A402" s="35"/>
      <c r="B402" s="79"/>
      <c r="C402" s="8"/>
    </row>
    <row r="403" spans="1:3">
      <c r="A403" s="35"/>
      <c r="B403" s="79"/>
      <c r="C403" s="8"/>
    </row>
    <row r="404" spans="1:3">
      <c r="A404" s="35"/>
      <c r="B404" s="79"/>
      <c r="C404" s="8"/>
    </row>
    <row r="405" spans="1:3">
      <c r="A405" s="35"/>
      <c r="B405" s="79"/>
      <c r="C405" s="8"/>
    </row>
    <row r="406" spans="1:3">
      <c r="A406" s="35"/>
      <c r="B406" s="79"/>
      <c r="C406" s="8"/>
    </row>
    <row r="407" spans="1:3">
      <c r="A407" s="35"/>
      <c r="B407" s="79"/>
      <c r="C407" s="8"/>
    </row>
    <row r="408" spans="1:3">
      <c r="A408" s="35"/>
      <c r="B408" s="79"/>
      <c r="C408" s="8"/>
    </row>
    <row r="409" spans="1:3">
      <c r="A409" s="35"/>
      <c r="B409" s="79"/>
      <c r="C409" s="8"/>
    </row>
    <row r="410" spans="1:3">
      <c r="A410" s="35"/>
      <c r="B410" s="79"/>
      <c r="C410" s="8"/>
    </row>
    <row r="411" spans="1:3">
      <c r="A411" s="35"/>
      <c r="B411" s="79"/>
      <c r="C411" s="8"/>
    </row>
    <row r="412" spans="1:3">
      <c r="A412" s="35"/>
      <c r="B412" s="79"/>
      <c r="C412" s="8"/>
    </row>
    <row r="413" spans="1:3">
      <c r="A413" s="35"/>
      <c r="B413" s="79"/>
      <c r="C413" s="8"/>
    </row>
    <row r="414" spans="1:3">
      <c r="A414" s="35"/>
      <c r="B414" s="79"/>
      <c r="C414" s="8"/>
    </row>
    <row r="415" spans="1:3">
      <c r="A415" s="35"/>
      <c r="B415" s="79"/>
      <c r="C415" s="8"/>
    </row>
    <row r="416" spans="1:3">
      <c r="A416" s="35"/>
      <c r="B416" s="79"/>
      <c r="C416" s="8"/>
    </row>
    <row r="417" spans="1:3">
      <c r="A417" s="35"/>
      <c r="B417" s="79"/>
      <c r="C417" s="8"/>
    </row>
    <row r="418" spans="1:3">
      <c r="A418" s="35"/>
      <c r="B418" s="79"/>
      <c r="C418" s="8"/>
    </row>
    <row r="419" spans="1:3">
      <c r="A419" s="35"/>
      <c r="B419" s="79"/>
      <c r="C419" s="8"/>
    </row>
    <row r="420" spans="1:3">
      <c r="A420" s="35"/>
      <c r="B420" s="79"/>
      <c r="C420" s="8"/>
    </row>
    <row r="421" spans="1:3">
      <c r="A421" s="35"/>
      <c r="B421" s="79"/>
      <c r="C421" s="8"/>
    </row>
    <row r="422" spans="1:3">
      <c r="A422" s="35"/>
      <c r="B422" s="79"/>
      <c r="C422" s="8"/>
    </row>
    <row r="423" spans="1:3">
      <c r="A423" s="35"/>
      <c r="B423" s="79"/>
      <c r="C423" s="8"/>
    </row>
    <row r="424" spans="1:3">
      <c r="A424" s="35"/>
      <c r="B424" s="79"/>
      <c r="C424" s="8"/>
    </row>
    <row r="425" spans="1:3">
      <c r="A425" s="35"/>
      <c r="B425" s="79"/>
      <c r="C425" s="8"/>
    </row>
    <row r="426" spans="1:3">
      <c r="A426" s="35"/>
      <c r="B426" s="79"/>
      <c r="C426" s="8"/>
    </row>
    <row r="427" spans="1:3">
      <c r="A427" s="35"/>
      <c r="B427" s="79"/>
      <c r="C427" s="8"/>
    </row>
    <row r="428" spans="1:3">
      <c r="A428" s="35"/>
      <c r="B428" s="79"/>
      <c r="C428" s="8"/>
    </row>
    <row r="429" spans="1:3">
      <c r="A429" s="35"/>
      <c r="B429" s="79"/>
      <c r="C429" s="8"/>
    </row>
    <row r="430" spans="1:3">
      <c r="A430" s="35"/>
      <c r="B430" s="79"/>
      <c r="C430" s="8"/>
    </row>
    <row r="431" spans="1:3">
      <c r="A431" s="35"/>
      <c r="B431" s="79"/>
      <c r="C431" s="8"/>
    </row>
    <row r="432" spans="1:3">
      <c r="A432" s="35"/>
      <c r="B432" s="79"/>
      <c r="C432" s="8"/>
    </row>
    <row r="433" spans="1:3">
      <c r="A433" s="35"/>
      <c r="B433" s="79"/>
      <c r="C433" s="8"/>
    </row>
    <row r="434" spans="1:3">
      <c r="A434" s="35"/>
      <c r="B434" s="79"/>
      <c r="C434" s="8"/>
    </row>
    <row r="435" spans="1:3">
      <c r="A435" s="35"/>
      <c r="B435" s="79"/>
      <c r="C435" s="8"/>
    </row>
    <row r="436" spans="1:3">
      <c r="A436" s="35"/>
      <c r="B436" s="79"/>
      <c r="C436" s="8"/>
    </row>
    <row r="437" spans="1:3">
      <c r="A437" s="35"/>
      <c r="B437" s="79"/>
      <c r="C437" s="8"/>
    </row>
    <row r="438" spans="1:3">
      <c r="A438" s="35"/>
      <c r="B438" s="79"/>
      <c r="C438" s="8"/>
    </row>
    <row r="439" spans="1:3">
      <c r="A439" s="35"/>
      <c r="B439" s="79"/>
      <c r="C439" s="8"/>
    </row>
    <row r="440" spans="1:3">
      <c r="A440" s="35"/>
      <c r="B440" s="79"/>
      <c r="C440" s="8"/>
    </row>
    <row r="441" spans="1:3">
      <c r="A441" s="35"/>
      <c r="B441" s="79"/>
      <c r="C441" s="8"/>
    </row>
    <row r="442" spans="1:3">
      <c r="A442" s="35"/>
      <c r="B442" s="79"/>
      <c r="C442" s="8"/>
    </row>
    <row r="443" spans="1:3">
      <c r="A443" s="35"/>
      <c r="B443" s="79"/>
      <c r="C443" s="8"/>
    </row>
    <row r="444" spans="1:3">
      <c r="A444" s="35"/>
      <c r="B444" s="79"/>
      <c r="C444" s="8"/>
    </row>
    <row r="445" spans="1:3">
      <c r="A445" s="35"/>
      <c r="B445" s="79"/>
      <c r="C445" s="8"/>
    </row>
    <row r="446" spans="1:3">
      <c r="A446" s="35"/>
      <c r="B446" s="79"/>
      <c r="C446" s="8"/>
    </row>
    <row r="447" spans="1:3">
      <c r="A447" s="35"/>
      <c r="B447" s="79"/>
      <c r="C447" s="8"/>
    </row>
    <row r="448" spans="1:3">
      <c r="A448" s="35"/>
      <c r="B448" s="79"/>
      <c r="C448" s="8"/>
    </row>
    <row r="449" spans="1:3">
      <c r="A449" s="35"/>
      <c r="B449" s="79"/>
      <c r="C449" s="8"/>
    </row>
    <row r="450" spans="1:3">
      <c r="A450" s="35"/>
      <c r="B450" s="79"/>
      <c r="C450" s="8"/>
    </row>
    <row r="451" spans="1:3">
      <c r="A451" s="35"/>
      <c r="B451" s="79"/>
      <c r="C451" s="8"/>
    </row>
    <row r="452" spans="1:3">
      <c r="A452" s="35"/>
      <c r="B452" s="79"/>
      <c r="C452" s="8"/>
    </row>
    <row r="453" spans="1:3">
      <c r="A453" s="35"/>
      <c r="B453" s="79"/>
      <c r="C453" s="8"/>
    </row>
    <row r="454" spans="1:3">
      <c r="A454" s="35"/>
      <c r="B454" s="79"/>
      <c r="C454" s="8"/>
    </row>
    <row r="455" spans="1:3">
      <c r="A455" s="35"/>
      <c r="B455" s="79"/>
      <c r="C455" s="8"/>
    </row>
    <row r="456" spans="1:3">
      <c r="A456" s="35"/>
      <c r="B456" s="79"/>
      <c r="C456" s="8"/>
    </row>
    <row r="457" spans="1:3">
      <c r="A457" s="35"/>
      <c r="B457" s="79"/>
      <c r="C457" s="8"/>
    </row>
    <row r="458" spans="1:3">
      <c r="A458" s="35"/>
      <c r="B458" s="79"/>
      <c r="C458" s="8"/>
    </row>
    <row r="459" spans="1:3">
      <c r="A459" s="35"/>
      <c r="B459" s="79"/>
      <c r="C459" s="8"/>
    </row>
    <row r="460" spans="1:3">
      <c r="A460" s="35"/>
      <c r="B460" s="79"/>
      <c r="C460" s="8"/>
    </row>
    <row r="461" spans="1:3">
      <c r="A461" s="35"/>
      <c r="B461" s="79"/>
      <c r="C461" s="8"/>
    </row>
    <row r="462" spans="1:3">
      <c r="A462" s="35"/>
      <c r="B462" s="79"/>
      <c r="C462" s="8"/>
    </row>
    <row r="463" spans="1:3">
      <c r="A463" s="35"/>
      <c r="B463" s="79"/>
      <c r="C463" s="8"/>
    </row>
    <row r="464" spans="1:3">
      <c r="A464" s="35"/>
      <c r="B464" s="79"/>
      <c r="C464" s="8"/>
    </row>
    <row r="465" spans="1:3">
      <c r="A465" s="35"/>
      <c r="B465" s="79"/>
      <c r="C465" s="8"/>
    </row>
    <row r="466" spans="1:3">
      <c r="A466" s="35"/>
      <c r="B466" s="79"/>
      <c r="C466" s="8"/>
    </row>
    <row r="467" spans="1:3">
      <c r="A467" s="35"/>
      <c r="B467" s="79"/>
      <c r="C467" s="8"/>
    </row>
    <row r="468" spans="1:3">
      <c r="A468" s="35"/>
      <c r="B468" s="79"/>
      <c r="C468" s="8"/>
    </row>
    <row r="469" spans="1:3">
      <c r="A469" s="35"/>
      <c r="B469" s="79"/>
      <c r="C469" s="8"/>
    </row>
    <row r="470" spans="1:3">
      <c r="A470" s="35"/>
      <c r="B470" s="79"/>
      <c r="C470" s="8"/>
    </row>
    <row r="471" spans="1:3">
      <c r="A471" s="35"/>
      <c r="B471" s="79"/>
      <c r="C471" s="8"/>
    </row>
    <row r="472" spans="1:3">
      <c r="A472" s="35"/>
      <c r="B472" s="79"/>
      <c r="C472" s="8"/>
    </row>
    <row r="473" spans="1:3">
      <c r="A473" s="35"/>
      <c r="B473" s="79"/>
      <c r="C473" s="8"/>
    </row>
    <row r="474" spans="1:3">
      <c r="A474" s="35"/>
      <c r="B474" s="79"/>
      <c r="C474" s="8"/>
    </row>
    <row r="475" spans="1:3">
      <c r="A475" s="35"/>
      <c r="B475" s="79"/>
      <c r="C475" s="8"/>
    </row>
    <row r="476" spans="1:3">
      <c r="A476" s="35"/>
      <c r="B476" s="79"/>
      <c r="C476" s="8"/>
    </row>
    <row r="477" spans="1:3">
      <c r="A477" s="35"/>
      <c r="B477" s="79"/>
      <c r="C477" s="8"/>
    </row>
    <row r="478" spans="1:3">
      <c r="A478" s="35"/>
      <c r="B478" s="79"/>
      <c r="C478" s="8"/>
    </row>
    <row r="479" spans="1:3">
      <c r="A479" s="35"/>
      <c r="B479" s="79"/>
      <c r="C479" s="8"/>
    </row>
    <row r="480" spans="1:3">
      <c r="A480" s="35"/>
      <c r="B480" s="79"/>
      <c r="C480" s="8"/>
    </row>
    <row r="481" spans="1:3">
      <c r="A481" s="35"/>
      <c r="B481" s="79"/>
      <c r="C481" s="8"/>
    </row>
    <row r="482" spans="1:3">
      <c r="A482" s="35"/>
      <c r="B482" s="79"/>
      <c r="C482" s="8"/>
    </row>
    <row r="483" spans="1:3">
      <c r="A483" s="35"/>
      <c r="B483" s="79"/>
      <c r="C483" s="8"/>
    </row>
    <row r="484" spans="1:3">
      <c r="A484" s="35"/>
      <c r="B484" s="79"/>
      <c r="C484" s="8"/>
    </row>
    <row r="485" spans="1:3">
      <c r="A485" s="35"/>
      <c r="B485" s="79"/>
      <c r="C485" s="8"/>
    </row>
    <row r="486" spans="1:3">
      <c r="A486" s="35"/>
      <c r="B486" s="79"/>
      <c r="C486" s="8"/>
    </row>
    <row r="487" spans="1:3">
      <c r="A487" s="35"/>
      <c r="B487" s="79"/>
      <c r="C487" s="8"/>
    </row>
    <row r="488" spans="1:3">
      <c r="A488" s="35"/>
      <c r="B488" s="79"/>
      <c r="C488" s="8"/>
    </row>
    <row r="489" spans="1:3">
      <c r="A489" s="35"/>
      <c r="B489" s="79"/>
      <c r="C489" s="8"/>
    </row>
    <row r="490" spans="1:3">
      <c r="A490" s="35"/>
      <c r="B490" s="79"/>
      <c r="C490" s="8"/>
    </row>
    <row r="491" spans="1:3">
      <c r="A491" s="35"/>
      <c r="B491" s="79"/>
      <c r="C491" s="8"/>
    </row>
    <row r="492" spans="1:3">
      <c r="A492" s="35"/>
      <c r="B492" s="79"/>
      <c r="C492" s="8"/>
    </row>
    <row r="493" spans="1:3">
      <c r="A493" s="35"/>
      <c r="B493" s="79"/>
      <c r="C493" s="8"/>
    </row>
    <row r="494" spans="1:3">
      <c r="A494" s="35"/>
      <c r="B494" s="79"/>
      <c r="C494" s="8"/>
    </row>
    <row r="495" spans="1:3">
      <c r="A495" s="35"/>
      <c r="B495" s="79"/>
      <c r="C495" s="8"/>
    </row>
    <row r="496" spans="1:3">
      <c r="A496" s="35"/>
      <c r="B496" s="79"/>
      <c r="C496" s="8"/>
    </row>
    <row r="497" spans="1:3">
      <c r="A497" s="35"/>
      <c r="B497" s="79"/>
      <c r="C497" s="8"/>
    </row>
    <row r="498" spans="1:3">
      <c r="A498" s="35"/>
      <c r="B498" s="79"/>
      <c r="C498" s="8"/>
    </row>
    <row r="499" spans="1:3">
      <c r="A499" s="35"/>
      <c r="B499" s="79"/>
      <c r="C499" s="8"/>
    </row>
    <row r="500" spans="1:3">
      <c r="A500" s="35"/>
      <c r="B500" s="79"/>
      <c r="C500" s="8"/>
    </row>
    <row r="501" spans="1:3">
      <c r="A501" s="35"/>
      <c r="B501" s="79"/>
      <c r="C501" s="8"/>
    </row>
    <row r="502" spans="1:3">
      <c r="A502" s="35"/>
      <c r="B502" s="79"/>
      <c r="C502" s="8"/>
    </row>
    <row r="503" spans="1:3">
      <c r="A503" s="35"/>
      <c r="B503" s="79"/>
      <c r="C503" s="8"/>
    </row>
    <row r="504" spans="1:3">
      <c r="A504" s="35"/>
      <c r="B504" s="79"/>
      <c r="C504" s="8"/>
    </row>
    <row r="505" spans="1:3">
      <c r="A505" s="35"/>
      <c r="B505" s="79"/>
      <c r="C505" s="8"/>
    </row>
    <row r="506" spans="1:3">
      <c r="A506" s="35"/>
      <c r="B506" s="79"/>
      <c r="C506" s="8"/>
    </row>
    <row r="507" spans="1:3">
      <c r="A507" s="35"/>
      <c r="B507" s="79"/>
      <c r="C507" s="8"/>
    </row>
    <row r="508" spans="1:3">
      <c r="A508" s="35"/>
      <c r="B508" s="79"/>
      <c r="C508" s="8"/>
    </row>
    <row r="509" spans="1:3">
      <c r="A509" s="35"/>
      <c r="B509" s="79"/>
      <c r="C509" s="8"/>
    </row>
    <row r="510" spans="1:3">
      <c r="A510" s="35"/>
      <c r="B510" s="79"/>
      <c r="C510" s="8"/>
    </row>
    <row r="511" spans="1:3">
      <c r="A511" s="35"/>
      <c r="B511" s="79"/>
      <c r="C511" s="8"/>
    </row>
    <row r="512" spans="1:3">
      <c r="A512" s="35"/>
      <c r="B512" s="79"/>
      <c r="C512" s="8"/>
    </row>
    <row r="513" spans="1:3">
      <c r="A513" s="35"/>
      <c r="B513" s="79"/>
      <c r="C513" s="8"/>
    </row>
    <row r="514" spans="1:3">
      <c r="A514" s="35"/>
      <c r="B514" s="79"/>
      <c r="C514" s="8"/>
    </row>
    <row r="515" spans="1:3">
      <c r="A515" s="35"/>
      <c r="B515" s="79"/>
      <c r="C515" s="8"/>
    </row>
    <row r="516" spans="1:3">
      <c r="A516" s="35"/>
      <c r="B516" s="79"/>
      <c r="C516" s="8"/>
    </row>
    <row r="517" spans="1:3">
      <c r="A517" s="35"/>
      <c r="B517" s="79"/>
      <c r="C517" s="8"/>
    </row>
    <row r="518" spans="1:3">
      <c r="A518" s="35"/>
      <c r="B518" s="79"/>
      <c r="C518" s="8"/>
    </row>
    <row r="519" spans="1:3">
      <c r="A519" s="35"/>
      <c r="B519" s="79"/>
      <c r="C519" s="8"/>
    </row>
    <row r="520" spans="1:3">
      <c r="A520" s="35"/>
      <c r="B520" s="79"/>
      <c r="C520" s="8"/>
    </row>
    <row r="521" spans="1:3">
      <c r="A521" s="35"/>
      <c r="B521" s="79"/>
      <c r="C521" s="8"/>
    </row>
    <row r="522" spans="1:3">
      <c r="A522" s="35"/>
      <c r="B522" s="79"/>
      <c r="C522" s="8"/>
    </row>
    <row r="523" spans="1:3">
      <c r="A523" s="35"/>
      <c r="B523" s="79"/>
      <c r="C523" s="8"/>
    </row>
    <row r="524" spans="1:3">
      <c r="A524" s="35"/>
      <c r="B524" s="79"/>
      <c r="C524" s="8"/>
    </row>
    <row r="525" spans="1:3">
      <c r="A525" s="35"/>
      <c r="B525" s="79"/>
      <c r="C525" s="8"/>
    </row>
    <row r="526" spans="1:3">
      <c r="A526" s="35"/>
      <c r="B526" s="79"/>
      <c r="C526" s="8"/>
    </row>
    <row r="527" spans="1:3">
      <c r="A527" s="35"/>
      <c r="B527" s="79"/>
      <c r="C527" s="8"/>
    </row>
    <row r="528" spans="1:3">
      <c r="A528" s="35"/>
      <c r="B528" s="79"/>
      <c r="C528" s="8"/>
    </row>
    <row r="529" spans="1:3">
      <c r="A529" s="35"/>
      <c r="B529" s="79"/>
      <c r="C529" s="8"/>
    </row>
    <row r="530" spans="1:3">
      <c r="A530" s="35"/>
      <c r="B530" s="79"/>
      <c r="C530" s="8"/>
    </row>
    <row r="531" spans="1:3">
      <c r="A531" s="35"/>
      <c r="B531" s="79"/>
      <c r="C531" s="8"/>
    </row>
    <row r="532" spans="1:3">
      <c r="A532" s="35"/>
      <c r="B532" s="79"/>
      <c r="C532" s="8"/>
    </row>
    <row r="533" spans="1:3">
      <c r="A533" s="35"/>
      <c r="B533" s="79"/>
      <c r="C533" s="8"/>
    </row>
    <row r="534" spans="1:3">
      <c r="A534" s="35"/>
      <c r="B534" s="79"/>
      <c r="C534" s="8"/>
    </row>
    <row r="535" spans="1:3">
      <c r="A535" s="35"/>
      <c r="B535" s="79"/>
      <c r="C535" s="8"/>
    </row>
    <row r="536" spans="1:3">
      <c r="A536" s="35"/>
      <c r="B536" s="79"/>
      <c r="C536" s="8"/>
    </row>
    <row r="537" spans="1:3">
      <c r="A537" s="35"/>
      <c r="B537" s="79"/>
      <c r="C537" s="8"/>
    </row>
    <row r="538" spans="1:3">
      <c r="A538" s="35"/>
      <c r="B538" s="79"/>
      <c r="C538" s="8"/>
    </row>
    <row r="539" spans="1:3">
      <c r="A539" s="35"/>
      <c r="B539" s="79"/>
      <c r="C539" s="8"/>
    </row>
    <row r="540" spans="1:3">
      <c r="A540" s="35"/>
      <c r="B540" s="79"/>
      <c r="C540" s="8"/>
    </row>
    <row r="541" spans="1:3">
      <c r="A541" s="35"/>
      <c r="B541" s="79"/>
      <c r="C541" s="8"/>
    </row>
    <row r="542" spans="1:3">
      <c r="A542" s="35"/>
      <c r="B542" s="79"/>
      <c r="C542" s="8"/>
    </row>
    <row r="543" spans="1:3">
      <c r="A543" s="35"/>
      <c r="B543" s="79"/>
      <c r="C543" s="8"/>
    </row>
    <row r="544" spans="1:3">
      <c r="A544" s="35"/>
      <c r="B544" s="79"/>
      <c r="C544" s="8"/>
    </row>
    <row r="545" spans="1:3">
      <c r="A545" s="35"/>
      <c r="B545" s="79"/>
      <c r="C545" s="8"/>
    </row>
    <row r="546" spans="1:3">
      <c r="A546" s="35"/>
      <c r="B546" s="79"/>
      <c r="C546" s="8"/>
    </row>
    <row r="547" spans="1:3">
      <c r="A547" s="35"/>
      <c r="B547" s="79"/>
      <c r="C547" s="8"/>
    </row>
    <row r="548" spans="1:3">
      <c r="A548" s="35"/>
      <c r="B548" s="79"/>
      <c r="C548" s="8"/>
    </row>
    <row r="549" spans="1:3">
      <c r="A549" s="35"/>
      <c r="B549" s="79"/>
      <c r="C549" s="8"/>
    </row>
    <row r="550" spans="1:3">
      <c r="A550" s="35"/>
      <c r="B550" s="79"/>
      <c r="C550" s="8"/>
    </row>
    <row r="551" spans="1:3">
      <c r="A551" s="35"/>
      <c r="B551" s="79"/>
      <c r="C551" s="8"/>
    </row>
    <row r="552" spans="1:3">
      <c r="A552" s="35"/>
      <c r="B552" s="79"/>
      <c r="C552" s="8"/>
    </row>
    <row r="553" spans="1:3">
      <c r="A553" s="35"/>
      <c r="B553" s="79"/>
      <c r="C553" s="8"/>
    </row>
    <row r="554" spans="1:3">
      <c r="A554" s="35"/>
      <c r="B554" s="79"/>
      <c r="C554" s="8"/>
    </row>
    <row r="555" spans="1:3">
      <c r="A555" s="35"/>
      <c r="B555" s="79"/>
      <c r="C555" s="8"/>
    </row>
    <row r="556" spans="1:3">
      <c r="A556" s="35"/>
      <c r="B556" s="79"/>
      <c r="C556" s="8"/>
    </row>
    <row r="557" spans="1:3">
      <c r="A557" s="35"/>
      <c r="B557" s="79"/>
      <c r="C557" s="8"/>
    </row>
    <row r="558" spans="1:3">
      <c r="A558" s="35"/>
      <c r="B558" s="79"/>
      <c r="C558" s="8"/>
    </row>
    <row r="559" spans="1:3">
      <c r="A559" s="35"/>
      <c r="B559" s="79"/>
      <c r="C559" s="8"/>
    </row>
    <row r="560" spans="1:3">
      <c r="A560" s="35"/>
      <c r="B560" s="79"/>
      <c r="C560" s="8"/>
    </row>
    <row r="561" spans="1:3">
      <c r="A561" s="35"/>
      <c r="B561" s="79"/>
      <c r="C561" s="8"/>
    </row>
    <row r="562" spans="1:3">
      <c r="A562" s="35"/>
      <c r="B562" s="79"/>
      <c r="C562" s="8"/>
    </row>
    <row r="563" spans="1:3">
      <c r="A563" s="35"/>
      <c r="B563" s="79"/>
      <c r="C563" s="8"/>
    </row>
    <row r="564" spans="1:3">
      <c r="A564" s="35"/>
      <c r="B564" s="79"/>
      <c r="C564" s="8"/>
    </row>
    <row r="565" spans="1:3">
      <c r="A565" s="35"/>
      <c r="B565" s="79"/>
      <c r="C565" s="8"/>
    </row>
    <row r="566" spans="1:3">
      <c r="A566" s="35"/>
      <c r="B566" s="79"/>
      <c r="C566" s="8"/>
    </row>
    <row r="567" spans="1:3">
      <c r="A567" s="35"/>
      <c r="B567" s="79"/>
      <c r="C567" s="8"/>
    </row>
    <row r="568" spans="1:3">
      <c r="A568" s="35"/>
      <c r="B568" s="79"/>
      <c r="C568" s="8"/>
    </row>
    <row r="569" spans="1:3">
      <c r="A569" s="35"/>
      <c r="B569" s="79"/>
      <c r="C569" s="8"/>
    </row>
    <row r="570" spans="1:3">
      <c r="A570" s="35"/>
      <c r="B570" s="79"/>
      <c r="C570" s="8"/>
    </row>
    <row r="571" spans="1:3">
      <c r="A571" s="35"/>
      <c r="B571" s="79"/>
      <c r="C571" s="8"/>
    </row>
    <row r="572" spans="1:3">
      <c r="A572" s="35"/>
      <c r="B572" s="79"/>
      <c r="C572" s="8"/>
    </row>
    <row r="573" spans="1:3">
      <c r="A573" s="35"/>
      <c r="B573" s="79"/>
      <c r="C573" s="8"/>
    </row>
    <row r="574" spans="1:3">
      <c r="A574" s="35"/>
      <c r="B574" s="79"/>
      <c r="C574" s="8"/>
    </row>
    <row r="575" spans="1:3">
      <c r="A575" s="35"/>
      <c r="B575" s="79"/>
      <c r="C575" s="8"/>
    </row>
    <row r="576" spans="1:3">
      <c r="A576" s="35"/>
      <c r="B576" s="79"/>
      <c r="C576" s="8"/>
    </row>
    <row r="577" spans="1:3">
      <c r="A577" s="35"/>
      <c r="B577" s="79"/>
      <c r="C577" s="8"/>
    </row>
    <row r="578" spans="1:3">
      <c r="A578" s="35"/>
      <c r="B578" s="79"/>
      <c r="C578" s="8"/>
    </row>
    <row r="579" spans="1:3">
      <c r="A579" s="35"/>
      <c r="B579" s="79"/>
      <c r="C579" s="8"/>
    </row>
    <row r="580" spans="1:3">
      <c r="A580" s="35"/>
      <c r="B580" s="79"/>
      <c r="C580" s="8"/>
    </row>
    <row r="581" spans="1:3">
      <c r="A581" s="35"/>
      <c r="B581" s="79"/>
      <c r="C581" s="8"/>
    </row>
    <row r="582" spans="1:3">
      <c r="A582" s="35"/>
      <c r="B582" s="79"/>
      <c r="C582" s="8"/>
    </row>
    <row r="583" spans="1:3">
      <c r="A583" s="35"/>
      <c r="B583" s="79"/>
      <c r="C583" s="8"/>
    </row>
    <row r="584" spans="1:3">
      <c r="A584" s="35"/>
      <c r="B584" s="79"/>
      <c r="C584" s="8"/>
    </row>
    <row r="585" spans="1:3">
      <c r="A585" s="35"/>
      <c r="B585" s="79"/>
      <c r="C585" s="8"/>
    </row>
    <row r="586" spans="1:3">
      <c r="A586" s="35"/>
      <c r="B586" s="79"/>
      <c r="C586" s="8"/>
    </row>
    <row r="587" spans="1:3">
      <c r="A587" s="35"/>
      <c r="B587" s="79"/>
      <c r="C587" s="8"/>
    </row>
    <row r="588" spans="1:3">
      <c r="A588" s="35"/>
      <c r="B588" s="79"/>
      <c r="C588" s="8"/>
    </row>
    <row r="589" spans="1:3">
      <c r="A589" s="35"/>
      <c r="B589" s="79"/>
      <c r="C589" s="8"/>
    </row>
    <row r="590" spans="1:3">
      <c r="A590" s="35"/>
      <c r="B590" s="79"/>
      <c r="C590" s="8"/>
    </row>
    <row r="591" spans="1:3">
      <c r="A591" s="35"/>
      <c r="B591" s="79"/>
      <c r="C591" s="8"/>
    </row>
    <row r="592" spans="1:3">
      <c r="A592" s="35"/>
      <c r="B592" s="79"/>
      <c r="C592" s="8"/>
    </row>
    <row r="593" spans="1:3">
      <c r="A593" s="35"/>
      <c r="B593" s="79"/>
      <c r="C593" s="8"/>
    </row>
    <row r="594" spans="1:3">
      <c r="A594" s="35"/>
      <c r="B594" s="79"/>
      <c r="C594" s="8"/>
    </row>
    <row r="595" spans="1:3">
      <c r="A595" s="35"/>
      <c r="B595" s="79"/>
      <c r="C595" s="8"/>
    </row>
    <row r="596" spans="1:3">
      <c r="A596" s="35"/>
      <c r="B596" s="79"/>
      <c r="C596" s="8"/>
    </row>
    <row r="597" spans="1:3">
      <c r="A597" s="35"/>
      <c r="B597" s="79"/>
      <c r="C597" s="8"/>
    </row>
    <row r="598" spans="1:3">
      <c r="A598" s="35"/>
      <c r="B598" s="79"/>
      <c r="C598" s="8"/>
    </row>
    <row r="599" spans="1:3">
      <c r="A599" s="35"/>
      <c r="B599" s="79"/>
      <c r="C599" s="8"/>
    </row>
    <row r="600" spans="1:3">
      <c r="A600" s="35"/>
      <c r="B600" s="79"/>
      <c r="C600" s="8"/>
    </row>
    <row r="601" spans="1:3">
      <c r="A601" s="35"/>
      <c r="B601" s="79"/>
      <c r="C601" s="8"/>
    </row>
    <row r="602" spans="1:3">
      <c r="A602" s="35"/>
      <c r="B602" s="79"/>
      <c r="C602" s="8"/>
    </row>
    <row r="603" spans="1:3">
      <c r="A603" s="35"/>
      <c r="B603" s="79"/>
      <c r="C603" s="8"/>
    </row>
    <row r="604" spans="1:3">
      <c r="A604" s="35"/>
      <c r="B604" s="79"/>
      <c r="C604" s="8"/>
    </row>
    <row r="605" spans="1:3">
      <c r="A605" s="35"/>
      <c r="B605" s="79"/>
      <c r="C605" s="8"/>
    </row>
    <row r="606" spans="1:3">
      <c r="A606" s="35"/>
      <c r="B606" s="79"/>
      <c r="C606" s="8"/>
    </row>
    <row r="607" spans="1:3">
      <c r="A607" s="35"/>
      <c r="B607" s="79"/>
      <c r="C607" s="8"/>
    </row>
    <row r="608" spans="1:3">
      <c r="A608" s="35"/>
      <c r="B608" s="79"/>
      <c r="C608" s="8"/>
    </row>
    <row r="609" spans="1:3">
      <c r="A609" s="35"/>
      <c r="B609" s="79"/>
      <c r="C609" s="8"/>
    </row>
    <row r="610" spans="1:3">
      <c r="A610" s="35"/>
      <c r="B610" s="79"/>
      <c r="C610" s="8"/>
    </row>
    <row r="611" spans="1:3">
      <c r="A611" s="35"/>
      <c r="B611" s="79"/>
      <c r="C611" s="8"/>
    </row>
    <row r="612" spans="1:3">
      <c r="A612" s="35"/>
      <c r="B612" s="79"/>
      <c r="C612" s="8"/>
    </row>
    <row r="613" spans="1:3">
      <c r="A613" s="35"/>
      <c r="B613" s="79"/>
      <c r="C613" s="8"/>
    </row>
    <row r="614" spans="1:3">
      <c r="A614" s="35"/>
      <c r="B614" s="79"/>
      <c r="C614" s="8"/>
    </row>
    <row r="615" spans="1:3">
      <c r="A615" s="35"/>
      <c r="B615" s="79"/>
      <c r="C615" s="8"/>
    </row>
    <row r="616" spans="1:3">
      <c r="A616" s="35"/>
      <c r="B616" s="79"/>
      <c r="C616" s="8"/>
    </row>
    <row r="617" spans="1:3">
      <c r="A617" s="35"/>
      <c r="B617" s="79"/>
      <c r="C617" s="8"/>
    </row>
    <row r="618" spans="1:3">
      <c r="A618" s="35"/>
      <c r="B618" s="79"/>
      <c r="C618" s="8"/>
    </row>
    <row r="619" spans="1:3">
      <c r="A619" s="35"/>
      <c r="B619" s="79"/>
      <c r="C619" s="8"/>
    </row>
    <row r="620" spans="1:3">
      <c r="A620" s="35"/>
      <c r="B620" s="79"/>
      <c r="C620" s="8"/>
    </row>
    <row r="621" spans="1:3">
      <c r="A621" s="35"/>
      <c r="B621" s="79"/>
      <c r="C621" s="8"/>
    </row>
    <row r="622" spans="1:3">
      <c r="A622" s="35"/>
      <c r="B622" s="79"/>
      <c r="C622" s="8"/>
    </row>
    <row r="623" spans="1:3">
      <c r="A623" s="35"/>
      <c r="B623" s="79"/>
      <c r="C623" s="8"/>
    </row>
    <row r="624" spans="1:3">
      <c r="A624" s="35"/>
      <c r="B624" s="79"/>
      <c r="C624" s="8"/>
    </row>
    <row r="625" spans="1:3">
      <c r="A625" s="35"/>
      <c r="B625" s="79"/>
      <c r="C625" s="8"/>
    </row>
    <row r="626" spans="1:3">
      <c r="A626" s="35"/>
      <c r="B626" s="79"/>
      <c r="C626" s="8"/>
    </row>
    <row r="627" spans="1:3">
      <c r="A627" s="35"/>
      <c r="B627" s="79"/>
      <c r="C627" s="8"/>
    </row>
    <row r="628" spans="1:3">
      <c r="A628" s="35"/>
      <c r="B628" s="79"/>
      <c r="C628" s="8"/>
    </row>
    <row r="629" spans="1:3">
      <c r="A629" s="35"/>
      <c r="B629" s="79"/>
      <c r="C629" s="8"/>
    </row>
    <row r="630" spans="1:3">
      <c r="A630" s="35"/>
      <c r="B630" s="79"/>
      <c r="C630" s="8"/>
    </row>
    <row r="631" spans="1:3">
      <c r="A631" s="35"/>
      <c r="B631" s="79"/>
      <c r="C631" s="8"/>
    </row>
    <row r="632" spans="1:3">
      <c r="A632" s="35"/>
      <c r="B632" s="79"/>
      <c r="C632" s="8"/>
    </row>
    <row r="633" spans="1:3">
      <c r="A633" s="35"/>
      <c r="B633" s="79"/>
      <c r="C633" s="8"/>
    </row>
    <row r="634" spans="1:3">
      <c r="A634" s="35"/>
      <c r="B634" s="79"/>
      <c r="C634" s="8"/>
    </row>
    <row r="635" spans="1:3">
      <c r="A635" s="35"/>
      <c r="B635" s="79"/>
      <c r="C635" s="8"/>
    </row>
    <row r="636" spans="1:3">
      <c r="A636" s="35"/>
      <c r="B636" s="79"/>
      <c r="C636" s="8"/>
    </row>
    <row r="637" spans="1:3">
      <c r="A637" s="35"/>
      <c r="B637" s="79"/>
      <c r="C637" s="8"/>
    </row>
    <row r="638" spans="1:3">
      <c r="A638" s="35"/>
      <c r="B638" s="79"/>
      <c r="C638" s="8"/>
    </row>
    <row r="639" spans="1:3">
      <c r="A639" s="35"/>
      <c r="B639" s="79"/>
      <c r="C639" s="8"/>
    </row>
    <row r="640" spans="1:3">
      <c r="A640" s="35"/>
      <c r="B640" s="79"/>
      <c r="C640" s="8"/>
    </row>
    <row r="641" spans="1:3">
      <c r="A641" s="35"/>
      <c r="B641" s="79"/>
      <c r="C641" s="8"/>
    </row>
    <row r="642" spans="1:3">
      <c r="A642" s="35"/>
      <c r="B642" s="79"/>
      <c r="C642" s="8"/>
    </row>
    <row r="643" spans="1:3">
      <c r="A643" s="35"/>
      <c r="B643" s="79"/>
      <c r="C643" s="8"/>
    </row>
    <row r="644" spans="1:3">
      <c r="A644" s="35"/>
      <c r="B644" s="79"/>
      <c r="C644" s="8"/>
    </row>
    <row r="645" spans="1:3">
      <c r="A645" s="35"/>
      <c r="B645" s="79"/>
      <c r="C645" s="8"/>
    </row>
    <row r="646" spans="1:3">
      <c r="A646" s="35"/>
      <c r="B646" s="79"/>
      <c r="C646" s="8"/>
    </row>
    <row r="647" spans="1:3">
      <c r="A647" s="35"/>
      <c r="B647" s="79"/>
      <c r="C647" s="8"/>
    </row>
    <row r="648" spans="1:3">
      <c r="A648" s="35"/>
      <c r="B648" s="79"/>
      <c r="C648" s="8"/>
    </row>
    <row r="649" spans="1:3">
      <c r="A649" s="35"/>
      <c r="B649" s="79"/>
      <c r="C649" s="8"/>
    </row>
    <row r="650" spans="1:3">
      <c r="A650" s="35"/>
      <c r="B650" s="79"/>
      <c r="C650" s="8"/>
    </row>
    <row r="651" spans="1:3">
      <c r="A651" s="35"/>
      <c r="B651" s="79"/>
      <c r="C651" s="8"/>
    </row>
    <row r="652" spans="1:3">
      <c r="A652" s="35"/>
      <c r="B652" s="79"/>
      <c r="C652" s="8"/>
    </row>
    <row r="653" spans="1:3">
      <c r="A653" s="35"/>
      <c r="B653" s="79"/>
      <c r="C653" s="8"/>
    </row>
    <row r="654" spans="1:3">
      <c r="A654" s="35"/>
      <c r="B654" s="79"/>
      <c r="C654" s="8"/>
    </row>
    <row r="655" spans="1:3">
      <c r="A655" s="35"/>
      <c r="B655" s="79"/>
      <c r="C655" s="8"/>
    </row>
    <row r="656" spans="1:3">
      <c r="A656" s="35"/>
      <c r="B656" s="79"/>
      <c r="C656" s="8"/>
    </row>
    <row r="657" spans="1:3">
      <c r="A657" s="35"/>
      <c r="B657" s="79"/>
      <c r="C657" s="8"/>
    </row>
    <row r="658" spans="1:3">
      <c r="A658" s="35"/>
      <c r="B658" s="79"/>
      <c r="C658" s="8"/>
    </row>
    <row r="659" spans="1:3">
      <c r="A659" s="35"/>
      <c r="B659" s="79"/>
      <c r="C659" s="8"/>
    </row>
    <row r="660" spans="1:3">
      <c r="A660" s="35"/>
      <c r="B660" s="79"/>
      <c r="C660" s="8"/>
    </row>
    <row r="661" spans="1:3">
      <c r="A661" s="35"/>
      <c r="B661" s="79"/>
      <c r="C661" s="8"/>
    </row>
    <row r="662" spans="1:3">
      <c r="A662" s="35"/>
      <c r="B662" s="79"/>
      <c r="C662" s="8"/>
    </row>
    <row r="663" spans="1:3">
      <c r="A663" s="35"/>
      <c r="B663" s="79"/>
      <c r="C663" s="8"/>
    </row>
    <row r="664" spans="1:3">
      <c r="A664" s="35"/>
      <c r="B664" s="79"/>
      <c r="C664" s="8"/>
    </row>
    <row r="665" spans="1:3">
      <c r="A665" s="35"/>
      <c r="B665" s="79"/>
      <c r="C665" s="8"/>
    </row>
    <row r="666" spans="1:3">
      <c r="A666" s="35"/>
      <c r="B666" s="79"/>
      <c r="C666" s="8"/>
    </row>
    <row r="667" spans="1:3">
      <c r="A667" s="35"/>
      <c r="B667" s="79"/>
      <c r="C667" s="8"/>
    </row>
    <row r="668" spans="1:3">
      <c r="A668" s="35"/>
      <c r="B668" s="79"/>
      <c r="C668" s="8"/>
    </row>
    <row r="669" spans="1:3">
      <c r="A669" s="35"/>
      <c r="B669" s="79"/>
      <c r="C669" s="8"/>
    </row>
    <row r="670" spans="1:3">
      <c r="A670" s="35"/>
      <c r="B670" s="79"/>
      <c r="C670" s="8"/>
    </row>
    <row r="671" spans="1:3">
      <c r="A671" s="35"/>
      <c r="B671" s="79"/>
      <c r="C671" s="8"/>
    </row>
    <row r="672" spans="1:3">
      <c r="A672" s="35"/>
      <c r="B672" s="79"/>
      <c r="C672" s="8"/>
    </row>
    <row r="673" spans="1:3">
      <c r="A673" s="35"/>
      <c r="B673" s="79"/>
      <c r="C673" s="8"/>
    </row>
    <row r="674" spans="1:3">
      <c r="A674" s="35"/>
      <c r="B674" s="79"/>
      <c r="C674" s="8"/>
    </row>
    <row r="675" spans="1:3">
      <c r="A675" s="35"/>
      <c r="B675" s="79"/>
      <c r="C675" s="8"/>
    </row>
    <row r="676" spans="1:3">
      <c r="A676" s="35"/>
      <c r="B676" s="79"/>
      <c r="C676" s="8"/>
    </row>
    <row r="677" spans="1:3">
      <c r="A677" s="35"/>
      <c r="B677" s="79"/>
      <c r="C677" s="8"/>
    </row>
    <row r="678" spans="1:3">
      <c r="A678" s="35"/>
      <c r="B678" s="79"/>
      <c r="C678" s="8"/>
    </row>
    <row r="679" spans="1:3">
      <c r="A679" s="35"/>
      <c r="B679" s="79"/>
      <c r="C679" s="8"/>
    </row>
    <row r="680" spans="1:3">
      <c r="A680" s="35"/>
      <c r="B680" s="79"/>
      <c r="C680" s="8"/>
    </row>
    <row r="681" spans="1:3">
      <c r="A681" s="35"/>
      <c r="B681" s="79"/>
      <c r="C681" s="8"/>
    </row>
    <row r="682" spans="1:3">
      <c r="A682" s="35"/>
      <c r="B682" s="79"/>
      <c r="C682" s="8"/>
    </row>
    <row r="683" spans="1:3">
      <c r="A683" s="35"/>
      <c r="B683" s="79"/>
      <c r="C683" s="8"/>
    </row>
    <row r="684" spans="1:3">
      <c r="A684" s="35"/>
      <c r="B684" s="79"/>
      <c r="C684" s="8"/>
    </row>
    <row r="685" spans="1:3">
      <c r="A685" s="35"/>
      <c r="B685" s="79"/>
      <c r="C685" s="8"/>
    </row>
    <row r="686" spans="1:3">
      <c r="A686" s="35"/>
      <c r="B686" s="79"/>
      <c r="C686" s="8"/>
    </row>
    <row r="687" spans="1:3">
      <c r="A687" s="35"/>
      <c r="B687" s="79"/>
      <c r="C687" s="8"/>
    </row>
    <row r="688" spans="1:3">
      <c r="A688" s="35"/>
      <c r="B688" s="79"/>
      <c r="C688" s="8"/>
    </row>
    <row r="689" spans="1:3">
      <c r="A689" s="35"/>
      <c r="B689" s="79"/>
      <c r="C689" s="8"/>
    </row>
    <row r="690" spans="1:3">
      <c r="A690" s="35"/>
      <c r="B690" s="79"/>
      <c r="C690" s="8"/>
    </row>
    <row r="691" spans="1:3">
      <c r="A691" s="35"/>
      <c r="B691" s="79"/>
      <c r="C691" s="8"/>
    </row>
    <row r="692" spans="1:3">
      <c r="A692" s="35"/>
      <c r="B692" s="79"/>
      <c r="C692" s="8"/>
    </row>
    <row r="693" spans="1:3">
      <c r="A693" s="35"/>
      <c r="B693" s="79"/>
      <c r="C693" s="8"/>
    </row>
    <row r="694" spans="1:3">
      <c r="A694" s="35"/>
      <c r="B694" s="79"/>
      <c r="C694" s="8"/>
    </row>
    <row r="695" spans="1:3">
      <c r="A695" s="35"/>
      <c r="B695" s="79"/>
      <c r="C695" s="8"/>
    </row>
    <row r="696" spans="1:3">
      <c r="A696" s="35"/>
      <c r="B696" s="79"/>
      <c r="C696" s="8"/>
    </row>
    <row r="697" spans="1:3">
      <c r="A697" s="35"/>
      <c r="B697" s="79"/>
      <c r="C697" s="8"/>
    </row>
    <row r="698" spans="1:3">
      <c r="A698" s="35"/>
      <c r="B698" s="79"/>
      <c r="C698" s="8"/>
    </row>
    <row r="699" spans="1:3">
      <c r="A699" s="35"/>
      <c r="B699" s="79"/>
      <c r="C699" s="8"/>
    </row>
    <row r="700" spans="1:3">
      <c r="A700" s="35"/>
      <c r="B700" s="79"/>
      <c r="C700" s="8"/>
    </row>
    <row r="701" spans="1:3">
      <c r="A701" s="35"/>
      <c r="B701" s="79"/>
      <c r="C701" s="8"/>
    </row>
    <row r="702" spans="1:3">
      <c r="A702" s="35"/>
      <c r="B702" s="79"/>
      <c r="C702" s="8"/>
    </row>
    <row r="703" spans="1:3">
      <c r="A703" s="35"/>
      <c r="B703" s="79"/>
      <c r="C703" s="8"/>
    </row>
    <row r="704" spans="1:3">
      <c r="A704" s="35"/>
      <c r="B704" s="79"/>
      <c r="C704" s="8"/>
    </row>
    <row r="705" spans="1:3">
      <c r="A705" s="35"/>
      <c r="B705" s="79"/>
      <c r="C705" s="8"/>
    </row>
    <row r="706" spans="1:3">
      <c r="A706" s="35"/>
      <c r="B706" s="79"/>
      <c r="C706" s="8"/>
    </row>
    <row r="707" spans="1:3">
      <c r="A707" s="35"/>
      <c r="B707" s="79"/>
      <c r="C707" s="8"/>
    </row>
    <row r="708" spans="1:3">
      <c r="A708" s="35"/>
      <c r="B708" s="79"/>
      <c r="C708" s="8"/>
    </row>
    <row r="709" spans="1:3">
      <c r="A709" s="35"/>
      <c r="B709" s="79"/>
      <c r="C709" s="8"/>
    </row>
    <row r="710" spans="1:3">
      <c r="A710" s="35"/>
      <c r="B710" s="79"/>
      <c r="C710" s="8"/>
    </row>
    <row r="711" spans="1:3">
      <c r="A711" s="35"/>
      <c r="B711" s="79"/>
      <c r="C711" s="8"/>
    </row>
    <row r="712" spans="1:3">
      <c r="A712" s="35"/>
      <c r="B712" s="79"/>
      <c r="C712" s="8"/>
    </row>
    <row r="713" spans="1:3">
      <c r="A713" s="35"/>
      <c r="B713" s="79"/>
      <c r="C713" s="8"/>
    </row>
    <row r="714" spans="1:3">
      <c r="A714" s="35"/>
      <c r="B714" s="79"/>
      <c r="C714" s="8"/>
    </row>
    <row r="715" spans="1:3">
      <c r="A715" s="35"/>
      <c r="B715" s="79"/>
      <c r="C715" s="8"/>
    </row>
    <row r="716" spans="1:3">
      <c r="A716" s="35"/>
      <c r="B716" s="79"/>
      <c r="C716" s="8"/>
    </row>
    <row r="717" spans="1:3">
      <c r="A717" s="35"/>
      <c r="B717" s="79"/>
      <c r="C717" s="8"/>
    </row>
    <row r="718" spans="1:3">
      <c r="A718" s="35"/>
      <c r="B718" s="79"/>
      <c r="C718" s="8"/>
    </row>
    <row r="719" spans="1:3">
      <c r="A719" s="35"/>
      <c r="B719" s="79"/>
      <c r="C719" s="8"/>
    </row>
    <row r="720" spans="1:3">
      <c r="A720" s="35"/>
      <c r="B720" s="79"/>
      <c r="C720" s="8"/>
    </row>
    <row r="721" spans="1:3">
      <c r="A721" s="35"/>
      <c r="B721" s="79"/>
      <c r="C721" s="8"/>
    </row>
    <row r="722" spans="1:3">
      <c r="A722" s="35"/>
      <c r="B722" s="79"/>
      <c r="C722" s="8"/>
    </row>
    <row r="723" spans="1:3">
      <c r="A723" s="35"/>
      <c r="B723" s="79"/>
      <c r="C723" s="8"/>
    </row>
    <row r="724" spans="1:3">
      <c r="A724" s="35"/>
      <c r="B724" s="79"/>
      <c r="C724" s="8"/>
    </row>
    <row r="725" spans="1:3">
      <c r="A725" s="35"/>
      <c r="B725" s="79"/>
      <c r="C725" s="8"/>
    </row>
    <row r="726" spans="1:3">
      <c r="A726" s="35"/>
      <c r="B726" s="79"/>
      <c r="C726" s="8"/>
    </row>
    <row r="727" spans="1:3">
      <c r="A727" s="35"/>
      <c r="B727" s="79"/>
      <c r="C727" s="8"/>
    </row>
    <row r="728" spans="1:3">
      <c r="A728" s="35"/>
      <c r="B728" s="79"/>
      <c r="C728" s="8"/>
    </row>
    <row r="729" spans="1:3">
      <c r="A729" s="35"/>
      <c r="B729" s="79"/>
      <c r="C729" s="8"/>
    </row>
    <row r="730" spans="1:3">
      <c r="A730" s="35"/>
      <c r="B730" s="79"/>
      <c r="C730" s="8"/>
    </row>
    <row r="731" spans="1:3">
      <c r="A731" s="35"/>
      <c r="B731" s="79"/>
      <c r="C731" s="8"/>
    </row>
    <row r="732" spans="1:3">
      <c r="A732" s="35"/>
      <c r="B732" s="79"/>
      <c r="C732" s="8"/>
    </row>
    <row r="733" spans="1:3">
      <c r="A733" s="35"/>
      <c r="B733" s="79"/>
      <c r="C733" s="8"/>
    </row>
    <row r="734" spans="1:3">
      <c r="A734" s="35"/>
      <c r="B734" s="79"/>
      <c r="C734" s="8"/>
    </row>
    <row r="735" spans="1:3">
      <c r="A735" s="35"/>
      <c r="B735" s="79"/>
      <c r="C735" s="8"/>
    </row>
    <row r="736" spans="1:3">
      <c r="A736" s="35"/>
      <c r="B736" s="79"/>
      <c r="C736" s="8"/>
    </row>
    <row r="737" spans="1:3">
      <c r="A737" s="35"/>
      <c r="B737" s="79"/>
      <c r="C737" s="8"/>
    </row>
    <row r="738" spans="1:3">
      <c r="A738" s="35"/>
      <c r="B738" s="79"/>
      <c r="C738" s="8"/>
    </row>
    <row r="739" spans="1:3">
      <c r="A739" s="35"/>
      <c r="B739" s="79"/>
      <c r="C739" s="8"/>
    </row>
    <row r="740" spans="1:3">
      <c r="A740" s="35"/>
      <c r="B740" s="79"/>
      <c r="C740" s="8"/>
    </row>
    <row r="741" spans="1:3">
      <c r="A741" s="35"/>
      <c r="B741" s="79"/>
      <c r="C741" s="8"/>
    </row>
    <row r="742" spans="1:3">
      <c r="A742" s="35"/>
      <c r="B742" s="79"/>
      <c r="C742" s="8"/>
    </row>
    <row r="743" spans="1:3">
      <c r="A743" s="35"/>
      <c r="B743" s="79"/>
      <c r="C743" s="8"/>
    </row>
    <row r="744" spans="1:3">
      <c r="A744" s="35"/>
      <c r="B744" s="79"/>
      <c r="C744" s="8"/>
    </row>
    <row r="745" spans="1:3">
      <c r="A745" s="35"/>
      <c r="B745" s="79"/>
      <c r="C745" s="8"/>
    </row>
    <row r="746" spans="1:3">
      <c r="A746" s="35"/>
      <c r="B746" s="79"/>
      <c r="C746" s="8"/>
    </row>
    <row r="747" spans="1:3">
      <c r="A747" s="35"/>
      <c r="B747" s="79"/>
      <c r="C747" s="8"/>
    </row>
    <row r="748" spans="1:3">
      <c r="A748" s="35"/>
      <c r="B748" s="79"/>
      <c r="C748" s="8"/>
    </row>
    <row r="749" spans="1:3">
      <c r="A749" s="35"/>
      <c r="B749" s="79"/>
      <c r="C749" s="8"/>
    </row>
    <row r="750" spans="1:3">
      <c r="A750" s="35"/>
      <c r="B750" s="79"/>
      <c r="C750" s="8"/>
    </row>
    <row r="751" spans="1:3">
      <c r="A751" s="35"/>
      <c r="B751" s="79"/>
      <c r="C751" s="8"/>
    </row>
    <row r="752" spans="1:3">
      <c r="A752" s="35"/>
      <c r="B752" s="79"/>
      <c r="C752" s="8"/>
    </row>
    <row r="753" spans="1:3">
      <c r="A753" s="35"/>
      <c r="B753" s="79"/>
      <c r="C753" s="8"/>
    </row>
    <row r="754" spans="1:3">
      <c r="A754" s="35"/>
      <c r="B754" s="79"/>
      <c r="C754" s="8"/>
    </row>
    <row r="755" spans="1:3">
      <c r="A755" s="35"/>
      <c r="B755" s="79"/>
      <c r="C755" s="8"/>
    </row>
    <row r="756" spans="1:3">
      <c r="A756" s="35"/>
      <c r="B756" s="79"/>
      <c r="C756" s="8"/>
    </row>
    <row r="757" spans="1:3">
      <c r="A757" s="35"/>
      <c r="B757" s="79"/>
      <c r="C757" s="8"/>
    </row>
    <row r="758" spans="1:3">
      <c r="A758" s="35"/>
      <c r="B758" s="79"/>
      <c r="C758" s="8"/>
    </row>
    <row r="759" spans="1:3">
      <c r="A759" s="35"/>
      <c r="B759" s="79"/>
      <c r="C759" s="8"/>
    </row>
    <row r="760" spans="1:3">
      <c r="A760" s="35"/>
      <c r="B760" s="79"/>
      <c r="C760" s="8"/>
    </row>
    <row r="761" spans="1:3">
      <c r="A761" s="35"/>
      <c r="B761" s="79"/>
      <c r="C761" s="8"/>
    </row>
    <row r="762" spans="1:3">
      <c r="A762" s="35"/>
      <c r="B762" s="79"/>
      <c r="C762" s="8"/>
    </row>
    <row r="763" spans="1:3">
      <c r="A763" s="35"/>
      <c r="B763" s="79"/>
      <c r="C763" s="8"/>
    </row>
    <row r="764" spans="1:3">
      <c r="A764" s="35"/>
      <c r="B764" s="79"/>
      <c r="C764" s="8"/>
    </row>
    <row r="765" spans="1:3">
      <c r="A765" s="35"/>
      <c r="B765" s="79"/>
      <c r="C765" s="8"/>
    </row>
    <row r="766" spans="1:3">
      <c r="A766" s="35"/>
      <c r="B766" s="79"/>
      <c r="C766" s="8"/>
    </row>
    <row r="767" spans="1:3">
      <c r="A767" s="35"/>
      <c r="B767" s="79"/>
      <c r="C767" s="8"/>
    </row>
    <row r="768" spans="1:3">
      <c r="A768" s="35"/>
      <c r="B768" s="79"/>
      <c r="C768" s="8"/>
    </row>
    <row r="769" spans="1:3">
      <c r="A769" s="35"/>
      <c r="B769" s="79"/>
      <c r="C769" s="8"/>
    </row>
    <row r="770" spans="1:3">
      <c r="A770" s="35"/>
      <c r="B770" s="79"/>
      <c r="C770" s="8"/>
    </row>
    <row r="771" spans="1:3">
      <c r="A771" s="35"/>
      <c r="B771" s="79"/>
      <c r="C771" s="8"/>
    </row>
    <row r="772" spans="1:3">
      <c r="A772" s="35"/>
      <c r="B772" s="79"/>
      <c r="C772" s="8"/>
    </row>
    <row r="773" spans="1:3">
      <c r="A773" s="35"/>
      <c r="B773" s="79"/>
      <c r="C773" s="8"/>
    </row>
    <row r="774" spans="1:3">
      <c r="A774" s="35"/>
      <c r="B774" s="79"/>
      <c r="C774" s="8"/>
    </row>
    <row r="775" spans="1:3">
      <c r="A775" s="35"/>
      <c r="B775" s="79"/>
      <c r="C775" s="8"/>
    </row>
    <row r="776" spans="1:3">
      <c r="A776" s="35"/>
      <c r="B776" s="79"/>
      <c r="C776" s="8"/>
    </row>
    <row r="777" spans="1:3">
      <c r="A777" s="35"/>
      <c r="B777" s="79"/>
      <c r="C777" s="8"/>
    </row>
    <row r="778" spans="1:3">
      <c r="A778" s="35"/>
      <c r="B778" s="79"/>
      <c r="C778" s="8"/>
    </row>
    <row r="779" spans="1:3">
      <c r="A779" s="35"/>
      <c r="B779" s="79"/>
      <c r="C779" s="8"/>
    </row>
    <row r="780" spans="1:3">
      <c r="A780" s="35"/>
      <c r="B780" s="79"/>
      <c r="C780" s="8"/>
    </row>
    <row r="781" spans="1:3">
      <c r="A781" s="35"/>
      <c r="B781" s="79"/>
      <c r="C781" s="8"/>
    </row>
    <row r="782" spans="1:3">
      <c r="A782" s="35"/>
      <c r="B782" s="79"/>
      <c r="C782" s="8"/>
    </row>
    <row r="783" spans="1:3">
      <c r="A783" s="35"/>
      <c r="B783" s="79"/>
      <c r="C783" s="8"/>
    </row>
    <row r="784" spans="1:3">
      <c r="A784" s="35"/>
      <c r="B784" s="79"/>
      <c r="C784" s="8"/>
    </row>
    <row r="785" spans="1:3">
      <c r="A785" s="35"/>
      <c r="B785" s="79"/>
      <c r="C785" s="8"/>
    </row>
    <row r="786" spans="1:3">
      <c r="A786" s="35"/>
      <c r="B786" s="79"/>
      <c r="C786" s="8"/>
    </row>
    <row r="787" spans="1:3">
      <c r="A787" s="35"/>
      <c r="B787" s="79"/>
      <c r="C787" s="8"/>
    </row>
    <row r="788" spans="1:3">
      <c r="A788" s="35"/>
      <c r="B788" s="79"/>
      <c r="C788" s="8"/>
    </row>
    <row r="789" spans="1:3">
      <c r="A789" s="35"/>
      <c r="B789" s="79"/>
      <c r="C789" s="8"/>
    </row>
    <row r="790" spans="1:3">
      <c r="A790" s="35"/>
      <c r="B790" s="79"/>
      <c r="C790" s="8"/>
    </row>
    <row r="791" spans="1:3">
      <c r="A791" s="35"/>
      <c r="B791" s="79"/>
      <c r="C791" s="8"/>
    </row>
    <row r="792" spans="1:3">
      <c r="A792" s="35"/>
      <c r="B792" s="79"/>
      <c r="C792" s="8"/>
    </row>
    <row r="793" spans="1:3">
      <c r="A793" s="35"/>
      <c r="B793" s="79"/>
      <c r="C793" s="8"/>
    </row>
    <row r="794" spans="1:3">
      <c r="A794" s="35"/>
      <c r="B794" s="79"/>
      <c r="C794" s="8"/>
    </row>
    <row r="795" spans="1:3">
      <c r="A795" s="35"/>
      <c r="B795" s="79"/>
      <c r="C795" s="8"/>
    </row>
    <row r="796" spans="1:3">
      <c r="A796" s="35"/>
      <c r="B796" s="79"/>
      <c r="C796" s="8"/>
    </row>
    <row r="797" spans="1:3">
      <c r="A797" s="35"/>
      <c r="B797" s="79"/>
      <c r="C797" s="8"/>
    </row>
    <row r="798" spans="1:3">
      <c r="A798" s="35"/>
      <c r="B798" s="79"/>
      <c r="C798" s="8"/>
    </row>
    <row r="799" spans="1:3">
      <c r="A799" s="35"/>
      <c r="B799" s="79"/>
      <c r="C799" s="8"/>
    </row>
    <row r="800" spans="1:3">
      <c r="A800" s="35"/>
      <c r="B800" s="79"/>
      <c r="C800" s="8"/>
    </row>
    <row r="801" spans="1:3">
      <c r="A801" s="35"/>
      <c r="B801" s="79"/>
      <c r="C801" s="8"/>
    </row>
    <row r="802" spans="1:3">
      <c r="A802" s="35"/>
      <c r="B802" s="79"/>
      <c r="C802" s="8"/>
    </row>
    <row r="803" spans="1:3">
      <c r="A803" s="35"/>
      <c r="B803" s="79"/>
      <c r="C803" s="8"/>
    </row>
    <row r="804" spans="1:3">
      <c r="A804" s="35"/>
      <c r="B804" s="79"/>
      <c r="C804" s="8"/>
    </row>
    <row r="805" spans="1:3">
      <c r="A805" s="35"/>
      <c r="B805" s="79"/>
      <c r="C805" s="8"/>
    </row>
    <row r="806" spans="1:3">
      <c r="A806" s="35"/>
      <c r="B806" s="79"/>
      <c r="C806" s="8"/>
    </row>
    <row r="807" spans="1:3">
      <c r="A807" s="35"/>
      <c r="B807" s="79"/>
      <c r="C807" s="8"/>
    </row>
    <row r="808" spans="1:3">
      <c r="A808" s="35"/>
      <c r="B808" s="79"/>
      <c r="C808" s="8"/>
    </row>
    <row r="809" spans="1:3">
      <c r="A809" s="35"/>
      <c r="B809" s="79"/>
      <c r="C809" s="8"/>
    </row>
    <row r="810" spans="1:3">
      <c r="A810" s="35"/>
      <c r="B810" s="79"/>
      <c r="C810" s="8"/>
    </row>
    <row r="811" spans="1:3">
      <c r="A811" s="35"/>
      <c r="B811" s="79"/>
      <c r="C811" s="8"/>
    </row>
    <row r="812" spans="1:3">
      <c r="A812" s="35"/>
      <c r="B812" s="79"/>
      <c r="C812" s="8"/>
    </row>
    <row r="813" spans="1:3">
      <c r="A813" s="35"/>
      <c r="B813" s="79"/>
      <c r="C813" s="8"/>
    </row>
    <row r="814" spans="1:3">
      <c r="A814" s="35"/>
      <c r="B814" s="79"/>
      <c r="C814" s="8"/>
    </row>
    <row r="815" spans="1:3">
      <c r="A815" s="35"/>
      <c r="B815" s="79"/>
      <c r="C815" s="8"/>
    </row>
    <row r="816" spans="1:3">
      <c r="A816" s="35"/>
      <c r="B816" s="79"/>
      <c r="C816" s="8"/>
    </row>
    <row r="817" spans="1:3">
      <c r="A817" s="35"/>
      <c r="B817" s="79"/>
      <c r="C817" s="8"/>
    </row>
    <row r="818" spans="1:3">
      <c r="A818" s="35"/>
      <c r="B818" s="79"/>
      <c r="C818" s="8"/>
    </row>
    <row r="819" spans="1:3">
      <c r="A819" s="35"/>
      <c r="B819" s="79"/>
      <c r="C819" s="8"/>
    </row>
    <row r="820" spans="1:3">
      <c r="A820" s="35"/>
      <c r="B820" s="79"/>
      <c r="C820" s="8"/>
    </row>
    <row r="821" spans="1:3">
      <c r="A821" s="35"/>
      <c r="B821" s="79"/>
      <c r="C821" s="8"/>
    </row>
    <row r="822" spans="1:3">
      <c r="A822" s="35"/>
      <c r="B822" s="79"/>
      <c r="C822" s="8"/>
    </row>
    <row r="823" spans="1:3">
      <c r="A823" s="35"/>
      <c r="B823" s="79"/>
      <c r="C823" s="8"/>
    </row>
    <row r="824" spans="1:3">
      <c r="A824" s="35"/>
      <c r="B824" s="79"/>
      <c r="C824" s="8"/>
    </row>
    <row r="825" spans="1:3">
      <c r="A825" s="35"/>
      <c r="B825" s="79"/>
      <c r="C825" s="8"/>
    </row>
    <row r="826" spans="1:3">
      <c r="A826" s="35"/>
      <c r="B826" s="79"/>
      <c r="C826" s="8"/>
    </row>
    <row r="827" spans="1:3">
      <c r="A827" s="35"/>
      <c r="B827" s="79"/>
      <c r="C827" s="8"/>
    </row>
    <row r="828" spans="1:3">
      <c r="A828" s="35"/>
      <c r="B828" s="79"/>
      <c r="C828" s="8"/>
    </row>
    <row r="829" spans="1:3">
      <c r="A829" s="35"/>
      <c r="B829" s="79"/>
      <c r="C829" s="8"/>
    </row>
    <row r="830" spans="1:3">
      <c r="A830" s="35"/>
      <c r="B830" s="79"/>
      <c r="C830" s="8"/>
    </row>
    <row r="831" spans="1:3">
      <c r="A831" s="35"/>
      <c r="B831" s="79"/>
      <c r="C831" s="8"/>
    </row>
    <row r="832" spans="1:3">
      <c r="A832" s="35"/>
      <c r="B832" s="79"/>
      <c r="C832" s="8"/>
    </row>
    <row r="833" spans="1:3">
      <c r="A833" s="35"/>
      <c r="B833" s="79"/>
      <c r="C833" s="8"/>
    </row>
    <row r="834" spans="1:3">
      <c r="A834" s="35"/>
      <c r="B834" s="79"/>
      <c r="C834" s="8"/>
    </row>
    <row r="835" spans="1:3">
      <c r="A835" s="35"/>
      <c r="B835" s="79"/>
      <c r="C835" s="8"/>
    </row>
    <row r="836" spans="1:3">
      <c r="A836" s="35"/>
      <c r="B836" s="79"/>
      <c r="C836" s="8"/>
    </row>
    <row r="837" spans="1:3">
      <c r="A837" s="35"/>
      <c r="B837" s="79"/>
      <c r="C837" s="8"/>
    </row>
    <row r="838" spans="1:3">
      <c r="A838" s="35"/>
      <c r="B838" s="79"/>
      <c r="C838" s="8"/>
    </row>
    <row r="839" spans="1:3">
      <c r="A839" s="35"/>
      <c r="B839" s="79"/>
      <c r="C839" s="8"/>
    </row>
    <row r="840" spans="1:3">
      <c r="A840" s="35"/>
      <c r="B840" s="79"/>
      <c r="C840" s="8"/>
    </row>
    <row r="841" spans="1:3">
      <c r="A841" s="35"/>
      <c r="B841" s="79"/>
      <c r="C841" s="8"/>
    </row>
    <row r="842" spans="1:3">
      <c r="A842" s="35"/>
      <c r="B842" s="79"/>
      <c r="C842" s="8"/>
    </row>
    <row r="843" spans="1:3">
      <c r="A843" s="35"/>
      <c r="B843" s="79"/>
      <c r="C843" s="8"/>
    </row>
    <row r="844" spans="1:3">
      <c r="A844" s="35"/>
      <c r="B844" s="79"/>
      <c r="C844" s="8"/>
    </row>
    <row r="845" spans="1:3">
      <c r="A845" s="35"/>
      <c r="B845" s="79"/>
      <c r="C845" s="8"/>
    </row>
    <row r="846" spans="1:3">
      <c r="A846" s="35"/>
      <c r="B846" s="79"/>
      <c r="C846" s="8"/>
    </row>
    <row r="847" spans="1:3">
      <c r="A847" s="35"/>
      <c r="B847" s="79"/>
      <c r="C847" s="8"/>
    </row>
    <row r="848" spans="1:3">
      <c r="A848" s="35"/>
      <c r="B848" s="79"/>
      <c r="C848" s="8"/>
    </row>
    <row r="849" spans="1:3">
      <c r="A849" s="35"/>
      <c r="B849" s="79"/>
      <c r="C849" s="8"/>
    </row>
    <row r="850" spans="1:3">
      <c r="A850" s="35"/>
      <c r="B850" s="79"/>
      <c r="C850" s="8"/>
    </row>
    <row r="851" spans="1:3">
      <c r="A851" s="35"/>
      <c r="B851" s="79"/>
      <c r="C851" s="8"/>
    </row>
    <row r="852" spans="1:3">
      <c r="A852" s="35"/>
      <c r="B852" s="79"/>
      <c r="C852" s="8"/>
    </row>
    <row r="853" spans="1:3">
      <c r="A853" s="35"/>
      <c r="B853" s="79"/>
      <c r="C853" s="8"/>
    </row>
    <row r="854" spans="1:3">
      <c r="A854" s="35"/>
      <c r="B854" s="79"/>
      <c r="C854" s="8"/>
    </row>
    <row r="855" spans="1:3">
      <c r="A855" s="35"/>
      <c r="B855" s="79"/>
      <c r="C855" s="8"/>
    </row>
    <row r="856" spans="1:3">
      <c r="A856" s="35"/>
      <c r="B856" s="79"/>
      <c r="C856" s="8"/>
    </row>
    <row r="857" spans="1:3">
      <c r="A857" s="35"/>
      <c r="B857" s="79"/>
      <c r="C857" s="8"/>
    </row>
    <row r="858" spans="1:3">
      <c r="A858" s="35"/>
      <c r="B858" s="79"/>
      <c r="C858" s="8"/>
    </row>
    <row r="859" spans="1:3">
      <c r="A859" s="35"/>
      <c r="B859" s="79"/>
      <c r="C859" s="8"/>
    </row>
    <row r="860" spans="1:3">
      <c r="A860" s="35"/>
      <c r="B860" s="79"/>
      <c r="C860" s="8"/>
    </row>
    <row r="861" spans="1:3">
      <c r="A861" s="35"/>
      <c r="B861" s="79"/>
      <c r="C861" s="8"/>
    </row>
    <row r="862" spans="1:3">
      <c r="A862" s="35"/>
      <c r="B862" s="79"/>
      <c r="C862" s="8"/>
    </row>
    <row r="863" spans="1:3">
      <c r="A863" s="35"/>
      <c r="B863" s="79"/>
      <c r="C863" s="8"/>
    </row>
    <row r="864" spans="1:3">
      <c r="A864" s="35"/>
      <c r="B864" s="79"/>
      <c r="C864" s="8"/>
    </row>
    <row r="865" spans="1:3">
      <c r="A865" s="35"/>
      <c r="B865" s="79"/>
      <c r="C865" s="8"/>
    </row>
    <row r="866" spans="1:3">
      <c r="A866" s="35"/>
      <c r="B866" s="79"/>
      <c r="C866" s="8"/>
    </row>
    <row r="867" spans="1:3">
      <c r="A867" s="35"/>
      <c r="B867" s="79"/>
      <c r="C867" s="8"/>
    </row>
    <row r="868" spans="1:3">
      <c r="A868" s="35"/>
      <c r="B868" s="79"/>
      <c r="C868" s="8"/>
    </row>
    <row r="869" spans="1:3">
      <c r="A869" s="35"/>
      <c r="B869" s="79"/>
      <c r="C869" s="8"/>
    </row>
    <row r="870" spans="1:3">
      <c r="A870" s="35"/>
      <c r="B870" s="79"/>
      <c r="C870" s="8"/>
    </row>
    <row r="871" spans="1:3">
      <c r="A871" s="35"/>
      <c r="B871" s="79"/>
      <c r="C871" s="8"/>
    </row>
    <row r="872" spans="1:3">
      <c r="A872" s="35"/>
      <c r="B872" s="79"/>
      <c r="C872" s="8"/>
    </row>
    <row r="873" spans="1:3">
      <c r="A873" s="35"/>
      <c r="B873" s="79"/>
      <c r="C873" s="8"/>
    </row>
    <row r="874" spans="1:3">
      <c r="A874" s="35"/>
      <c r="B874" s="79"/>
      <c r="C874" s="8"/>
    </row>
    <row r="875" spans="1:3">
      <c r="A875" s="35"/>
      <c r="B875" s="79"/>
      <c r="C875" s="8"/>
    </row>
    <row r="876" spans="1:3">
      <c r="A876" s="35"/>
      <c r="B876" s="79"/>
      <c r="C876" s="8"/>
    </row>
    <row r="877" spans="1:3">
      <c r="A877" s="35"/>
      <c r="B877" s="79"/>
      <c r="C877" s="8"/>
    </row>
    <row r="878" spans="1:3">
      <c r="A878" s="35"/>
      <c r="B878" s="79"/>
      <c r="C878" s="8"/>
    </row>
    <row r="879" spans="1:3">
      <c r="A879" s="35"/>
      <c r="B879" s="79"/>
      <c r="C879" s="8"/>
    </row>
    <row r="880" spans="1:3">
      <c r="A880" s="35"/>
      <c r="B880" s="79"/>
      <c r="C880" s="8"/>
    </row>
    <row r="881" spans="1:3">
      <c r="A881" s="35"/>
      <c r="B881" s="79"/>
      <c r="C881" s="8"/>
    </row>
    <row r="882" spans="1:3">
      <c r="A882" s="35"/>
      <c r="B882" s="79"/>
      <c r="C882" s="8"/>
    </row>
    <row r="883" spans="1:3">
      <c r="A883" s="35"/>
      <c r="B883" s="79"/>
      <c r="C883" s="8"/>
    </row>
    <row r="884" spans="1:3">
      <c r="A884" s="35"/>
      <c r="B884" s="79"/>
      <c r="C884" s="8"/>
    </row>
    <row r="885" spans="1:3">
      <c r="A885" s="35"/>
      <c r="B885" s="79"/>
      <c r="C885" s="8"/>
    </row>
    <row r="886" spans="1:3">
      <c r="A886" s="35"/>
      <c r="B886" s="79"/>
      <c r="C886" s="8"/>
    </row>
    <row r="887" spans="1:3">
      <c r="A887" s="35"/>
      <c r="B887" s="79"/>
      <c r="C887" s="8"/>
    </row>
    <row r="888" spans="1:3">
      <c r="A888" s="35"/>
      <c r="B888" s="79"/>
      <c r="C888" s="8"/>
    </row>
    <row r="889" spans="1:3">
      <c r="A889" s="35"/>
      <c r="B889" s="79"/>
      <c r="C889" s="8"/>
    </row>
    <row r="890" spans="1:3">
      <c r="A890" s="35"/>
      <c r="B890" s="79"/>
      <c r="C890" s="8"/>
    </row>
    <row r="891" spans="1:3">
      <c r="A891" s="35"/>
      <c r="B891" s="79"/>
      <c r="C891" s="8"/>
    </row>
    <row r="892" spans="1:3">
      <c r="A892" s="35"/>
      <c r="B892" s="79"/>
      <c r="C892" s="8"/>
    </row>
    <row r="893" spans="1:3">
      <c r="A893" s="35"/>
      <c r="B893" s="79"/>
      <c r="C893" s="8"/>
    </row>
    <row r="894" spans="1:3">
      <c r="A894" s="35"/>
      <c r="B894" s="79"/>
      <c r="C894" s="8"/>
    </row>
    <row r="895" spans="1:3">
      <c r="A895" s="35"/>
      <c r="B895" s="79"/>
      <c r="C895" s="8"/>
    </row>
    <row r="896" spans="1:3">
      <c r="A896" s="35"/>
      <c r="B896" s="79"/>
      <c r="C896" s="8"/>
    </row>
    <row r="897" spans="1:3">
      <c r="A897" s="35"/>
      <c r="B897" s="79"/>
      <c r="C897" s="8"/>
    </row>
    <row r="898" spans="1:3">
      <c r="A898" s="35"/>
      <c r="B898" s="79"/>
      <c r="C898" s="8"/>
    </row>
    <row r="899" spans="1:3">
      <c r="A899" s="35"/>
      <c r="B899" s="79"/>
      <c r="C899" s="8"/>
    </row>
    <row r="900" spans="1:3">
      <c r="A900" s="35"/>
      <c r="B900" s="79"/>
      <c r="C900" s="8"/>
    </row>
    <row r="901" spans="1:3">
      <c r="A901" s="35"/>
      <c r="B901" s="79"/>
      <c r="C901" s="8"/>
    </row>
    <row r="902" spans="1:3">
      <c r="A902" s="35"/>
      <c r="B902" s="79"/>
      <c r="C902" s="8"/>
    </row>
    <row r="903" spans="1:3">
      <c r="A903" s="35"/>
      <c r="B903" s="79"/>
      <c r="C903" s="8"/>
    </row>
    <row r="904" spans="1:3">
      <c r="A904" s="35"/>
      <c r="B904" s="79"/>
      <c r="C904" s="8"/>
    </row>
    <row r="905" spans="1:3">
      <c r="A905" s="35"/>
      <c r="B905" s="79"/>
      <c r="C905" s="8"/>
    </row>
    <row r="906" spans="1:3">
      <c r="A906" s="35"/>
      <c r="B906" s="79"/>
      <c r="C906" s="8"/>
    </row>
    <row r="907" spans="1:3">
      <c r="A907" s="35"/>
      <c r="B907" s="79"/>
      <c r="C907" s="8"/>
    </row>
    <row r="908" spans="1:3">
      <c r="A908" s="35"/>
      <c r="B908" s="79"/>
      <c r="C908" s="8"/>
    </row>
    <row r="909" spans="1:3">
      <c r="A909" s="35"/>
      <c r="B909" s="79"/>
      <c r="C909" s="8"/>
    </row>
    <row r="910" spans="1:3">
      <c r="A910" s="35"/>
      <c r="B910" s="79"/>
      <c r="C910" s="8"/>
    </row>
    <row r="911" spans="1:3">
      <c r="A911" s="35"/>
      <c r="B911" s="79"/>
      <c r="C911" s="8"/>
    </row>
    <row r="912" spans="1:3">
      <c r="A912" s="35"/>
      <c r="B912" s="79"/>
      <c r="C912" s="8"/>
    </row>
    <row r="913" spans="1:3">
      <c r="A913" s="35"/>
      <c r="B913" s="79"/>
      <c r="C913" s="8"/>
    </row>
    <row r="914" spans="1:3">
      <c r="A914" s="35"/>
      <c r="B914" s="79"/>
      <c r="C914" s="8"/>
    </row>
    <row r="915" spans="1:3">
      <c r="A915" s="35"/>
      <c r="B915" s="79"/>
      <c r="C915" s="8"/>
    </row>
    <row r="916" spans="1:3">
      <c r="A916" s="35"/>
      <c r="B916" s="79"/>
      <c r="C916" s="8"/>
    </row>
    <row r="917" spans="1:3">
      <c r="A917" s="35"/>
      <c r="B917" s="79"/>
      <c r="C917" s="8"/>
    </row>
    <row r="918" spans="1:3">
      <c r="A918" s="35"/>
      <c r="B918" s="79"/>
      <c r="C918" s="8"/>
    </row>
    <row r="919" spans="1:3">
      <c r="A919" s="35"/>
      <c r="B919" s="79"/>
      <c r="C919" s="8"/>
    </row>
    <row r="920" spans="1:3">
      <c r="A920" s="35"/>
      <c r="B920" s="79"/>
      <c r="C920" s="8"/>
    </row>
    <row r="921" spans="1:3">
      <c r="A921" s="35"/>
      <c r="B921" s="79"/>
      <c r="C921" s="8"/>
    </row>
    <row r="922" spans="1:3">
      <c r="A922" s="35"/>
      <c r="B922" s="79"/>
      <c r="C922" s="8"/>
    </row>
    <row r="923" spans="1:3">
      <c r="A923" s="35"/>
      <c r="B923" s="79"/>
      <c r="C923" s="8"/>
    </row>
    <row r="924" spans="1:3">
      <c r="A924" s="35"/>
      <c r="B924" s="79"/>
      <c r="C924" s="8"/>
    </row>
    <row r="925" spans="1:3">
      <c r="A925" s="35"/>
      <c r="B925" s="79"/>
      <c r="C925" s="8"/>
    </row>
    <row r="926" spans="1:3">
      <c r="A926" s="35"/>
      <c r="B926" s="79"/>
      <c r="C926" s="8"/>
    </row>
    <row r="927" spans="1:3">
      <c r="A927" s="35"/>
      <c r="B927" s="79"/>
      <c r="C927" s="8"/>
    </row>
    <row r="928" spans="1:3">
      <c r="A928" s="35"/>
      <c r="B928" s="79"/>
      <c r="C928" s="8"/>
    </row>
    <row r="929" spans="1:3">
      <c r="A929" s="35"/>
      <c r="B929" s="79"/>
      <c r="C929" s="8"/>
    </row>
    <row r="930" spans="1:3">
      <c r="A930" s="35"/>
      <c r="B930" s="79"/>
      <c r="C930" s="8"/>
    </row>
    <row r="931" spans="1:3">
      <c r="A931" s="35"/>
      <c r="B931" s="79"/>
      <c r="C931" s="8"/>
    </row>
    <row r="932" spans="1:3">
      <c r="A932" s="35"/>
      <c r="B932" s="79"/>
      <c r="C932" s="8"/>
    </row>
    <row r="933" spans="1:3">
      <c r="A933" s="35"/>
      <c r="B933" s="79"/>
      <c r="C933" s="8"/>
    </row>
    <row r="934" spans="1:3">
      <c r="A934" s="35"/>
      <c r="B934" s="79"/>
      <c r="C934" s="8"/>
    </row>
    <row r="935" spans="1:3">
      <c r="A935" s="35"/>
      <c r="B935" s="79"/>
      <c r="C935" s="8"/>
    </row>
    <row r="936" spans="1:3">
      <c r="A936" s="35"/>
      <c r="B936" s="79"/>
      <c r="C936" s="8"/>
    </row>
    <row r="937" spans="1:3">
      <c r="A937" s="35"/>
      <c r="B937" s="79"/>
      <c r="C937" s="8"/>
    </row>
    <row r="938" spans="1:3">
      <c r="A938" s="35"/>
      <c r="B938" s="79"/>
      <c r="C938" s="8"/>
    </row>
    <row r="939" spans="1:3">
      <c r="A939" s="35"/>
      <c r="B939" s="79"/>
      <c r="C939" s="8"/>
    </row>
    <row r="940" spans="1:3">
      <c r="A940" s="35"/>
      <c r="B940" s="79"/>
      <c r="C940" s="8"/>
    </row>
    <row r="941" spans="1:3">
      <c r="A941" s="35"/>
      <c r="B941" s="79"/>
      <c r="C941" s="8"/>
    </row>
    <row r="942" spans="1:3">
      <c r="A942" s="35"/>
      <c r="B942" s="79"/>
      <c r="C942" s="8"/>
    </row>
    <row r="943" spans="1:3">
      <c r="A943" s="35"/>
      <c r="B943" s="79"/>
      <c r="C943" s="8"/>
    </row>
    <row r="944" spans="1:3">
      <c r="A944" s="35"/>
      <c r="B944" s="79"/>
      <c r="C944" s="8"/>
    </row>
    <row r="945" spans="1:3">
      <c r="A945" s="35"/>
      <c r="B945" s="79"/>
      <c r="C945" s="8"/>
    </row>
    <row r="946" spans="1:3">
      <c r="A946" s="35"/>
      <c r="B946" s="79"/>
      <c r="C946" s="8"/>
    </row>
    <row r="947" spans="1:3">
      <c r="A947" s="35"/>
      <c r="B947" s="79"/>
      <c r="C947" s="8"/>
    </row>
    <row r="948" spans="1:3">
      <c r="A948" s="35"/>
      <c r="B948" s="79"/>
      <c r="C948" s="8"/>
    </row>
    <row r="949" spans="1:3">
      <c r="A949" s="35"/>
      <c r="B949" s="79"/>
      <c r="C949" s="8"/>
    </row>
    <row r="950" spans="1:3">
      <c r="A950" s="35"/>
      <c r="B950" s="79"/>
      <c r="C950" s="8"/>
    </row>
    <row r="951" spans="1:3">
      <c r="A951" s="35"/>
      <c r="B951" s="79"/>
      <c r="C951" s="8"/>
    </row>
    <row r="952" spans="1:3">
      <c r="A952" s="35"/>
      <c r="B952" s="79"/>
      <c r="C952" s="8"/>
    </row>
    <row r="953" spans="1:3">
      <c r="A953" s="35"/>
      <c r="B953" s="79"/>
      <c r="C953" s="8"/>
    </row>
    <row r="954" spans="1:3">
      <c r="A954" s="35"/>
      <c r="B954" s="79"/>
      <c r="C954" s="8"/>
    </row>
    <row r="955" spans="1:3">
      <c r="A955" s="35"/>
      <c r="B955" s="79"/>
      <c r="C955" s="8"/>
    </row>
    <row r="956" spans="1:3">
      <c r="A956" s="35"/>
      <c r="B956" s="79"/>
      <c r="C956" s="8"/>
    </row>
    <row r="957" spans="1:3">
      <c r="A957" s="35"/>
      <c r="B957" s="79"/>
      <c r="C957" s="8"/>
    </row>
    <row r="958" spans="1:3">
      <c r="A958" s="35"/>
      <c r="B958" s="79"/>
      <c r="C958" s="8"/>
    </row>
    <row r="959" spans="1:3">
      <c r="A959" s="35"/>
      <c r="B959" s="79"/>
      <c r="C959" s="8"/>
    </row>
    <row r="960" spans="1:3">
      <c r="A960" s="35"/>
      <c r="B960" s="79"/>
      <c r="C960" s="8"/>
    </row>
    <row r="961" spans="1:3">
      <c r="A961" s="35"/>
      <c r="B961" s="79"/>
      <c r="C961" s="8"/>
    </row>
    <row r="962" spans="1:3">
      <c r="A962" s="35"/>
      <c r="B962" s="79"/>
      <c r="C962" s="8"/>
    </row>
    <row r="963" spans="1:3">
      <c r="A963" s="35"/>
      <c r="B963" s="79"/>
      <c r="C963" s="8"/>
    </row>
    <row r="964" spans="1:3">
      <c r="A964" s="35"/>
      <c r="B964" s="79"/>
      <c r="C964" s="8"/>
    </row>
    <row r="965" spans="1:3">
      <c r="A965" s="35"/>
      <c r="B965" s="79"/>
      <c r="C965" s="8"/>
    </row>
    <row r="966" spans="1:3">
      <c r="A966" s="35"/>
      <c r="B966" s="79"/>
      <c r="C966" s="8"/>
    </row>
    <row r="967" spans="1:3">
      <c r="A967" s="35"/>
      <c r="B967" s="79"/>
      <c r="C967" s="8"/>
    </row>
    <row r="968" spans="1:3">
      <c r="A968" s="35"/>
      <c r="B968" s="79"/>
      <c r="C968" s="8"/>
    </row>
    <row r="969" spans="1:3">
      <c r="A969" s="35"/>
      <c r="B969" s="79"/>
      <c r="C969" s="8"/>
    </row>
    <row r="970" spans="1:3">
      <c r="A970" s="35"/>
      <c r="B970" s="79"/>
      <c r="C970" s="8"/>
    </row>
    <row r="971" spans="1:3">
      <c r="A971" s="35"/>
      <c r="B971" s="79"/>
      <c r="C971" s="8"/>
    </row>
    <row r="972" spans="1:3">
      <c r="A972" s="35"/>
      <c r="B972" s="79"/>
      <c r="C972" s="8"/>
    </row>
    <row r="973" spans="1:3">
      <c r="A973" s="35"/>
      <c r="B973" s="79"/>
      <c r="C973" s="8"/>
    </row>
    <row r="974" spans="1:3">
      <c r="A974" s="35"/>
      <c r="B974" s="79"/>
      <c r="C974" s="8"/>
    </row>
    <row r="975" spans="1:3">
      <c r="A975" s="35"/>
      <c r="B975" s="79"/>
      <c r="C975" s="8"/>
    </row>
    <row r="976" spans="1:3">
      <c r="A976" s="35"/>
      <c r="B976" s="79"/>
      <c r="C976" s="8"/>
    </row>
    <row r="977" spans="1:3">
      <c r="A977" s="35"/>
      <c r="B977" s="79"/>
      <c r="C977" s="8"/>
    </row>
    <row r="978" spans="1:3">
      <c r="A978" s="35"/>
      <c r="B978" s="79"/>
      <c r="C978" s="8"/>
    </row>
    <row r="979" spans="1:3">
      <c r="A979" s="35"/>
      <c r="B979" s="79"/>
      <c r="C979" s="8"/>
    </row>
    <row r="980" spans="1:3">
      <c r="A980" s="35"/>
      <c r="B980" s="79"/>
      <c r="C980" s="8"/>
    </row>
    <row r="981" spans="1:3">
      <c r="A981" s="35"/>
      <c r="B981" s="79"/>
      <c r="C981" s="8"/>
    </row>
    <row r="982" spans="1:3">
      <c r="A982" s="35"/>
      <c r="B982" s="79"/>
      <c r="C982" s="8"/>
    </row>
    <row r="983" spans="1:3">
      <c r="A983" s="35"/>
      <c r="B983" s="79"/>
      <c r="C983" s="8"/>
    </row>
    <row r="984" spans="1:3">
      <c r="A984" s="35"/>
      <c r="B984" s="79"/>
      <c r="C984" s="8"/>
    </row>
    <row r="985" spans="1:3">
      <c r="A985" s="35"/>
      <c r="B985" s="79"/>
      <c r="C985" s="8"/>
    </row>
    <row r="986" spans="1:3">
      <c r="A986" s="35"/>
      <c r="B986" s="79"/>
      <c r="C986" s="8"/>
    </row>
    <row r="987" spans="1:3">
      <c r="A987" s="35"/>
      <c r="B987" s="79"/>
      <c r="C987" s="8"/>
    </row>
    <row r="988" spans="1:3">
      <c r="A988" s="35"/>
      <c r="B988" s="79"/>
      <c r="C988" s="8"/>
    </row>
    <row r="989" spans="1:3">
      <c r="A989" s="35"/>
      <c r="B989" s="79"/>
      <c r="C989" s="8"/>
    </row>
    <row r="990" spans="1:3">
      <c r="A990" s="35"/>
      <c r="B990" s="79"/>
      <c r="C990" s="8"/>
    </row>
    <row r="991" spans="1:3">
      <c r="A991" s="35"/>
      <c r="B991" s="79"/>
      <c r="C991" s="8"/>
    </row>
    <row r="992" spans="1:3">
      <c r="A992" s="35"/>
      <c r="B992" s="79"/>
      <c r="C992" s="8"/>
    </row>
    <row r="993" spans="1:3">
      <c r="A993" s="35"/>
      <c r="B993" s="79"/>
      <c r="C993" s="8"/>
    </row>
    <row r="994" spans="1:3">
      <c r="A994" s="35"/>
      <c r="B994" s="79"/>
      <c r="C994" s="8"/>
    </row>
    <row r="995" spans="1:3">
      <c r="A995" s="35"/>
      <c r="B995" s="79"/>
      <c r="C995" s="8"/>
    </row>
    <row r="996" spans="1:3">
      <c r="A996" s="35"/>
      <c r="B996" s="79"/>
      <c r="C996" s="8"/>
    </row>
    <row r="997" spans="1:3">
      <c r="A997" s="35"/>
      <c r="B997" s="79"/>
      <c r="C997" s="8"/>
    </row>
    <row r="998" spans="1:3">
      <c r="A998" s="35"/>
      <c r="B998" s="79"/>
      <c r="C998" s="8"/>
    </row>
    <row r="999" spans="1:3">
      <c r="A999" s="35"/>
      <c r="B999" s="79"/>
      <c r="C999" s="8"/>
    </row>
    <row r="1000" spans="1:3">
      <c r="A1000" s="35"/>
      <c r="B1000" s="79"/>
      <c r="C1000" s="8"/>
    </row>
    <row r="1001" spans="1:3">
      <c r="A1001" s="35"/>
      <c r="B1001" s="79"/>
      <c r="C1001" s="8"/>
    </row>
    <row r="1002" spans="1:3">
      <c r="A1002" s="35"/>
      <c r="B1002" s="79"/>
      <c r="C1002" s="8"/>
    </row>
    <row r="1003" spans="1:3">
      <c r="A1003" s="35"/>
      <c r="B1003" s="79"/>
      <c r="C1003" s="8"/>
    </row>
    <row r="1004" spans="1:3">
      <c r="A1004" s="35"/>
      <c r="B1004" s="79"/>
      <c r="C1004" s="8"/>
    </row>
    <row r="1005" spans="1:3">
      <c r="A1005" s="35"/>
      <c r="B1005" s="79"/>
      <c r="C1005" s="8"/>
    </row>
    <row r="1006" spans="1:3">
      <c r="A1006" s="35"/>
      <c r="B1006" s="79"/>
      <c r="C1006" s="8"/>
    </row>
    <row r="1007" spans="1:3">
      <c r="A1007" s="35"/>
      <c r="B1007" s="79"/>
      <c r="C1007" s="8"/>
    </row>
    <row r="1008" spans="1:3">
      <c r="A1008" s="35"/>
      <c r="B1008" s="79"/>
      <c r="C1008" s="8"/>
    </row>
    <row r="1009" spans="1:3">
      <c r="A1009" s="35"/>
      <c r="B1009" s="79"/>
      <c r="C1009" s="8"/>
    </row>
    <row r="1010" spans="1:3">
      <c r="A1010" s="35"/>
      <c r="B1010" s="79"/>
      <c r="C1010" s="8"/>
    </row>
    <row r="1011" spans="1:3">
      <c r="A1011" s="35"/>
      <c r="B1011" s="79"/>
      <c r="C1011" s="8"/>
    </row>
    <row r="1012" spans="1:3">
      <c r="A1012" s="35"/>
      <c r="B1012" s="79"/>
      <c r="C1012" s="8"/>
    </row>
    <row r="1013" spans="1:3">
      <c r="A1013" s="35"/>
      <c r="B1013" s="79"/>
      <c r="C1013" s="8"/>
    </row>
    <row r="1014" spans="1:3">
      <c r="A1014" s="35"/>
      <c r="B1014" s="79"/>
      <c r="C1014" s="8"/>
    </row>
    <row r="1015" spans="1:3">
      <c r="A1015" s="35"/>
      <c r="B1015" s="79"/>
      <c r="C1015" s="8"/>
    </row>
    <row r="1016" spans="1:3">
      <c r="A1016" s="35"/>
      <c r="B1016" s="79"/>
      <c r="C1016" s="8"/>
    </row>
    <row r="1017" spans="1:3">
      <c r="A1017" s="35"/>
      <c r="B1017" s="79"/>
      <c r="C1017" s="8"/>
    </row>
    <row r="1018" spans="1:3">
      <c r="A1018" s="35"/>
      <c r="B1018" s="79"/>
      <c r="C1018" s="8"/>
    </row>
    <row r="1019" spans="1:3">
      <c r="A1019" s="35"/>
      <c r="B1019" s="79"/>
      <c r="C1019" s="8"/>
    </row>
    <row r="1020" spans="1:3">
      <c r="A1020" s="35"/>
      <c r="B1020" s="79"/>
      <c r="C1020" s="8"/>
    </row>
    <row r="1021" spans="1:3">
      <c r="A1021" s="35"/>
      <c r="B1021" s="79"/>
      <c r="C1021" s="8"/>
    </row>
    <row r="1022" spans="1:3">
      <c r="A1022" s="35"/>
      <c r="B1022" s="79"/>
      <c r="C1022" s="8"/>
    </row>
    <row r="1023" spans="1:3">
      <c r="A1023" s="35"/>
      <c r="B1023" s="79"/>
      <c r="C1023" s="8"/>
    </row>
    <row r="1024" spans="1:3">
      <c r="A1024" s="35"/>
      <c r="B1024" s="79"/>
      <c r="C1024" s="8"/>
    </row>
    <row r="1025" spans="1:3">
      <c r="A1025" s="35"/>
      <c r="B1025" s="79"/>
      <c r="C1025" s="8"/>
    </row>
    <row r="1026" spans="1:3">
      <c r="A1026" s="35"/>
      <c r="B1026" s="79"/>
      <c r="C1026" s="8"/>
    </row>
    <row r="1027" spans="1:3">
      <c r="A1027" s="35"/>
      <c r="B1027" s="79"/>
      <c r="C1027" s="8"/>
    </row>
    <row r="1028" spans="1:3">
      <c r="A1028" s="35"/>
      <c r="B1028" s="79"/>
      <c r="C1028" s="8"/>
    </row>
    <row r="1029" spans="1:3">
      <c r="A1029" s="35"/>
      <c r="B1029" s="79"/>
      <c r="C1029" s="8"/>
    </row>
    <row r="1030" spans="1:3">
      <c r="A1030" s="35"/>
      <c r="B1030" s="79"/>
      <c r="C1030" s="8"/>
    </row>
    <row r="1031" spans="1:3">
      <c r="A1031" s="35"/>
      <c r="B1031" s="79"/>
      <c r="C1031" s="8"/>
    </row>
    <row r="1032" spans="1:3">
      <c r="A1032" s="35"/>
      <c r="B1032" s="79"/>
      <c r="C1032" s="8"/>
    </row>
    <row r="1033" spans="1:3">
      <c r="A1033" s="35"/>
      <c r="B1033" s="79"/>
      <c r="C1033" s="8"/>
    </row>
    <row r="1034" spans="1:3">
      <c r="A1034" s="35"/>
      <c r="B1034" s="79"/>
      <c r="C1034" s="8"/>
    </row>
    <row r="1035" spans="1:3">
      <c r="A1035" s="35"/>
      <c r="B1035" s="79"/>
      <c r="C1035" s="8"/>
    </row>
    <row r="1036" spans="1:3">
      <c r="A1036" s="35"/>
      <c r="B1036" s="79"/>
      <c r="C1036" s="8"/>
    </row>
    <row r="1037" spans="1:3">
      <c r="A1037" s="35"/>
      <c r="B1037" s="79"/>
      <c r="C1037" s="8"/>
    </row>
    <row r="1038" spans="1:3">
      <c r="A1038" s="35"/>
      <c r="B1038" s="79"/>
      <c r="C1038" s="8"/>
    </row>
    <row r="1039" spans="1:3">
      <c r="A1039" s="35"/>
      <c r="B1039" s="79"/>
      <c r="C1039" s="8"/>
    </row>
    <row r="1040" spans="1:3">
      <c r="A1040" s="35"/>
      <c r="B1040" s="79"/>
      <c r="C1040" s="8"/>
    </row>
    <row r="1041" spans="1:3">
      <c r="A1041" s="35"/>
      <c r="B1041" s="79"/>
      <c r="C1041" s="8"/>
    </row>
    <row r="1042" spans="1:3">
      <c r="A1042" s="35"/>
      <c r="B1042" s="79"/>
      <c r="C1042" s="8"/>
    </row>
    <row r="1043" spans="1:3">
      <c r="A1043" s="35"/>
      <c r="B1043" s="79"/>
      <c r="C1043" s="8"/>
    </row>
    <row r="1044" spans="1:3">
      <c r="A1044" s="35"/>
      <c r="B1044" s="79"/>
      <c r="C1044" s="8"/>
    </row>
    <row r="1045" spans="1:3">
      <c r="A1045" s="35"/>
      <c r="B1045" s="79"/>
      <c r="C1045" s="8"/>
    </row>
    <row r="1046" spans="1:3">
      <c r="A1046" s="35"/>
      <c r="B1046" s="79"/>
      <c r="C1046" s="8"/>
    </row>
    <row r="1047" spans="1:3">
      <c r="A1047" s="35"/>
      <c r="B1047" s="79"/>
      <c r="C1047" s="8"/>
    </row>
    <row r="1048" spans="1:3">
      <c r="A1048" s="35"/>
      <c r="B1048" s="79"/>
      <c r="C1048" s="8"/>
    </row>
    <row r="1049" spans="1:3">
      <c r="A1049" s="35"/>
      <c r="B1049" s="79"/>
      <c r="C1049" s="8"/>
    </row>
    <row r="1050" spans="1:3">
      <c r="A1050" s="35"/>
      <c r="B1050" s="79"/>
      <c r="C1050" s="8"/>
    </row>
    <row r="1051" spans="1:3">
      <c r="A1051" s="35"/>
      <c r="B1051" s="79"/>
      <c r="C1051" s="8"/>
    </row>
    <row r="1052" spans="1:3">
      <c r="A1052" s="35"/>
      <c r="B1052" s="79"/>
      <c r="C1052" s="8"/>
    </row>
    <row r="1053" spans="1:3">
      <c r="A1053" s="35"/>
      <c r="B1053" s="79"/>
      <c r="C1053" s="8"/>
    </row>
    <row r="1054" spans="1:3">
      <c r="A1054" s="35"/>
      <c r="B1054" s="79"/>
      <c r="C1054" s="8"/>
    </row>
    <row r="1055" spans="1:3">
      <c r="A1055" s="35"/>
      <c r="B1055" s="79"/>
      <c r="C1055" s="8"/>
    </row>
    <row r="1056" spans="1:3">
      <c r="A1056" s="35"/>
      <c r="B1056" s="79"/>
      <c r="C1056" s="8"/>
    </row>
    <row r="1057" spans="1:3">
      <c r="A1057" s="35"/>
      <c r="B1057" s="79"/>
      <c r="C1057" s="8"/>
    </row>
    <row r="1058" spans="1:3">
      <c r="A1058" s="35"/>
      <c r="B1058" s="79"/>
      <c r="C1058" s="8"/>
    </row>
    <row r="1059" spans="1:3">
      <c r="A1059" s="35"/>
      <c r="B1059" s="79"/>
      <c r="C1059" s="8"/>
    </row>
    <row r="1060" spans="1:3">
      <c r="A1060" s="35"/>
      <c r="B1060" s="79"/>
      <c r="C1060" s="8"/>
    </row>
    <row r="1061" spans="1:3">
      <c r="A1061" s="35"/>
      <c r="B1061" s="79"/>
      <c r="C1061" s="8"/>
    </row>
    <row r="1062" spans="1:3">
      <c r="A1062" s="35"/>
      <c r="B1062" s="79"/>
      <c r="C1062" s="8"/>
    </row>
    <row r="1063" spans="1:3">
      <c r="A1063" s="35"/>
      <c r="B1063" s="79"/>
      <c r="C1063" s="8"/>
    </row>
    <row r="1064" spans="1:3">
      <c r="A1064" s="35"/>
      <c r="B1064" s="79"/>
      <c r="C1064" s="8"/>
    </row>
    <row r="1065" spans="1:3">
      <c r="A1065" s="35"/>
      <c r="B1065" s="79"/>
      <c r="C1065" s="8"/>
    </row>
    <row r="1066" spans="1:3">
      <c r="A1066" s="35"/>
      <c r="B1066" s="79"/>
      <c r="C1066" s="8"/>
    </row>
    <row r="1067" spans="1:3">
      <c r="A1067" s="35"/>
      <c r="B1067" s="79"/>
      <c r="C1067" s="8"/>
    </row>
    <row r="1068" spans="1:3">
      <c r="A1068" s="35"/>
      <c r="B1068" s="79"/>
      <c r="C1068" s="8"/>
    </row>
    <row r="1069" spans="1:3">
      <c r="A1069" s="35"/>
      <c r="B1069" s="79"/>
      <c r="C1069" s="8"/>
    </row>
    <row r="1070" spans="1:3">
      <c r="A1070" s="35"/>
      <c r="B1070" s="79"/>
      <c r="C1070" s="8"/>
    </row>
    <row r="1071" spans="1:3">
      <c r="A1071" s="35"/>
      <c r="B1071" s="79"/>
      <c r="C1071" s="8"/>
    </row>
    <row r="1072" spans="1:3">
      <c r="A1072" s="35"/>
      <c r="B1072" s="79"/>
      <c r="C1072" s="8"/>
    </row>
    <row r="1073" spans="1:3">
      <c r="A1073" s="35"/>
      <c r="B1073" s="79"/>
      <c r="C1073" s="8"/>
    </row>
    <row r="1074" spans="1:3">
      <c r="A1074" s="35"/>
      <c r="B1074" s="79"/>
      <c r="C1074" s="8"/>
    </row>
    <row r="1075" spans="1:3">
      <c r="A1075" s="35"/>
      <c r="B1075" s="79"/>
      <c r="C1075" s="8"/>
    </row>
    <row r="1076" spans="1:3">
      <c r="A1076" s="35"/>
      <c r="B1076" s="79"/>
      <c r="C1076" s="8"/>
    </row>
    <row r="1077" spans="1:3">
      <c r="A1077" s="35"/>
      <c r="B1077" s="79"/>
      <c r="C1077" s="8"/>
    </row>
    <row r="1078" spans="1:3">
      <c r="A1078" s="35"/>
      <c r="B1078" s="79"/>
      <c r="C1078" s="8"/>
    </row>
    <row r="1079" spans="1:3">
      <c r="A1079" s="35"/>
      <c r="B1079" s="79"/>
      <c r="C1079" s="8"/>
    </row>
    <row r="1080" spans="1:3">
      <c r="A1080" s="35"/>
      <c r="B1080" s="79"/>
      <c r="C1080" s="8"/>
    </row>
    <row r="1081" spans="1:3">
      <c r="A1081" s="35"/>
      <c r="B1081" s="79"/>
      <c r="C1081" s="8"/>
    </row>
    <row r="1082" spans="1:3">
      <c r="A1082" s="35"/>
      <c r="B1082" s="79"/>
      <c r="C1082" s="8"/>
    </row>
    <row r="1083" spans="1:3">
      <c r="A1083" s="35"/>
      <c r="B1083" s="79"/>
      <c r="C1083" s="8"/>
    </row>
    <row r="1084" spans="1:3">
      <c r="A1084" s="35"/>
      <c r="B1084" s="79"/>
      <c r="C1084" s="8"/>
    </row>
    <row r="1085" spans="1:3">
      <c r="A1085" s="35"/>
      <c r="B1085" s="79"/>
      <c r="C1085" s="8"/>
    </row>
    <row r="1086" spans="1:3">
      <c r="A1086" s="35"/>
      <c r="B1086" s="79"/>
      <c r="C1086" s="8"/>
    </row>
    <row r="1087" spans="1:3">
      <c r="A1087" s="35"/>
      <c r="B1087" s="79"/>
      <c r="C1087" s="8"/>
    </row>
    <row r="1088" spans="1:3">
      <c r="A1088" s="35"/>
      <c r="B1088" s="79"/>
      <c r="C1088" s="8"/>
    </row>
    <row r="1089" spans="1:3">
      <c r="A1089" s="35"/>
      <c r="B1089" s="79"/>
      <c r="C1089" s="8"/>
    </row>
    <row r="1090" spans="1:3">
      <c r="A1090" s="35"/>
      <c r="B1090" s="79"/>
      <c r="C1090" s="8"/>
    </row>
    <row r="1091" spans="1:3">
      <c r="A1091" s="35"/>
      <c r="B1091" s="79"/>
      <c r="C1091" s="8"/>
    </row>
    <row r="1092" spans="1:3">
      <c r="A1092" s="35"/>
      <c r="B1092" s="79"/>
      <c r="C1092" s="8"/>
    </row>
    <row r="1093" spans="1:3">
      <c r="A1093" s="35"/>
      <c r="B1093" s="79"/>
      <c r="C1093" s="8"/>
    </row>
    <row r="1094" spans="1:3">
      <c r="A1094" s="35"/>
      <c r="B1094" s="79"/>
      <c r="C1094" s="8"/>
    </row>
    <row r="1095" spans="1:3">
      <c r="A1095" s="35"/>
      <c r="B1095" s="79"/>
      <c r="C1095" s="8"/>
    </row>
    <row r="1096" spans="1:3">
      <c r="A1096" s="35"/>
      <c r="B1096" s="79"/>
      <c r="C1096" s="8"/>
    </row>
    <row r="1097" spans="1:3">
      <c r="A1097" s="35"/>
      <c r="B1097" s="79"/>
      <c r="C1097" s="8"/>
    </row>
    <row r="1098" spans="1:3">
      <c r="A1098" s="35"/>
      <c r="B1098" s="79"/>
      <c r="C1098" s="8"/>
    </row>
    <row r="1099" spans="1:3">
      <c r="A1099" s="35"/>
      <c r="B1099" s="79"/>
      <c r="C1099" s="8"/>
    </row>
    <row r="1100" spans="1:3">
      <c r="A1100" s="35"/>
      <c r="B1100" s="79"/>
      <c r="C1100" s="8"/>
    </row>
    <row r="1101" spans="1:3">
      <c r="A1101" s="35"/>
      <c r="B1101" s="79"/>
      <c r="C1101" s="8"/>
    </row>
    <row r="1102" spans="1:3">
      <c r="A1102" s="35"/>
      <c r="B1102" s="79"/>
      <c r="C1102" s="8"/>
    </row>
    <row r="1103" spans="1:3">
      <c r="A1103" s="35"/>
      <c r="B1103" s="79"/>
      <c r="C1103" s="8"/>
    </row>
    <row r="1104" spans="1:3">
      <c r="A1104" s="35"/>
      <c r="B1104" s="79"/>
      <c r="C1104" s="8"/>
    </row>
    <row r="1105" spans="1:3">
      <c r="A1105" s="35"/>
      <c r="B1105" s="79"/>
      <c r="C1105" s="8"/>
    </row>
    <row r="1106" spans="1:3">
      <c r="A1106" s="35"/>
      <c r="B1106" s="79"/>
      <c r="C1106" s="8"/>
    </row>
    <row r="1107" spans="1:3">
      <c r="A1107" s="35"/>
      <c r="B1107" s="79"/>
      <c r="C1107" s="8"/>
    </row>
    <row r="1108" spans="1:3">
      <c r="A1108" s="35"/>
      <c r="B1108" s="79"/>
      <c r="C1108" s="8"/>
    </row>
    <row r="1109" spans="1:3">
      <c r="A1109" s="35"/>
      <c r="B1109" s="79"/>
      <c r="C1109" s="8"/>
    </row>
    <row r="1110" spans="1:3">
      <c r="A1110" s="35"/>
      <c r="B1110" s="79"/>
      <c r="C1110" s="8"/>
    </row>
    <row r="1111" spans="1:3">
      <c r="A1111" s="35"/>
      <c r="B1111" s="79"/>
      <c r="C1111" s="8"/>
    </row>
    <row r="1112" spans="1:3">
      <c r="A1112" s="35"/>
      <c r="B1112" s="79"/>
      <c r="C1112" s="8"/>
    </row>
    <row r="1113" spans="1:3">
      <c r="A1113" s="35"/>
      <c r="B1113" s="79"/>
      <c r="C1113" s="8"/>
    </row>
    <row r="1114" spans="1:3">
      <c r="A1114" s="35"/>
      <c r="B1114" s="79"/>
      <c r="C1114" s="8"/>
    </row>
    <row r="1115" spans="1:3">
      <c r="A1115" s="35"/>
      <c r="B1115" s="79"/>
      <c r="C1115" s="8"/>
    </row>
    <row r="1116" spans="1:3">
      <c r="A1116" s="35"/>
      <c r="B1116" s="79"/>
      <c r="C1116" s="8"/>
    </row>
    <row r="1117" spans="1:3">
      <c r="A1117" s="35"/>
      <c r="B1117" s="79"/>
      <c r="C1117" s="8"/>
    </row>
    <row r="1118" spans="1:3">
      <c r="A1118" s="35"/>
      <c r="B1118" s="79"/>
      <c r="C1118" s="8"/>
    </row>
    <row r="1119" spans="1:3">
      <c r="A1119" s="35"/>
      <c r="B1119" s="79"/>
      <c r="C1119" s="8"/>
    </row>
    <row r="1120" spans="1:3">
      <c r="A1120" s="35"/>
      <c r="B1120" s="79"/>
      <c r="C1120" s="8"/>
    </row>
    <row r="1121" spans="1:3">
      <c r="A1121" s="35"/>
      <c r="B1121" s="79"/>
      <c r="C1121" s="8"/>
    </row>
    <row r="1122" spans="1:3">
      <c r="A1122" s="35"/>
      <c r="B1122" s="79"/>
      <c r="C1122" s="8"/>
    </row>
    <row r="1123" spans="1:3">
      <c r="A1123" s="35"/>
      <c r="B1123" s="79"/>
      <c r="C1123" s="8"/>
    </row>
    <row r="1124" spans="1:3">
      <c r="A1124" s="35"/>
      <c r="B1124" s="79"/>
      <c r="C1124" s="8"/>
    </row>
    <row r="1125" spans="1:3">
      <c r="A1125" s="35"/>
      <c r="B1125" s="79"/>
      <c r="C1125" s="8"/>
    </row>
    <row r="1126" spans="1:3">
      <c r="A1126" s="35"/>
      <c r="B1126" s="79"/>
      <c r="C1126" s="8"/>
    </row>
    <row r="1127" spans="1:3">
      <c r="A1127" s="35"/>
      <c r="B1127" s="79"/>
      <c r="C1127" s="8"/>
    </row>
    <row r="1128" spans="1:3">
      <c r="A1128" s="35"/>
      <c r="B1128" s="79"/>
      <c r="C1128" s="8"/>
    </row>
    <row r="1129" spans="1:3">
      <c r="A1129" s="35"/>
      <c r="B1129" s="79"/>
      <c r="C1129" s="8"/>
    </row>
    <row r="1130" spans="1:3">
      <c r="A1130" s="35"/>
      <c r="B1130" s="79"/>
      <c r="C1130" s="8"/>
    </row>
    <row r="1131" spans="1:3">
      <c r="A1131" s="35"/>
      <c r="B1131" s="79"/>
      <c r="C1131" s="8"/>
    </row>
    <row r="1132" spans="1:3">
      <c r="A1132" s="35"/>
      <c r="B1132" s="79"/>
      <c r="C1132" s="8"/>
    </row>
    <row r="1133" spans="1:3">
      <c r="A1133" s="35"/>
      <c r="B1133" s="79"/>
      <c r="C1133" s="8"/>
    </row>
    <row r="1134" spans="1:3">
      <c r="A1134" s="35"/>
      <c r="B1134" s="79"/>
      <c r="C1134" s="8"/>
    </row>
    <row r="1135" spans="1:3">
      <c r="A1135" s="35"/>
      <c r="B1135" s="79"/>
      <c r="C1135" s="8"/>
    </row>
    <row r="1136" spans="1:3">
      <c r="A1136" s="35"/>
      <c r="B1136" s="79"/>
      <c r="C1136" s="8"/>
    </row>
    <row r="1137" spans="1:3">
      <c r="A1137" s="35"/>
      <c r="B1137" s="79"/>
      <c r="C1137" s="8"/>
    </row>
    <row r="1138" spans="1:3">
      <c r="A1138" s="35"/>
      <c r="B1138" s="79"/>
      <c r="C1138" s="8"/>
    </row>
    <row r="1139" spans="1:3">
      <c r="A1139" s="35"/>
      <c r="B1139" s="79"/>
      <c r="C1139" s="8"/>
    </row>
    <row r="1140" spans="1:3">
      <c r="A1140" s="35"/>
      <c r="B1140" s="79"/>
      <c r="C1140" s="8"/>
    </row>
    <row r="1141" spans="1:3">
      <c r="A1141" s="35"/>
      <c r="B1141" s="79"/>
      <c r="C1141" s="8"/>
    </row>
    <row r="1142" spans="1:3">
      <c r="A1142" s="35"/>
      <c r="B1142" s="79"/>
      <c r="C1142" s="8"/>
    </row>
    <row r="1143" spans="1:3">
      <c r="A1143" s="35"/>
      <c r="B1143" s="79"/>
      <c r="C1143" s="8"/>
    </row>
    <row r="1144" spans="1:3">
      <c r="A1144" s="35"/>
      <c r="B1144" s="79"/>
      <c r="C1144" s="8"/>
    </row>
    <row r="1145" spans="1:3">
      <c r="A1145" s="35"/>
      <c r="B1145" s="79"/>
      <c r="C1145" s="8"/>
    </row>
    <row r="1146" spans="1:3">
      <c r="A1146" s="35"/>
      <c r="B1146" s="79"/>
      <c r="C1146" s="8"/>
    </row>
    <row r="1147" spans="1:3">
      <c r="A1147" s="35"/>
      <c r="B1147" s="79"/>
      <c r="C1147" s="8"/>
    </row>
    <row r="1148" spans="1:3">
      <c r="A1148" s="35"/>
      <c r="B1148" s="79"/>
      <c r="C1148" s="8"/>
    </row>
    <row r="1149" spans="1:3">
      <c r="A1149" s="35"/>
      <c r="B1149" s="79"/>
      <c r="C1149" s="8"/>
    </row>
    <row r="1150" spans="1:3">
      <c r="A1150" s="35"/>
      <c r="B1150" s="79"/>
      <c r="C1150" s="8"/>
    </row>
    <row r="1151" spans="1:3">
      <c r="A1151" s="35"/>
      <c r="B1151" s="79"/>
      <c r="C1151" s="8"/>
    </row>
    <row r="1152" spans="1:3">
      <c r="A1152" s="35"/>
      <c r="B1152" s="79"/>
      <c r="C1152" s="8"/>
    </row>
    <row r="1153" spans="1:3">
      <c r="A1153" s="35"/>
      <c r="B1153" s="79"/>
      <c r="C1153" s="8"/>
    </row>
    <row r="1154" spans="1:3">
      <c r="A1154" s="35"/>
      <c r="B1154" s="79"/>
      <c r="C1154" s="8"/>
    </row>
    <row r="1155" spans="1:3">
      <c r="A1155" s="35"/>
      <c r="B1155" s="79"/>
      <c r="C1155" s="8"/>
    </row>
    <row r="1156" spans="1:3">
      <c r="A1156" s="35"/>
      <c r="B1156" s="79"/>
      <c r="C1156" s="8"/>
    </row>
    <row r="1157" spans="1:3">
      <c r="A1157" s="35"/>
      <c r="B1157" s="79"/>
      <c r="C1157" s="8"/>
    </row>
    <row r="1158" spans="1:3">
      <c r="A1158" s="35"/>
      <c r="B1158" s="79"/>
      <c r="C1158" s="8"/>
    </row>
    <row r="1159" spans="1:3">
      <c r="A1159" s="35"/>
      <c r="B1159" s="79"/>
      <c r="C1159" s="8"/>
    </row>
    <row r="1160" spans="1:3">
      <c r="A1160" s="35"/>
      <c r="B1160" s="79"/>
      <c r="C1160" s="8"/>
    </row>
    <row r="1161" spans="1:3">
      <c r="A1161" s="35"/>
      <c r="B1161" s="79"/>
      <c r="C1161" s="8"/>
    </row>
    <row r="1162" spans="1:3">
      <c r="A1162" s="35"/>
      <c r="B1162" s="79"/>
      <c r="C1162" s="8"/>
    </row>
    <row r="1163" spans="1:3">
      <c r="A1163" s="35"/>
      <c r="B1163" s="79"/>
      <c r="C1163" s="8"/>
    </row>
    <row r="1164" spans="1:3">
      <c r="A1164" s="35"/>
      <c r="B1164" s="79"/>
      <c r="C1164" s="8"/>
    </row>
    <row r="1165" spans="1:3">
      <c r="A1165" s="35"/>
      <c r="B1165" s="79"/>
      <c r="C1165" s="8"/>
    </row>
    <row r="1166" spans="1:3">
      <c r="A1166" s="35"/>
      <c r="B1166" s="79"/>
      <c r="C1166" s="8"/>
    </row>
    <row r="1167" spans="1:3">
      <c r="A1167" s="35"/>
      <c r="B1167" s="79"/>
      <c r="C1167" s="8"/>
    </row>
    <row r="1168" spans="1:3">
      <c r="A1168" s="35"/>
      <c r="B1168" s="79"/>
      <c r="C1168" s="8"/>
    </row>
    <row r="1169" spans="1:3">
      <c r="A1169" s="35"/>
      <c r="B1169" s="79"/>
      <c r="C1169" s="8"/>
    </row>
    <row r="1170" spans="1:3">
      <c r="A1170" s="35"/>
      <c r="B1170" s="79"/>
      <c r="C1170" s="8"/>
    </row>
    <row r="1171" spans="1:3">
      <c r="A1171" s="35"/>
      <c r="B1171" s="79"/>
      <c r="C1171" s="8"/>
    </row>
    <row r="1172" spans="1:3">
      <c r="A1172" s="35"/>
      <c r="B1172" s="79"/>
      <c r="C1172" s="8"/>
    </row>
    <row r="1173" spans="1:3">
      <c r="A1173" s="35"/>
      <c r="B1173" s="79"/>
      <c r="C1173" s="8"/>
    </row>
    <row r="1174" spans="1:3">
      <c r="A1174" s="35"/>
      <c r="B1174" s="79"/>
      <c r="C1174" s="8"/>
    </row>
    <row r="1175" spans="1:3">
      <c r="A1175" s="35"/>
      <c r="B1175" s="79"/>
      <c r="C1175" s="8"/>
    </row>
    <row r="1176" spans="1:3">
      <c r="A1176" s="35"/>
      <c r="B1176" s="79"/>
      <c r="C1176" s="8"/>
    </row>
    <row r="1177" spans="1:3">
      <c r="A1177" s="35"/>
      <c r="B1177" s="79"/>
      <c r="C1177" s="8"/>
    </row>
    <row r="1178" spans="1:3">
      <c r="A1178" s="35"/>
      <c r="B1178" s="79"/>
      <c r="C1178" s="8"/>
    </row>
    <row r="1179" spans="1:3">
      <c r="A1179" s="35"/>
      <c r="B1179" s="79"/>
      <c r="C1179" s="8"/>
    </row>
    <row r="1180" spans="1:3">
      <c r="A1180" s="35"/>
      <c r="B1180" s="79"/>
      <c r="C1180" s="8"/>
    </row>
    <row r="1181" spans="1:3">
      <c r="A1181" s="35"/>
      <c r="B1181" s="79"/>
      <c r="C1181" s="8"/>
    </row>
    <row r="1182" spans="1:3">
      <c r="A1182" s="35"/>
      <c r="B1182" s="79"/>
      <c r="C1182" s="8"/>
    </row>
    <row r="1183" spans="1:3">
      <c r="A1183" s="35"/>
      <c r="B1183" s="79"/>
      <c r="C1183" s="8"/>
    </row>
    <row r="1184" spans="1:3">
      <c r="A1184" s="35"/>
      <c r="B1184" s="79"/>
      <c r="C1184" s="8"/>
    </row>
    <row r="1185" spans="1:3">
      <c r="A1185" s="35"/>
      <c r="B1185" s="79"/>
      <c r="C1185" s="8"/>
    </row>
    <row r="1186" spans="1:3">
      <c r="A1186" s="35"/>
      <c r="B1186" s="79"/>
      <c r="C1186" s="8"/>
    </row>
    <row r="1187" spans="1:3">
      <c r="A1187" s="35"/>
      <c r="B1187" s="79"/>
      <c r="C1187" s="8"/>
    </row>
    <row r="1188" spans="1:3">
      <c r="A1188" s="35"/>
      <c r="B1188" s="79"/>
      <c r="C1188" s="8"/>
    </row>
    <row r="1189" spans="1:3">
      <c r="A1189" s="35"/>
      <c r="B1189" s="79"/>
      <c r="C1189" s="8"/>
    </row>
    <row r="1190" spans="1:3">
      <c r="A1190" s="35"/>
      <c r="B1190" s="79"/>
      <c r="C1190" s="8"/>
    </row>
    <row r="1191" spans="1:3">
      <c r="A1191" s="35"/>
      <c r="B1191" s="79"/>
      <c r="C1191" s="8"/>
    </row>
    <row r="1192" spans="1:3">
      <c r="A1192" s="35"/>
      <c r="B1192" s="79"/>
      <c r="C1192" s="8"/>
    </row>
    <row r="1193" spans="1:3">
      <c r="A1193" s="35"/>
      <c r="B1193" s="79"/>
      <c r="C1193" s="8"/>
    </row>
    <row r="1194" spans="1:3">
      <c r="A1194" s="35"/>
      <c r="B1194" s="79"/>
      <c r="C1194" s="8"/>
    </row>
    <row r="1195" spans="1:3">
      <c r="A1195" s="35"/>
      <c r="B1195" s="79"/>
      <c r="C1195" s="8"/>
    </row>
    <row r="1196" spans="1:3">
      <c r="A1196" s="35"/>
      <c r="B1196" s="79"/>
      <c r="C1196" s="8"/>
    </row>
    <row r="1197" spans="1:3">
      <c r="A1197" s="35"/>
      <c r="B1197" s="79"/>
      <c r="C1197" s="8"/>
    </row>
    <row r="1198" spans="1:3">
      <c r="A1198" s="35"/>
      <c r="B1198" s="79"/>
      <c r="C1198" s="8"/>
    </row>
    <row r="1199" spans="1:3">
      <c r="A1199" s="35"/>
      <c r="B1199" s="79"/>
      <c r="C1199" s="8"/>
    </row>
    <row r="1200" spans="1:3">
      <c r="A1200" s="35"/>
      <c r="B1200" s="79"/>
      <c r="C1200" s="8"/>
    </row>
    <row r="1201" spans="1:3">
      <c r="A1201" s="35"/>
      <c r="B1201" s="79"/>
      <c r="C1201" s="8"/>
    </row>
    <row r="1202" spans="1:3">
      <c r="A1202" s="35"/>
      <c r="B1202" s="79"/>
      <c r="C1202" s="8"/>
    </row>
    <row r="1203" spans="1:3">
      <c r="A1203" s="35"/>
      <c r="B1203" s="79"/>
      <c r="C1203" s="8"/>
    </row>
    <row r="1204" spans="1:3">
      <c r="A1204" s="35"/>
      <c r="B1204" s="79"/>
      <c r="C1204" s="8"/>
    </row>
    <row r="1205" spans="1:3">
      <c r="A1205" s="35"/>
      <c r="B1205" s="79"/>
      <c r="C1205" s="8"/>
    </row>
    <row r="1206" spans="1:3">
      <c r="A1206" s="35"/>
      <c r="B1206" s="79"/>
      <c r="C1206" s="8"/>
    </row>
    <row r="1207" spans="1:3">
      <c r="A1207" s="35"/>
      <c r="B1207" s="79"/>
      <c r="C1207" s="8"/>
    </row>
    <row r="1208" spans="1:3">
      <c r="A1208" s="35"/>
      <c r="B1208" s="79"/>
      <c r="C1208" s="8"/>
    </row>
    <row r="1209" spans="1:3">
      <c r="A1209" s="35"/>
      <c r="B1209" s="79"/>
      <c r="C1209" s="8"/>
    </row>
    <row r="1210" spans="1:3">
      <c r="A1210" s="35"/>
      <c r="B1210" s="79"/>
      <c r="C1210" s="8"/>
    </row>
    <row r="1211" spans="1:3">
      <c r="A1211" s="35"/>
      <c r="B1211" s="79"/>
      <c r="C1211" s="8"/>
    </row>
    <row r="1212" spans="1:3">
      <c r="A1212" s="35"/>
      <c r="B1212" s="79"/>
      <c r="C1212" s="8"/>
    </row>
    <row r="1213" spans="1:3">
      <c r="A1213" s="35"/>
      <c r="B1213" s="79"/>
      <c r="C1213" s="8"/>
    </row>
    <row r="1214" spans="1:3">
      <c r="A1214" s="35"/>
      <c r="B1214" s="79"/>
      <c r="C1214" s="8"/>
    </row>
    <row r="1215" spans="1:3">
      <c r="A1215" s="35"/>
      <c r="B1215" s="79"/>
      <c r="C1215" s="8"/>
    </row>
    <row r="1216" spans="1:3">
      <c r="A1216" s="35"/>
      <c r="B1216" s="79"/>
      <c r="C1216" s="8"/>
    </row>
    <row r="1217" spans="1:3">
      <c r="A1217" s="35"/>
      <c r="B1217" s="79"/>
      <c r="C1217" s="8"/>
    </row>
    <row r="1218" spans="1:3">
      <c r="A1218" s="35"/>
      <c r="B1218" s="79"/>
      <c r="C1218" s="8"/>
    </row>
    <row r="1219" spans="1:3">
      <c r="A1219" s="35"/>
      <c r="B1219" s="79"/>
      <c r="C1219" s="8"/>
    </row>
    <row r="1220" spans="1:3">
      <c r="A1220" s="35"/>
      <c r="B1220" s="79"/>
      <c r="C1220" s="8"/>
    </row>
    <row r="1221" spans="1:3">
      <c r="A1221" s="35"/>
      <c r="B1221" s="79"/>
      <c r="C1221" s="8"/>
    </row>
    <row r="1222" spans="1:3">
      <c r="A1222" s="35"/>
      <c r="B1222" s="79"/>
      <c r="C1222" s="8"/>
    </row>
    <row r="1223" spans="1:3">
      <c r="A1223" s="35"/>
      <c r="B1223" s="79"/>
      <c r="C1223" s="8"/>
    </row>
    <row r="1224" spans="1:3">
      <c r="A1224" s="35"/>
      <c r="B1224" s="79"/>
      <c r="C1224" s="8"/>
    </row>
    <row r="1225" spans="1:3">
      <c r="A1225" s="35"/>
      <c r="B1225" s="79"/>
      <c r="C1225" s="8"/>
    </row>
    <row r="1226" spans="1:3">
      <c r="A1226" s="35"/>
      <c r="B1226" s="79"/>
      <c r="C1226" s="8"/>
    </row>
    <row r="1227" spans="1:3">
      <c r="A1227" s="35"/>
      <c r="B1227" s="79"/>
      <c r="C1227" s="8"/>
    </row>
    <row r="1228" spans="1:3">
      <c r="A1228" s="35"/>
      <c r="B1228" s="79"/>
      <c r="C1228" s="8"/>
    </row>
    <row r="1229" spans="1:3">
      <c r="A1229" s="35"/>
      <c r="B1229" s="79"/>
      <c r="C1229" s="8"/>
    </row>
    <row r="1230" spans="1:3">
      <c r="A1230" s="35"/>
      <c r="B1230" s="79"/>
      <c r="C1230" s="8"/>
    </row>
    <row r="1231" spans="1:3">
      <c r="A1231" s="35"/>
      <c r="B1231" s="79"/>
      <c r="C1231" s="8"/>
    </row>
    <row r="1232" spans="1:3">
      <c r="A1232" s="35"/>
      <c r="B1232" s="79"/>
      <c r="C1232" s="8"/>
    </row>
    <row r="1233" spans="1:3">
      <c r="A1233" s="35"/>
      <c r="B1233" s="79"/>
      <c r="C1233" s="8"/>
    </row>
    <row r="1234" spans="1:3">
      <c r="A1234" s="35"/>
      <c r="B1234" s="79"/>
      <c r="C1234" s="8"/>
    </row>
    <row r="1235" spans="1:3">
      <c r="A1235" s="35"/>
      <c r="B1235" s="79"/>
      <c r="C1235" s="8"/>
    </row>
    <row r="1236" spans="1:3">
      <c r="A1236" s="35"/>
      <c r="B1236" s="79"/>
      <c r="C1236" s="8"/>
    </row>
    <row r="1237" spans="1:3">
      <c r="A1237" s="35"/>
      <c r="B1237" s="79"/>
      <c r="C1237" s="8"/>
    </row>
    <row r="1238" spans="1:3">
      <c r="A1238" s="35"/>
      <c r="B1238" s="79"/>
      <c r="C1238" s="8"/>
    </row>
    <row r="1239" spans="1:3">
      <c r="A1239" s="35"/>
      <c r="B1239" s="79"/>
      <c r="C1239" s="8"/>
    </row>
    <row r="1240" spans="1:3">
      <c r="A1240" s="35"/>
      <c r="B1240" s="79"/>
      <c r="C1240" s="8"/>
    </row>
    <row r="1241" spans="1:3">
      <c r="A1241" s="35"/>
      <c r="B1241" s="79"/>
      <c r="C1241" s="8"/>
    </row>
    <row r="1242" spans="1:3">
      <c r="A1242" s="35"/>
      <c r="B1242" s="79"/>
      <c r="C1242" s="8"/>
    </row>
    <row r="1243" spans="1:3">
      <c r="A1243" s="35"/>
      <c r="B1243" s="79"/>
      <c r="C1243" s="8"/>
    </row>
    <row r="1244" spans="1:3">
      <c r="A1244" s="35"/>
      <c r="B1244" s="79"/>
      <c r="C1244" s="8"/>
    </row>
    <row r="1245" spans="1:3">
      <c r="A1245" s="35"/>
      <c r="B1245" s="79"/>
      <c r="C1245" s="8"/>
    </row>
    <row r="1246" spans="1:3">
      <c r="A1246" s="35"/>
      <c r="B1246" s="79"/>
      <c r="C1246" s="8"/>
    </row>
    <row r="1247" spans="1:3">
      <c r="A1247" s="35"/>
      <c r="B1247" s="79"/>
      <c r="C1247" s="8"/>
    </row>
    <row r="1248" spans="1:3">
      <c r="A1248" s="35"/>
      <c r="B1248" s="79"/>
      <c r="C1248" s="8"/>
    </row>
    <row r="1249" spans="1:3">
      <c r="A1249" s="35"/>
      <c r="B1249" s="79"/>
      <c r="C1249" s="8"/>
    </row>
    <row r="1250" spans="1:3">
      <c r="A1250" s="35"/>
      <c r="B1250" s="79"/>
      <c r="C1250" s="8"/>
    </row>
    <row r="1251" spans="1:3">
      <c r="A1251" s="35"/>
      <c r="B1251" s="79"/>
      <c r="C1251" s="8"/>
    </row>
    <row r="1252" spans="1:3">
      <c r="A1252" s="35"/>
      <c r="B1252" s="79"/>
      <c r="C1252" s="8"/>
    </row>
    <row r="1253" spans="1:3">
      <c r="A1253" s="35"/>
      <c r="B1253" s="79"/>
      <c r="C1253" s="8"/>
    </row>
    <row r="1254" spans="1:3">
      <c r="A1254" s="35"/>
      <c r="B1254" s="79"/>
      <c r="C1254" s="8"/>
    </row>
    <row r="1255" spans="1:3">
      <c r="A1255" s="35"/>
      <c r="B1255" s="79"/>
      <c r="C1255" s="8"/>
    </row>
    <row r="1256" spans="1:3">
      <c r="A1256" s="35"/>
      <c r="B1256" s="79"/>
      <c r="C1256" s="8"/>
    </row>
    <row r="1257" spans="1:3">
      <c r="A1257" s="35"/>
      <c r="B1257" s="79"/>
      <c r="C1257" s="8"/>
    </row>
    <row r="1258" spans="1:3">
      <c r="A1258" s="35"/>
      <c r="B1258" s="79"/>
      <c r="C1258" s="8"/>
    </row>
    <row r="1259" spans="1:3">
      <c r="A1259" s="35"/>
      <c r="B1259" s="79"/>
      <c r="C1259" s="8"/>
    </row>
    <row r="1260" spans="1:3">
      <c r="A1260" s="35"/>
      <c r="B1260" s="79"/>
      <c r="C1260" s="8"/>
    </row>
    <row r="1261" spans="1:3">
      <c r="A1261" s="35"/>
      <c r="B1261" s="79"/>
      <c r="C1261" s="8"/>
    </row>
    <row r="1262" spans="1:3">
      <c r="A1262" s="35"/>
      <c r="B1262" s="79"/>
      <c r="C1262" s="8"/>
    </row>
    <row r="1263" spans="1:3">
      <c r="A1263" s="35"/>
      <c r="B1263" s="79"/>
      <c r="C1263" s="8"/>
    </row>
    <row r="1264" spans="1:3">
      <c r="A1264" s="35"/>
      <c r="B1264" s="79"/>
      <c r="C1264" s="8"/>
    </row>
    <row r="1265" spans="1:3">
      <c r="A1265" s="35"/>
      <c r="B1265" s="79"/>
      <c r="C1265" s="8"/>
    </row>
    <row r="1266" spans="1:3">
      <c r="A1266" s="35"/>
      <c r="B1266" s="79"/>
      <c r="C1266" s="8"/>
    </row>
    <row r="1267" spans="1:3">
      <c r="A1267" s="35"/>
      <c r="B1267" s="79"/>
      <c r="C1267" s="8"/>
    </row>
    <row r="1268" spans="1:3">
      <c r="A1268" s="35"/>
      <c r="B1268" s="79"/>
      <c r="C1268" s="8"/>
    </row>
    <row r="1269" spans="1:3">
      <c r="A1269" s="35"/>
      <c r="B1269" s="79"/>
      <c r="C1269" s="8"/>
    </row>
    <row r="1270" spans="1:3">
      <c r="A1270" s="35"/>
      <c r="B1270" s="79"/>
      <c r="C1270" s="8"/>
    </row>
    <row r="1271" spans="1:3">
      <c r="A1271" s="35"/>
      <c r="B1271" s="79"/>
      <c r="C1271" s="8"/>
    </row>
    <row r="1272" spans="1:3">
      <c r="A1272" s="35"/>
      <c r="B1272" s="79"/>
      <c r="C1272" s="8"/>
    </row>
    <row r="1273" spans="1:3">
      <c r="A1273" s="35"/>
      <c r="B1273" s="79"/>
      <c r="C1273" s="8"/>
    </row>
    <row r="1274" spans="1:3">
      <c r="A1274" s="35"/>
      <c r="B1274" s="79"/>
      <c r="C1274" s="8"/>
    </row>
    <row r="1275" spans="1:3">
      <c r="A1275" s="35"/>
      <c r="B1275" s="79"/>
      <c r="C1275" s="8"/>
    </row>
    <row r="1276" spans="1:3">
      <c r="A1276" s="35"/>
      <c r="B1276" s="79"/>
      <c r="C1276" s="8"/>
    </row>
    <row r="1277" spans="1:3">
      <c r="A1277" s="35"/>
      <c r="B1277" s="79"/>
      <c r="C1277" s="8"/>
    </row>
    <row r="1278" spans="1:3">
      <c r="A1278" s="35"/>
      <c r="B1278" s="79"/>
      <c r="C1278" s="8"/>
    </row>
    <row r="1279" spans="1:3">
      <c r="A1279" s="35"/>
      <c r="B1279" s="79"/>
      <c r="C1279" s="8"/>
    </row>
    <row r="1280" spans="1:3">
      <c r="A1280" s="35"/>
      <c r="B1280" s="79"/>
      <c r="C1280" s="8"/>
    </row>
    <row r="1281" spans="1:3">
      <c r="A1281" s="35"/>
      <c r="B1281" s="79"/>
      <c r="C1281" s="8"/>
    </row>
    <row r="1282" spans="1:3">
      <c r="A1282" s="35"/>
      <c r="B1282" s="79"/>
      <c r="C1282" s="8"/>
    </row>
    <row r="1283" spans="1:3">
      <c r="A1283" s="35"/>
      <c r="B1283" s="79"/>
      <c r="C1283" s="8"/>
    </row>
    <row r="1284" spans="1:3">
      <c r="A1284" s="35"/>
      <c r="B1284" s="79"/>
      <c r="C1284" s="8"/>
    </row>
    <row r="1285" spans="1:3">
      <c r="A1285" s="35"/>
      <c r="B1285" s="79"/>
      <c r="C1285" s="8"/>
    </row>
    <row r="1286" spans="1:3">
      <c r="A1286" s="35"/>
      <c r="B1286" s="79"/>
      <c r="C1286" s="8"/>
    </row>
    <row r="1287" spans="1:3">
      <c r="A1287" s="35"/>
      <c r="B1287" s="79"/>
      <c r="C1287" s="8"/>
    </row>
    <row r="1288" spans="1:3">
      <c r="A1288" s="35"/>
      <c r="B1288" s="79"/>
      <c r="C1288" s="8"/>
    </row>
    <row r="1289" spans="1:3">
      <c r="A1289" s="35"/>
      <c r="B1289" s="79"/>
      <c r="C1289" s="8"/>
    </row>
    <row r="1290" spans="1:3">
      <c r="A1290" s="35"/>
      <c r="B1290" s="79"/>
      <c r="C1290" s="8"/>
    </row>
    <row r="1291" spans="1:3">
      <c r="A1291" s="35"/>
      <c r="B1291" s="79"/>
      <c r="C1291" s="8"/>
    </row>
    <row r="1292" spans="1:3">
      <c r="A1292" s="35"/>
      <c r="B1292" s="79"/>
      <c r="C1292" s="8"/>
    </row>
    <row r="1293" spans="1:3">
      <c r="A1293" s="35"/>
      <c r="B1293" s="79"/>
      <c r="C1293" s="8"/>
    </row>
    <row r="1294" spans="1:3">
      <c r="A1294" s="35"/>
      <c r="B1294" s="79"/>
      <c r="C1294" s="8"/>
    </row>
    <row r="1295" spans="1:3">
      <c r="A1295" s="35"/>
      <c r="B1295" s="79"/>
      <c r="C1295" s="8"/>
    </row>
    <row r="1296" spans="1:3">
      <c r="A1296" s="35"/>
      <c r="B1296" s="79"/>
      <c r="C1296" s="8"/>
    </row>
    <row r="1297" spans="1:3">
      <c r="A1297" s="35"/>
      <c r="B1297" s="79"/>
      <c r="C1297" s="8"/>
    </row>
    <row r="1298" spans="1:3">
      <c r="A1298" s="35"/>
      <c r="B1298" s="79"/>
      <c r="C1298" s="8"/>
    </row>
    <row r="1299" spans="1:3">
      <c r="A1299" s="35"/>
      <c r="B1299" s="79"/>
      <c r="C1299" s="8"/>
    </row>
    <row r="1300" spans="1:3">
      <c r="A1300" s="35"/>
      <c r="B1300" s="79"/>
      <c r="C1300" s="8"/>
    </row>
    <row r="1301" spans="1:3">
      <c r="A1301" s="35"/>
      <c r="B1301" s="79"/>
      <c r="C1301" s="8"/>
    </row>
    <row r="1302" spans="1:3">
      <c r="A1302" s="35"/>
      <c r="B1302" s="79"/>
      <c r="C1302" s="8"/>
    </row>
    <row r="1303" spans="1:3">
      <c r="A1303" s="35"/>
      <c r="B1303" s="79"/>
      <c r="C1303" s="8"/>
    </row>
    <row r="1304" spans="1:3">
      <c r="A1304" s="35"/>
      <c r="B1304" s="79"/>
      <c r="C1304" s="8"/>
    </row>
    <row r="1305" spans="1:3">
      <c r="A1305" s="35"/>
      <c r="B1305" s="79"/>
      <c r="C1305" s="8"/>
    </row>
    <row r="1306" spans="1:3">
      <c r="A1306" s="35"/>
      <c r="B1306" s="79"/>
      <c r="C1306" s="8"/>
    </row>
    <row r="1307" spans="1:3">
      <c r="A1307" s="35"/>
      <c r="B1307" s="79"/>
      <c r="C1307" s="8"/>
    </row>
    <row r="1308" spans="1:3">
      <c r="A1308" s="35"/>
      <c r="B1308" s="79"/>
      <c r="C1308" s="8"/>
    </row>
    <row r="1309" spans="1:3">
      <c r="A1309" s="35"/>
      <c r="B1309" s="79"/>
      <c r="C1309" s="8"/>
    </row>
    <row r="1310" spans="1:3">
      <c r="A1310" s="35"/>
      <c r="B1310" s="79"/>
      <c r="C1310" s="8"/>
    </row>
    <row r="1311" spans="1:3">
      <c r="A1311" s="35"/>
      <c r="B1311" s="79"/>
      <c r="C1311" s="8"/>
    </row>
    <row r="1312" spans="1:3">
      <c r="A1312" s="35"/>
      <c r="B1312" s="79"/>
      <c r="C1312" s="8"/>
    </row>
    <row r="1313" spans="1:3">
      <c r="A1313" s="35"/>
      <c r="B1313" s="79"/>
      <c r="C1313" s="8"/>
    </row>
    <row r="1314" spans="1:3">
      <c r="A1314" s="35"/>
      <c r="B1314" s="79"/>
      <c r="C1314" s="8"/>
    </row>
    <row r="1315" spans="1:3">
      <c r="A1315" s="35"/>
      <c r="B1315" s="79"/>
      <c r="C1315" s="8"/>
    </row>
    <row r="1316" spans="1:3">
      <c r="A1316" s="35"/>
      <c r="B1316" s="79"/>
      <c r="C1316" s="8"/>
    </row>
    <row r="1317" spans="1:3">
      <c r="A1317" s="35"/>
      <c r="B1317" s="79"/>
      <c r="C1317" s="8"/>
    </row>
    <row r="1318" spans="1:3">
      <c r="A1318" s="35"/>
      <c r="B1318" s="79"/>
      <c r="C1318" s="8"/>
    </row>
    <row r="1319" spans="1:3">
      <c r="A1319" s="35"/>
      <c r="B1319" s="79"/>
      <c r="C1319" s="8"/>
    </row>
    <row r="1320" spans="1:3">
      <c r="A1320" s="35"/>
      <c r="B1320" s="79"/>
      <c r="C1320" s="8"/>
    </row>
    <row r="1321" spans="1:3">
      <c r="A1321" s="35"/>
      <c r="B1321" s="79"/>
      <c r="C1321" s="8"/>
    </row>
    <row r="1322" spans="1:3">
      <c r="A1322" s="35"/>
      <c r="B1322" s="79"/>
      <c r="C1322" s="8"/>
    </row>
    <row r="1323" spans="1:3">
      <c r="A1323" s="35"/>
      <c r="B1323" s="79"/>
      <c r="C1323" s="8"/>
    </row>
    <row r="1324" spans="1:3">
      <c r="A1324" s="35"/>
      <c r="B1324" s="79"/>
      <c r="C1324" s="8"/>
    </row>
    <row r="1325" spans="1:3">
      <c r="A1325" s="35"/>
      <c r="B1325" s="79"/>
      <c r="C1325" s="8"/>
    </row>
    <row r="1326" spans="1:3">
      <c r="A1326" s="35"/>
      <c r="B1326" s="79"/>
      <c r="C1326" s="8"/>
    </row>
    <row r="1327" spans="1:3">
      <c r="A1327" s="35"/>
      <c r="B1327" s="79"/>
      <c r="C1327" s="8"/>
    </row>
    <row r="1328" spans="1:3">
      <c r="A1328" s="35"/>
      <c r="B1328" s="79"/>
      <c r="C1328" s="8"/>
    </row>
    <row r="1329" spans="1:3">
      <c r="A1329" s="35"/>
      <c r="B1329" s="79"/>
      <c r="C1329" s="8"/>
    </row>
    <row r="1330" spans="1:3">
      <c r="A1330" s="35"/>
      <c r="B1330" s="79"/>
      <c r="C1330" s="8"/>
    </row>
    <row r="1331" spans="1:3">
      <c r="A1331" s="35"/>
      <c r="B1331" s="79"/>
      <c r="C1331" s="8"/>
    </row>
    <row r="1332" spans="1:3">
      <c r="A1332" s="35"/>
      <c r="B1332" s="79"/>
      <c r="C1332" s="8"/>
    </row>
    <row r="1333" spans="1:3">
      <c r="A1333" s="35"/>
      <c r="B1333" s="79"/>
      <c r="C1333" s="8"/>
    </row>
    <row r="1334" spans="1:3">
      <c r="A1334" s="35"/>
      <c r="B1334" s="79"/>
      <c r="C1334" s="8"/>
    </row>
    <row r="1335" spans="1:3">
      <c r="A1335" s="35"/>
      <c r="B1335" s="79"/>
      <c r="C1335" s="8"/>
    </row>
    <row r="1336" spans="1:3">
      <c r="A1336" s="35"/>
      <c r="B1336" s="79"/>
      <c r="C1336" s="8"/>
    </row>
    <row r="1337" spans="1:3">
      <c r="A1337" s="35"/>
      <c r="B1337" s="79"/>
      <c r="C1337" s="8"/>
    </row>
    <row r="1338" spans="1:3">
      <c r="A1338" s="35"/>
      <c r="B1338" s="79"/>
      <c r="C1338" s="8"/>
    </row>
    <row r="1339" spans="1:3">
      <c r="A1339" s="35"/>
      <c r="B1339" s="79"/>
      <c r="C1339" s="8"/>
    </row>
    <row r="1340" spans="1:3">
      <c r="A1340" s="35"/>
      <c r="B1340" s="79"/>
      <c r="C1340" s="8"/>
    </row>
    <row r="1341" spans="1:3">
      <c r="A1341" s="35"/>
      <c r="B1341" s="79"/>
      <c r="C1341" s="8"/>
    </row>
    <row r="1342" spans="1:3">
      <c r="A1342" s="35"/>
      <c r="B1342" s="79"/>
      <c r="C1342" s="8"/>
    </row>
    <row r="1343" spans="1:3">
      <c r="A1343" s="35"/>
      <c r="B1343" s="79"/>
      <c r="C1343" s="8"/>
    </row>
    <row r="1344" spans="1:3">
      <c r="A1344" s="35"/>
      <c r="B1344" s="79"/>
      <c r="C1344" s="8"/>
    </row>
    <row r="1345" spans="1:3">
      <c r="A1345" s="35"/>
      <c r="B1345" s="79"/>
      <c r="C1345" s="8"/>
    </row>
    <row r="1346" spans="1:3">
      <c r="A1346" s="35"/>
      <c r="B1346" s="79"/>
      <c r="C1346" s="8"/>
    </row>
    <row r="1347" spans="1:3">
      <c r="A1347" s="35"/>
      <c r="B1347" s="79"/>
      <c r="C1347" s="8"/>
    </row>
    <row r="1348" spans="1:3">
      <c r="A1348" s="35"/>
      <c r="B1348" s="79"/>
      <c r="C1348" s="8"/>
    </row>
    <row r="1349" spans="1:3">
      <c r="A1349" s="35"/>
      <c r="B1349" s="79"/>
      <c r="C1349" s="8"/>
    </row>
    <row r="1350" spans="1:3">
      <c r="A1350" s="35"/>
      <c r="B1350" s="79"/>
      <c r="C1350" s="8"/>
    </row>
    <row r="1351" spans="1:3">
      <c r="A1351" s="35"/>
      <c r="B1351" s="79"/>
      <c r="C1351" s="8"/>
    </row>
    <row r="1352" spans="1:3">
      <c r="A1352" s="35"/>
      <c r="B1352" s="79"/>
      <c r="C1352" s="8"/>
    </row>
    <row r="1353" spans="1:3">
      <c r="A1353" s="35"/>
      <c r="B1353" s="79"/>
      <c r="C1353" s="8"/>
    </row>
    <row r="1354" spans="1:3">
      <c r="A1354" s="35"/>
      <c r="B1354" s="79"/>
      <c r="C1354" s="8"/>
    </row>
    <row r="1355" spans="1:3">
      <c r="A1355" s="35"/>
      <c r="B1355" s="79"/>
      <c r="C1355" s="8"/>
    </row>
    <row r="1356" spans="1:3">
      <c r="A1356" s="35"/>
      <c r="B1356" s="79"/>
      <c r="C1356" s="8"/>
    </row>
    <row r="1357" spans="1:3">
      <c r="A1357" s="35"/>
      <c r="B1357" s="79"/>
      <c r="C1357" s="8"/>
    </row>
    <row r="1358" spans="1:3">
      <c r="A1358" s="35"/>
      <c r="B1358" s="79"/>
      <c r="C1358" s="8"/>
    </row>
    <row r="1359" spans="1:3">
      <c r="A1359" s="35"/>
      <c r="B1359" s="79"/>
      <c r="C1359" s="8"/>
    </row>
    <row r="1360" spans="1:3">
      <c r="A1360" s="35"/>
      <c r="B1360" s="79"/>
      <c r="C1360" s="8"/>
    </row>
    <row r="1361" spans="1:3">
      <c r="A1361" s="35"/>
      <c r="B1361" s="79"/>
      <c r="C1361" s="8"/>
    </row>
    <row r="1362" spans="1:3">
      <c r="A1362" s="35"/>
      <c r="B1362" s="79"/>
      <c r="C1362" s="8"/>
    </row>
    <row r="1363" spans="1:3">
      <c r="A1363" s="35"/>
      <c r="B1363" s="79"/>
      <c r="C1363" s="8"/>
    </row>
    <row r="1364" spans="1:3">
      <c r="A1364" s="35"/>
      <c r="B1364" s="79"/>
      <c r="C1364" s="8"/>
    </row>
    <row r="1365" spans="1:3">
      <c r="A1365" s="35"/>
      <c r="B1365" s="79"/>
      <c r="C1365" s="8"/>
    </row>
    <row r="1366" spans="1:3">
      <c r="A1366" s="35"/>
      <c r="B1366" s="79"/>
      <c r="C1366" s="8"/>
    </row>
    <row r="1367" spans="1:3">
      <c r="A1367" s="35"/>
      <c r="B1367" s="79"/>
      <c r="C1367" s="8"/>
    </row>
    <row r="1368" spans="1:3">
      <c r="A1368" s="35"/>
      <c r="B1368" s="79"/>
      <c r="C1368" s="8"/>
    </row>
    <row r="1369" spans="1:3">
      <c r="A1369" s="35"/>
      <c r="B1369" s="79"/>
      <c r="C1369" s="8"/>
    </row>
    <row r="1370" spans="1:3">
      <c r="A1370" s="35"/>
      <c r="B1370" s="79"/>
      <c r="C1370" s="8"/>
    </row>
    <row r="1371" spans="1:3">
      <c r="A1371" s="35"/>
      <c r="B1371" s="79"/>
      <c r="C1371" s="8"/>
    </row>
    <row r="1372" spans="1:3">
      <c r="A1372" s="35"/>
      <c r="B1372" s="79"/>
      <c r="C1372" s="8"/>
    </row>
    <row r="1373" spans="1:3">
      <c r="A1373" s="35"/>
      <c r="B1373" s="79"/>
      <c r="C1373" s="8"/>
    </row>
    <row r="1374" spans="1:3">
      <c r="A1374" s="35"/>
      <c r="B1374" s="79"/>
      <c r="C1374" s="8"/>
    </row>
    <row r="1375" spans="1:3">
      <c r="A1375" s="35"/>
      <c r="B1375" s="79"/>
      <c r="C1375" s="8"/>
    </row>
    <row r="1376" spans="1:3">
      <c r="A1376" s="35"/>
      <c r="B1376" s="79"/>
      <c r="C1376" s="8"/>
    </row>
    <row r="1377" spans="1:3">
      <c r="A1377" s="35"/>
      <c r="B1377" s="79"/>
      <c r="C1377" s="8"/>
    </row>
    <row r="1378" spans="1:3">
      <c r="A1378" s="35"/>
      <c r="B1378" s="79"/>
      <c r="C1378" s="8"/>
    </row>
    <row r="1379" spans="1:3">
      <c r="A1379" s="35"/>
      <c r="B1379" s="79"/>
      <c r="C1379" s="8"/>
    </row>
    <row r="1380" spans="1:3">
      <c r="A1380" s="35"/>
      <c r="B1380" s="79"/>
      <c r="C1380" s="8"/>
    </row>
    <row r="1381" spans="1:3">
      <c r="A1381" s="35"/>
      <c r="B1381" s="79"/>
      <c r="C1381" s="8"/>
    </row>
    <row r="1382" spans="1:3">
      <c r="A1382" s="35"/>
      <c r="B1382" s="79"/>
      <c r="C1382" s="8"/>
    </row>
    <row r="1383" spans="1:3">
      <c r="A1383" s="35"/>
      <c r="B1383" s="79"/>
      <c r="C1383" s="8"/>
    </row>
    <row r="1384" spans="1:3">
      <c r="A1384" s="35"/>
      <c r="B1384" s="79"/>
      <c r="C1384" s="8"/>
    </row>
    <row r="1385" spans="1:3">
      <c r="A1385" s="35"/>
      <c r="B1385" s="79"/>
      <c r="C1385" s="8"/>
    </row>
    <row r="1386" spans="1:3">
      <c r="A1386" s="35"/>
      <c r="B1386" s="79"/>
      <c r="C1386" s="8"/>
    </row>
    <row r="1387" spans="1:3">
      <c r="A1387" s="35"/>
      <c r="B1387" s="79"/>
      <c r="C1387" s="8"/>
    </row>
    <row r="1388" spans="1:3">
      <c r="A1388" s="35"/>
      <c r="B1388" s="79"/>
      <c r="C1388" s="8"/>
    </row>
    <row r="1389" spans="1:3">
      <c r="A1389" s="35"/>
      <c r="B1389" s="79"/>
      <c r="C1389" s="8"/>
    </row>
    <row r="1390" spans="1:3">
      <c r="A1390" s="35"/>
      <c r="B1390" s="79"/>
      <c r="C1390" s="8"/>
    </row>
    <row r="1391" spans="1:3">
      <c r="A1391" s="35"/>
      <c r="B1391" s="79"/>
      <c r="C1391" s="8"/>
    </row>
    <row r="1392" spans="1:3">
      <c r="A1392" s="35"/>
      <c r="B1392" s="79"/>
      <c r="C1392" s="8"/>
    </row>
    <row r="1393" spans="1:3">
      <c r="A1393" s="35"/>
      <c r="B1393" s="79"/>
      <c r="C1393" s="8"/>
    </row>
    <row r="1394" spans="1:3">
      <c r="A1394" s="35"/>
      <c r="B1394" s="79"/>
      <c r="C1394" s="8"/>
    </row>
    <row r="1395" spans="1:3">
      <c r="A1395" s="35"/>
      <c r="B1395" s="79"/>
      <c r="C1395" s="8"/>
    </row>
    <row r="1396" spans="1:3">
      <c r="A1396" s="35"/>
      <c r="B1396" s="79"/>
      <c r="C1396" s="8"/>
    </row>
    <row r="1397" spans="1:3">
      <c r="A1397" s="35"/>
      <c r="B1397" s="79"/>
      <c r="C1397" s="8"/>
    </row>
    <row r="1398" spans="1:3">
      <c r="A1398" s="35"/>
      <c r="B1398" s="79"/>
      <c r="C1398" s="8"/>
    </row>
    <row r="1399" spans="1:3">
      <c r="A1399" s="35"/>
      <c r="B1399" s="79"/>
      <c r="C1399" s="8"/>
    </row>
    <row r="1400" spans="1:3">
      <c r="A1400" s="35"/>
      <c r="B1400" s="79"/>
      <c r="C1400" s="8"/>
    </row>
    <row r="1401" spans="1:3">
      <c r="A1401" s="35"/>
      <c r="B1401" s="79"/>
      <c r="C1401" s="8"/>
    </row>
    <row r="1402" spans="1:3">
      <c r="A1402" s="35"/>
      <c r="B1402" s="79"/>
      <c r="C1402" s="8"/>
    </row>
    <row r="1403" spans="1:3">
      <c r="A1403" s="35"/>
      <c r="B1403" s="79"/>
      <c r="C1403" s="8"/>
    </row>
    <row r="1404" spans="1:3">
      <c r="A1404" s="35"/>
      <c r="B1404" s="79"/>
      <c r="C1404" s="8"/>
    </row>
    <row r="1405" spans="1:3">
      <c r="A1405" s="35"/>
      <c r="B1405" s="79"/>
      <c r="C1405" s="8"/>
    </row>
    <row r="1406" spans="1:3">
      <c r="A1406" s="35"/>
      <c r="B1406" s="79"/>
      <c r="C1406" s="8"/>
    </row>
    <row r="1407" spans="1:3">
      <c r="A1407" s="35"/>
      <c r="B1407" s="79"/>
      <c r="C1407" s="8"/>
    </row>
    <row r="1408" spans="1:3">
      <c r="A1408" s="35"/>
      <c r="B1408" s="79"/>
      <c r="C1408" s="8"/>
    </row>
    <row r="1409" spans="1:3">
      <c r="A1409" s="35"/>
      <c r="B1409" s="79"/>
      <c r="C1409" s="8"/>
    </row>
    <row r="1410" spans="1:3">
      <c r="A1410" s="35"/>
      <c r="B1410" s="79"/>
      <c r="C1410" s="8"/>
    </row>
    <row r="1411" spans="1:3">
      <c r="A1411" s="35"/>
      <c r="B1411" s="79"/>
      <c r="C1411" s="8"/>
    </row>
    <row r="1412" spans="1:3">
      <c r="A1412" s="35"/>
      <c r="B1412" s="79"/>
      <c r="C1412" s="8"/>
    </row>
    <row r="1413" spans="1:3">
      <c r="A1413" s="35"/>
      <c r="B1413" s="79"/>
      <c r="C1413" s="8"/>
    </row>
    <row r="1414" spans="1:3">
      <c r="A1414" s="35"/>
      <c r="B1414" s="79"/>
      <c r="C1414" s="8"/>
    </row>
    <row r="1415" spans="1:3">
      <c r="A1415" s="35"/>
      <c r="B1415" s="79"/>
      <c r="C1415" s="8"/>
    </row>
    <row r="1416" spans="1:3">
      <c r="A1416" s="35"/>
      <c r="B1416" s="79"/>
      <c r="C1416" s="8"/>
    </row>
    <row r="1417" spans="1:3">
      <c r="A1417" s="35"/>
      <c r="B1417" s="79"/>
      <c r="C1417" s="8"/>
    </row>
    <row r="1418" spans="1:3">
      <c r="A1418" s="35"/>
      <c r="B1418" s="79"/>
      <c r="C1418" s="8"/>
    </row>
    <row r="1419" spans="1:3">
      <c r="A1419" s="35"/>
      <c r="B1419" s="79"/>
      <c r="C1419" s="8"/>
    </row>
    <row r="1420" spans="1:3">
      <c r="A1420" s="35"/>
      <c r="B1420" s="79"/>
      <c r="C1420" s="8"/>
    </row>
    <row r="1421" spans="1:3">
      <c r="A1421" s="35"/>
      <c r="B1421" s="79"/>
      <c r="C1421" s="8"/>
    </row>
    <row r="1422" spans="1:3">
      <c r="A1422" s="35"/>
      <c r="B1422" s="79"/>
      <c r="C1422" s="8"/>
    </row>
    <row r="1423" spans="1:3">
      <c r="A1423" s="35"/>
      <c r="B1423" s="79"/>
      <c r="C1423" s="8"/>
    </row>
    <row r="1424" spans="1:3">
      <c r="A1424" s="35"/>
      <c r="B1424" s="79"/>
      <c r="C1424" s="8"/>
    </row>
    <row r="1425" spans="1:3">
      <c r="A1425" s="35"/>
      <c r="B1425" s="79"/>
      <c r="C1425" s="8"/>
    </row>
    <row r="1426" spans="1:3">
      <c r="A1426" s="35"/>
      <c r="B1426" s="79"/>
      <c r="C1426" s="8"/>
    </row>
    <row r="1427" spans="1:3">
      <c r="A1427" s="35"/>
      <c r="B1427" s="79"/>
      <c r="C1427" s="8"/>
    </row>
    <row r="1428" spans="1:3">
      <c r="A1428" s="35"/>
      <c r="B1428" s="79"/>
      <c r="C1428" s="8"/>
    </row>
    <row r="1429" spans="1:3">
      <c r="A1429" s="35"/>
      <c r="B1429" s="79"/>
      <c r="C1429" s="8"/>
    </row>
    <row r="1430" spans="1:3">
      <c r="A1430" s="35"/>
      <c r="B1430" s="79"/>
      <c r="C1430" s="8"/>
    </row>
    <row r="1431" spans="1:3">
      <c r="A1431" s="35"/>
      <c r="B1431" s="79"/>
      <c r="C1431" s="8"/>
    </row>
    <row r="1432" spans="1:3">
      <c r="A1432" s="35"/>
      <c r="B1432" s="79"/>
      <c r="C1432" s="8"/>
    </row>
    <row r="1433" spans="1:3">
      <c r="A1433" s="35"/>
      <c r="B1433" s="79"/>
      <c r="C1433" s="8"/>
    </row>
    <row r="1434" spans="1:3">
      <c r="A1434" s="35"/>
      <c r="B1434" s="79"/>
      <c r="C1434" s="8"/>
    </row>
    <row r="1435" spans="1:3">
      <c r="A1435" s="35"/>
      <c r="B1435" s="79"/>
      <c r="C1435" s="8"/>
    </row>
    <row r="1436" spans="1:3">
      <c r="A1436" s="35"/>
      <c r="B1436" s="79"/>
      <c r="C1436" s="8"/>
    </row>
    <row r="1437" spans="1:3">
      <c r="A1437" s="35"/>
      <c r="B1437" s="79"/>
      <c r="C1437" s="8"/>
    </row>
    <row r="1438" spans="1:3">
      <c r="A1438" s="35"/>
      <c r="B1438" s="79"/>
      <c r="C1438" s="8"/>
    </row>
    <row r="1439" spans="1:3">
      <c r="A1439" s="35"/>
      <c r="B1439" s="79"/>
      <c r="C1439" s="8"/>
    </row>
    <row r="1440" spans="1:3">
      <c r="A1440" s="35"/>
      <c r="B1440" s="79"/>
      <c r="C1440" s="8"/>
    </row>
    <row r="1441" spans="1:3">
      <c r="A1441" s="35"/>
      <c r="B1441" s="79"/>
      <c r="C1441" s="8"/>
    </row>
    <row r="1442" spans="1:3">
      <c r="A1442" s="35"/>
      <c r="B1442" s="79"/>
      <c r="C1442" s="8"/>
    </row>
    <row r="1443" spans="1:3">
      <c r="A1443" s="35"/>
      <c r="B1443" s="79"/>
      <c r="C1443" s="8"/>
    </row>
    <row r="1444" spans="1:3">
      <c r="A1444" s="35"/>
      <c r="B1444" s="79"/>
      <c r="C1444" s="8"/>
    </row>
    <row r="1445" spans="1:3">
      <c r="A1445" s="35"/>
      <c r="B1445" s="79"/>
      <c r="C1445" s="8"/>
    </row>
    <row r="1446" spans="1:3">
      <c r="A1446" s="35"/>
      <c r="B1446" s="79"/>
      <c r="C1446" s="8"/>
    </row>
    <row r="1447" spans="1:3">
      <c r="A1447" s="35"/>
      <c r="B1447" s="79"/>
      <c r="C1447" s="8"/>
    </row>
    <row r="1448" spans="1:3">
      <c r="A1448" s="35"/>
      <c r="B1448" s="79"/>
      <c r="C1448" s="8"/>
    </row>
    <row r="1449" spans="1:3">
      <c r="A1449" s="35"/>
      <c r="B1449" s="79"/>
      <c r="C1449" s="8"/>
    </row>
    <row r="1450" spans="1:3">
      <c r="A1450" s="35"/>
      <c r="B1450" s="79"/>
      <c r="C1450" s="8"/>
    </row>
    <row r="1451" spans="1:3">
      <c r="A1451" s="35"/>
      <c r="B1451" s="79"/>
      <c r="C1451" s="8"/>
    </row>
    <row r="1452" spans="1:3">
      <c r="A1452" s="35"/>
      <c r="B1452" s="79"/>
      <c r="C1452" s="8"/>
    </row>
    <row r="1453" spans="1:3">
      <c r="A1453" s="35"/>
      <c r="B1453" s="79"/>
      <c r="C1453" s="8"/>
    </row>
    <row r="1454" spans="1:3">
      <c r="A1454" s="35"/>
      <c r="B1454" s="79"/>
      <c r="C1454" s="8"/>
    </row>
    <row r="1455" spans="1:3">
      <c r="A1455" s="35"/>
      <c r="B1455" s="79"/>
      <c r="C1455" s="8"/>
    </row>
    <row r="1456" spans="1:3">
      <c r="A1456" s="35"/>
      <c r="B1456" s="79"/>
      <c r="C1456" s="8"/>
    </row>
    <row r="1457" spans="1:3">
      <c r="A1457" s="35"/>
      <c r="B1457" s="79"/>
      <c r="C1457" s="8"/>
    </row>
    <row r="1458" spans="1:3">
      <c r="A1458" s="35"/>
      <c r="B1458" s="79"/>
      <c r="C1458" s="8"/>
    </row>
    <row r="1459" spans="1:3">
      <c r="A1459" s="35"/>
      <c r="B1459" s="79"/>
      <c r="C1459" s="8"/>
    </row>
    <row r="1460" spans="1:3">
      <c r="A1460" s="35"/>
      <c r="B1460" s="79"/>
      <c r="C1460" s="8"/>
    </row>
    <row r="1461" spans="1:3">
      <c r="A1461" s="35"/>
      <c r="B1461" s="79"/>
      <c r="C1461" s="8"/>
    </row>
    <row r="1462" spans="1:3">
      <c r="A1462" s="35"/>
      <c r="B1462" s="79"/>
      <c r="C1462" s="8"/>
    </row>
    <row r="1463" spans="1:3">
      <c r="A1463" s="35"/>
      <c r="B1463" s="79"/>
      <c r="C1463" s="8"/>
    </row>
    <row r="1464" spans="1:3">
      <c r="A1464" s="35"/>
      <c r="B1464" s="79"/>
      <c r="C1464" s="8"/>
    </row>
    <row r="1465" spans="1:3">
      <c r="A1465" s="35"/>
      <c r="B1465" s="79"/>
      <c r="C1465" s="8"/>
    </row>
    <row r="1466" spans="1:3">
      <c r="A1466" s="35"/>
      <c r="B1466" s="79"/>
      <c r="C1466" s="8"/>
    </row>
    <row r="1467" spans="1:3">
      <c r="A1467" s="35"/>
      <c r="B1467" s="79"/>
      <c r="C1467" s="8"/>
    </row>
    <row r="1468" spans="1:3">
      <c r="A1468" s="35"/>
      <c r="B1468" s="79"/>
      <c r="C1468" s="8"/>
    </row>
    <row r="1469" spans="1:3">
      <c r="A1469" s="35"/>
      <c r="B1469" s="79"/>
      <c r="C1469" s="8"/>
    </row>
    <row r="1470" spans="1:3">
      <c r="A1470" s="35"/>
      <c r="B1470" s="79"/>
      <c r="C1470" s="8"/>
    </row>
    <row r="1471" spans="1:3">
      <c r="A1471" s="35"/>
      <c r="B1471" s="79"/>
      <c r="C1471" s="8"/>
    </row>
    <row r="1472" spans="1:3">
      <c r="A1472" s="35"/>
      <c r="B1472" s="79"/>
      <c r="C1472" s="8"/>
    </row>
    <row r="1473" spans="1:3">
      <c r="A1473" s="35"/>
      <c r="B1473" s="79"/>
      <c r="C1473" s="8"/>
    </row>
    <row r="1474" spans="1:3">
      <c r="A1474" s="35"/>
      <c r="B1474" s="79"/>
      <c r="C1474" s="8"/>
    </row>
    <row r="1475" spans="1:3">
      <c r="A1475" s="35"/>
      <c r="B1475" s="79"/>
      <c r="C1475" s="8"/>
    </row>
    <row r="1476" spans="1:3">
      <c r="A1476" s="35"/>
      <c r="B1476" s="79"/>
      <c r="C1476" s="8"/>
    </row>
    <row r="1477" spans="1:3">
      <c r="A1477" s="35"/>
      <c r="B1477" s="79"/>
      <c r="C1477" s="8"/>
    </row>
    <row r="1478" spans="1:3">
      <c r="A1478" s="35"/>
      <c r="B1478" s="79"/>
      <c r="C1478" s="8"/>
    </row>
    <row r="1479" spans="1:3">
      <c r="A1479" s="35"/>
      <c r="B1479" s="79"/>
      <c r="C1479" s="8"/>
    </row>
    <row r="1480" spans="1:3">
      <c r="A1480" s="35"/>
      <c r="B1480" s="79"/>
      <c r="C1480" s="8"/>
    </row>
    <row r="1481" spans="1:3">
      <c r="A1481" s="35"/>
      <c r="B1481" s="79"/>
      <c r="C1481" s="8"/>
    </row>
    <row r="1482" spans="1:3">
      <c r="A1482" s="35"/>
      <c r="B1482" s="79"/>
      <c r="C1482" s="8"/>
    </row>
    <row r="1483" spans="1:3">
      <c r="A1483" s="35"/>
      <c r="B1483" s="79"/>
      <c r="C1483" s="8"/>
    </row>
    <row r="1484" spans="1:3">
      <c r="A1484" s="35"/>
      <c r="B1484" s="79"/>
      <c r="C1484" s="8"/>
    </row>
    <row r="1485" spans="1:3">
      <c r="A1485" s="35"/>
      <c r="B1485" s="79"/>
      <c r="C1485" s="8"/>
    </row>
    <row r="1486" spans="1:3">
      <c r="A1486" s="35"/>
      <c r="B1486" s="79"/>
      <c r="C1486" s="8"/>
    </row>
    <row r="1487" spans="1:3">
      <c r="A1487" s="35"/>
      <c r="B1487" s="79"/>
      <c r="C1487" s="8"/>
    </row>
    <row r="1488" spans="1:3">
      <c r="A1488" s="35"/>
      <c r="B1488" s="79"/>
      <c r="C1488" s="8"/>
    </row>
    <row r="1489" spans="1:3">
      <c r="A1489" s="35"/>
      <c r="B1489" s="79"/>
      <c r="C1489" s="8"/>
    </row>
    <row r="1490" spans="1:3">
      <c r="A1490" s="35"/>
      <c r="B1490" s="79"/>
      <c r="C1490" s="8"/>
    </row>
    <row r="1491" spans="1:3">
      <c r="A1491" s="35"/>
      <c r="B1491" s="79"/>
      <c r="C1491" s="8"/>
    </row>
    <row r="1492" spans="1:3">
      <c r="A1492" s="35"/>
      <c r="B1492" s="79"/>
      <c r="C1492" s="8"/>
    </row>
    <row r="1493" spans="1:3">
      <c r="A1493" s="35"/>
      <c r="B1493" s="79"/>
      <c r="C1493" s="8"/>
    </row>
    <row r="1494" spans="1:3">
      <c r="A1494" s="35"/>
      <c r="B1494" s="79"/>
      <c r="C1494" s="8"/>
    </row>
    <row r="1495" spans="1:3">
      <c r="A1495" s="35"/>
      <c r="B1495" s="79"/>
      <c r="C1495" s="8"/>
    </row>
    <row r="1496" spans="1:3">
      <c r="A1496" s="35"/>
      <c r="B1496" s="79"/>
      <c r="C1496" s="8"/>
    </row>
    <row r="1497" spans="1:3">
      <c r="A1497" s="35"/>
      <c r="B1497" s="79"/>
      <c r="C1497" s="8"/>
    </row>
    <row r="1498" spans="1:3">
      <c r="A1498" s="35"/>
      <c r="B1498" s="79"/>
      <c r="C1498" s="8"/>
    </row>
    <row r="1499" spans="1:3">
      <c r="A1499" s="35"/>
      <c r="B1499" s="79"/>
      <c r="C1499" s="8"/>
    </row>
    <row r="1500" spans="1:3">
      <c r="A1500" s="35"/>
      <c r="B1500" s="79"/>
      <c r="C1500" s="8"/>
    </row>
    <row r="1501" spans="1:3">
      <c r="A1501" s="35"/>
      <c r="B1501" s="79"/>
      <c r="C1501" s="8"/>
    </row>
    <row r="1502" spans="1:3">
      <c r="A1502" s="35"/>
      <c r="B1502" s="79"/>
      <c r="C1502" s="8"/>
    </row>
    <row r="1503" spans="1:3">
      <c r="A1503" s="35"/>
      <c r="B1503" s="79"/>
      <c r="C1503" s="8"/>
    </row>
    <row r="1504" spans="1:3">
      <c r="A1504" s="35"/>
      <c r="B1504" s="79"/>
      <c r="C1504" s="8"/>
    </row>
    <row r="1505" spans="1:3">
      <c r="A1505" s="35"/>
      <c r="B1505" s="79"/>
      <c r="C1505" s="8"/>
    </row>
    <row r="1506" spans="1:3">
      <c r="A1506" s="35"/>
      <c r="B1506" s="79"/>
      <c r="C1506" s="8"/>
    </row>
    <row r="1507" spans="1:3">
      <c r="A1507" s="35"/>
      <c r="B1507" s="79"/>
      <c r="C1507" s="8"/>
    </row>
    <row r="1508" spans="1:3">
      <c r="A1508" s="35"/>
      <c r="B1508" s="79"/>
      <c r="C1508" s="8"/>
    </row>
    <row r="1509" spans="1:3">
      <c r="A1509" s="35"/>
      <c r="B1509" s="79"/>
      <c r="C1509" s="8"/>
    </row>
    <row r="1510" spans="1:3">
      <c r="A1510" s="35"/>
      <c r="B1510" s="79"/>
      <c r="C1510" s="8"/>
    </row>
    <row r="1511" spans="1:3">
      <c r="A1511" s="35"/>
      <c r="B1511" s="79"/>
      <c r="C1511" s="8"/>
    </row>
    <row r="1512" spans="1:3">
      <c r="A1512" s="35"/>
      <c r="B1512" s="79"/>
      <c r="C1512" s="8"/>
    </row>
    <row r="1513" spans="1:3">
      <c r="A1513" s="35"/>
      <c r="B1513" s="79"/>
      <c r="C1513" s="8"/>
    </row>
    <row r="1514" spans="1:3">
      <c r="A1514" s="35"/>
      <c r="B1514" s="79"/>
      <c r="C1514" s="8"/>
    </row>
    <row r="1515" spans="1:3">
      <c r="A1515" s="35"/>
      <c r="B1515" s="79"/>
      <c r="C1515" s="8"/>
    </row>
    <row r="1516" spans="1:3">
      <c r="A1516" s="35"/>
      <c r="B1516" s="79"/>
      <c r="C1516" s="8"/>
    </row>
    <row r="1517" spans="1:3">
      <c r="A1517" s="35"/>
      <c r="B1517" s="79"/>
      <c r="C1517" s="8"/>
    </row>
    <row r="1518" spans="1:3">
      <c r="A1518" s="35"/>
      <c r="B1518" s="79"/>
      <c r="C1518" s="8"/>
    </row>
    <row r="1519" spans="1:3">
      <c r="A1519" s="35"/>
      <c r="B1519" s="79"/>
      <c r="C1519" s="8"/>
    </row>
    <row r="1520" spans="1:3">
      <c r="A1520" s="35"/>
      <c r="B1520" s="79"/>
      <c r="C1520" s="8"/>
    </row>
    <row r="1521" spans="1:3">
      <c r="A1521" s="35"/>
      <c r="B1521" s="79"/>
      <c r="C1521" s="8"/>
    </row>
    <row r="1522" spans="1:3">
      <c r="A1522" s="35"/>
      <c r="B1522" s="79"/>
      <c r="C1522" s="8"/>
    </row>
    <row r="1523" spans="1:3">
      <c r="A1523" s="35"/>
      <c r="B1523" s="79"/>
      <c r="C1523" s="8"/>
    </row>
    <row r="1524" spans="1:3">
      <c r="A1524" s="35"/>
      <c r="B1524" s="79"/>
      <c r="C1524" s="8"/>
    </row>
    <row r="1525" spans="1:3">
      <c r="A1525" s="35"/>
      <c r="B1525" s="79"/>
      <c r="C1525" s="8"/>
    </row>
    <row r="1526" spans="1:3">
      <c r="A1526" s="35"/>
      <c r="B1526" s="79"/>
      <c r="C1526" s="8"/>
    </row>
    <row r="1527" spans="1:3">
      <c r="A1527" s="35"/>
      <c r="B1527" s="79"/>
      <c r="C1527" s="8"/>
    </row>
    <row r="1528" spans="1:3">
      <c r="A1528" s="35"/>
      <c r="B1528" s="79"/>
      <c r="C1528" s="8"/>
    </row>
    <row r="1529" spans="1:3">
      <c r="A1529" s="35"/>
      <c r="B1529" s="79"/>
      <c r="C1529" s="8"/>
    </row>
    <row r="1530" spans="1:3">
      <c r="A1530" s="35"/>
      <c r="B1530" s="79"/>
      <c r="C1530" s="8"/>
    </row>
    <row r="1531" spans="1:3">
      <c r="A1531" s="35"/>
      <c r="B1531" s="79"/>
      <c r="C1531" s="8"/>
    </row>
    <row r="1532" spans="1:3">
      <c r="A1532" s="35"/>
      <c r="B1532" s="79"/>
      <c r="C1532" s="8"/>
    </row>
    <row r="1533" spans="1:3">
      <c r="A1533" s="35"/>
      <c r="B1533" s="79"/>
      <c r="C1533" s="8"/>
    </row>
    <row r="1534" spans="1:3">
      <c r="A1534" s="35"/>
      <c r="B1534" s="79"/>
      <c r="C1534" s="8"/>
    </row>
    <row r="1535" spans="1:3">
      <c r="A1535" s="35"/>
      <c r="B1535" s="79"/>
      <c r="C1535" s="8"/>
    </row>
    <row r="1536" spans="1:3">
      <c r="A1536" s="35"/>
      <c r="B1536" s="79"/>
      <c r="C1536" s="8"/>
    </row>
    <row r="1537" spans="1:3">
      <c r="A1537" s="35"/>
      <c r="B1537" s="79"/>
      <c r="C1537" s="8"/>
    </row>
    <row r="1538" spans="1:3">
      <c r="A1538" s="35"/>
      <c r="B1538" s="79"/>
      <c r="C1538" s="8"/>
    </row>
    <row r="1539" spans="1:3">
      <c r="A1539" s="35"/>
      <c r="B1539" s="79"/>
      <c r="C1539" s="8"/>
    </row>
    <row r="1540" spans="1:3">
      <c r="A1540" s="35"/>
      <c r="B1540" s="79"/>
      <c r="C1540" s="8"/>
    </row>
    <row r="1541" spans="1:3">
      <c r="A1541" s="35"/>
      <c r="B1541" s="79"/>
      <c r="C1541" s="8"/>
    </row>
    <row r="1542" spans="1:3">
      <c r="A1542" s="35"/>
      <c r="B1542" s="79"/>
      <c r="C1542" s="8"/>
    </row>
    <row r="1543" spans="1:3">
      <c r="A1543" s="35"/>
      <c r="B1543" s="79"/>
      <c r="C1543" s="8"/>
    </row>
    <row r="1544" spans="1:3">
      <c r="A1544" s="35"/>
      <c r="B1544" s="79"/>
      <c r="C1544" s="8"/>
    </row>
    <row r="1545" spans="1:3">
      <c r="A1545" s="35"/>
      <c r="B1545" s="79"/>
      <c r="C1545" s="8"/>
    </row>
    <row r="1546" spans="1:3">
      <c r="A1546" s="35"/>
      <c r="B1546" s="79"/>
      <c r="C1546" s="8"/>
    </row>
    <row r="1547" spans="1:3">
      <c r="A1547" s="35"/>
      <c r="B1547" s="79"/>
      <c r="C1547" s="8"/>
    </row>
    <row r="1548" spans="1:3">
      <c r="A1548" s="35"/>
      <c r="B1548" s="79"/>
      <c r="C1548" s="8"/>
    </row>
    <row r="1549" spans="1:3">
      <c r="A1549" s="35"/>
      <c r="B1549" s="79"/>
      <c r="C1549" s="8"/>
    </row>
    <row r="1550" spans="1:3">
      <c r="A1550" s="35"/>
      <c r="B1550" s="79"/>
      <c r="C1550" s="8"/>
    </row>
    <row r="1551" spans="1:3">
      <c r="A1551" s="35"/>
      <c r="B1551" s="79"/>
      <c r="C1551" s="8"/>
    </row>
    <row r="1552" spans="1:3">
      <c r="A1552" s="35"/>
      <c r="B1552" s="79"/>
      <c r="C1552" s="8"/>
    </row>
    <row r="1553" spans="1:3">
      <c r="A1553" s="35"/>
      <c r="B1553" s="79"/>
      <c r="C1553" s="8"/>
    </row>
    <row r="1554" spans="1:3">
      <c r="A1554" s="35"/>
      <c r="B1554" s="79"/>
      <c r="C1554" s="8"/>
    </row>
    <row r="1555" spans="1:3">
      <c r="A1555" s="35"/>
      <c r="B1555" s="79"/>
      <c r="C1555" s="8"/>
    </row>
    <row r="1556" spans="1:3">
      <c r="A1556" s="35"/>
      <c r="B1556" s="79"/>
      <c r="C1556" s="8"/>
    </row>
    <row r="1557" spans="1:3">
      <c r="A1557" s="35"/>
      <c r="B1557" s="79"/>
      <c r="C1557" s="8"/>
    </row>
    <row r="1558" spans="1:3">
      <c r="A1558" s="35"/>
      <c r="B1558" s="79"/>
      <c r="C1558" s="8"/>
    </row>
    <row r="1559" spans="1:3">
      <c r="A1559" s="35"/>
      <c r="B1559" s="79"/>
      <c r="C1559" s="8"/>
    </row>
    <row r="1560" spans="1:3">
      <c r="A1560" s="35"/>
      <c r="B1560" s="79"/>
      <c r="C1560" s="8"/>
    </row>
    <row r="1561" spans="1:3">
      <c r="A1561" s="35"/>
      <c r="B1561" s="79"/>
      <c r="C1561" s="8"/>
    </row>
    <row r="1562" spans="1:3">
      <c r="A1562" s="35"/>
      <c r="B1562" s="79"/>
      <c r="C1562" s="8"/>
    </row>
    <row r="1563" spans="1:3">
      <c r="A1563" s="35"/>
      <c r="B1563" s="79"/>
      <c r="C1563" s="8"/>
    </row>
    <row r="1564" spans="1:3">
      <c r="A1564" s="35"/>
      <c r="B1564" s="79"/>
      <c r="C1564" s="8"/>
    </row>
    <row r="1565" spans="1:3">
      <c r="A1565" s="35"/>
      <c r="B1565" s="79"/>
      <c r="C1565" s="8"/>
    </row>
    <row r="1566" spans="1:3">
      <c r="A1566" s="35"/>
      <c r="B1566" s="79"/>
      <c r="C1566" s="8"/>
    </row>
    <row r="1567" spans="1:3">
      <c r="A1567" s="35"/>
      <c r="B1567" s="79"/>
      <c r="C1567" s="8"/>
    </row>
    <row r="1568" spans="1:3">
      <c r="A1568" s="35"/>
      <c r="B1568" s="79"/>
      <c r="C1568" s="8"/>
    </row>
    <row r="1569" spans="1:3">
      <c r="A1569" s="35"/>
      <c r="B1569" s="79"/>
      <c r="C1569" s="8"/>
    </row>
    <row r="1570" spans="1:3">
      <c r="A1570" s="35"/>
      <c r="B1570" s="79"/>
      <c r="C1570" s="8"/>
    </row>
    <row r="1571" spans="1:3">
      <c r="A1571" s="35"/>
      <c r="B1571" s="79"/>
      <c r="C1571" s="8"/>
    </row>
    <row r="1572" spans="1:3">
      <c r="A1572" s="35"/>
      <c r="B1572" s="79"/>
      <c r="C1572" s="8"/>
    </row>
    <row r="1573" spans="1:3">
      <c r="A1573" s="35"/>
      <c r="B1573" s="79"/>
      <c r="C1573" s="8"/>
    </row>
    <row r="1574" spans="1:3">
      <c r="A1574" s="35"/>
      <c r="B1574" s="79"/>
      <c r="C1574" s="8"/>
    </row>
    <row r="1575" spans="1:3">
      <c r="A1575" s="35"/>
      <c r="B1575" s="79"/>
      <c r="C1575" s="8"/>
    </row>
    <row r="1576" spans="1:3">
      <c r="A1576" s="35"/>
      <c r="B1576" s="79"/>
      <c r="C1576" s="8"/>
    </row>
    <row r="1577" spans="1:3">
      <c r="A1577" s="35"/>
      <c r="B1577" s="79"/>
      <c r="C1577" s="8"/>
    </row>
    <row r="1578" spans="1:3">
      <c r="A1578" s="35"/>
      <c r="B1578" s="79"/>
      <c r="C1578" s="8"/>
    </row>
    <row r="1579" spans="1:3">
      <c r="A1579" s="35"/>
      <c r="B1579" s="79"/>
      <c r="C1579" s="8"/>
    </row>
    <row r="1580" spans="1:3">
      <c r="A1580" s="35"/>
      <c r="B1580" s="79"/>
      <c r="C1580" s="8"/>
    </row>
    <row r="1581" spans="1:3">
      <c r="A1581" s="35"/>
      <c r="B1581" s="79"/>
      <c r="C1581" s="8"/>
    </row>
    <row r="1582" spans="1:3">
      <c r="A1582" s="35"/>
      <c r="B1582" s="79"/>
      <c r="C1582" s="8"/>
    </row>
    <row r="1583" spans="1:3">
      <c r="A1583" s="35"/>
      <c r="B1583" s="79"/>
      <c r="C1583" s="8"/>
    </row>
    <row r="1584" spans="1:3">
      <c r="A1584" s="35"/>
      <c r="B1584" s="79"/>
      <c r="C1584" s="8"/>
    </row>
    <row r="1585" spans="1:3">
      <c r="A1585" s="35"/>
      <c r="B1585" s="79"/>
      <c r="C1585" s="8"/>
    </row>
    <row r="1586" spans="1:3">
      <c r="A1586" s="35"/>
      <c r="B1586" s="79"/>
      <c r="C1586" s="8"/>
    </row>
    <row r="1587" spans="1:3">
      <c r="A1587" s="35"/>
      <c r="B1587" s="79"/>
      <c r="C1587" s="8"/>
    </row>
    <row r="1588" spans="1:3">
      <c r="A1588" s="35"/>
      <c r="B1588" s="79"/>
      <c r="C1588" s="8"/>
    </row>
    <row r="1589" spans="1:3">
      <c r="A1589" s="35"/>
      <c r="B1589" s="79"/>
      <c r="C1589" s="8"/>
    </row>
    <row r="1590" spans="1:3">
      <c r="A1590" s="35"/>
      <c r="B1590" s="79"/>
      <c r="C1590" s="8"/>
    </row>
    <row r="1591" spans="1:3">
      <c r="A1591" s="35"/>
      <c r="B1591" s="79"/>
      <c r="C1591" s="8"/>
    </row>
    <row r="1592" spans="1:3">
      <c r="A1592" s="35"/>
      <c r="B1592" s="79"/>
      <c r="C1592" s="8"/>
    </row>
    <row r="1593" spans="1:3">
      <c r="A1593" s="35"/>
      <c r="B1593" s="79"/>
      <c r="C1593" s="8"/>
    </row>
    <row r="1594" spans="1:3">
      <c r="A1594" s="35"/>
      <c r="B1594" s="79"/>
      <c r="C1594" s="8"/>
    </row>
    <row r="1595" spans="1:3">
      <c r="A1595" s="35"/>
      <c r="B1595" s="79"/>
      <c r="C1595" s="8"/>
    </row>
    <row r="1596" spans="1:3">
      <c r="A1596" s="35"/>
      <c r="B1596" s="79"/>
      <c r="C1596" s="8"/>
    </row>
    <row r="1597" spans="1:3">
      <c r="A1597" s="35"/>
      <c r="B1597" s="79"/>
      <c r="C1597" s="8"/>
    </row>
    <row r="1598" spans="1:3">
      <c r="A1598" s="35"/>
      <c r="B1598" s="79"/>
      <c r="C1598" s="8"/>
    </row>
    <row r="1599" spans="1:3">
      <c r="A1599" s="35"/>
      <c r="B1599" s="79"/>
      <c r="C1599" s="8"/>
    </row>
    <row r="1600" spans="1:3">
      <c r="A1600" s="35"/>
      <c r="B1600" s="79"/>
      <c r="C1600" s="8"/>
    </row>
    <row r="1601" spans="1:3">
      <c r="A1601" s="35"/>
      <c r="B1601" s="79"/>
      <c r="C1601" s="8"/>
    </row>
    <row r="1602" spans="1:3">
      <c r="A1602" s="35"/>
      <c r="B1602" s="79"/>
      <c r="C1602" s="8"/>
    </row>
    <row r="1603" spans="1:3">
      <c r="A1603" s="35"/>
      <c r="B1603" s="79"/>
      <c r="C1603" s="8"/>
    </row>
    <row r="1604" spans="1:3">
      <c r="A1604" s="35"/>
      <c r="B1604" s="79"/>
      <c r="C1604" s="8"/>
    </row>
    <row r="1605" spans="1:3">
      <c r="A1605" s="35"/>
      <c r="B1605" s="79"/>
      <c r="C1605" s="8"/>
    </row>
    <row r="1606" spans="1:3">
      <c r="A1606" s="35"/>
      <c r="B1606" s="79"/>
      <c r="C1606" s="8"/>
    </row>
    <row r="1607" spans="1:3">
      <c r="A1607" s="35"/>
      <c r="B1607" s="79"/>
      <c r="C1607" s="8"/>
    </row>
    <row r="1608" spans="1:3">
      <c r="A1608" s="35"/>
      <c r="B1608" s="79"/>
      <c r="C1608" s="8"/>
    </row>
    <row r="1609" spans="1:3">
      <c r="A1609" s="35"/>
      <c r="B1609" s="79"/>
      <c r="C1609" s="8"/>
    </row>
    <row r="1610" spans="1:3">
      <c r="A1610" s="35"/>
      <c r="B1610" s="79"/>
      <c r="C1610" s="8"/>
    </row>
    <row r="1611" spans="1:3">
      <c r="A1611" s="35"/>
      <c r="B1611" s="79"/>
      <c r="C1611" s="8"/>
    </row>
    <row r="1612" spans="1:3">
      <c r="A1612" s="35"/>
      <c r="B1612" s="79"/>
      <c r="C1612" s="8"/>
    </row>
    <row r="1613" spans="1:3">
      <c r="A1613" s="35"/>
      <c r="B1613" s="79"/>
      <c r="C1613" s="8"/>
    </row>
    <row r="1614" spans="1:3">
      <c r="A1614" s="35"/>
      <c r="B1614" s="79"/>
      <c r="C1614" s="8"/>
    </row>
    <row r="1615" spans="1:3">
      <c r="A1615" s="35"/>
      <c r="B1615" s="79"/>
      <c r="C1615" s="8"/>
    </row>
    <row r="1616" spans="1:3">
      <c r="A1616" s="35"/>
      <c r="B1616" s="79"/>
      <c r="C1616" s="8"/>
    </row>
    <row r="1617" spans="1:3">
      <c r="A1617" s="35"/>
      <c r="B1617" s="79"/>
      <c r="C1617" s="8"/>
    </row>
    <row r="1618" spans="1:3">
      <c r="A1618" s="35"/>
      <c r="B1618" s="79"/>
      <c r="C1618" s="8"/>
    </row>
    <row r="1619" spans="1:3">
      <c r="A1619" s="35"/>
      <c r="B1619" s="79"/>
      <c r="C1619" s="8"/>
    </row>
    <row r="1620" spans="1:3">
      <c r="A1620" s="35"/>
      <c r="B1620" s="79"/>
      <c r="C1620" s="8"/>
    </row>
    <row r="1621" spans="1:3">
      <c r="A1621" s="35"/>
      <c r="B1621" s="79"/>
      <c r="C1621" s="8"/>
    </row>
    <row r="1622" spans="1:3">
      <c r="A1622" s="35"/>
      <c r="B1622" s="79"/>
      <c r="C1622" s="8"/>
    </row>
    <row r="1623" spans="1:3">
      <c r="A1623" s="35"/>
      <c r="B1623" s="79"/>
      <c r="C1623" s="8"/>
    </row>
    <row r="1624" spans="1:3">
      <c r="A1624" s="35"/>
      <c r="B1624" s="79"/>
      <c r="C1624" s="8"/>
    </row>
    <row r="1625" spans="1:3">
      <c r="A1625" s="35"/>
      <c r="B1625" s="79"/>
      <c r="C1625" s="8"/>
    </row>
    <row r="1626" spans="1:3">
      <c r="A1626" s="35"/>
      <c r="B1626" s="79"/>
      <c r="C1626" s="8"/>
    </row>
    <row r="1627" spans="1:3">
      <c r="A1627" s="35"/>
      <c r="B1627" s="79"/>
      <c r="C1627" s="8"/>
    </row>
    <row r="1628" spans="1:3">
      <c r="A1628" s="35"/>
      <c r="B1628" s="79"/>
      <c r="C1628" s="8"/>
    </row>
    <row r="1629" spans="1:3">
      <c r="A1629" s="35"/>
      <c r="B1629" s="79"/>
      <c r="C1629" s="8"/>
    </row>
    <row r="1630" spans="1:3">
      <c r="A1630" s="35"/>
      <c r="B1630" s="79"/>
      <c r="C1630" s="8"/>
    </row>
    <row r="1631" spans="1:3">
      <c r="A1631" s="35"/>
      <c r="B1631" s="79"/>
      <c r="C1631" s="8"/>
    </row>
    <row r="1632" spans="1:3">
      <c r="A1632" s="35"/>
      <c r="B1632" s="79"/>
      <c r="C1632" s="8"/>
    </row>
    <row r="1633" spans="1:3">
      <c r="A1633" s="35"/>
      <c r="B1633" s="79"/>
      <c r="C1633" s="8"/>
    </row>
    <row r="1634" spans="1:3">
      <c r="A1634" s="35"/>
      <c r="B1634" s="79"/>
      <c r="C1634" s="8"/>
    </row>
    <row r="1635" spans="1:3">
      <c r="A1635" s="35"/>
      <c r="B1635" s="79"/>
      <c r="C1635" s="8"/>
    </row>
    <row r="1636" spans="1:3">
      <c r="A1636" s="35"/>
      <c r="B1636" s="79"/>
      <c r="C1636" s="8"/>
    </row>
    <row r="1637" spans="1:3">
      <c r="A1637" s="35"/>
      <c r="B1637" s="79"/>
      <c r="C1637" s="8"/>
    </row>
    <row r="1638" spans="1:3">
      <c r="A1638" s="35"/>
      <c r="B1638" s="79"/>
      <c r="C1638" s="8"/>
    </row>
    <row r="1639" spans="1:3">
      <c r="A1639" s="35"/>
      <c r="B1639" s="79"/>
      <c r="C1639" s="8"/>
    </row>
    <row r="1640" spans="1:3">
      <c r="A1640" s="35"/>
      <c r="B1640" s="79"/>
      <c r="C1640" s="8"/>
    </row>
    <row r="1641" spans="1:3">
      <c r="A1641" s="35"/>
      <c r="B1641" s="79"/>
      <c r="C1641" s="8"/>
    </row>
    <row r="1642" spans="1:3">
      <c r="A1642" s="35"/>
      <c r="B1642" s="79"/>
      <c r="C1642" s="8"/>
    </row>
    <row r="1643" spans="1:3">
      <c r="A1643" s="35"/>
      <c r="B1643" s="79"/>
      <c r="C1643" s="8"/>
    </row>
    <row r="1644" spans="1:3">
      <c r="A1644" s="35"/>
      <c r="B1644" s="79"/>
      <c r="C1644" s="8"/>
    </row>
    <row r="1645" spans="1:3">
      <c r="A1645" s="35"/>
      <c r="B1645" s="79"/>
      <c r="C1645" s="8"/>
    </row>
    <row r="1646" spans="1:3">
      <c r="A1646" s="35"/>
      <c r="B1646" s="79"/>
      <c r="C1646" s="8"/>
    </row>
    <row r="1647" spans="1:3">
      <c r="A1647" s="35"/>
      <c r="B1647" s="79"/>
      <c r="C1647" s="8"/>
    </row>
    <row r="1648" spans="1:3">
      <c r="A1648" s="35"/>
      <c r="B1648" s="79"/>
      <c r="C1648" s="8"/>
    </row>
    <row r="1649" spans="1:3">
      <c r="A1649" s="35"/>
      <c r="B1649" s="79"/>
      <c r="C1649" s="8"/>
    </row>
    <row r="1650" spans="1:3">
      <c r="A1650" s="35"/>
      <c r="B1650" s="79"/>
      <c r="C1650" s="8"/>
    </row>
    <row r="1651" spans="1:3">
      <c r="A1651" s="35"/>
      <c r="B1651" s="79"/>
      <c r="C1651" s="8"/>
    </row>
    <row r="1652" spans="1:3">
      <c r="A1652" s="35"/>
      <c r="B1652" s="79"/>
      <c r="C1652" s="8"/>
    </row>
    <row r="1653" spans="1:3">
      <c r="A1653" s="35"/>
      <c r="B1653" s="79"/>
      <c r="C1653" s="8"/>
    </row>
    <row r="1654" spans="1:3">
      <c r="A1654" s="35"/>
      <c r="B1654" s="79"/>
      <c r="C1654" s="8"/>
    </row>
    <row r="1655" spans="1:3">
      <c r="A1655" s="35"/>
      <c r="B1655" s="79"/>
      <c r="C1655" s="8"/>
    </row>
    <row r="1656" spans="1:3">
      <c r="A1656" s="35"/>
      <c r="B1656" s="79"/>
      <c r="C1656" s="8"/>
    </row>
    <row r="1657" spans="1:3">
      <c r="A1657" s="35"/>
      <c r="B1657" s="79"/>
      <c r="C1657" s="8"/>
    </row>
    <row r="1658" spans="1:3">
      <c r="A1658" s="35"/>
      <c r="B1658" s="79"/>
      <c r="C1658" s="8"/>
    </row>
    <row r="1659" spans="1:3">
      <c r="A1659" s="35"/>
      <c r="B1659" s="79"/>
      <c r="C1659" s="8"/>
    </row>
    <row r="1660" spans="1:3">
      <c r="A1660" s="35"/>
      <c r="B1660" s="79"/>
      <c r="C1660" s="8"/>
    </row>
    <row r="1661" spans="1:3">
      <c r="A1661" s="35"/>
      <c r="B1661" s="79"/>
      <c r="C1661" s="8"/>
    </row>
    <row r="1662" spans="1:3">
      <c r="A1662" s="35"/>
      <c r="B1662" s="79"/>
      <c r="C1662" s="8"/>
    </row>
    <row r="1663" spans="1:3">
      <c r="A1663" s="35"/>
      <c r="B1663" s="79"/>
      <c r="C1663" s="8"/>
    </row>
    <row r="1664" spans="1:3">
      <c r="A1664" s="35"/>
      <c r="B1664" s="79"/>
      <c r="C1664" s="8"/>
    </row>
    <row r="1665" spans="1:3">
      <c r="A1665" s="35"/>
      <c r="B1665" s="79"/>
      <c r="C1665" s="8"/>
    </row>
    <row r="1666" spans="1:3">
      <c r="A1666" s="35"/>
      <c r="B1666" s="79"/>
      <c r="C1666" s="8"/>
    </row>
    <row r="1667" spans="1:3">
      <c r="A1667" s="35"/>
      <c r="B1667" s="79"/>
      <c r="C1667" s="8"/>
    </row>
    <row r="1668" spans="1:3">
      <c r="A1668" s="35"/>
      <c r="B1668" s="79"/>
      <c r="C1668" s="8"/>
    </row>
    <row r="1669" spans="1:3">
      <c r="A1669" s="35"/>
      <c r="B1669" s="79"/>
      <c r="C1669" s="8"/>
    </row>
    <row r="1670" spans="1:3">
      <c r="A1670" s="35"/>
      <c r="B1670" s="79"/>
      <c r="C1670" s="8"/>
    </row>
    <row r="1671" spans="1:3">
      <c r="A1671" s="35"/>
      <c r="B1671" s="79"/>
      <c r="C1671" s="8"/>
    </row>
    <row r="1672" spans="1:3">
      <c r="A1672" s="35"/>
      <c r="B1672" s="79"/>
      <c r="C1672" s="8"/>
    </row>
    <row r="1673" spans="1:3">
      <c r="A1673" s="35"/>
      <c r="B1673" s="79"/>
      <c r="C1673" s="8"/>
    </row>
    <row r="1674" spans="1:3">
      <c r="A1674" s="35"/>
      <c r="B1674" s="79"/>
      <c r="C1674" s="8"/>
    </row>
    <row r="1675" spans="1:3">
      <c r="A1675" s="35"/>
      <c r="B1675" s="79"/>
      <c r="C1675" s="8"/>
    </row>
    <row r="1676" spans="1:3">
      <c r="A1676" s="35"/>
      <c r="B1676" s="79"/>
      <c r="C1676" s="8"/>
    </row>
    <row r="1677" spans="1:3">
      <c r="A1677" s="35"/>
      <c r="B1677" s="79"/>
      <c r="C1677" s="8"/>
    </row>
    <row r="1678" spans="1:3">
      <c r="A1678" s="35"/>
      <c r="B1678" s="79"/>
      <c r="C1678" s="8"/>
    </row>
    <row r="1679" spans="1:3">
      <c r="A1679" s="35"/>
      <c r="B1679" s="79"/>
      <c r="C1679" s="8"/>
    </row>
    <row r="1680" spans="1:3">
      <c r="A1680" s="35"/>
      <c r="B1680" s="79"/>
      <c r="C1680" s="8"/>
    </row>
    <row r="1681" spans="1:3">
      <c r="A1681" s="35"/>
      <c r="B1681" s="79"/>
      <c r="C1681" s="8"/>
    </row>
    <row r="1682" spans="1:3">
      <c r="A1682" s="35"/>
      <c r="B1682" s="79"/>
      <c r="C1682" s="8"/>
    </row>
    <row r="1683" spans="1:3">
      <c r="A1683" s="35"/>
      <c r="B1683" s="79"/>
      <c r="C1683" s="8"/>
    </row>
    <row r="1684" spans="1:3">
      <c r="A1684" s="35"/>
      <c r="B1684" s="79"/>
      <c r="C1684" s="8"/>
    </row>
    <row r="1685" spans="1:3">
      <c r="A1685" s="35"/>
      <c r="B1685" s="79"/>
      <c r="C1685" s="8"/>
    </row>
    <row r="1686" spans="1:3">
      <c r="A1686" s="35"/>
      <c r="B1686" s="79"/>
      <c r="C1686" s="8"/>
    </row>
    <row r="1687" spans="1:3">
      <c r="A1687" s="35"/>
      <c r="B1687" s="79"/>
      <c r="C1687" s="8"/>
    </row>
    <row r="1688" spans="1:3">
      <c r="A1688" s="35"/>
      <c r="B1688" s="79"/>
      <c r="C1688" s="8"/>
    </row>
    <row r="1689" spans="1:3">
      <c r="A1689" s="35"/>
      <c r="B1689" s="79"/>
      <c r="C1689" s="8"/>
    </row>
    <row r="1690" spans="1:3">
      <c r="A1690" s="35"/>
      <c r="B1690" s="79"/>
      <c r="C1690" s="8"/>
    </row>
    <row r="1691" spans="1:3">
      <c r="A1691" s="35"/>
      <c r="B1691" s="79"/>
      <c r="C1691" s="8"/>
    </row>
    <row r="1692" spans="1:3">
      <c r="A1692" s="35"/>
      <c r="B1692" s="79"/>
      <c r="C1692" s="8"/>
    </row>
    <row r="1693" spans="1:3">
      <c r="A1693" s="35"/>
      <c r="B1693" s="79"/>
      <c r="C1693" s="8"/>
    </row>
    <row r="1694" spans="1:3">
      <c r="A1694" s="35"/>
      <c r="B1694" s="79"/>
      <c r="C1694" s="8"/>
    </row>
    <row r="1695" spans="1:3">
      <c r="A1695" s="35"/>
      <c r="B1695" s="79"/>
      <c r="C1695" s="8"/>
    </row>
    <row r="1696" spans="1:3">
      <c r="A1696" s="35"/>
      <c r="B1696" s="79"/>
      <c r="C1696" s="8"/>
    </row>
    <row r="1697" spans="1:3">
      <c r="A1697" s="35"/>
      <c r="B1697" s="79"/>
      <c r="C1697" s="8"/>
    </row>
    <row r="1698" spans="1:3">
      <c r="A1698" s="35"/>
      <c r="B1698" s="79"/>
      <c r="C1698" s="8"/>
    </row>
    <row r="1699" spans="1:3">
      <c r="A1699" s="35"/>
      <c r="B1699" s="79"/>
      <c r="C1699" s="8"/>
    </row>
    <row r="1700" spans="1:3">
      <c r="A1700" s="35"/>
      <c r="B1700" s="79"/>
      <c r="C1700" s="8"/>
    </row>
    <row r="1701" spans="1:3">
      <c r="A1701" s="35"/>
      <c r="B1701" s="79"/>
      <c r="C1701" s="8"/>
    </row>
    <row r="1702" spans="1:3">
      <c r="A1702" s="35"/>
      <c r="B1702" s="79"/>
      <c r="C1702" s="8"/>
    </row>
    <row r="1703" spans="1:3">
      <c r="A1703" s="35"/>
      <c r="B1703" s="79"/>
      <c r="C1703" s="8"/>
    </row>
    <row r="1704" spans="1:3">
      <c r="A1704" s="35"/>
      <c r="B1704" s="79"/>
      <c r="C1704" s="8"/>
    </row>
    <row r="1705" spans="1:3">
      <c r="A1705" s="35"/>
      <c r="B1705" s="79"/>
      <c r="C1705" s="8"/>
    </row>
    <row r="1706" spans="1:3">
      <c r="A1706" s="35"/>
      <c r="B1706" s="79"/>
      <c r="C1706" s="8"/>
    </row>
    <row r="1707" spans="1:3">
      <c r="A1707" s="35"/>
      <c r="B1707" s="79"/>
      <c r="C1707" s="8"/>
    </row>
    <row r="1708" spans="1:3">
      <c r="A1708" s="35"/>
      <c r="B1708" s="79"/>
      <c r="C1708" s="8"/>
    </row>
    <row r="1709" spans="1:3">
      <c r="A1709" s="35"/>
      <c r="B1709" s="79"/>
      <c r="C1709" s="8"/>
    </row>
    <row r="1710" spans="1:3">
      <c r="A1710" s="35"/>
      <c r="B1710" s="79"/>
      <c r="C1710" s="8"/>
    </row>
    <row r="1711" spans="1:3">
      <c r="A1711" s="35"/>
      <c r="B1711" s="79"/>
      <c r="C1711" s="8"/>
    </row>
    <row r="1712" spans="1:3">
      <c r="A1712" s="35"/>
      <c r="B1712" s="79"/>
      <c r="C1712" s="8"/>
    </row>
    <row r="1713" spans="1:3">
      <c r="A1713" s="35"/>
      <c r="B1713" s="79"/>
      <c r="C1713" s="8"/>
    </row>
    <row r="1714" spans="1:3">
      <c r="A1714" s="35"/>
      <c r="B1714" s="79"/>
      <c r="C1714" s="8"/>
    </row>
    <row r="1715" spans="1:3">
      <c r="A1715" s="35"/>
      <c r="B1715" s="79"/>
      <c r="C1715" s="8"/>
    </row>
    <row r="1716" spans="1:3">
      <c r="A1716" s="35"/>
      <c r="B1716" s="79"/>
      <c r="C1716" s="8"/>
    </row>
    <row r="1717" spans="1:3">
      <c r="A1717" s="35"/>
      <c r="B1717" s="79"/>
      <c r="C1717" s="8"/>
    </row>
    <row r="1718" spans="1:3">
      <c r="A1718" s="35"/>
      <c r="B1718" s="79"/>
      <c r="C1718" s="8"/>
    </row>
    <row r="1719" spans="1:3">
      <c r="A1719" s="35"/>
      <c r="B1719" s="79"/>
      <c r="C1719" s="8"/>
    </row>
    <row r="1720" spans="1:3">
      <c r="A1720" s="35"/>
      <c r="B1720" s="79"/>
      <c r="C1720" s="8"/>
    </row>
    <row r="1721" spans="1:3">
      <c r="A1721" s="35"/>
      <c r="B1721" s="79"/>
      <c r="C1721" s="8"/>
    </row>
    <row r="1722" spans="1:3">
      <c r="A1722" s="35"/>
      <c r="B1722" s="79"/>
      <c r="C1722" s="8"/>
    </row>
    <row r="1723" spans="1:3">
      <c r="A1723" s="35"/>
      <c r="B1723" s="79"/>
      <c r="C1723" s="8"/>
    </row>
    <row r="1724" spans="1:3">
      <c r="A1724" s="35"/>
      <c r="B1724" s="79"/>
      <c r="C1724" s="8"/>
    </row>
    <row r="1725" spans="1:3">
      <c r="A1725" s="35"/>
      <c r="B1725" s="79"/>
      <c r="C1725" s="8"/>
    </row>
    <row r="1726" spans="1:3">
      <c r="A1726" s="35"/>
      <c r="B1726" s="79"/>
      <c r="C1726" s="8"/>
    </row>
    <row r="1727" spans="1:3">
      <c r="A1727" s="35"/>
      <c r="B1727" s="79"/>
      <c r="C1727" s="8"/>
    </row>
    <row r="1728" spans="1:3">
      <c r="A1728" s="35"/>
      <c r="B1728" s="79"/>
      <c r="C1728" s="8"/>
    </row>
    <row r="1729" spans="1:3">
      <c r="A1729" s="35"/>
      <c r="B1729" s="79"/>
      <c r="C1729" s="8"/>
    </row>
    <row r="1730" spans="1:3">
      <c r="A1730" s="35"/>
      <c r="B1730" s="79"/>
      <c r="C1730" s="8"/>
    </row>
    <row r="1731" spans="1:3">
      <c r="A1731" s="35"/>
      <c r="B1731" s="79"/>
      <c r="C1731" s="8"/>
    </row>
    <row r="1732" spans="1:3">
      <c r="A1732" s="35"/>
      <c r="B1732" s="79"/>
      <c r="C1732" s="8"/>
    </row>
    <row r="1733" spans="1:3">
      <c r="A1733" s="35"/>
      <c r="B1733" s="79"/>
      <c r="C1733" s="8"/>
    </row>
    <row r="1734" spans="1:3">
      <c r="A1734" s="35"/>
      <c r="B1734" s="79"/>
      <c r="C1734" s="8"/>
    </row>
    <row r="1735" spans="1:3">
      <c r="A1735" s="35"/>
      <c r="B1735" s="79"/>
      <c r="C1735" s="8"/>
    </row>
    <row r="1736" spans="1:3">
      <c r="A1736" s="35"/>
      <c r="B1736" s="79"/>
      <c r="C1736" s="8"/>
    </row>
    <row r="1737" spans="1:3">
      <c r="A1737" s="35"/>
      <c r="B1737" s="79"/>
      <c r="C1737" s="8"/>
    </row>
    <row r="1738" spans="1:3">
      <c r="A1738" s="35"/>
      <c r="B1738" s="79"/>
      <c r="C1738" s="8"/>
    </row>
    <row r="1739" spans="1:3">
      <c r="A1739" s="35"/>
      <c r="B1739" s="79"/>
      <c r="C1739" s="8"/>
    </row>
    <row r="1740" spans="1:3">
      <c r="A1740" s="35"/>
      <c r="B1740" s="79"/>
      <c r="C1740" s="8"/>
    </row>
    <row r="1741" spans="1:3">
      <c r="A1741" s="35"/>
      <c r="B1741" s="79"/>
      <c r="C1741" s="8"/>
    </row>
    <row r="1742" spans="1:3">
      <c r="A1742" s="35"/>
      <c r="B1742" s="79"/>
      <c r="C1742" s="8"/>
    </row>
    <row r="1743" spans="1:3">
      <c r="A1743" s="35"/>
      <c r="B1743" s="79"/>
      <c r="C1743" s="8"/>
    </row>
    <row r="1744" spans="1:3">
      <c r="A1744" s="35"/>
      <c r="B1744" s="79"/>
      <c r="C1744" s="8"/>
    </row>
    <row r="1745" spans="1:3">
      <c r="A1745" s="35"/>
      <c r="B1745" s="79"/>
      <c r="C1745" s="8"/>
    </row>
    <row r="1746" spans="1:3">
      <c r="A1746" s="35"/>
      <c r="B1746" s="79"/>
      <c r="C1746" s="8"/>
    </row>
    <row r="1747" spans="1:3">
      <c r="A1747" s="35"/>
      <c r="B1747" s="79"/>
      <c r="C1747" s="8"/>
    </row>
    <row r="1748" spans="1:3">
      <c r="A1748" s="35"/>
      <c r="B1748" s="79"/>
      <c r="C1748" s="8"/>
    </row>
    <row r="1749" spans="1:3">
      <c r="A1749" s="35"/>
      <c r="B1749" s="79"/>
      <c r="C1749" s="8"/>
    </row>
    <row r="1750" spans="1:3">
      <c r="A1750" s="35"/>
      <c r="B1750" s="79"/>
      <c r="C1750" s="8"/>
    </row>
    <row r="1751" spans="1:3">
      <c r="A1751" s="35"/>
      <c r="B1751" s="79"/>
      <c r="C1751" s="8"/>
    </row>
    <row r="1752" spans="1:3">
      <c r="A1752" s="35"/>
      <c r="B1752" s="79"/>
      <c r="C1752" s="8"/>
    </row>
    <row r="1753" spans="1:3">
      <c r="A1753" s="35"/>
      <c r="B1753" s="79"/>
      <c r="C1753" s="8"/>
    </row>
    <row r="1754" spans="1:3">
      <c r="A1754" s="35"/>
      <c r="B1754" s="79"/>
      <c r="C1754" s="8"/>
    </row>
    <row r="1755" spans="1:3">
      <c r="A1755" s="35"/>
      <c r="B1755" s="79"/>
      <c r="C1755" s="8"/>
    </row>
    <row r="1756" spans="1:3">
      <c r="A1756" s="35"/>
      <c r="B1756" s="79"/>
      <c r="C1756" s="8"/>
    </row>
    <row r="1757" spans="1:3">
      <c r="A1757" s="35"/>
      <c r="B1757" s="79"/>
      <c r="C1757" s="8"/>
    </row>
    <row r="1758" spans="1:3">
      <c r="A1758" s="35"/>
      <c r="B1758" s="79"/>
      <c r="C1758" s="8"/>
    </row>
    <row r="1759" spans="1:3">
      <c r="A1759" s="35"/>
      <c r="B1759" s="79"/>
      <c r="C1759" s="8"/>
    </row>
    <row r="1760" spans="1:3">
      <c r="A1760" s="35"/>
      <c r="B1760" s="79"/>
      <c r="C1760" s="8"/>
    </row>
    <row r="1761" spans="1:3">
      <c r="A1761" s="35"/>
      <c r="B1761" s="79"/>
      <c r="C1761" s="8"/>
    </row>
    <row r="1762" spans="1:3">
      <c r="A1762" s="35"/>
      <c r="B1762" s="79"/>
      <c r="C1762" s="8"/>
    </row>
    <row r="1763" spans="1:3">
      <c r="A1763" s="35"/>
      <c r="B1763" s="79"/>
      <c r="C1763" s="8"/>
    </row>
    <row r="1764" spans="1:3">
      <c r="A1764" s="35"/>
      <c r="B1764" s="79"/>
      <c r="C1764" s="8"/>
    </row>
    <row r="1765" spans="1:3">
      <c r="A1765" s="35"/>
      <c r="B1765" s="79"/>
      <c r="C1765" s="8"/>
    </row>
    <row r="1766" spans="1:3">
      <c r="A1766" s="35"/>
      <c r="B1766" s="79"/>
      <c r="C1766" s="8"/>
    </row>
    <row r="1767" spans="1:3">
      <c r="A1767" s="35"/>
      <c r="B1767" s="79"/>
      <c r="C1767" s="8"/>
    </row>
    <row r="1768" spans="1:3">
      <c r="A1768" s="35"/>
      <c r="B1768" s="79"/>
      <c r="C1768" s="8"/>
    </row>
    <row r="1769" spans="1:3">
      <c r="A1769" s="35"/>
      <c r="B1769" s="79"/>
      <c r="C1769" s="8"/>
    </row>
    <row r="1770" spans="1:3">
      <c r="A1770" s="35"/>
      <c r="B1770" s="79"/>
      <c r="C1770" s="8"/>
    </row>
    <row r="1771" spans="1:3">
      <c r="A1771" s="35"/>
      <c r="B1771" s="79"/>
      <c r="C1771" s="8"/>
    </row>
    <row r="1772" spans="1:3">
      <c r="A1772" s="35"/>
      <c r="B1772" s="79"/>
      <c r="C1772" s="8"/>
    </row>
    <row r="1773" spans="1:3">
      <c r="A1773" s="35"/>
      <c r="B1773" s="79"/>
      <c r="C1773" s="8"/>
    </row>
    <row r="1774" spans="1:3">
      <c r="A1774" s="35"/>
      <c r="B1774" s="79"/>
      <c r="C1774" s="8"/>
    </row>
    <row r="1775" spans="1:3">
      <c r="A1775" s="35"/>
      <c r="B1775" s="79"/>
      <c r="C1775" s="8"/>
    </row>
    <row r="1776" spans="1:3">
      <c r="A1776" s="35"/>
      <c r="B1776" s="79"/>
      <c r="C1776" s="8"/>
    </row>
    <row r="1777" spans="1:3">
      <c r="A1777" s="35"/>
      <c r="B1777" s="79"/>
      <c r="C1777" s="8"/>
    </row>
    <row r="1778" spans="1:3">
      <c r="A1778" s="35"/>
      <c r="B1778" s="79"/>
      <c r="C1778" s="8"/>
    </row>
    <row r="1779" spans="1:3">
      <c r="A1779" s="35"/>
      <c r="B1779" s="79"/>
      <c r="C1779" s="8"/>
    </row>
    <row r="1780" spans="1:3">
      <c r="A1780" s="35"/>
      <c r="B1780" s="79"/>
      <c r="C1780" s="8"/>
    </row>
    <row r="1781" spans="1:3">
      <c r="A1781" s="35"/>
      <c r="B1781" s="79"/>
      <c r="C1781" s="8"/>
    </row>
    <row r="1782" spans="1:3">
      <c r="A1782" s="35"/>
      <c r="B1782" s="79"/>
      <c r="C1782" s="8"/>
    </row>
    <row r="1783" spans="1:3">
      <c r="A1783" s="35"/>
      <c r="B1783" s="79"/>
      <c r="C1783" s="8"/>
    </row>
    <row r="1784" spans="1:3">
      <c r="A1784" s="35"/>
      <c r="B1784" s="79"/>
      <c r="C1784" s="8"/>
    </row>
    <row r="1785" spans="1:3">
      <c r="A1785" s="35"/>
      <c r="B1785" s="79"/>
      <c r="C1785" s="8"/>
    </row>
    <row r="1786" spans="1:3">
      <c r="A1786" s="35"/>
      <c r="B1786" s="79"/>
      <c r="C1786" s="8"/>
    </row>
    <row r="1787" spans="1:3">
      <c r="A1787" s="35"/>
      <c r="B1787" s="79"/>
      <c r="C1787" s="8"/>
    </row>
    <row r="1788" spans="1:3">
      <c r="A1788" s="35"/>
      <c r="B1788" s="79"/>
      <c r="C1788" s="8"/>
    </row>
    <row r="1789" spans="1:3">
      <c r="A1789" s="35"/>
      <c r="B1789" s="79"/>
      <c r="C1789" s="8"/>
    </row>
    <row r="1790" spans="1:3">
      <c r="A1790" s="35"/>
      <c r="B1790" s="79"/>
      <c r="C1790" s="8"/>
    </row>
    <row r="1791" spans="1:3">
      <c r="A1791" s="35"/>
      <c r="B1791" s="79"/>
      <c r="C1791" s="8"/>
    </row>
    <row r="1792" spans="1:3">
      <c r="A1792" s="35"/>
      <c r="B1792" s="79"/>
      <c r="C1792" s="8"/>
    </row>
    <row r="1793" spans="1:3">
      <c r="A1793" s="35"/>
      <c r="B1793" s="79"/>
      <c r="C1793" s="8"/>
    </row>
    <row r="1794" spans="1:3">
      <c r="A1794" s="35"/>
      <c r="B1794" s="79"/>
      <c r="C1794" s="8"/>
    </row>
    <row r="1795" spans="1:3">
      <c r="A1795" s="35"/>
      <c r="B1795" s="79"/>
      <c r="C1795" s="8"/>
    </row>
    <row r="1796" spans="1:3">
      <c r="A1796" s="35"/>
      <c r="B1796" s="79"/>
      <c r="C1796" s="8"/>
    </row>
    <row r="1797" spans="1:3">
      <c r="A1797" s="35"/>
      <c r="B1797" s="79"/>
      <c r="C1797" s="8"/>
    </row>
    <row r="1798" spans="1:3">
      <c r="A1798" s="35"/>
      <c r="B1798" s="79"/>
      <c r="C1798" s="8"/>
    </row>
    <row r="1799" spans="1:3">
      <c r="A1799" s="35"/>
      <c r="B1799" s="79"/>
      <c r="C1799" s="8"/>
    </row>
    <row r="1800" spans="1:3">
      <c r="A1800" s="35"/>
      <c r="B1800" s="79"/>
      <c r="C1800" s="8"/>
    </row>
    <row r="1801" spans="1:3">
      <c r="A1801" s="35"/>
      <c r="B1801" s="79"/>
      <c r="C1801" s="8"/>
    </row>
    <row r="1802" spans="1:3">
      <c r="A1802" s="35"/>
      <c r="B1802" s="79"/>
      <c r="C1802" s="8"/>
    </row>
    <row r="1803" spans="1:3">
      <c r="A1803" s="35"/>
      <c r="B1803" s="79"/>
      <c r="C1803" s="8"/>
    </row>
    <row r="1804" spans="1:3">
      <c r="A1804" s="35"/>
      <c r="B1804" s="79"/>
      <c r="C1804" s="8"/>
    </row>
    <row r="1805" spans="1:3">
      <c r="A1805" s="35"/>
      <c r="B1805" s="79"/>
      <c r="C1805" s="8"/>
    </row>
    <row r="1806" spans="1:3">
      <c r="A1806" s="35"/>
      <c r="B1806" s="79"/>
      <c r="C1806" s="8"/>
    </row>
    <row r="1807" spans="1:3">
      <c r="A1807" s="35"/>
      <c r="B1807" s="79"/>
      <c r="C1807" s="8"/>
    </row>
    <row r="1808" spans="1:3">
      <c r="A1808" s="35"/>
      <c r="B1808" s="79"/>
      <c r="C1808" s="8"/>
    </row>
    <row r="1809" spans="1:3">
      <c r="A1809" s="35"/>
      <c r="B1809" s="79"/>
      <c r="C1809" s="8"/>
    </row>
    <row r="1810" spans="1:3">
      <c r="A1810" s="35"/>
      <c r="B1810" s="79"/>
      <c r="C1810" s="8"/>
    </row>
    <row r="1811" spans="1:3">
      <c r="A1811" s="35"/>
      <c r="B1811" s="79"/>
      <c r="C1811" s="8"/>
    </row>
    <row r="1812" spans="1:3">
      <c r="A1812" s="35"/>
      <c r="B1812" s="79"/>
      <c r="C1812" s="8"/>
    </row>
    <row r="1813" spans="1:3">
      <c r="A1813" s="35"/>
      <c r="B1813" s="79"/>
      <c r="C1813" s="8"/>
    </row>
    <row r="1814" spans="1:3">
      <c r="A1814" s="35"/>
      <c r="B1814" s="79"/>
      <c r="C1814" s="8"/>
    </row>
    <row r="1815" spans="1:3">
      <c r="A1815" s="35"/>
      <c r="B1815" s="79"/>
      <c r="C1815" s="8"/>
    </row>
    <row r="1816" spans="1:3">
      <c r="A1816" s="35"/>
      <c r="B1816" s="79"/>
      <c r="C1816" s="8"/>
    </row>
    <row r="1817" spans="1:3">
      <c r="A1817" s="35"/>
      <c r="B1817" s="79"/>
      <c r="C1817" s="8"/>
    </row>
    <row r="1818" spans="1:3">
      <c r="A1818" s="35"/>
      <c r="B1818" s="79"/>
      <c r="C1818" s="8"/>
    </row>
    <row r="1819" spans="1:3">
      <c r="A1819" s="35"/>
      <c r="B1819" s="79"/>
      <c r="C1819" s="8"/>
    </row>
    <row r="1820" spans="1:3">
      <c r="A1820" s="35"/>
      <c r="B1820" s="79"/>
      <c r="C1820" s="8"/>
    </row>
    <row r="1821" spans="1:3">
      <c r="A1821" s="35"/>
      <c r="B1821" s="79"/>
      <c r="C1821" s="8"/>
    </row>
    <row r="1822" spans="1:3">
      <c r="A1822" s="35"/>
      <c r="B1822" s="79"/>
      <c r="C1822" s="8"/>
    </row>
    <row r="1823" spans="1:3">
      <c r="A1823" s="35"/>
      <c r="B1823" s="79"/>
      <c r="C1823" s="8"/>
    </row>
    <row r="1824" spans="1:3">
      <c r="A1824" s="35"/>
      <c r="B1824" s="79"/>
      <c r="C1824" s="8"/>
    </row>
    <row r="1825" spans="1:3">
      <c r="A1825" s="35"/>
      <c r="B1825" s="79"/>
      <c r="C1825" s="8"/>
    </row>
    <row r="1826" spans="1:3">
      <c r="A1826" s="35"/>
      <c r="B1826" s="79"/>
      <c r="C1826" s="8"/>
    </row>
    <row r="1827" spans="1:3">
      <c r="A1827" s="35"/>
      <c r="B1827" s="79"/>
      <c r="C1827" s="8"/>
    </row>
    <row r="1828" spans="1:3">
      <c r="A1828" s="35"/>
      <c r="B1828" s="79"/>
      <c r="C1828" s="8"/>
    </row>
    <row r="1829" spans="1:3">
      <c r="A1829" s="35"/>
      <c r="B1829" s="79"/>
      <c r="C1829" s="8"/>
    </row>
    <row r="1830" spans="1:3">
      <c r="A1830" s="35"/>
      <c r="B1830" s="79"/>
      <c r="C1830" s="8"/>
    </row>
    <row r="1831" spans="1:3">
      <c r="A1831" s="35"/>
      <c r="B1831" s="79"/>
      <c r="C1831" s="8"/>
    </row>
    <row r="1832" spans="1:3">
      <c r="A1832" s="35"/>
      <c r="B1832" s="79"/>
      <c r="C1832" s="8"/>
    </row>
    <row r="1833" spans="1:3">
      <c r="A1833" s="35"/>
      <c r="B1833" s="79"/>
      <c r="C1833" s="8"/>
    </row>
    <row r="1834" spans="1:3">
      <c r="A1834" s="35"/>
      <c r="B1834" s="79"/>
      <c r="C1834" s="8"/>
    </row>
    <row r="1835" spans="1:3">
      <c r="A1835" s="35"/>
      <c r="B1835" s="79"/>
      <c r="C1835" s="8"/>
    </row>
    <row r="1836" spans="1:3">
      <c r="A1836" s="35"/>
      <c r="B1836" s="79"/>
      <c r="C1836" s="8"/>
    </row>
    <row r="1837" spans="1:3">
      <c r="A1837" s="35"/>
      <c r="B1837" s="79"/>
      <c r="C1837" s="8"/>
    </row>
    <row r="1838" spans="1:3">
      <c r="A1838" s="35"/>
      <c r="B1838" s="79"/>
      <c r="C1838" s="8"/>
    </row>
    <row r="1839" spans="1:3">
      <c r="A1839" s="35"/>
      <c r="B1839" s="79"/>
      <c r="C1839" s="8"/>
    </row>
    <row r="1840" spans="1:3">
      <c r="A1840" s="35"/>
      <c r="B1840" s="79"/>
      <c r="C1840" s="8"/>
    </row>
    <row r="1841" spans="1:3">
      <c r="A1841" s="35"/>
      <c r="B1841" s="79"/>
      <c r="C1841" s="8"/>
    </row>
    <row r="1842" spans="1:3">
      <c r="A1842" s="35"/>
      <c r="B1842" s="79"/>
      <c r="C1842" s="8"/>
    </row>
    <row r="1843" spans="1:3">
      <c r="A1843" s="35"/>
      <c r="B1843" s="79"/>
      <c r="C1843" s="8"/>
    </row>
    <row r="1844" spans="1:3">
      <c r="A1844" s="35"/>
      <c r="B1844" s="79"/>
      <c r="C1844" s="8"/>
    </row>
    <row r="1845" spans="1:3">
      <c r="A1845" s="35"/>
      <c r="B1845" s="79"/>
      <c r="C1845" s="8"/>
    </row>
    <row r="1846" spans="1:3">
      <c r="A1846" s="35"/>
      <c r="B1846" s="79"/>
      <c r="C1846" s="8"/>
    </row>
    <row r="1847" spans="1:3">
      <c r="A1847" s="35"/>
      <c r="B1847" s="79"/>
      <c r="C1847" s="8"/>
    </row>
    <row r="1848" spans="1:3">
      <c r="A1848" s="35"/>
      <c r="B1848" s="79"/>
      <c r="C1848" s="8"/>
    </row>
    <row r="1849" spans="1:3">
      <c r="A1849" s="35"/>
      <c r="B1849" s="79"/>
      <c r="C1849" s="8"/>
    </row>
    <row r="1850" spans="1:3">
      <c r="A1850" s="35"/>
      <c r="B1850" s="79"/>
      <c r="C1850" s="8"/>
    </row>
    <row r="1851" spans="1:3">
      <c r="A1851" s="35"/>
      <c r="B1851" s="79"/>
      <c r="C1851" s="8"/>
    </row>
    <row r="1852" spans="1:3">
      <c r="A1852" s="35"/>
      <c r="B1852" s="79"/>
      <c r="C1852" s="8"/>
    </row>
    <row r="1853" spans="1:3">
      <c r="A1853" s="35"/>
      <c r="B1853" s="79"/>
      <c r="C1853" s="8"/>
    </row>
    <row r="1854" spans="1:3">
      <c r="A1854" s="35"/>
      <c r="B1854" s="79"/>
      <c r="C1854" s="8"/>
    </row>
    <row r="1855" spans="1:3">
      <c r="A1855" s="35"/>
      <c r="B1855" s="79"/>
      <c r="C1855" s="8"/>
    </row>
    <row r="1856" spans="1:3">
      <c r="A1856" s="35"/>
      <c r="B1856" s="79"/>
      <c r="C1856" s="8"/>
    </row>
    <row r="1857" spans="1:3">
      <c r="A1857" s="35"/>
      <c r="B1857" s="79"/>
      <c r="C1857" s="8"/>
    </row>
    <row r="1858" spans="1:3">
      <c r="A1858" s="35"/>
      <c r="B1858" s="79"/>
      <c r="C1858" s="8"/>
    </row>
    <row r="1859" spans="1:3">
      <c r="A1859" s="35"/>
      <c r="B1859" s="79"/>
      <c r="C1859" s="8"/>
    </row>
    <row r="1860" spans="1:3">
      <c r="A1860" s="35"/>
      <c r="B1860" s="79"/>
      <c r="C1860" s="8"/>
    </row>
    <row r="1861" spans="1:3">
      <c r="A1861" s="35"/>
      <c r="B1861" s="79"/>
      <c r="C1861" s="8"/>
    </row>
    <row r="1862" spans="1:3">
      <c r="A1862" s="35"/>
      <c r="B1862" s="79"/>
      <c r="C1862" s="8"/>
    </row>
    <row r="1863" spans="1:3">
      <c r="A1863" s="35"/>
      <c r="B1863" s="79"/>
      <c r="C1863" s="8"/>
    </row>
    <row r="1864" spans="1:3">
      <c r="A1864" s="35"/>
      <c r="B1864" s="79"/>
      <c r="C1864" s="8"/>
    </row>
    <row r="1865" spans="1:3">
      <c r="A1865" s="35"/>
      <c r="B1865" s="79"/>
      <c r="C1865" s="8"/>
    </row>
    <row r="1866" spans="1:3">
      <c r="A1866" s="35"/>
      <c r="B1866" s="79"/>
      <c r="C1866" s="8"/>
    </row>
    <row r="1867" spans="1:3">
      <c r="A1867" s="35"/>
      <c r="B1867" s="79"/>
      <c r="C1867" s="8"/>
    </row>
    <row r="1868" spans="1:3">
      <c r="A1868" s="35"/>
      <c r="B1868" s="79"/>
      <c r="C1868" s="8"/>
    </row>
    <row r="1869" spans="1:3">
      <c r="A1869" s="35"/>
      <c r="B1869" s="79"/>
      <c r="C1869" s="8"/>
    </row>
    <row r="1870" spans="1:3">
      <c r="A1870" s="35"/>
      <c r="B1870" s="79"/>
      <c r="C1870" s="8"/>
    </row>
    <row r="1871" spans="1:3">
      <c r="A1871" s="35"/>
      <c r="B1871" s="79"/>
      <c r="C1871" s="8"/>
    </row>
    <row r="1872" spans="1:3">
      <c r="A1872" s="35"/>
      <c r="B1872" s="79"/>
      <c r="C1872" s="8"/>
    </row>
    <row r="1873" spans="1:3">
      <c r="A1873" s="35"/>
      <c r="B1873" s="79"/>
      <c r="C1873" s="8"/>
    </row>
    <row r="1874" spans="1:3">
      <c r="A1874" s="35"/>
      <c r="B1874" s="79"/>
      <c r="C1874" s="8"/>
    </row>
    <row r="1875" spans="1:3">
      <c r="A1875" s="35"/>
      <c r="B1875" s="79"/>
      <c r="C1875" s="8"/>
    </row>
    <row r="1876" spans="1:3">
      <c r="A1876" s="35"/>
      <c r="B1876" s="79"/>
      <c r="C1876" s="8"/>
    </row>
    <row r="1877" spans="1:3">
      <c r="A1877" s="35"/>
      <c r="B1877" s="79"/>
      <c r="C1877" s="8"/>
    </row>
    <row r="1878" spans="1:3">
      <c r="A1878" s="35"/>
      <c r="B1878" s="79"/>
      <c r="C1878" s="8"/>
    </row>
    <row r="1879" spans="1:3">
      <c r="A1879" s="35"/>
      <c r="B1879" s="79"/>
      <c r="C1879" s="8"/>
    </row>
    <row r="1880" spans="1:3">
      <c r="A1880" s="35"/>
      <c r="B1880" s="79"/>
      <c r="C1880" s="8"/>
    </row>
    <row r="1881" spans="1:3">
      <c r="A1881" s="35"/>
      <c r="B1881" s="79"/>
      <c r="C1881" s="8"/>
    </row>
    <row r="1882" spans="1:3">
      <c r="A1882" s="35"/>
      <c r="B1882" s="79"/>
      <c r="C1882" s="8"/>
    </row>
    <row r="1883" spans="1:3">
      <c r="A1883" s="35"/>
      <c r="B1883" s="79"/>
      <c r="C1883" s="8"/>
    </row>
    <row r="1884" spans="1:3">
      <c r="A1884" s="35"/>
      <c r="B1884" s="79"/>
      <c r="C1884" s="8"/>
    </row>
    <row r="1885" spans="1:3">
      <c r="A1885" s="35"/>
      <c r="B1885" s="79"/>
      <c r="C1885" s="8"/>
    </row>
    <row r="1886" spans="1:3">
      <c r="A1886" s="35"/>
      <c r="B1886" s="79"/>
      <c r="C1886" s="8"/>
    </row>
    <row r="1887" spans="1:3">
      <c r="A1887" s="35"/>
      <c r="B1887" s="79"/>
      <c r="C1887" s="8"/>
    </row>
    <row r="1888" spans="1:3">
      <c r="A1888" s="35"/>
      <c r="B1888" s="79"/>
      <c r="C1888" s="8"/>
    </row>
    <row r="1889" spans="1:3">
      <c r="A1889" s="35"/>
      <c r="B1889" s="79"/>
      <c r="C1889" s="8"/>
    </row>
    <row r="1890" spans="1:3">
      <c r="A1890" s="35"/>
      <c r="B1890" s="79"/>
      <c r="C1890" s="8"/>
    </row>
    <row r="1891" spans="1:3">
      <c r="A1891" s="35"/>
      <c r="B1891" s="79"/>
      <c r="C1891" s="8"/>
    </row>
    <row r="1892" spans="1:3">
      <c r="A1892" s="35"/>
      <c r="B1892" s="79"/>
      <c r="C1892" s="8"/>
    </row>
    <row r="1893" spans="1:3">
      <c r="A1893" s="35"/>
      <c r="B1893" s="79"/>
      <c r="C1893" s="8"/>
    </row>
    <row r="1894" spans="1:3">
      <c r="A1894" s="35"/>
      <c r="B1894" s="79"/>
      <c r="C1894" s="8"/>
    </row>
    <row r="1895" spans="1:3">
      <c r="A1895" s="35"/>
      <c r="B1895" s="79"/>
      <c r="C1895" s="8"/>
    </row>
    <row r="1896" spans="1:3">
      <c r="A1896" s="35"/>
      <c r="B1896" s="79"/>
      <c r="C1896" s="8"/>
    </row>
    <row r="1897" spans="1:3">
      <c r="A1897" s="35"/>
      <c r="B1897" s="79"/>
      <c r="C1897" s="8"/>
    </row>
    <row r="1898" spans="1:3">
      <c r="A1898" s="35"/>
      <c r="B1898" s="79"/>
      <c r="C1898" s="8"/>
    </row>
    <row r="1899" spans="1:3">
      <c r="A1899" s="35"/>
      <c r="B1899" s="79"/>
      <c r="C1899" s="8"/>
    </row>
    <row r="1900" spans="1:3">
      <c r="A1900" s="35"/>
      <c r="B1900" s="79"/>
      <c r="C1900" s="8"/>
    </row>
    <row r="1901" spans="1:3">
      <c r="A1901" s="35"/>
      <c r="B1901" s="79"/>
      <c r="C1901" s="8"/>
    </row>
    <row r="1902" spans="1:3">
      <c r="A1902" s="35"/>
      <c r="B1902" s="79"/>
      <c r="C1902" s="8"/>
    </row>
    <row r="1903" spans="1:3">
      <c r="A1903" s="35"/>
      <c r="B1903" s="79"/>
      <c r="C1903" s="8"/>
    </row>
    <row r="1904" spans="1:3">
      <c r="A1904" s="35"/>
      <c r="B1904" s="79"/>
      <c r="C1904" s="8"/>
    </row>
    <row r="1905" spans="1:3">
      <c r="A1905" s="35"/>
      <c r="B1905" s="79"/>
      <c r="C1905" s="8"/>
    </row>
    <row r="1906" spans="1:3">
      <c r="A1906" s="35"/>
      <c r="B1906" s="79"/>
      <c r="C1906" s="8"/>
    </row>
    <row r="1907" spans="1:3">
      <c r="A1907" s="35"/>
      <c r="B1907" s="79"/>
      <c r="C1907" s="8"/>
    </row>
    <row r="1908" spans="1:3">
      <c r="A1908" s="35"/>
      <c r="B1908" s="79"/>
      <c r="C1908" s="8"/>
    </row>
    <row r="1909" spans="1:3">
      <c r="A1909" s="35"/>
      <c r="B1909" s="79"/>
      <c r="C1909" s="8"/>
    </row>
    <row r="1910" spans="1:3">
      <c r="A1910" s="35"/>
      <c r="B1910" s="79"/>
      <c r="C1910" s="8"/>
    </row>
    <row r="1911" spans="1:3">
      <c r="A1911" s="35"/>
      <c r="B1911" s="79"/>
      <c r="C1911" s="8"/>
    </row>
    <row r="1912" spans="1:3">
      <c r="A1912" s="35"/>
      <c r="B1912" s="79"/>
      <c r="C1912" s="8"/>
    </row>
    <row r="1913" spans="1:3">
      <c r="A1913" s="35"/>
      <c r="B1913" s="79"/>
      <c r="C1913" s="8"/>
    </row>
    <row r="1914" spans="1:3">
      <c r="A1914" s="35"/>
      <c r="B1914" s="79"/>
      <c r="C1914" s="8"/>
    </row>
    <row r="1915" spans="1:3">
      <c r="A1915" s="35"/>
      <c r="B1915" s="79"/>
      <c r="C1915" s="8"/>
    </row>
    <row r="1916" spans="1:3">
      <c r="A1916" s="35"/>
      <c r="B1916" s="79"/>
      <c r="C1916" s="8"/>
    </row>
    <row r="1917" spans="1:3">
      <c r="A1917" s="35"/>
      <c r="B1917" s="79"/>
      <c r="C1917" s="8"/>
    </row>
    <row r="1918" spans="1:3">
      <c r="A1918" s="35"/>
      <c r="B1918" s="79"/>
      <c r="C1918" s="8"/>
    </row>
    <row r="1919" spans="1:3">
      <c r="A1919" s="35"/>
      <c r="B1919" s="79"/>
      <c r="C1919" s="8"/>
    </row>
    <row r="1920" spans="1:3">
      <c r="A1920" s="35"/>
      <c r="B1920" s="79"/>
      <c r="C1920" s="8"/>
    </row>
    <row r="1921" spans="1:3">
      <c r="A1921" s="35"/>
      <c r="B1921" s="79"/>
      <c r="C1921" s="8"/>
    </row>
    <row r="1922" spans="1:3">
      <c r="A1922" s="35"/>
      <c r="B1922" s="79"/>
      <c r="C1922" s="8"/>
    </row>
    <row r="1923" spans="1:3">
      <c r="A1923" s="35"/>
      <c r="B1923" s="79"/>
      <c r="C1923" s="8"/>
    </row>
    <row r="1924" spans="1:3">
      <c r="A1924" s="35"/>
      <c r="B1924" s="79"/>
      <c r="C1924" s="8"/>
    </row>
    <row r="1925" spans="1:3">
      <c r="A1925" s="35"/>
      <c r="B1925" s="79"/>
      <c r="C1925" s="8"/>
    </row>
    <row r="1926" spans="1:3">
      <c r="A1926" s="35"/>
      <c r="B1926" s="79"/>
      <c r="C1926" s="8"/>
    </row>
    <row r="1927" spans="1:3">
      <c r="A1927" s="35"/>
      <c r="B1927" s="79"/>
      <c r="C1927" s="8"/>
    </row>
    <row r="1928" spans="1:3">
      <c r="A1928" s="35"/>
      <c r="B1928" s="79"/>
      <c r="C1928" s="8"/>
    </row>
    <row r="1929" spans="1:3">
      <c r="A1929" s="35"/>
      <c r="B1929" s="79"/>
      <c r="C1929" s="8"/>
    </row>
    <row r="1930" spans="1:3">
      <c r="A1930" s="35"/>
      <c r="B1930" s="79"/>
      <c r="C1930" s="8"/>
    </row>
    <row r="1931" spans="1:3">
      <c r="A1931" s="35"/>
      <c r="B1931" s="79"/>
      <c r="C1931" s="8"/>
    </row>
    <row r="1932" spans="1:3">
      <c r="A1932" s="35"/>
      <c r="B1932" s="79"/>
      <c r="C1932" s="8"/>
    </row>
    <row r="1933" spans="1:3">
      <c r="A1933" s="35"/>
      <c r="B1933" s="79"/>
      <c r="C1933" s="8"/>
    </row>
    <row r="1934" spans="1:3">
      <c r="A1934" s="35"/>
      <c r="B1934" s="79"/>
      <c r="C1934" s="8"/>
    </row>
    <row r="1935" spans="1:3">
      <c r="A1935" s="35"/>
      <c r="B1935" s="79"/>
      <c r="C1935" s="8"/>
    </row>
    <row r="1936" spans="1:3">
      <c r="A1936" s="35"/>
      <c r="B1936" s="79"/>
      <c r="C1936" s="8"/>
    </row>
    <row r="1937" spans="1:3">
      <c r="A1937" s="35"/>
      <c r="B1937" s="79"/>
      <c r="C1937" s="8"/>
    </row>
    <row r="1938" spans="1:3">
      <c r="A1938" s="35"/>
      <c r="B1938" s="79"/>
      <c r="C1938" s="8"/>
    </row>
    <row r="1939" spans="1:3">
      <c r="A1939" s="35"/>
      <c r="B1939" s="79"/>
      <c r="C1939" s="8"/>
    </row>
    <row r="1940" spans="1:3">
      <c r="A1940" s="35"/>
      <c r="B1940" s="79"/>
      <c r="C1940" s="8"/>
    </row>
    <row r="1941" spans="1:3">
      <c r="A1941" s="35"/>
      <c r="B1941" s="79"/>
      <c r="C1941" s="8"/>
    </row>
    <row r="1942" spans="1:3">
      <c r="A1942" s="35"/>
      <c r="B1942" s="79"/>
      <c r="C1942" s="8"/>
    </row>
    <row r="1943" spans="1:3">
      <c r="A1943" s="35"/>
      <c r="B1943" s="79"/>
      <c r="C1943" s="8"/>
    </row>
    <row r="1944" spans="1:3">
      <c r="A1944" s="35"/>
      <c r="B1944" s="79"/>
      <c r="C1944" s="8"/>
    </row>
    <row r="1945" spans="1:3">
      <c r="A1945" s="35"/>
      <c r="B1945" s="79"/>
      <c r="C1945" s="8"/>
    </row>
    <row r="1946" spans="1:3">
      <c r="A1946" s="35"/>
      <c r="B1946" s="79"/>
      <c r="C1946" s="8"/>
    </row>
    <row r="1947" spans="1:3">
      <c r="A1947" s="35"/>
      <c r="B1947" s="79"/>
      <c r="C1947" s="8"/>
    </row>
    <row r="1948" spans="1:3">
      <c r="A1948" s="35"/>
      <c r="B1948" s="79"/>
      <c r="C1948" s="8"/>
    </row>
    <row r="1949" spans="1:3">
      <c r="A1949" s="35"/>
      <c r="B1949" s="79"/>
      <c r="C1949" s="8"/>
    </row>
    <row r="1950" spans="1:3">
      <c r="A1950" s="35"/>
      <c r="B1950" s="79"/>
      <c r="C1950" s="8"/>
    </row>
    <row r="1951" spans="1:3">
      <c r="A1951" s="35"/>
      <c r="B1951" s="79"/>
      <c r="C1951" s="8"/>
    </row>
    <row r="1952" spans="1:3">
      <c r="A1952" s="35"/>
      <c r="B1952" s="79"/>
      <c r="C1952" s="8"/>
    </row>
    <row r="1953" spans="1:3">
      <c r="A1953" s="35"/>
      <c r="B1953" s="79"/>
      <c r="C1953" s="8"/>
    </row>
    <row r="1954" spans="1:3">
      <c r="A1954" s="35"/>
      <c r="B1954" s="79"/>
      <c r="C1954" s="8"/>
    </row>
    <row r="1955" spans="1:3">
      <c r="A1955" s="35"/>
      <c r="B1955" s="79"/>
      <c r="C1955" s="8"/>
    </row>
    <row r="1956" spans="1:3">
      <c r="A1956" s="35"/>
      <c r="B1956" s="79"/>
      <c r="C1956" s="8"/>
    </row>
    <row r="1957" spans="1:3">
      <c r="A1957" s="35"/>
      <c r="B1957" s="79"/>
      <c r="C1957" s="8"/>
    </row>
    <row r="1958" spans="1:3">
      <c r="A1958" s="35"/>
      <c r="B1958" s="79"/>
      <c r="C1958" s="8"/>
    </row>
    <row r="1959" spans="1:3">
      <c r="A1959" s="35"/>
      <c r="B1959" s="79"/>
      <c r="C1959" s="8"/>
    </row>
    <row r="1960" spans="1:3">
      <c r="A1960" s="35"/>
      <c r="B1960" s="79"/>
      <c r="C1960" s="8"/>
    </row>
    <row r="1961" spans="1:3">
      <c r="A1961" s="35"/>
      <c r="B1961" s="79"/>
      <c r="C1961" s="8"/>
    </row>
    <row r="1962" spans="1:3">
      <c r="A1962" s="35"/>
      <c r="B1962" s="79"/>
      <c r="C1962" s="8"/>
    </row>
    <row r="1963" spans="1:3">
      <c r="A1963" s="35"/>
      <c r="B1963" s="79"/>
      <c r="C1963" s="8"/>
    </row>
    <row r="1964" spans="1:3">
      <c r="A1964" s="35"/>
      <c r="B1964" s="79"/>
      <c r="C1964" s="8"/>
    </row>
    <row r="1965" spans="1:3">
      <c r="A1965" s="35"/>
      <c r="B1965" s="79"/>
      <c r="C1965" s="8"/>
    </row>
    <row r="1966" spans="1:3">
      <c r="A1966" s="35"/>
      <c r="B1966" s="79"/>
      <c r="C1966" s="8"/>
    </row>
    <row r="1967" spans="1:3">
      <c r="A1967" s="35"/>
      <c r="B1967" s="79"/>
      <c r="C1967" s="8"/>
    </row>
    <row r="1968" spans="1:3">
      <c r="A1968" s="35"/>
      <c r="B1968" s="79"/>
      <c r="C1968" s="8"/>
    </row>
    <row r="1969" spans="1:3">
      <c r="A1969" s="35"/>
      <c r="B1969" s="79"/>
      <c r="C1969" s="8"/>
    </row>
    <row r="1970" spans="1:3">
      <c r="A1970" s="35"/>
      <c r="B1970" s="79"/>
      <c r="C1970" s="8"/>
    </row>
    <row r="1971" spans="1:3">
      <c r="A1971" s="35"/>
      <c r="B1971" s="79"/>
      <c r="C1971" s="8"/>
    </row>
    <row r="1972" spans="1:3">
      <c r="A1972" s="35"/>
      <c r="B1972" s="79"/>
      <c r="C1972" s="8"/>
    </row>
    <row r="1973" spans="1:3">
      <c r="A1973" s="35"/>
      <c r="B1973" s="79"/>
      <c r="C1973" s="8"/>
    </row>
    <row r="1974" spans="1:3">
      <c r="A1974" s="35"/>
      <c r="B1974" s="79"/>
      <c r="C1974" s="8"/>
    </row>
    <row r="1975" spans="1:3">
      <c r="A1975" s="35"/>
      <c r="B1975" s="79"/>
      <c r="C1975" s="8"/>
    </row>
    <row r="1976" spans="1:3">
      <c r="A1976" s="35"/>
      <c r="B1976" s="79"/>
      <c r="C1976" s="8"/>
    </row>
    <row r="1977" spans="1:3">
      <c r="A1977" s="35"/>
      <c r="B1977" s="79"/>
      <c r="C1977" s="8"/>
    </row>
    <row r="1978" spans="1:3">
      <c r="A1978" s="35"/>
      <c r="B1978" s="79"/>
      <c r="C1978" s="8"/>
    </row>
    <row r="1979" spans="1:3">
      <c r="A1979" s="35"/>
      <c r="B1979" s="79"/>
      <c r="C1979" s="8"/>
    </row>
    <row r="1980" spans="1:3">
      <c r="A1980" s="35"/>
      <c r="B1980" s="79"/>
      <c r="C1980" s="8"/>
    </row>
    <row r="1981" spans="1:3">
      <c r="A1981" s="35"/>
      <c r="B1981" s="79"/>
      <c r="C1981" s="8"/>
    </row>
    <row r="1982" spans="1:3">
      <c r="A1982" s="35"/>
      <c r="B1982" s="79"/>
      <c r="C1982" s="8"/>
    </row>
    <row r="1983" spans="1:3">
      <c r="A1983" s="35"/>
      <c r="B1983" s="79"/>
      <c r="C1983" s="8"/>
    </row>
    <row r="1984" spans="1:3">
      <c r="A1984" s="35"/>
      <c r="B1984" s="79"/>
      <c r="C1984" s="8"/>
    </row>
    <row r="1985" spans="1:3">
      <c r="A1985" s="35"/>
      <c r="B1985" s="79"/>
      <c r="C1985" s="8"/>
    </row>
    <row r="1986" spans="1:3">
      <c r="A1986" s="35"/>
      <c r="B1986" s="79"/>
      <c r="C1986" s="8"/>
    </row>
    <row r="1987" spans="1:3">
      <c r="A1987" s="35"/>
      <c r="B1987" s="79"/>
      <c r="C1987" s="8"/>
    </row>
    <row r="1988" spans="1:3">
      <c r="A1988" s="35"/>
      <c r="B1988" s="79"/>
      <c r="C1988" s="8"/>
    </row>
    <row r="1989" spans="1:3">
      <c r="A1989" s="35"/>
      <c r="B1989" s="79"/>
      <c r="C1989" s="8"/>
    </row>
    <row r="1990" spans="1:3">
      <c r="A1990" s="35"/>
      <c r="B1990" s="79"/>
      <c r="C1990" s="8"/>
    </row>
    <row r="1991" spans="1:3">
      <c r="A1991" s="35"/>
      <c r="B1991" s="79"/>
      <c r="C1991" s="8"/>
    </row>
    <row r="1992" spans="1:3">
      <c r="A1992" s="35"/>
      <c r="B1992" s="79"/>
      <c r="C1992" s="8"/>
    </row>
    <row r="1993" spans="1:3">
      <c r="A1993" s="35"/>
      <c r="B1993" s="79"/>
      <c r="C1993" s="8"/>
    </row>
    <row r="1994" spans="1:3">
      <c r="A1994" s="35"/>
      <c r="B1994" s="79"/>
      <c r="C1994" s="8"/>
    </row>
    <row r="1995" spans="1:3">
      <c r="A1995" s="35"/>
      <c r="B1995" s="79"/>
      <c r="C1995" s="8"/>
    </row>
    <row r="1996" spans="1:3">
      <c r="A1996" s="35"/>
      <c r="B1996" s="79"/>
      <c r="C1996" s="8"/>
    </row>
    <row r="1997" spans="1:3">
      <c r="A1997" s="35"/>
      <c r="B1997" s="79"/>
      <c r="C1997" s="8"/>
    </row>
    <row r="1998" spans="1:3">
      <c r="A1998" s="35"/>
      <c r="B1998" s="79"/>
      <c r="C1998" s="8"/>
    </row>
    <row r="1999" spans="1:3">
      <c r="A1999" s="35"/>
      <c r="B1999" s="79"/>
      <c r="C1999" s="8"/>
    </row>
    <row r="2000" spans="1:3">
      <c r="A2000" s="35"/>
      <c r="B2000" s="79"/>
      <c r="C2000" s="8"/>
    </row>
    <row r="2001" spans="1:3">
      <c r="A2001" s="35"/>
      <c r="B2001" s="79"/>
      <c r="C2001" s="8"/>
    </row>
    <row r="2002" spans="1:3">
      <c r="A2002" s="35"/>
      <c r="B2002" s="79"/>
      <c r="C2002" s="8"/>
    </row>
    <row r="2003" spans="1:3">
      <c r="A2003" s="35"/>
      <c r="B2003" s="79"/>
      <c r="C2003" s="8"/>
    </row>
    <row r="2004" spans="1:3">
      <c r="A2004" s="35"/>
      <c r="B2004" s="79"/>
      <c r="C2004" s="8"/>
    </row>
    <row r="2005" spans="1:3">
      <c r="A2005" s="35"/>
      <c r="B2005" s="79"/>
      <c r="C2005" s="8"/>
    </row>
    <row r="2006" spans="1:3">
      <c r="A2006" s="35"/>
      <c r="B2006" s="79"/>
      <c r="C2006" s="8"/>
    </row>
    <row r="2007" spans="1:3">
      <c r="A2007" s="35"/>
      <c r="B2007" s="79"/>
      <c r="C2007" s="8"/>
    </row>
    <row r="2008" spans="1:3">
      <c r="A2008" s="35"/>
      <c r="B2008" s="79"/>
      <c r="C2008" s="8"/>
    </row>
    <row r="2009" spans="1:3">
      <c r="A2009" s="35"/>
      <c r="B2009" s="79"/>
      <c r="C2009" s="8"/>
    </row>
    <row r="2010" spans="1:3">
      <c r="A2010" s="35"/>
      <c r="B2010" s="79"/>
      <c r="C2010" s="8"/>
    </row>
    <row r="2011" spans="1:3">
      <c r="A2011" s="35"/>
      <c r="B2011" s="79"/>
      <c r="C2011" s="8"/>
    </row>
    <row r="2012" spans="1:3">
      <c r="A2012" s="35"/>
      <c r="B2012" s="79"/>
      <c r="C2012" s="8"/>
    </row>
    <row r="2013" spans="1:3">
      <c r="A2013" s="35"/>
      <c r="B2013" s="79"/>
      <c r="C2013" s="8"/>
    </row>
    <row r="2014" spans="1:3">
      <c r="A2014" s="35"/>
      <c r="B2014" s="79"/>
      <c r="C2014" s="8"/>
    </row>
    <row r="2015" spans="1:3">
      <c r="A2015" s="35"/>
      <c r="B2015" s="79"/>
      <c r="C2015" s="8"/>
    </row>
    <row r="2016" spans="1:3">
      <c r="A2016" s="35"/>
      <c r="B2016" s="79"/>
      <c r="C2016" s="8"/>
    </row>
    <row r="2017" spans="1:3">
      <c r="A2017" s="35"/>
      <c r="B2017" s="79"/>
      <c r="C2017" s="8"/>
    </row>
    <row r="2018" spans="1:3">
      <c r="A2018" s="35"/>
      <c r="B2018" s="79"/>
      <c r="C2018" s="8"/>
    </row>
    <row r="2019" spans="1:3">
      <c r="A2019" s="35"/>
      <c r="B2019" s="79"/>
      <c r="C2019" s="8"/>
    </row>
    <row r="2020" spans="1:3">
      <c r="A2020" s="35"/>
      <c r="B2020" s="79"/>
      <c r="C2020" s="8"/>
    </row>
    <row r="2021" spans="1:3">
      <c r="A2021" s="35"/>
      <c r="B2021" s="79"/>
      <c r="C2021" s="8"/>
    </row>
    <row r="2022" spans="1:3">
      <c r="A2022" s="35"/>
      <c r="B2022" s="79"/>
      <c r="C2022" s="8"/>
    </row>
    <row r="2023" spans="1:3">
      <c r="A2023" s="35"/>
      <c r="B2023" s="79"/>
      <c r="C2023" s="8"/>
    </row>
    <row r="2024" spans="1:3">
      <c r="A2024" s="35"/>
      <c r="B2024" s="79"/>
      <c r="C2024" s="8"/>
    </row>
    <row r="2025" spans="1:3">
      <c r="A2025" s="35"/>
      <c r="B2025" s="79"/>
      <c r="C2025" s="8"/>
    </row>
    <row r="2026" spans="1:3">
      <c r="A2026" s="35"/>
      <c r="B2026" s="79"/>
      <c r="C2026" s="8"/>
    </row>
    <row r="2027" spans="1:3">
      <c r="A2027" s="35"/>
      <c r="B2027" s="79"/>
      <c r="C2027" s="8"/>
    </row>
    <row r="2028" spans="1:3">
      <c r="A2028" s="35"/>
      <c r="B2028" s="79"/>
      <c r="C2028" s="8"/>
    </row>
    <row r="2029" spans="1:3">
      <c r="A2029" s="35"/>
      <c r="B2029" s="79"/>
      <c r="C2029" s="8"/>
    </row>
    <row r="2030" spans="1:3">
      <c r="A2030" s="35"/>
      <c r="B2030" s="79"/>
      <c r="C2030" s="8"/>
    </row>
    <row r="2031" spans="1:3">
      <c r="A2031" s="35"/>
      <c r="B2031" s="79"/>
      <c r="C2031" s="8"/>
    </row>
    <row r="2032" spans="1:3">
      <c r="A2032" s="35"/>
      <c r="B2032" s="79"/>
      <c r="C2032" s="8"/>
    </row>
    <row r="2033" spans="1:3">
      <c r="A2033" s="35"/>
      <c r="B2033" s="79"/>
      <c r="C2033" s="8"/>
    </row>
    <row r="2034" spans="1:3">
      <c r="A2034" s="35"/>
      <c r="B2034" s="79"/>
      <c r="C2034" s="8"/>
    </row>
    <row r="2035" spans="1:3">
      <c r="A2035" s="35"/>
      <c r="B2035" s="79"/>
      <c r="C2035" s="8"/>
    </row>
    <row r="2036" spans="1:3">
      <c r="A2036" s="35"/>
      <c r="B2036" s="79"/>
      <c r="C2036" s="8"/>
    </row>
    <row r="2037" spans="1:3">
      <c r="A2037" s="35"/>
      <c r="B2037" s="79"/>
      <c r="C2037" s="8"/>
    </row>
    <row r="2038" spans="1:3">
      <c r="A2038" s="35"/>
      <c r="B2038" s="79"/>
      <c r="C2038" s="8"/>
    </row>
    <row r="2039" spans="1:3">
      <c r="A2039" s="35"/>
      <c r="B2039" s="79"/>
      <c r="C2039" s="8"/>
    </row>
    <row r="2040" spans="1:3">
      <c r="A2040" s="35"/>
      <c r="B2040" s="79"/>
      <c r="C2040" s="8"/>
    </row>
    <row r="2041" spans="1:3">
      <c r="A2041" s="35"/>
      <c r="B2041" s="79"/>
      <c r="C2041" s="8"/>
    </row>
    <row r="2042" spans="1:3">
      <c r="A2042" s="35"/>
      <c r="B2042" s="79"/>
      <c r="C2042" s="8"/>
    </row>
    <row r="2043" spans="1:3">
      <c r="A2043" s="35"/>
      <c r="B2043" s="79"/>
      <c r="C2043" s="8"/>
    </row>
    <row r="2044" spans="1:3">
      <c r="A2044" s="35"/>
      <c r="B2044" s="79"/>
      <c r="C2044" s="8"/>
    </row>
    <row r="2045" spans="1:3">
      <c r="A2045" s="35"/>
      <c r="B2045" s="79"/>
      <c r="C2045" s="8"/>
    </row>
    <row r="2046" spans="1:3">
      <c r="A2046" s="35"/>
      <c r="B2046" s="79"/>
      <c r="C2046" s="8"/>
    </row>
    <row r="2047" spans="1:3">
      <c r="A2047" s="35"/>
      <c r="B2047" s="79"/>
      <c r="C2047" s="8"/>
    </row>
    <row r="2048" spans="1:3">
      <c r="A2048" s="35"/>
      <c r="B2048" s="79"/>
      <c r="C2048" s="8"/>
    </row>
    <row r="2049" spans="1:3">
      <c r="A2049" s="35"/>
      <c r="B2049" s="79"/>
      <c r="C2049" s="8"/>
    </row>
    <row r="2050" spans="1:3">
      <c r="A2050" s="35"/>
      <c r="B2050" s="79"/>
      <c r="C2050" s="8"/>
    </row>
    <row r="2051" spans="1:3">
      <c r="A2051" s="35"/>
      <c r="B2051" s="79"/>
      <c r="C2051" s="8"/>
    </row>
    <row r="2052" spans="1:3">
      <c r="A2052" s="35"/>
      <c r="B2052" s="79"/>
      <c r="C2052" s="8"/>
    </row>
    <row r="2053" spans="1:3">
      <c r="A2053" s="35"/>
      <c r="B2053" s="79"/>
      <c r="C2053" s="8"/>
    </row>
    <row r="2054" spans="1:3">
      <c r="A2054" s="35"/>
      <c r="B2054" s="79"/>
      <c r="C2054" s="8"/>
    </row>
    <row r="2055" spans="1:3">
      <c r="A2055" s="35"/>
      <c r="B2055" s="79"/>
      <c r="C2055" s="8"/>
    </row>
    <row r="2056" spans="1:3">
      <c r="A2056" s="35"/>
      <c r="B2056" s="79"/>
      <c r="C2056" s="8"/>
    </row>
    <row r="2057" spans="1:3">
      <c r="A2057" s="35"/>
      <c r="B2057" s="79"/>
      <c r="C2057" s="8"/>
    </row>
    <row r="2058" spans="1:3">
      <c r="A2058" s="35"/>
      <c r="B2058" s="79"/>
      <c r="C2058" s="8"/>
    </row>
    <row r="2059" spans="1:3">
      <c r="A2059" s="35"/>
      <c r="B2059" s="79"/>
      <c r="C2059" s="8"/>
    </row>
    <row r="2060" spans="1:3">
      <c r="A2060" s="35"/>
      <c r="B2060" s="79"/>
      <c r="C2060" s="8"/>
    </row>
    <row r="2061" spans="1:3">
      <c r="A2061" s="35"/>
      <c r="B2061" s="79"/>
      <c r="C2061" s="8"/>
    </row>
    <row r="2062" spans="1:3">
      <c r="A2062" s="35"/>
      <c r="B2062" s="79"/>
      <c r="C2062" s="8"/>
    </row>
    <row r="2063" spans="1:3">
      <c r="A2063" s="35"/>
      <c r="B2063" s="79"/>
      <c r="C2063" s="8"/>
    </row>
    <row r="2064" spans="1:3">
      <c r="A2064" s="35"/>
      <c r="B2064" s="79"/>
      <c r="C2064" s="8"/>
    </row>
    <row r="2065" spans="1:3">
      <c r="A2065" s="35"/>
      <c r="B2065" s="79"/>
      <c r="C2065" s="8"/>
    </row>
    <row r="2066" spans="1:3">
      <c r="A2066" s="35"/>
      <c r="B2066" s="79"/>
      <c r="C2066" s="8"/>
    </row>
    <row r="2067" spans="1:3">
      <c r="A2067" s="35"/>
      <c r="B2067" s="79"/>
      <c r="C2067" s="8"/>
    </row>
    <row r="2068" spans="1:3">
      <c r="A2068" s="35"/>
      <c r="B2068" s="79"/>
      <c r="C2068" s="8"/>
    </row>
    <row r="2069" spans="1:3">
      <c r="A2069" s="35"/>
      <c r="B2069" s="79"/>
      <c r="C2069" s="8"/>
    </row>
    <row r="2070" spans="1:3">
      <c r="A2070" s="35"/>
      <c r="B2070" s="79"/>
      <c r="C2070" s="8"/>
    </row>
    <row r="2071" spans="1:3">
      <c r="A2071" s="35"/>
      <c r="B2071" s="79"/>
      <c r="C2071" s="8"/>
    </row>
    <row r="2072" spans="1:3">
      <c r="A2072" s="35"/>
      <c r="B2072" s="79"/>
      <c r="C2072" s="8"/>
    </row>
    <row r="2073" spans="1:3">
      <c r="A2073" s="35"/>
      <c r="B2073" s="79"/>
      <c r="C2073" s="8"/>
    </row>
    <row r="2074" spans="1:3">
      <c r="A2074" s="35"/>
      <c r="B2074" s="79"/>
      <c r="C2074" s="8"/>
    </row>
    <row r="2075" spans="1:3">
      <c r="A2075" s="35"/>
      <c r="B2075" s="79"/>
      <c r="C2075" s="8"/>
    </row>
    <row r="2076" spans="1:3">
      <c r="A2076" s="35"/>
      <c r="B2076" s="79"/>
      <c r="C2076" s="8"/>
    </row>
    <row r="2077" spans="1:3">
      <c r="A2077" s="35"/>
      <c r="B2077" s="79"/>
      <c r="C2077" s="8"/>
    </row>
    <row r="2078" spans="1:3">
      <c r="A2078" s="35"/>
      <c r="B2078" s="79"/>
      <c r="C2078" s="8"/>
    </row>
    <row r="2079" spans="1:3">
      <c r="A2079" s="35"/>
      <c r="B2079" s="79"/>
      <c r="C2079" s="8"/>
    </row>
    <row r="2080" spans="1:3">
      <c r="A2080" s="35"/>
      <c r="B2080" s="79"/>
      <c r="C2080" s="8"/>
    </row>
    <row r="2081" spans="1:3">
      <c r="A2081" s="35"/>
      <c r="B2081" s="79"/>
      <c r="C2081" s="8"/>
    </row>
    <row r="2082" spans="1:3">
      <c r="A2082" s="35"/>
      <c r="B2082" s="79"/>
      <c r="C2082" s="8"/>
    </row>
    <row r="2083" spans="1:3">
      <c r="A2083" s="35"/>
      <c r="B2083" s="79"/>
      <c r="C2083" s="8"/>
    </row>
    <row r="2084" spans="1:3">
      <c r="A2084" s="35"/>
      <c r="B2084" s="79"/>
      <c r="C2084" s="8"/>
    </row>
    <row r="2085" spans="1:3">
      <c r="A2085" s="35"/>
      <c r="B2085" s="79"/>
      <c r="C2085" s="8"/>
    </row>
    <row r="2086" spans="1:3">
      <c r="A2086" s="35"/>
      <c r="B2086" s="79"/>
      <c r="C2086" s="8"/>
    </row>
    <row r="2087" spans="1:3">
      <c r="A2087" s="35"/>
      <c r="B2087" s="79"/>
      <c r="C2087" s="8"/>
    </row>
    <row r="2088" spans="1:3">
      <c r="A2088" s="35"/>
      <c r="B2088" s="79"/>
      <c r="C2088" s="8"/>
    </row>
    <row r="2089" spans="1:3">
      <c r="A2089" s="35"/>
      <c r="B2089" s="79"/>
      <c r="C2089" s="8"/>
    </row>
    <row r="2090" spans="1:3">
      <c r="A2090" s="35"/>
      <c r="B2090" s="79"/>
      <c r="C2090" s="8"/>
    </row>
    <row r="2091" spans="1:3">
      <c r="A2091" s="35"/>
      <c r="B2091" s="79"/>
      <c r="C2091" s="8"/>
    </row>
    <row r="2092" spans="1:3">
      <c r="A2092" s="35"/>
      <c r="B2092" s="79"/>
      <c r="C2092" s="8"/>
    </row>
    <row r="2093" spans="1:3">
      <c r="A2093" s="35"/>
      <c r="B2093" s="79"/>
      <c r="C2093" s="8"/>
    </row>
    <row r="2094" spans="1:3">
      <c r="A2094" s="35"/>
      <c r="B2094" s="79"/>
      <c r="C2094" s="8"/>
    </row>
    <row r="2095" spans="1:3">
      <c r="A2095" s="35"/>
      <c r="B2095" s="79"/>
      <c r="C2095" s="8"/>
    </row>
    <row r="2096" spans="1:3">
      <c r="A2096" s="35"/>
      <c r="B2096" s="79"/>
      <c r="C2096" s="8"/>
    </row>
    <row r="2097" spans="1:3">
      <c r="A2097" s="35"/>
      <c r="B2097" s="79"/>
      <c r="C2097" s="8"/>
    </row>
    <row r="2098" spans="1:3">
      <c r="A2098" s="35"/>
      <c r="B2098" s="79"/>
      <c r="C2098" s="8"/>
    </row>
    <row r="2099" spans="1:3">
      <c r="A2099" s="35"/>
      <c r="B2099" s="79"/>
      <c r="C2099" s="8"/>
    </row>
    <row r="2100" spans="1:3">
      <c r="A2100" s="35"/>
      <c r="B2100" s="79"/>
      <c r="C2100" s="8"/>
    </row>
    <row r="2101" spans="1:3">
      <c r="A2101" s="35"/>
      <c r="B2101" s="79"/>
      <c r="C2101" s="8"/>
    </row>
    <row r="2102" spans="1:3">
      <c r="A2102" s="35"/>
      <c r="B2102" s="79"/>
      <c r="C2102" s="8"/>
    </row>
    <row r="2103" spans="1:3">
      <c r="A2103" s="35"/>
      <c r="B2103" s="79"/>
      <c r="C2103" s="8"/>
    </row>
    <row r="2104" spans="1:3">
      <c r="A2104" s="35"/>
      <c r="B2104" s="79"/>
      <c r="C2104" s="8"/>
    </row>
    <row r="2105" spans="1:3">
      <c r="A2105" s="35"/>
      <c r="B2105" s="79"/>
      <c r="C2105" s="8"/>
    </row>
    <row r="2106" spans="1:3">
      <c r="A2106" s="35"/>
      <c r="B2106" s="79"/>
      <c r="C2106" s="8"/>
    </row>
    <row r="2107" spans="1:3">
      <c r="A2107" s="35"/>
      <c r="B2107" s="79"/>
      <c r="C2107" s="8"/>
    </row>
    <row r="2108" spans="1:3">
      <c r="A2108" s="35"/>
      <c r="B2108" s="79"/>
      <c r="C2108" s="8"/>
    </row>
    <row r="2109" spans="1:3">
      <c r="A2109" s="35"/>
      <c r="B2109" s="79"/>
      <c r="C2109" s="8"/>
    </row>
    <row r="2110" spans="1:3">
      <c r="A2110" s="35"/>
      <c r="B2110" s="79"/>
      <c r="C2110" s="8"/>
    </row>
    <row r="2111" spans="1:3">
      <c r="A2111" s="35"/>
      <c r="B2111" s="79"/>
      <c r="C2111" s="8"/>
    </row>
    <row r="2112" spans="1:3">
      <c r="A2112" s="35"/>
      <c r="B2112" s="79"/>
      <c r="C2112" s="8"/>
    </row>
    <row r="2113" spans="1:3">
      <c r="A2113" s="35"/>
      <c r="B2113" s="79"/>
      <c r="C2113" s="8"/>
    </row>
    <row r="2114" spans="1:3">
      <c r="A2114" s="35"/>
      <c r="B2114" s="79"/>
      <c r="C2114" s="8"/>
    </row>
    <row r="2115" spans="1:3">
      <c r="A2115" s="35"/>
      <c r="B2115" s="79"/>
      <c r="C2115" s="8"/>
    </row>
    <row r="2116" spans="1:3">
      <c r="A2116" s="35"/>
      <c r="B2116" s="79"/>
      <c r="C2116" s="8"/>
    </row>
    <row r="2117" spans="1:3">
      <c r="A2117" s="35"/>
      <c r="B2117" s="79"/>
      <c r="C2117" s="8"/>
    </row>
    <row r="2118" spans="1:3">
      <c r="A2118" s="35"/>
      <c r="B2118" s="79"/>
      <c r="C2118" s="8"/>
    </row>
    <row r="2119" spans="1:3">
      <c r="A2119" s="35"/>
      <c r="B2119" s="79"/>
      <c r="C2119" s="8"/>
    </row>
    <row r="2120" spans="1:3">
      <c r="A2120" s="35"/>
      <c r="B2120" s="79"/>
      <c r="C2120" s="8"/>
    </row>
    <row r="2121" spans="1:3">
      <c r="A2121" s="35"/>
      <c r="B2121" s="79"/>
      <c r="C2121" s="8"/>
    </row>
    <row r="2122" spans="1:3">
      <c r="A2122" s="35"/>
      <c r="B2122" s="79"/>
      <c r="C2122" s="8"/>
    </row>
    <row r="2123" spans="1:3">
      <c r="A2123" s="35"/>
      <c r="B2123" s="79"/>
      <c r="C2123" s="8"/>
    </row>
    <row r="2124" spans="1:3">
      <c r="A2124" s="35"/>
      <c r="B2124" s="79"/>
      <c r="C2124" s="8"/>
    </row>
    <row r="2125" spans="1:3">
      <c r="A2125" s="35"/>
      <c r="B2125" s="79"/>
      <c r="C2125" s="8"/>
    </row>
    <row r="2126" spans="1:3">
      <c r="A2126" s="35"/>
      <c r="B2126" s="79"/>
      <c r="C2126" s="8"/>
    </row>
    <row r="2127" spans="1:3">
      <c r="A2127" s="35"/>
      <c r="B2127" s="79"/>
      <c r="C2127" s="8"/>
    </row>
    <row r="2128" spans="1:3">
      <c r="A2128" s="35"/>
      <c r="B2128" s="79"/>
      <c r="C2128" s="8"/>
    </row>
    <row r="2129" spans="1:3">
      <c r="A2129" s="35"/>
      <c r="B2129" s="79"/>
      <c r="C2129" s="8"/>
    </row>
    <row r="2130" spans="1:3">
      <c r="A2130" s="35"/>
      <c r="B2130" s="79"/>
      <c r="C2130" s="8"/>
    </row>
    <row r="2131" spans="1:3">
      <c r="A2131" s="35"/>
      <c r="B2131" s="79"/>
      <c r="C2131" s="8"/>
    </row>
    <row r="2132" spans="1:3">
      <c r="A2132" s="35"/>
      <c r="B2132" s="79"/>
      <c r="C2132" s="8"/>
    </row>
    <row r="2133" spans="1:3">
      <c r="A2133" s="35"/>
      <c r="B2133" s="79"/>
      <c r="C2133" s="8"/>
    </row>
    <row r="2134" spans="1:3">
      <c r="A2134" s="35"/>
      <c r="B2134" s="79"/>
      <c r="C2134" s="8"/>
    </row>
    <row r="2135" spans="1:3">
      <c r="A2135" s="35"/>
      <c r="B2135" s="79"/>
      <c r="C2135" s="8"/>
    </row>
    <row r="2136" spans="1:3">
      <c r="A2136" s="35"/>
      <c r="B2136" s="79"/>
      <c r="C2136" s="8"/>
    </row>
    <row r="2137" spans="1:3">
      <c r="A2137" s="35"/>
      <c r="B2137" s="79"/>
      <c r="C2137" s="8"/>
    </row>
    <row r="2138" spans="1:3">
      <c r="A2138" s="35"/>
      <c r="B2138" s="79"/>
      <c r="C2138" s="8"/>
    </row>
    <row r="2139" spans="1:3">
      <c r="A2139" s="35"/>
      <c r="B2139" s="79"/>
      <c r="C2139" s="8"/>
    </row>
    <row r="2140" spans="1:3">
      <c r="A2140" s="35"/>
      <c r="B2140" s="79"/>
      <c r="C2140" s="8"/>
    </row>
    <row r="2141" spans="1:3">
      <c r="A2141" s="35"/>
      <c r="B2141" s="79"/>
      <c r="C2141" s="8"/>
    </row>
    <row r="2142" spans="1:3">
      <c r="A2142" s="35"/>
      <c r="B2142" s="79"/>
      <c r="C2142" s="8"/>
    </row>
    <row r="2143" spans="1:3">
      <c r="A2143" s="35"/>
      <c r="B2143" s="79"/>
      <c r="C2143" s="8"/>
    </row>
    <row r="2144" spans="1:3">
      <c r="A2144" s="35"/>
      <c r="B2144" s="79"/>
      <c r="C2144" s="8"/>
    </row>
    <row r="2145" spans="1:3">
      <c r="A2145" s="35"/>
      <c r="B2145" s="79"/>
      <c r="C2145" s="8"/>
    </row>
    <row r="2146" spans="1:3">
      <c r="A2146" s="35"/>
      <c r="B2146" s="79"/>
      <c r="C2146" s="8"/>
    </row>
    <row r="2147" spans="1:3">
      <c r="A2147" s="35"/>
      <c r="B2147" s="79"/>
      <c r="C2147" s="8"/>
    </row>
    <row r="2148" spans="1:3">
      <c r="A2148" s="35"/>
      <c r="B2148" s="79"/>
      <c r="C2148" s="8"/>
    </row>
    <row r="2149" spans="1:3">
      <c r="A2149" s="35"/>
      <c r="B2149" s="79"/>
      <c r="C2149" s="8"/>
    </row>
    <row r="2150" spans="1:3">
      <c r="A2150" s="35"/>
      <c r="B2150" s="79"/>
      <c r="C2150" s="8"/>
    </row>
    <row r="2151" spans="1:3">
      <c r="A2151" s="35"/>
      <c r="B2151" s="79"/>
      <c r="C2151" s="8"/>
    </row>
    <row r="2152" spans="1:3">
      <c r="A2152" s="35"/>
      <c r="B2152" s="79"/>
      <c r="C2152" s="8"/>
    </row>
    <row r="2153" spans="1:3">
      <c r="A2153" s="35"/>
      <c r="B2153" s="79"/>
      <c r="C2153" s="8"/>
    </row>
    <row r="2154" spans="1:3">
      <c r="A2154" s="35"/>
      <c r="B2154" s="79"/>
      <c r="C2154" s="8"/>
    </row>
    <row r="2155" spans="1:3">
      <c r="A2155" s="35"/>
      <c r="B2155" s="79"/>
      <c r="C2155" s="8"/>
    </row>
    <row r="2156" spans="1:3">
      <c r="A2156" s="35"/>
      <c r="B2156" s="79"/>
      <c r="C2156" s="8"/>
    </row>
    <row r="2157" spans="1:3">
      <c r="A2157" s="35"/>
      <c r="B2157" s="79"/>
      <c r="C2157" s="8"/>
    </row>
    <row r="2158" spans="1:3">
      <c r="A2158" s="35"/>
      <c r="B2158" s="79"/>
      <c r="C2158" s="8"/>
    </row>
    <row r="2159" spans="1:3">
      <c r="A2159" s="35"/>
      <c r="B2159" s="79"/>
      <c r="C2159" s="8"/>
    </row>
    <row r="2160" spans="1:3">
      <c r="A2160" s="35"/>
      <c r="B2160" s="79"/>
      <c r="C2160" s="8"/>
    </row>
    <row r="2161" spans="1:3">
      <c r="A2161" s="35"/>
      <c r="B2161" s="79"/>
      <c r="C2161" s="8"/>
    </row>
    <row r="2162" spans="1:3">
      <c r="A2162" s="35"/>
      <c r="B2162" s="79"/>
      <c r="C2162" s="8"/>
    </row>
    <row r="2163" spans="1:3">
      <c r="A2163" s="35"/>
      <c r="B2163" s="79"/>
      <c r="C2163" s="8"/>
    </row>
    <row r="2164" spans="1:3">
      <c r="A2164" s="35"/>
      <c r="B2164" s="79"/>
      <c r="C2164" s="8"/>
    </row>
    <row r="2165" spans="1:3">
      <c r="A2165" s="35"/>
      <c r="B2165" s="79"/>
      <c r="C2165" s="8"/>
    </row>
    <row r="2166" spans="1:3">
      <c r="A2166" s="35"/>
      <c r="B2166" s="79"/>
      <c r="C2166" s="8"/>
    </row>
    <row r="2167" spans="1:3">
      <c r="A2167" s="35"/>
      <c r="B2167" s="79"/>
      <c r="C2167" s="8"/>
    </row>
    <row r="2168" spans="1:3">
      <c r="A2168" s="35"/>
      <c r="B2168" s="79"/>
      <c r="C2168" s="8"/>
    </row>
    <row r="2169" spans="1:3">
      <c r="A2169" s="35"/>
      <c r="B2169" s="79"/>
      <c r="C2169" s="8"/>
    </row>
    <row r="2170" spans="1:3">
      <c r="A2170" s="35"/>
      <c r="B2170" s="79"/>
      <c r="C2170" s="8"/>
    </row>
    <row r="2171" spans="1:3">
      <c r="A2171" s="35"/>
      <c r="B2171" s="79"/>
      <c r="C2171" s="8"/>
    </row>
    <row r="2172" spans="1:3">
      <c r="A2172" s="35"/>
      <c r="B2172" s="79"/>
      <c r="C2172" s="8"/>
    </row>
    <row r="2173" spans="1:3">
      <c r="A2173" s="35"/>
      <c r="B2173" s="79"/>
      <c r="C2173" s="8"/>
    </row>
    <row r="2174" spans="1:3">
      <c r="A2174" s="35"/>
      <c r="B2174" s="79"/>
      <c r="C2174" s="8"/>
    </row>
    <row r="2175" spans="1:3">
      <c r="A2175" s="35"/>
      <c r="B2175" s="79"/>
      <c r="C2175" s="8"/>
    </row>
    <row r="2176" spans="1:3">
      <c r="A2176" s="35"/>
      <c r="B2176" s="79"/>
      <c r="C2176" s="8"/>
    </row>
    <row r="2177" spans="1:3">
      <c r="A2177" s="35"/>
      <c r="B2177" s="79"/>
      <c r="C2177" s="8"/>
    </row>
    <row r="2178" spans="1:3">
      <c r="A2178" s="35"/>
      <c r="B2178" s="79"/>
      <c r="C2178" s="8"/>
    </row>
    <row r="2179" spans="1:3">
      <c r="A2179" s="35"/>
      <c r="B2179" s="79"/>
      <c r="C2179" s="8"/>
    </row>
    <row r="2180" spans="1:3">
      <c r="A2180" s="35"/>
      <c r="B2180" s="79"/>
      <c r="C2180" s="8"/>
    </row>
    <row r="2181" spans="1:3">
      <c r="A2181" s="35"/>
      <c r="B2181" s="79"/>
      <c r="C2181" s="8"/>
    </row>
    <row r="2182" spans="1:3">
      <c r="A2182" s="35"/>
      <c r="B2182" s="79"/>
      <c r="C2182" s="8"/>
    </row>
    <row r="2183" spans="1:3">
      <c r="A2183" s="35"/>
      <c r="B2183" s="79"/>
      <c r="C2183" s="8"/>
    </row>
    <row r="2184" spans="1:3">
      <c r="A2184" s="35"/>
      <c r="B2184" s="79"/>
      <c r="C2184" s="8"/>
    </row>
    <row r="2185" spans="1:3">
      <c r="A2185" s="35"/>
      <c r="B2185" s="79"/>
      <c r="C2185" s="8"/>
    </row>
    <row r="2186" spans="1:3">
      <c r="A2186" s="35"/>
      <c r="B2186" s="79"/>
      <c r="C2186" s="8"/>
    </row>
    <row r="2187" spans="1:3">
      <c r="A2187" s="35"/>
      <c r="B2187" s="79"/>
      <c r="C2187" s="8"/>
    </row>
    <row r="2188" spans="1:3">
      <c r="A2188" s="35"/>
      <c r="B2188" s="79"/>
      <c r="C2188" s="8"/>
    </row>
    <row r="2189" spans="1:3">
      <c r="A2189" s="35"/>
      <c r="B2189" s="79"/>
      <c r="C2189" s="8"/>
    </row>
    <row r="2190" spans="1:3">
      <c r="A2190" s="35"/>
      <c r="B2190" s="79"/>
      <c r="C2190" s="8"/>
    </row>
    <row r="2191" spans="1:3">
      <c r="A2191" s="35"/>
      <c r="B2191" s="79"/>
      <c r="C2191" s="8"/>
    </row>
    <row r="2192" spans="1:3">
      <c r="A2192" s="35"/>
      <c r="B2192" s="79"/>
      <c r="C2192" s="8"/>
    </row>
    <row r="2193" spans="1:3">
      <c r="A2193" s="35"/>
      <c r="B2193" s="79"/>
      <c r="C2193" s="8"/>
    </row>
    <row r="2194" spans="1:3">
      <c r="A2194" s="35"/>
      <c r="B2194" s="79"/>
      <c r="C2194" s="8"/>
    </row>
    <row r="2195" spans="1:3">
      <c r="A2195" s="35"/>
      <c r="B2195" s="79"/>
      <c r="C2195" s="8"/>
    </row>
    <row r="2196" spans="1:3">
      <c r="A2196" s="35"/>
      <c r="B2196" s="79"/>
      <c r="C2196" s="8"/>
    </row>
    <row r="2197" spans="1:3">
      <c r="A2197" s="35"/>
      <c r="B2197" s="79"/>
      <c r="C2197" s="8"/>
    </row>
    <row r="2198" spans="1:3">
      <c r="A2198" s="35"/>
      <c r="B2198" s="79"/>
      <c r="C2198" s="8"/>
    </row>
    <row r="2199" spans="1:3">
      <c r="A2199" s="35"/>
      <c r="B2199" s="79"/>
      <c r="C2199" s="8"/>
    </row>
    <row r="2200" spans="1:3">
      <c r="A2200" s="35"/>
      <c r="B2200" s="79"/>
      <c r="C2200" s="8"/>
    </row>
    <row r="2201" spans="1:3">
      <c r="A2201" s="35"/>
      <c r="B2201" s="79"/>
      <c r="C2201" s="8"/>
    </row>
    <row r="2202" spans="1:3">
      <c r="A2202" s="35"/>
      <c r="B2202" s="79"/>
      <c r="C2202" s="8"/>
    </row>
    <row r="2203" spans="1:3">
      <c r="A2203" s="35"/>
      <c r="B2203" s="79"/>
      <c r="C2203" s="8"/>
    </row>
    <row r="2204" spans="1:3">
      <c r="A2204" s="35"/>
      <c r="B2204" s="79"/>
      <c r="C2204" s="8"/>
    </row>
    <row r="2205" spans="1:3">
      <c r="A2205" s="35"/>
      <c r="B2205" s="79"/>
      <c r="C2205" s="8"/>
    </row>
    <row r="2206" spans="1:3">
      <c r="A2206" s="35"/>
      <c r="B2206" s="79"/>
      <c r="C2206" s="8"/>
    </row>
    <row r="2207" spans="1:3">
      <c r="A2207" s="35"/>
      <c r="B2207" s="79"/>
      <c r="C2207" s="8"/>
    </row>
    <row r="2208" spans="1:3">
      <c r="A2208" s="35"/>
      <c r="B2208" s="79"/>
      <c r="C2208" s="8"/>
    </row>
    <row r="2209" spans="1:3">
      <c r="A2209" s="35"/>
      <c r="B2209" s="79"/>
      <c r="C2209" s="8"/>
    </row>
    <row r="2210" spans="1:3">
      <c r="A2210" s="35"/>
      <c r="B2210" s="79"/>
      <c r="C2210" s="8"/>
    </row>
    <row r="2211" spans="1:3">
      <c r="A2211" s="35"/>
      <c r="B2211" s="79"/>
      <c r="C2211" s="8"/>
    </row>
    <row r="2212" spans="1:3">
      <c r="A2212" s="35"/>
      <c r="B2212" s="79"/>
      <c r="C2212" s="8"/>
    </row>
    <row r="2213" spans="1:3">
      <c r="A2213" s="35"/>
      <c r="B2213" s="79"/>
      <c r="C2213" s="8"/>
    </row>
    <row r="2214" spans="1:3">
      <c r="A2214" s="35"/>
      <c r="B2214" s="79"/>
      <c r="C2214" s="8"/>
    </row>
    <row r="2215" spans="1:3">
      <c r="A2215" s="35"/>
      <c r="B2215" s="79"/>
      <c r="C2215" s="8"/>
    </row>
    <row r="2216" spans="1:3">
      <c r="A2216" s="35"/>
      <c r="B2216" s="79"/>
      <c r="C2216" s="8"/>
    </row>
    <row r="2217" spans="1:3">
      <c r="A2217" s="35"/>
      <c r="B2217" s="79"/>
      <c r="C2217" s="8"/>
    </row>
    <row r="2218" spans="1:3">
      <c r="A2218" s="35"/>
      <c r="B2218" s="79"/>
      <c r="C2218" s="8"/>
    </row>
    <row r="2219" spans="1:3">
      <c r="A2219" s="35"/>
      <c r="B2219" s="79"/>
      <c r="C2219" s="8"/>
    </row>
    <row r="2220" spans="1:3">
      <c r="A2220" s="35"/>
      <c r="B2220" s="79"/>
      <c r="C2220" s="8"/>
    </row>
    <row r="2221" spans="1:3">
      <c r="A2221" s="35"/>
      <c r="B2221" s="79"/>
      <c r="C2221" s="8"/>
    </row>
    <row r="2222" spans="1:3">
      <c r="A2222" s="35"/>
      <c r="B2222" s="79"/>
      <c r="C2222" s="8"/>
    </row>
    <row r="2223" spans="1:3">
      <c r="A2223" s="35"/>
      <c r="B2223" s="79"/>
      <c r="C2223" s="8"/>
    </row>
    <row r="2224" spans="1:3">
      <c r="A2224" s="35"/>
      <c r="B2224" s="79"/>
      <c r="C2224" s="8"/>
    </row>
    <row r="2225" spans="1:3">
      <c r="A2225" s="35"/>
      <c r="B2225" s="79"/>
      <c r="C2225" s="8"/>
    </row>
    <row r="2226" spans="1:3">
      <c r="A2226" s="35"/>
      <c r="B2226" s="79"/>
      <c r="C2226" s="8"/>
    </row>
    <row r="2227" spans="1:3">
      <c r="A2227" s="35"/>
      <c r="B2227" s="79"/>
      <c r="C2227" s="8"/>
    </row>
    <row r="2228" spans="1:3">
      <c r="A2228" s="35"/>
      <c r="B2228" s="79"/>
      <c r="C2228" s="8"/>
    </row>
    <row r="2229" spans="1:3">
      <c r="A2229" s="35"/>
      <c r="B2229" s="79"/>
      <c r="C2229" s="8"/>
    </row>
    <row r="2230" spans="1:3">
      <c r="A2230" s="35"/>
      <c r="B2230" s="79"/>
      <c r="C2230" s="8"/>
    </row>
    <row r="2231" spans="1:3">
      <c r="A2231" s="35"/>
      <c r="B2231" s="79"/>
      <c r="C2231" s="8"/>
    </row>
    <row r="2232" spans="1:3">
      <c r="A2232" s="35"/>
      <c r="B2232" s="79"/>
      <c r="C2232" s="8"/>
    </row>
    <row r="2233" spans="1:3">
      <c r="A2233" s="35"/>
      <c r="B2233" s="79"/>
      <c r="C2233" s="8"/>
    </row>
    <row r="2234" spans="1:3">
      <c r="A2234" s="35"/>
      <c r="B2234" s="79"/>
      <c r="C2234" s="8"/>
    </row>
    <row r="2235" spans="1:3">
      <c r="A2235" s="35"/>
      <c r="B2235" s="79"/>
      <c r="C2235" s="8"/>
    </row>
    <row r="2236" spans="1:3">
      <c r="A2236" s="35"/>
      <c r="B2236" s="79"/>
      <c r="C2236" s="8"/>
    </row>
    <row r="2237" spans="1:3">
      <c r="A2237" s="35"/>
      <c r="B2237" s="79"/>
      <c r="C2237" s="8"/>
    </row>
    <row r="2238" spans="1:3">
      <c r="A2238" s="35"/>
      <c r="B2238" s="79"/>
      <c r="C2238" s="8"/>
    </row>
    <row r="2239" spans="1:3">
      <c r="A2239" s="35"/>
      <c r="B2239" s="79"/>
      <c r="C2239" s="8"/>
    </row>
    <row r="2240" spans="1:3">
      <c r="A2240" s="35"/>
      <c r="B2240" s="79"/>
      <c r="C2240" s="8"/>
    </row>
    <row r="2241" spans="1:3">
      <c r="A2241" s="35"/>
      <c r="B2241" s="79"/>
      <c r="C2241" s="8"/>
    </row>
    <row r="2242" spans="1:3">
      <c r="A2242" s="35"/>
      <c r="B2242" s="79"/>
      <c r="C2242" s="8"/>
    </row>
    <row r="2243" spans="1:3">
      <c r="A2243" s="35"/>
      <c r="B2243" s="79"/>
      <c r="C2243" s="8"/>
    </row>
    <row r="2244" spans="1:3">
      <c r="A2244" s="35"/>
      <c r="B2244" s="79"/>
      <c r="C2244" s="8"/>
    </row>
    <row r="2245" spans="1:3">
      <c r="A2245" s="35"/>
      <c r="B2245" s="79"/>
      <c r="C2245" s="8"/>
    </row>
    <row r="2246" spans="1:3">
      <c r="A2246" s="35"/>
      <c r="B2246" s="79"/>
      <c r="C2246" s="8"/>
    </row>
    <row r="2247" spans="1:3">
      <c r="A2247" s="35"/>
      <c r="B2247" s="79"/>
      <c r="C2247" s="8"/>
    </row>
    <row r="2248" spans="1:3">
      <c r="A2248" s="35"/>
      <c r="B2248" s="79"/>
      <c r="C2248" s="8"/>
    </row>
    <row r="2249" spans="1:3">
      <c r="A2249" s="35"/>
      <c r="B2249" s="79"/>
      <c r="C2249" s="8"/>
    </row>
    <row r="2250" spans="1:3">
      <c r="A2250" s="35"/>
      <c r="B2250" s="79"/>
      <c r="C2250" s="8"/>
    </row>
    <row r="2251" spans="1:3">
      <c r="A2251" s="35"/>
      <c r="B2251" s="79"/>
      <c r="C2251" s="8"/>
    </row>
    <row r="2252" spans="1:3">
      <c r="A2252" s="35"/>
      <c r="B2252" s="79"/>
      <c r="C2252" s="8"/>
    </row>
    <row r="2253" spans="1:3">
      <c r="A2253" s="35"/>
      <c r="B2253" s="79"/>
      <c r="C2253" s="8"/>
    </row>
    <row r="2254" spans="1:3">
      <c r="A2254" s="35"/>
      <c r="B2254" s="79"/>
      <c r="C2254" s="8"/>
    </row>
    <row r="2255" spans="1:3">
      <c r="A2255" s="35"/>
      <c r="B2255" s="79"/>
      <c r="C2255" s="8"/>
    </row>
    <row r="2256" spans="1:3">
      <c r="A2256" s="35"/>
      <c r="B2256" s="79"/>
      <c r="C2256" s="8"/>
    </row>
    <row r="2257" spans="1:3">
      <c r="A2257" s="35"/>
      <c r="B2257" s="79"/>
      <c r="C2257" s="8"/>
    </row>
    <row r="2258" spans="1:3">
      <c r="A2258" s="35"/>
      <c r="B2258" s="79"/>
      <c r="C2258" s="8"/>
    </row>
    <row r="2259" spans="1:3">
      <c r="A2259" s="35"/>
      <c r="B2259" s="79"/>
      <c r="C2259" s="8"/>
    </row>
    <row r="2260" spans="1:3">
      <c r="A2260" s="35"/>
      <c r="B2260" s="79"/>
      <c r="C2260" s="8"/>
    </row>
    <row r="2261" spans="1:3">
      <c r="A2261" s="35"/>
      <c r="B2261" s="79"/>
      <c r="C2261" s="8"/>
    </row>
    <row r="2262" spans="1:3">
      <c r="A2262" s="35"/>
      <c r="B2262" s="79"/>
      <c r="C2262" s="8"/>
    </row>
    <row r="2263" spans="1:3">
      <c r="A2263" s="35"/>
      <c r="B2263" s="79"/>
      <c r="C2263" s="8"/>
    </row>
    <row r="2264" spans="1:3">
      <c r="A2264" s="35"/>
      <c r="B2264" s="79"/>
      <c r="C2264" s="8"/>
    </row>
    <row r="2265" spans="1:3">
      <c r="A2265" s="35"/>
      <c r="B2265" s="79"/>
      <c r="C2265" s="8"/>
    </row>
    <row r="2266" spans="1:3">
      <c r="A2266" s="35"/>
      <c r="B2266" s="79"/>
      <c r="C2266" s="8"/>
    </row>
    <row r="2267" spans="1:3">
      <c r="A2267" s="35"/>
      <c r="B2267" s="79"/>
      <c r="C2267" s="8"/>
    </row>
    <row r="2268" spans="1:3">
      <c r="A2268" s="35"/>
      <c r="B2268" s="79"/>
      <c r="C2268" s="8"/>
    </row>
    <row r="2269" spans="1:3">
      <c r="A2269" s="35"/>
      <c r="B2269" s="79"/>
      <c r="C2269" s="8"/>
    </row>
    <row r="2270" spans="1:3">
      <c r="A2270" s="35"/>
      <c r="B2270" s="79"/>
      <c r="C2270" s="8"/>
    </row>
    <row r="2271" spans="1:3">
      <c r="A2271" s="35"/>
      <c r="B2271" s="79"/>
      <c r="C2271" s="8"/>
    </row>
    <row r="2272" spans="1:3">
      <c r="A2272" s="35"/>
      <c r="B2272" s="79"/>
      <c r="C2272" s="8"/>
    </row>
    <row r="2273" spans="1:3">
      <c r="A2273" s="35"/>
      <c r="B2273" s="79"/>
      <c r="C2273" s="8"/>
    </row>
    <row r="2274" spans="1:3">
      <c r="A2274" s="35"/>
      <c r="B2274" s="79"/>
      <c r="C2274" s="8"/>
    </row>
    <row r="2275" spans="1:3">
      <c r="A2275" s="35"/>
      <c r="B2275" s="79"/>
      <c r="C2275" s="8"/>
    </row>
    <row r="2276" spans="1:3">
      <c r="A2276" s="35"/>
      <c r="B2276" s="79"/>
      <c r="C2276" s="8"/>
    </row>
    <row r="2277" spans="1:3">
      <c r="A2277" s="35"/>
      <c r="B2277" s="79"/>
      <c r="C2277" s="8"/>
    </row>
    <row r="2278" spans="1:3">
      <c r="A2278" s="35"/>
      <c r="B2278" s="79"/>
      <c r="C2278" s="8"/>
    </row>
    <row r="2279" spans="1:3">
      <c r="A2279" s="35"/>
      <c r="B2279" s="79"/>
      <c r="C2279" s="8"/>
    </row>
    <row r="2280" spans="1:3">
      <c r="A2280" s="35"/>
      <c r="B2280" s="79"/>
      <c r="C2280" s="8"/>
    </row>
    <row r="2281" spans="1:3">
      <c r="A2281" s="35"/>
      <c r="B2281" s="79"/>
      <c r="C2281" s="8"/>
    </row>
    <row r="2282" spans="1:3">
      <c r="A2282" s="35"/>
      <c r="B2282" s="79"/>
      <c r="C2282" s="8"/>
    </row>
    <row r="2283" spans="1:3">
      <c r="A2283" s="35"/>
      <c r="B2283" s="79"/>
      <c r="C2283" s="8"/>
    </row>
    <row r="2284" spans="1:3">
      <c r="A2284" s="35"/>
      <c r="B2284" s="79"/>
      <c r="C2284" s="8"/>
    </row>
    <row r="2285" spans="1:3">
      <c r="A2285" s="35"/>
      <c r="B2285" s="79"/>
      <c r="C2285" s="8"/>
    </row>
    <row r="2286" spans="1:3">
      <c r="A2286" s="35"/>
      <c r="B2286" s="79"/>
      <c r="C2286" s="8"/>
    </row>
    <row r="2287" spans="1:3">
      <c r="A2287" s="35"/>
      <c r="B2287" s="79"/>
      <c r="C2287" s="8"/>
    </row>
    <row r="2288" spans="1:3">
      <c r="A2288" s="35"/>
      <c r="B2288" s="79"/>
      <c r="C2288" s="8"/>
    </row>
    <row r="2289" spans="1:3">
      <c r="A2289" s="35"/>
      <c r="B2289" s="79"/>
      <c r="C2289" s="8"/>
    </row>
    <row r="2290" spans="1:3">
      <c r="A2290" s="35"/>
      <c r="B2290" s="79"/>
      <c r="C2290" s="8"/>
    </row>
    <row r="2291" spans="1:3">
      <c r="A2291" s="35"/>
      <c r="B2291" s="79"/>
      <c r="C2291" s="8"/>
    </row>
    <row r="2292" spans="1:3">
      <c r="A2292" s="35"/>
      <c r="B2292" s="79"/>
      <c r="C2292" s="8"/>
    </row>
    <row r="2293" spans="1:3">
      <c r="A2293" s="35"/>
      <c r="B2293" s="79"/>
      <c r="C2293" s="8"/>
    </row>
    <row r="2294" spans="1:3">
      <c r="A2294" s="35"/>
      <c r="B2294" s="79"/>
      <c r="C2294" s="8"/>
    </row>
    <row r="2295" spans="1:3">
      <c r="A2295" s="35"/>
      <c r="B2295" s="79"/>
      <c r="C2295" s="8"/>
    </row>
    <row r="2296" spans="1:3">
      <c r="A2296" s="35"/>
      <c r="B2296" s="79"/>
      <c r="C2296" s="8"/>
    </row>
    <row r="2297" spans="1:3">
      <c r="A2297" s="35"/>
      <c r="B2297" s="79"/>
      <c r="C2297" s="8"/>
    </row>
    <row r="2298" spans="1:3">
      <c r="A2298" s="35"/>
      <c r="B2298" s="79"/>
      <c r="C2298" s="8"/>
    </row>
    <row r="2299" spans="1:3">
      <c r="A2299" s="35"/>
      <c r="B2299" s="79"/>
      <c r="C2299" s="8"/>
    </row>
    <row r="2300" spans="1:3">
      <c r="A2300" s="35"/>
      <c r="B2300" s="79"/>
      <c r="C2300" s="8"/>
    </row>
    <row r="2301" spans="1:3">
      <c r="A2301" s="35"/>
      <c r="B2301" s="79"/>
      <c r="C2301" s="8"/>
    </row>
    <row r="2302" spans="1:3">
      <c r="A2302" s="35"/>
      <c r="B2302" s="79"/>
      <c r="C2302" s="8"/>
    </row>
    <row r="2303" spans="1:3">
      <c r="A2303" s="35"/>
      <c r="B2303" s="79"/>
      <c r="C2303" s="8"/>
    </row>
    <row r="2304" spans="1:3">
      <c r="A2304" s="35"/>
      <c r="B2304" s="79"/>
      <c r="C2304" s="8"/>
    </row>
    <row r="2305" spans="1:3">
      <c r="A2305" s="35"/>
      <c r="B2305" s="79"/>
      <c r="C2305" s="8"/>
    </row>
    <row r="2306" spans="1:3">
      <c r="A2306" s="35"/>
      <c r="B2306" s="79"/>
      <c r="C2306" s="8"/>
    </row>
    <row r="2307" spans="1:3">
      <c r="A2307" s="35"/>
      <c r="B2307" s="79"/>
      <c r="C2307" s="8"/>
    </row>
    <row r="2308" spans="1:3">
      <c r="A2308" s="35"/>
      <c r="B2308" s="79"/>
      <c r="C2308" s="8"/>
    </row>
    <row r="2309" spans="1:3">
      <c r="A2309" s="35"/>
      <c r="B2309" s="79"/>
      <c r="C2309" s="8"/>
    </row>
    <row r="2310" spans="1:3">
      <c r="A2310" s="35"/>
      <c r="B2310" s="79"/>
      <c r="C2310" s="8"/>
    </row>
    <row r="2311" spans="1:3">
      <c r="A2311" s="35"/>
      <c r="B2311" s="79"/>
      <c r="C2311" s="8"/>
    </row>
    <row r="2312" spans="1:3">
      <c r="A2312" s="35"/>
      <c r="B2312" s="79"/>
      <c r="C2312" s="8"/>
    </row>
    <row r="2313" spans="1:3">
      <c r="A2313" s="35"/>
      <c r="B2313" s="79"/>
      <c r="C2313" s="8"/>
    </row>
    <row r="2314" spans="1:3">
      <c r="A2314" s="35"/>
      <c r="B2314" s="79"/>
      <c r="C2314" s="8"/>
    </row>
    <row r="2315" spans="1:3">
      <c r="A2315" s="35"/>
      <c r="B2315" s="79"/>
      <c r="C2315" s="8"/>
    </row>
    <row r="2316" spans="1:3">
      <c r="A2316" s="35"/>
      <c r="B2316" s="79"/>
      <c r="C2316" s="8"/>
    </row>
    <row r="2317" spans="1:3">
      <c r="A2317" s="35"/>
      <c r="B2317" s="79"/>
      <c r="C2317" s="8"/>
    </row>
    <row r="2318" spans="1:3">
      <c r="A2318" s="35"/>
      <c r="B2318" s="79"/>
      <c r="C2318" s="8"/>
    </row>
    <row r="2319" spans="1:3">
      <c r="A2319" s="35"/>
      <c r="B2319" s="79"/>
      <c r="C2319" s="8"/>
    </row>
    <row r="2320" spans="1:3">
      <c r="A2320" s="35"/>
      <c r="B2320" s="79"/>
      <c r="C2320" s="8"/>
    </row>
    <row r="2321" spans="1:3">
      <c r="A2321" s="35"/>
      <c r="B2321" s="79"/>
      <c r="C2321" s="8"/>
    </row>
    <row r="2322" spans="1:3">
      <c r="A2322" s="35"/>
      <c r="B2322" s="79"/>
      <c r="C2322" s="8"/>
    </row>
    <row r="2323" spans="1:3">
      <c r="A2323" s="35"/>
      <c r="B2323" s="79"/>
      <c r="C2323" s="8"/>
    </row>
    <row r="2324" spans="1:3">
      <c r="A2324" s="35"/>
      <c r="B2324" s="79"/>
      <c r="C2324" s="8"/>
    </row>
    <row r="2325" spans="1:3">
      <c r="A2325" s="35"/>
      <c r="B2325" s="79"/>
      <c r="C2325" s="8"/>
    </row>
    <row r="2326" spans="1:3">
      <c r="A2326" s="35"/>
      <c r="B2326" s="79"/>
      <c r="C2326" s="8"/>
    </row>
    <row r="2327" spans="1:3">
      <c r="A2327" s="35"/>
      <c r="B2327" s="79"/>
      <c r="C2327" s="8"/>
    </row>
    <row r="2328" spans="1:3">
      <c r="A2328" s="35"/>
      <c r="B2328" s="79"/>
      <c r="C2328" s="8"/>
    </row>
    <row r="2329" spans="1:3">
      <c r="A2329" s="35"/>
      <c r="B2329" s="79"/>
      <c r="C2329" s="8"/>
    </row>
    <row r="2330" spans="1:3">
      <c r="A2330" s="35"/>
      <c r="B2330" s="79"/>
      <c r="C2330" s="8"/>
    </row>
    <row r="2331" spans="1:3">
      <c r="A2331" s="35"/>
      <c r="B2331" s="79"/>
      <c r="C2331" s="8"/>
    </row>
    <row r="2332" spans="1:3">
      <c r="A2332" s="35"/>
      <c r="B2332" s="79"/>
      <c r="C2332" s="8"/>
    </row>
    <row r="2333" spans="1:3">
      <c r="A2333" s="35"/>
      <c r="B2333" s="79"/>
      <c r="C2333" s="8"/>
    </row>
    <row r="2334" spans="1:3">
      <c r="A2334" s="35"/>
      <c r="B2334" s="79"/>
      <c r="C2334" s="8"/>
    </row>
    <row r="2335" spans="1:3">
      <c r="A2335" s="35"/>
      <c r="B2335" s="79"/>
      <c r="C2335" s="8"/>
    </row>
    <row r="2336" spans="1:3">
      <c r="A2336" s="35"/>
      <c r="B2336" s="79"/>
      <c r="C2336" s="8"/>
    </row>
    <row r="2337" spans="1:3">
      <c r="A2337" s="35"/>
      <c r="B2337" s="79"/>
      <c r="C2337" s="8"/>
    </row>
    <row r="2338" spans="1:3">
      <c r="A2338" s="35"/>
      <c r="B2338" s="79"/>
      <c r="C2338" s="8"/>
    </row>
    <row r="2339" spans="1:3">
      <c r="A2339" s="35"/>
      <c r="B2339" s="79"/>
      <c r="C2339" s="8"/>
    </row>
    <row r="2340" spans="1:3">
      <c r="A2340" s="35"/>
      <c r="B2340" s="79"/>
      <c r="C2340" s="8"/>
    </row>
    <row r="2341" spans="1:3">
      <c r="A2341" s="35"/>
      <c r="B2341" s="79"/>
      <c r="C2341" s="8"/>
    </row>
    <row r="2342" spans="1:3">
      <c r="A2342" s="35"/>
      <c r="B2342" s="79"/>
      <c r="C2342" s="8"/>
    </row>
    <row r="2343" spans="1:3">
      <c r="A2343" s="35"/>
      <c r="B2343" s="79"/>
      <c r="C2343" s="8"/>
    </row>
    <row r="2344" spans="1:3">
      <c r="A2344" s="35"/>
      <c r="B2344" s="79"/>
      <c r="C2344" s="8"/>
    </row>
    <row r="2345" spans="1:3">
      <c r="A2345" s="35"/>
      <c r="B2345" s="79"/>
      <c r="C2345" s="8"/>
    </row>
    <row r="2346" spans="1:3">
      <c r="A2346" s="35"/>
      <c r="B2346" s="79"/>
      <c r="C2346" s="8"/>
    </row>
    <row r="2347" spans="1:3">
      <c r="A2347" s="35"/>
      <c r="B2347" s="79"/>
      <c r="C2347" s="8"/>
    </row>
    <row r="2348" spans="1:3">
      <c r="A2348" s="35"/>
      <c r="B2348" s="79"/>
      <c r="C2348" s="8"/>
    </row>
    <row r="2349" spans="1:3">
      <c r="A2349" s="35"/>
      <c r="B2349" s="79"/>
      <c r="C2349" s="8"/>
    </row>
    <row r="2350" spans="1:3">
      <c r="A2350" s="35"/>
      <c r="B2350" s="79"/>
      <c r="C2350" s="8"/>
    </row>
    <row r="2351" spans="1:3">
      <c r="A2351" s="35"/>
      <c r="B2351" s="79"/>
      <c r="C2351" s="8"/>
    </row>
    <row r="2352" spans="1:3">
      <c r="A2352" s="35"/>
      <c r="B2352" s="79"/>
      <c r="C2352" s="8"/>
    </row>
    <row r="2353" spans="1:3">
      <c r="A2353" s="35"/>
      <c r="B2353" s="79"/>
      <c r="C2353" s="8"/>
    </row>
    <row r="2354" spans="1:3">
      <c r="A2354" s="35"/>
      <c r="B2354" s="79"/>
      <c r="C2354" s="8"/>
    </row>
    <row r="2355" spans="1:3">
      <c r="A2355" s="35"/>
      <c r="B2355" s="79"/>
      <c r="C2355" s="8"/>
    </row>
    <row r="2356" spans="1:3">
      <c r="A2356" s="35"/>
      <c r="B2356" s="79"/>
      <c r="C2356" s="8"/>
    </row>
    <row r="2357" spans="1:3">
      <c r="A2357" s="35"/>
      <c r="B2357" s="79"/>
      <c r="C2357" s="8"/>
    </row>
    <row r="2358" spans="1:3">
      <c r="A2358" s="35"/>
      <c r="B2358" s="79"/>
      <c r="C2358" s="8"/>
    </row>
    <row r="2359" spans="1:3">
      <c r="A2359" s="35"/>
      <c r="B2359" s="79"/>
      <c r="C2359" s="8"/>
    </row>
    <row r="2360" spans="1:3">
      <c r="A2360" s="35"/>
      <c r="B2360" s="79"/>
      <c r="C2360" s="8"/>
    </row>
    <row r="2361" spans="1:3">
      <c r="A2361" s="35"/>
      <c r="B2361" s="79"/>
      <c r="C2361" s="8"/>
    </row>
    <row r="2362" spans="1:3">
      <c r="A2362" s="35"/>
      <c r="B2362" s="79"/>
      <c r="C2362" s="8"/>
    </row>
    <row r="2363" spans="1:3">
      <c r="A2363" s="35"/>
      <c r="B2363" s="79"/>
      <c r="C2363" s="8"/>
    </row>
    <row r="2364" spans="1:3">
      <c r="A2364" s="35"/>
      <c r="B2364" s="79"/>
      <c r="C2364" s="8"/>
    </row>
    <row r="2365" spans="1:3">
      <c r="A2365" s="35"/>
      <c r="B2365" s="79"/>
      <c r="C2365" s="8"/>
    </row>
    <row r="2366" spans="1:3">
      <c r="A2366" s="35"/>
      <c r="B2366" s="79"/>
      <c r="C2366" s="8"/>
    </row>
    <row r="2367" spans="1:3">
      <c r="A2367" s="35"/>
      <c r="B2367" s="79"/>
      <c r="C2367" s="8"/>
    </row>
    <row r="2368" spans="1:3">
      <c r="A2368" s="35"/>
      <c r="B2368" s="79"/>
      <c r="C2368" s="8"/>
    </row>
    <row r="2369" spans="1:3">
      <c r="A2369" s="35"/>
      <c r="B2369" s="79"/>
      <c r="C2369" s="8"/>
    </row>
    <row r="2370" spans="1:3">
      <c r="A2370" s="35"/>
      <c r="B2370" s="79"/>
      <c r="C2370" s="8"/>
    </row>
    <row r="2371" spans="1:3">
      <c r="A2371" s="35"/>
      <c r="B2371" s="79"/>
      <c r="C2371" s="8"/>
    </row>
    <row r="2372" spans="1:3">
      <c r="A2372" s="35"/>
      <c r="B2372" s="79"/>
      <c r="C2372" s="8"/>
    </row>
    <row r="2373" spans="1:3">
      <c r="A2373" s="35"/>
      <c r="B2373" s="79"/>
      <c r="C2373" s="8"/>
    </row>
    <row r="2374" spans="1:3">
      <c r="A2374" s="35"/>
      <c r="B2374" s="79"/>
      <c r="C2374" s="8"/>
    </row>
    <row r="2375" spans="1:3">
      <c r="A2375" s="35"/>
      <c r="B2375" s="79"/>
      <c r="C2375" s="8"/>
    </row>
    <row r="2376" spans="1:3">
      <c r="A2376" s="35"/>
      <c r="B2376" s="79"/>
      <c r="C2376" s="8"/>
    </row>
    <row r="2377" spans="1:3">
      <c r="A2377" s="35"/>
      <c r="B2377" s="79"/>
      <c r="C2377" s="8"/>
    </row>
    <row r="2378" spans="1:3">
      <c r="A2378" s="35"/>
      <c r="B2378" s="79"/>
      <c r="C2378" s="8"/>
    </row>
    <row r="2379" spans="1:3">
      <c r="A2379" s="35"/>
      <c r="B2379" s="79"/>
      <c r="C2379" s="8"/>
    </row>
    <row r="2380" spans="1:3">
      <c r="A2380" s="35"/>
      <c r="B2380" s="79"/>
      <c r="C2380" s="8"/>
    </row>
    <row r="2381" spans="1:3">
      <c r="A2381" s="35"/>
      <c r="B2381" s="79"/>
      <c r="C2381" s="8"/>
    </row>
    <row r="2382" spans="1:3">
      <c r="A2382" s="35"/>
      <c r="B2382" s="79"/>
      <c r="C2382" s="8"/>
    </row>
    <row r="2383" spans="1:3">
      <c r="A2383" s="35"/>
      <c r="B2383" s="79"/>
      <c r="C2383" s="8"/>
    </row>
    <row r="2384" spans="1:3">
      <c r="A2384" s="35"/>
      <c r="B2384" s="79"/>
      <c r="C2384" s="8"/>
    </row>
    <row r="2385" spans="1:3">
      <c r="A2385" s="35"/>
      <c r="B2385" s="79"/>
      <c r="C2385" s="8"/>
    </row>
    <row r="2386" spans="1:3">
      <c r="A2386" s="35"/>
      <c r="B2386" s="79"/>
      <c r="C2386" s="8"/>
    </row>
    <row r="2387" spans="1:3">
      <c r="A2387" s="35"/>
      <c r="B2387" s="79"/>
      <c r="C2387" s="8"/>
    </row>
    <row r="2388" spans="1:3">
      <c r="A2388" s="35"/>
      <c r="B2388" s="79"/>
      <c r="C2388" s="8"/>
    </row>
    <row r="2389" spans="1:3">
      <c r="A2389" s="35"/>
      <c r="B2389" s="79"/>
      <c r="C2389" s="8"/>
    </row>
    <row r="2390" spans="1:3">
      <c r="A2390" s="35"/>
      <c r="B2390" s="79"/>
      <c r="C2390" s="8"/>
    </row>
    <row r="2391" spans="1:3">
      <c r="A2391" s="35"/>
      <c r="B2391" s="79"/>
      <c r="C2391" s="8"/>
    </row>
    <row r="2392" spans="1:3">
      <c r="A2392" s="35"/>
      <c r="B2392" s="79"/>
      <c r="C2392" s="8"/>
    </row>
    <row r="2393" spans="1:3">
      <c r="A2393" s="35"/>
      <c r="B2393" s="79"/>
      <c r="C2393" s="8"/>
    </row>
    <row r="2394" spans="1:3">
      <c r="A2394" s="35"/>
      <c r="B2394" s="79"/>
      <c r="C2394" s="8"/>
    </row>
    <row r="2395" spans="1:3">
      <c r="A2395" s="35"/>
      <c r="B2395" s="79"/>
      <c r="C2395" s="8"/>
    </row>
    <row r="2396" spans="1:3">
      <c r="A2396" s="35"/>
      <c r="B2396" s="79"/>
      <c r="C2396" s="8"/>
    </row>
    <row r="2397" spans="1:3">
      <c r="A2397" s="35"/>
      <c r="B2397" s="79"/>
      <c r="C2397" s="8"/>
    </row>
    <row r="2398" spans="1:3">
      <c r="A2398" s="35"/>
      <c r="B2398" s="79"/>
      <c r="C2398" s="8"/>
    </row>
    <row r="2399" spans="1:3">
      <c r="A2399" s="35"/>
      <c r="B2399" s="79"/>
      <c r="C2399" s="8"/>
    </row>
    <row r="2400" spans="1:3">
      <c r="A2400" s="35"/>
      <c r="B2400" s="79"/>
      <c r="C2400" s="8"/>
    </row>
    <row r="2401" spans="1:3">
      <c r="A2401" s="35"/>
      <c r="B2401" s="79"/>
      <c r="C2401" s="8"/>
    </row>
    <row r="2402" spans="1:3">
      <c r="A2402" s="35"/>
      <c r="B2402" s="79"/>
      <c r="C2402" s="8"/>
    </row>
    <row r="2403" spans="1:3">
      <c r="A2403" s="35"/>
      <c r="B2403" s="79"/>
      <c r="C2403" s="8"/>
    </row>
    <row r="2404" spans="1:3">
      <c r="A2404" s="35"/>
      <c r="B2404" s="79"/>
      <c r="C2404" s="8"/>
    </row>
    <row r="2405" spans="1:3">
      <c r="A2405" s="35"/>
      <c r="B2405" s="79"/>
      <c r="C2405" s="8"/>
    </row>
    <row r="2406" spans="1:3">
      <c r="A2406" s="35"/>
      <c r="B2406" s="79"/>
      <c r="C2406" s="8"/>
    </row>
    <row r="2407" spans="1:3">
      <c r="A2407" s="35"/>
      <c r="B2407" s="79"/>
      <c r="C2407" s="8"/>
    </row>
    <row r="2408" spans="1:3">
      <c r="A2408" s="35"/>
      <c r="B2408" s="79"/>
      <c r="C2408" s="8"/>
    </row>
    <row r="2409" spans="1:3">
      <c r="A2409" s="35"/>
      <c r="B2409" s="79"/>
      <c r="C2409" s="8"/>
    </row>
    <row r="2410" spans="1:3">
      <c r="A2410" s="35"/>
      <c r="B2410" s="79"/>
      <c r="C2410" s="8"/>
    </row>
    <row r="2411" spans="1:3">
      <c r="A2411" s="35"/>
      <c r="B2411" s="79"/>
      <c r="C2411" s="8"/>
    </row>
    <row r="2412" spans="1:3">
      <c r="A2412" s="35"/>
      <c r="B2412" s="79"/>
      <c r="C2412" s="8"/>
    </row>
    <row r="2413" spans="1:3">
      <c r="A2413" s="35"/>
      <c r="B2413" s="79"/>
      <c r="C2413" s="8"/>
    </row>
    <row r="2414" spans="1:3">
      <c r="A2414" s="35"/>
      <c r="B2414" s="79"/>
      <c r="C2414" s="8"/>
    </row>
    <row r="2415" spans="1:3">
      <c r="A2415" s="35"/>
      <c r="B2415" s="79"/>
      <c r="C2415" s="8"/>
    </row>
    <row r="2416" spans="1:3">
      <c r="A2416" s="35"/>
      <c r="B2416" s="79"/>
      <c r="C2416" s="8"/>
    </row>
    <row r="2417" spans="1:3">
      <c r="A2417" s="35"/>
      <c r="B2417" s="79"/>
      <c r="C2417" s="8"/>
    </row>
    <row r="2418" spans="1:3">
      <c r="A2418" s="35"/>
      <c r="B2418" s="79"/>
      <c r="C2418" s="8"/>
    </row>
    <row r="2419" spans="1:3">
      <c r="A2419" s="35"/>
      <c r="B2419" s="79"/>
      <c r="C2419" s="8"/>
    </row>
    <row r="2420" spans="1:3">
      <c r="A2420" s="35"/>
      <c r="B2420" s="79"/>
      <c r="C2420" s="8"/>
    </row>
    <row r="2421" spans="1:3">
      <c r="A2421" s="35"/>
      <c r="B2421" s="79"/>
      <c r="C2421" s="8"/>
    </row>
    <row r="2422" spans="1:3">
      <c r="A2422" s="35"/>
      <c r="B2422" s="79"/>
      <c r="C2422" s="8"/>
    </row>
    <row r="2423" spans="1:3">
      <c r="A2423" s="35"/>
      <c r="B2423" s="79"/>
      <c r="C2423" s="8"/>
    </row>
    <row r="2424" spans="1:3">
      <c r="A2424" s="35"/>
      <c r="B2424" s="79"/>
      <c r="C2424" s="8"/>
    </row>
    <row r="2425" spans="1:3">
      <c r="A2425" s="35"/>
      <c r="B2425" s="79"/>
      <c r="C2425" s="8"/>
    </row>
    <row r="2426" spans="1:3">
      <c r="A2426" s="35"/>
      <c r="B2426" s="79"/>
      <c r="C2426" s="8"/>
    </row>
    <row r="2427" spans="1:3">
      <c r="A2427" s="35"/>
      <c r="B2427" s="79"/>
      <c r="C2427" s="8"/>
    </row>
    <row r="2428" spans="1:3">
      <c r="A2428" s="35"/>
      <c r="B2428" s="79"/>
      <c r="C2428" s="8"/>
    </row>
    <row r="2429" spans="1:3">
      <c r="A2429" s="35"/>
      <c r="B2429" s="79"/>
      <c r="C2429" s="8"/>
    </row>
    <row r="2430" spans="1:3">
      <c r="A2430" s="35"/>
      <c r="B2430" s="79"/>
      <c r="C2430" s="8"/>
    </row>
    <row r="2431" spans="1:3">
      <c r="A2431" s="35"/>
      <c r="B2431" s="79"/>
      <c r="C2431" s="8"/>
    </row>
    <row r="2432" spans="1:3">
      <c r="A2432" s="35"/>
      <c r="B2432" s="79"/>
      <c r="C2432" s="8"/>
    </row>
    <row r="2433" spans="1:3">
      <c r="A2433" s="35"/>
      <c r="B2433" s="79"/>
      <c r="C2433" s="8"/>
    </row>
    <row r="2434" spans="1:3">
      <c r="A2434" s="35"/>
      <c r="B2434" s="79"/>
      <c r="C2434" s="8"/>
    </row>
    <row r="2435" spans="1:3">
      <c r="A2435" s="35"/>
      <c r="B2435" s="79"/>
      <c r="C2435" s="8"/>
    </row>
    <row r="2436" spans="1:3">
      <c r="A2436" s="35"/>
      <c r="B2436" s="79"/>
      <c r="C2436" s="8"/>
    </row>
    <row r="2437" spans="1:3">
      <c r="A2437" s="35"/>
      <c r="B2437" s="79"/>
      <c r="C2437" s="8"/>
    </row>
    <row r="2438" spans="1:3">
      <c r="A2438" s="35"/>
      <c r="B2438" s="79"/>
      <c r="C2438" s="8"/>
    </row>
    <row r="2439" spans="1:3">
      <c r="A2439" s="35"/>
      <c r="B2439" s="79"/>
      <c r="C2439" s="8"/>
    </row>
    <row r="2440" spans="1:3">
      <c r="A2440" s="35"/>
      <c r="B2440" s="79"/>
      <c r="C2440" s="8"/>
    </row>
    <row r="2441" spans="1:3">
      <c r="A2441" s="35"/>
      <c r="B2441" s="79"/>
      <c r="C2441" s="8"/>
    </row>
    <row r="2442" spans="1:3">
      <c r="A2442" s="35"/>
      <c r="B2442" s="79"/>
      <c r="C2442" s="8"/>
    </row>
    <row r="2443" spans="1:3">
      <c r="A2443" s="35"/>
      <c r="B2443" s="79"/>
      <c r="C2443" s="8"/>
    </row>
    <row r="2444" spans="1:3">
      <c r="A2444" s="35"/>
      <c r="B2444" s="79"/>
      <c r="C2444" s="8"/>
    </row>
    <row r="2445" spans="1:3">
      <c r="A2445" s="35"/>
      <c r="B2445" s="79"/>
      <c r="C2445" s="8"/>
    </row>
    <row r="2446" spans="1:3">
      <c r="A2446" s="35"/>
      <c r="B2446" s="79"/>
      <c r="C2446" s="8"/>
    </row>
    <row r="2447" spans="1:3">
      <c r="A2447" s="35"/>
      <c r="B2447" s="79"/>
      <c r="C2447" s="8"/>
    </row>
    <row r="2448" spans="1:3">
      <c r="A2448" s="35"/>
      <c r="B2448" s="79"/>
      <c r="C2448" s="8"/>
    </row>
    <row r="2449" spans="1:3">
      <c r="A2449" s="35"/>
      <c r="B2449" s="79"/>
      <c r="C2449" s="8"/>
    </row>
    <row r="2450" spans="1:3">
      <c r="A2450" s="35"/>
      <c r="B2450" s="79"/>
      <c r="C2450" s="8"/>
    </row>
    <row r="2451" spans="1:3">
      <c r="A2451" s="35"/>
      <c r="B2451" s="79"/>
      <c r="C2451" s="8"/>
    </row>
    <row r="2452" spans="1:3">
      <c r="A2452" s="35"/>
      <c r="B2452" s="79"/>
      <c r="C2452" s="8"/>
    </row>
    <row r="2453" spans="1:3">
      <c r="A2453" s="35"/>
      <c r="B2453" s="79"/>
      <c r="C2453" s="8"/>
    </row>
    <row r="2454" spans="1:3">
      <c r="A2454" s="35"/>
      <c r="B2454" s="79"/>
      <c r="C2454" s="8"/>
    </row>
    <row r="2455" spans="1:3">
      <c r="A2455" s="35"/>
      <c r="B2455" s="79"/>
      <c r="C2455" s="8"/>
    </row>
    <row r="2456" spans="1:3">
      <c r="A2456" s="35"/>
      <c r="B2456" s="79"/>
      <c r="C2456" s="8"/>
    </row>
    <row r="2457" spans="1:3">
      <c r="A2457" s="35"/>
      <c r="B2457" s="79"/>
      <c r="C2457" s="8"/>
    </row>
    <row r="2458" spans="1:3">
      <c r="A2458" s="35"/>
      <c r="B2458" s="79"/>
      <c r="C2458" s="8"/>
    </row>
    <row r="2459" spans="1:3">
      <c r="A2459" s="35"/>
      <c r="B2459" s="79"/>
      <c r="C2459" s="8"/>
    </row>
    <row r="2460" spans="1:3">
      <c r="A2460" s="35"/>
      <c r="B2460" s="79"/>
      <c r="C2460" s="8"/>
    </row>
    <row r="2461" spans="1:3">
      <c r="A2461" s="35"/>
      <c r="B2461" s="79"/>
      <c r="C2461" s="8"/>
    </row>
    <row r="2462" spans="1:3">
      <c r="A2462" s="35"/>
      <c r="B2462" s="79"/>
      <c r="C2462" s="8"/>
    </row>
    <row r="2463" spans="1:3">
      <c r="A2463" s="35"/>
      <c r="B2463" s="79"/>
      <c r="C2463" s="8"/>
    </row>
    <row r="2464" spans="1:3">
      <c r="A2464" s="35"/>
      <c r="B2464" s="79"/>
      <c r="C2464" s="8"/>
    </row>
    <row r="2465" spans="1:3">
      <c r="A2465" s="35"/>
      <c r="B2465" s="79"/>
      <c r="C2465" s="8"/>
    </row>
    <row r="2466" spans="1:3">
      <c r="A2466" s="35"/>
      <c r="B2466" s="79"/>
      <c r="C2466" s="8"/>
    </row>
    <row r="2467" spans="1:3">
      <c r="A2467" s="35"/>
      <c r="B2467" s="79"/>
      <c r="C2467" s="8"/>
    </row>
    <row r="2468" spans="1:3">
      <c r="A2468" s="35"/>
      <c r="B2468" s="79"/>
      <c r="C2468" s="8"/>
    </row>
    <row r="2469" spans="1:3">
      <c r="A2469" s="35"/>
      <c r="B2469" s="79"/>
      <c r="C2469" s="8"/>
    </row>
    <row r="2470" spans="1:3">
      <c r="A2470" s="35"/>
      <c r="B2470" s="79"/>
      <c r="C2470" s="8"/>
    </row>
    <row r="2471" spans="1:3">
      <c r="A2471" s="35"/>
      <c r="B2471" s="79"/>
      <c r="C2471" s="8"/>
    </row>
    <row r="2472" spans="1:3">
      <c r="A2472" s="35"/>
      <c r="B2472" s="79"/>
      <c r="C2472" s="8"/>
    </row>
    <row r="2473" spans="1:3">
      <c r="A2473" s="35"/>
      <c r="B2473" s="79"/>
      <c r="C2473" s="8"/>
    </row>
    <row r="2474" spans="1:3">
      <c r="A2474" s="35"/>
      <c r="B2474" s="79"/>
      <c r="C2474" s="8"/>
    </row>
    <row r="2475" spans="1:3">
      <c r="A2475" s="35"/>
      <c r="B2475" s="79"/>
      <c r="C2475" s="8"/>
    </row>
    <row r="2476" spans="1:3">
      <c r="A2476" s="35"/>
      <c r="B2476" s="79"/>
      <c r="C2476" s="8"/>
    </row>
    <row r="2477" spans="1:3">
      <c r="A2477" s="35"/>
      <c r="B2477" s="79"/>
      <c r="C2477" s="8"/>
    </row>
    <row r="2478" spans="1:3">
      <c r="A2478" s="35"/>
      <c r="B2478" s="79"/>
      <c r="C2478" s="8"/>
    </row>
    <row r="2479" spans="1:3">
      <c r="A2479" s="35"/>
      <c r="B2479" s="79"/>
      <c r="C2479" s="8"/>
    </row>
    <row r="2480" spans="1:3">
      <c r="A2480" s="35"/>
      <c r="B2480" s="79"/>
      <c r="C2480" s="8"/>
    </row>
    <row r="2481" spans="1:3">
      <c r="A2481" s="35"/>
      <c r="B2481" s="79"/>
      <c r="C2481" s="8"/>
    </row>
    <row r="2482" spans="1:3">
      <c r="A2482" s="35"/>
      <c r="B2482" s="79"/>
      <c r="C2482" s="8"/>
    </row>
    <row r="2483" spans="1:3">
      <c r="A2483" s="35"/>
      <c r="B2483" s="79"/>
      <c r="C2483" s="8"/>
    </row>
    <row r="2484" spans="1:3">
      <c r="A2484" s="35"/>
      <c r="B2484" s="79"/>
      <c r="C2484" s="8"/>
    </row>
    <row r="2485" spans="1:3">
      <c r="A2485" s="35"/>
      <c r="B2485" s="79"/>
      <c r="C2485" s="8"/>
    </row>
    <row r="2486" spans="1:3">
      <c r="A2486" s="35"/>
      <c r="B2486" s="79"/>
      <c r="C2486" s="8"/>
    </row>
    <row r="2487" spans="1:3">
      <c r="A2487" s="35"/>
      <c r="B2487" s="79"/>
      <c r="C2487" s="8"/>
    </row>
    <row r="2488" spans="1:3">
      <c r="A2488" s="35"/>
      <c r="B2488" s="79"/>
      <c r="C2488" s="8"/>
    </row>
    <row r="2489" spans="1:3">
      <c r="A2489" s="35"/>
      <c r="B2489" s="79"/>
      <c r="C2489" s="8"/>
    </row>
    <row r="2490" spans="1:3">
      <c r="A2490" s="35"/>
      <c r="B2490" s="79"/>
      <c r="C2490" s="8"/>
    </row>
    <row r="2491" spans="1:3">
      <c r="A2491" s="35"/>
      <c r="B2491" s="79"/>
      <c r="C2491" s="8"/>
    </row>
    <row r="2492" spans="1:3">
      <c r="A2492" s="35"/>
      <c r="B2492" s="79"/>
      <c r="C2492" s="8"/>
    </row>
    <row r="2493" spans="1:3">
      <c r="A2493" s="35"/>
      <c r="B2493" s="79"/>
      <c r="C2493" s="8"/>
    </row>
    <row r="2494" spans="1:3">
      <c r="A2494" s="35"/>
      <c r="B2494" s="79"/>
      <c r="C2494" s="8"/>
    </row>
    <row r="2495" spans="1:3">
      <c r="A2495" s="35"/>
      <c r="B2495" s="79"/>
      <c r="C2495" s="8"/>
    </row>
    <row r="2496" spans="1:3">
      <c r="A2496" s="35"/>
      <c r="B2496" s="79"/>
      <c r="C2496" s="8"/>
    </row>
    <row r="2497" spans="1:3">
      <c r="A2497" s="35"/>
      <c r="B2497" s="79"/>
      <c r="C2497" s="8"/>
    </row>
    <row r="2498" spans="1:3">
      <c r="A2498" s="35"/>
      <c r="B2498" s="79"/>
      <c r="C2498" s="8"/>
    </row>
    <row r="2499" spans="1:3">
      <c r="A2499" s="35"/>
      <c r="B2499" s="79"/>
      <c r="C2499" s="8"/>
    </row>
    <row r="2500" spans="1:3">
      <c r="A2500" s="35"/>
      <c r="B2500" s="79"/>
      <c r="C2500" s="8"/>
    </row>
    <row r="2501" spans="1:3">
      <c r="A2501" s="35"/>
      <c r="B2501" s="79"/>
      <c r="C2501" s="8"/>
    </row>
    <row r="2502" spans="1:3">
      <c r="A2502" s="35"/>
      <c r="B2502" s="79"/>
      <c r="C2502" s="8"/>
    </row>
    <row r="2503" spans="1:3">
      <c r="A2503" s="35"/>
      <c r="B2503" s="79"/>
      <c r="C2503" s="8"/>
    </row>
    <row r="2504" spans="1:3">
      <c r="A2504" s="35"/>
      <c r="B2504" s="79"/>
      <c r="C2504" s="8"/>
    </row>
    <row r="2505" spans="1:3">
      <c r="A2505" s="35"/>
      <c r="B2505" s="79"/>
      <c r="C2505" s="8"/>
    </row>
    <row r="2506" spans="1:3">
      <c r="A2506" s="35"/>
      <c r="B2506" s="79"/>
      <c r="C2506" s="8"/>
    </row>
    <row r="2507" spans="1:3">
      <c r="A2507" s="35"/>
      <c r="B2507" s="79"/>
      <c r="C2507" s="8"/>
    </row>
    <row r="2508" spans="1:3">
      <c r="A2508" s="35"/>
      <c r="B2508" s="79"/>
      <c r="C2508" s="8"/>
    </row>
    <row r="2509" spans="1:3">
      <c r="A2509" s="35"/>
      <c r="B2509" s="79"/>
      <c r="C2509" s="8"/>
    </row>
    <row r="2510" spans="1:3">
      <c r="A2510" s="35"/>
      <c r="B2510" s="79"/>
      <c r="C2510" s="8"/>
    </row>
    <row r="2511" spans="1:3">
      <c r="A2511" s="35"/>
      <c r="B2511" s="79"/>
      <c r="C2511" s="8"/>
    </row>
    <row r="2512" spans="1:3">
      <c r="A2512" s="35"/>
      <c r="B2512" s="79"/>
      <c r="C2512" s="8"/>
    </row>
    <row r="2513" spans="1:3">
      <c r="A2513" s="35"/>
      <c r="B2513" s="79"/>
      <c r="C2513" s="8"/>
    </row>
    <row r="2514" spans="1:3">
      <c r="A2514" s="35"/>
      <c r="B2514" s="79"/>
      <c r="C2514" s="8"/>
    </row>
    <row r="2515" spans="1:3">
      <c r="A2515" s="35"/>
      <c r="B2515" s="79"/>
      <c r="C2515" s="8"/>
    </row>
    <row r="2516" spans="1:3">
      <c r="A2516" s="35"/>
      <c r="B2516" s="79"/>
      <c r="C2516" s="8"/>
    </row>
    <row r="2517" spans="1:3">
      <c r="A2517" s="35"/>
      <c r="B2517" s="79"/>
      <c r="C2517" s="8"/>
    </row>
    <row r="2518" spans="1:3">
      <c r="A2518" s="35"/>
      <c r="B2518" s="79"/>
      <c r="C2518" s="8"/>
    </row>
    <row r="2519" spans="1:3">
      <c r="A2519" s="35"/>
      <c r="B2519" s="79"/>
      <c r="C2519" s="8"/>
    </row>
    <row r="2520" spans="1:3">
      <c r="A2520" s="35"/>
      <c r="B2520" s="79"/>
      <c r="C2520" s="8"/>
    </row>
    <row r="2521" spans="1:3">
      <c r="A2521" s="35"/>
      <c r="B2521" s="79"/>
      <c r="C2521" s="8"/>
    </row>
    <row r="2522" spans="1:3">
      <c r="A2522" s="35"/>
      <c r="B2522" s="79"/>
      <c r="C2522" s="8"/>
    </row>
    <row r="2523" spans="1:3">
      <c r="A2523" s="35"/>
      <c r="B2523" s="79"/>
      <c r="C2523" s="8"/>
    </row>
    <row r="2524" spans="1:3">
      <c r="A2524" s="35"/>
      <c r="B2524" s="79"/>
      <c r="C2524" s="8"/>
    </row>
    <row r="2525" spans="1:3">
      <c r="A2525" s="35"/>
      <c r="B2525" s="79"/>
      <c r="C2525" s="8"/>
    </row>
    <row r="2526" spans="1:3">
      <c r="A2526" s="35"/>
      <c r="B2526" s="79"/>
      <c r="C2526" s="8"/>
    </row>
    <row r="2527" spans="1:3">
      <c r="A2527" s="35"/>
      <c r="B2527" s="79"/>
      <c r="C2527" s="8"/>
    </row>
    <row r="2528" spans="1:3">
      <c r="A2528" s="35"/>
      <c r="B2528" s="79"/>
      <c r="C2528" s="8"/>
    </row>
    <row r="2529" spans="1:3">
      <c r="A2529" s="35"/>
      <c r="B2529" s="79"/>
      <c r="C2529" s="8"/>
    </row>
    <row r="2530" spans="1:3">
      <c r="A2530" s="35"/>
      <c r="B2530" s="79"/>
      <c r="C2530" s="8"/>
    </row>
    <row r="2531" spans="1:3">
      <c r="A2531" s="35"/>
      <c r="B2531" s="79"/>
      <c r="C2531" s="8"/>
    </row>
    <row r="2532" spans="1:3">
      <c r="A2532" s="35"/>
      <c r="B2532" s="79"/>
      <c r="C2532" s="8"/>
    </row>
    <row r="2533" spans="1:3">
      <c r="A2533" s="35"/>
      <c r="B2533" s="79"/>
      <c r="C2533" s="8"/>
    </row>
    <row r="2534" spans="1:3">
      <c r="A2534" s="35"/>
      <c r="B2534" s="79"/>
      <c r="C2534" s="8"/>
    </row>
    <row r="2535" spans="1:3">
      <c r="A2535" s="35"/>
      <c r="B2535" s="79"/>
      <c r="C2535" s="8"/>
    </row>
    <row r="2536" spans="1:3">
      <c r="A2536" s="35"/>
      <c r="B2536" s="79"/>
      <c r="C2536" s="8"/>
    </row>
    <row r="2537" spans="1:3">
      <c r="A2537" s="35"/>
      <c r="B2537" s="79"/>
      <c r="C2537" s="8"/>
    </row>
    <row r="2538" spans="1:3">
      <c r="A2538" s="35"/>
      <c r="B2538" s="79"/>
      <c r="C2538" s="8"/>
    </row>
    <row r="2539" spans="1:3">
      <c r="A2539" s="35"/>
      <c r="B2539" s="79"/>
      <c r="C2539" s="8"/>
    </row>
    <row r="2540" spans="1:3">
      <c r="A2540" s="35"/>
      <c r="B2540" s="79"/>
      <c r="C2540" s="8"/>
    </row>
    <row r="2541" spans="1:3">
      <c r="A2541" s="35"/>
      <c r="B2541" s="79"/>
      <c r="C2541" s="8"/>
    </row>
    <row r="2542" spans="1:3">
      <c r="A2542" s="35"/>
      <c r="B2542" s="79"/>
      <c r="C2542" s="8"/>
    </row>
    <row r="2543" spans="1:3">
      <c r="A2543" s="35"/>
      <c r="B2543" s="79"/>
      <c r="C2543" s="8"/>
    </row>
    <row r="2544" spans="1:3">
      <c r="A2544" s="35"/>
      <c r="B2544" s="79"/>
      <c r="C2544" s="8"/>
    </row>
    <row r="2545" spans="1:3">
      <c r="A2545" s="35"/>
      <c r="B2545" s="79"/>
      <c r="C2545" s="8"/>
    </row>
    <row r="2546" spans="1:3">
      <c r="A2546" s="35"/>
      <c r="B2546" s="79"/>
      <c r="C2546" s="8"/>
    </row>
    <row r="2547" spans="1:3">
      <c r="A2547" s="35"/>
      <c r="B2547" s="79"/>
      <c r="C2547" s="8"/>
    </row>
    <row r="2548" spans="1:3">
      <c r="A2548" s="35"/>
      <c r="B2548" s="79"/>
      <c r="C2548" s="8"/>
    </row>
    <row r="2549" spans="1:3">
      <c r="A2549" s="35"/>
      <c r="B2549" s="79"/>
      <c r="C2549" s="8"/>
    </row>
    <row r="2550" spans="1:3">
      <c r="A2550" s="35"/>
      <c r="B2550" s="79"/>
      <c r="C2550" s="8"/>
    </row>
    <row r="2551" spans="1:3">
      <c r="A2551" s="35"/>
      <c r="B2551" s="79"/>
      <c r="C2551" s="8"/>
    </row>
    <row r="2552" spans="1:3">
      <c r="A2552" s="35"/>
      <c r="B2552" s="79"/>
      <c r="C2552" s="8"/>
    </row>
    <row r="2553" spans="1:3">
      <c r="A2553" s="35"/>
      <c r="B2553" s="79"/>
      <c r="C2553" s="8"/>
    </row>
    <row r="2554" spans="1:3">
      <c r="A2554" s="35"/>
      <c r="B2554" s="79"/>
      <c r="C2554" s="8"/>
    </row>
    <row r="2555" spans="1:3">
      <c r="A2555" s="35"/>
      <c r="B2555" s="79"/>
      <c r="C2555" s="8"/>
    </row>
    <row r="2556" spans="1:3">
      <c r="A2556" s="35"/>
      <c r="B2556" s="79"/>
      <c r="C2556" s="8"/>
    </row>
    <row r="2557" spans="1:3">
      <c r="A2557" s="35"/>
      <c r="B2557" s="79"/>
      <c r="C2557" s="8"/>
    </row>
    <row r="2558" spans="1:3">
      <c r="A2558" s="35"/>
      <c r="B2558" s="79"/>
      <c r="C2558" s="8"/>
    </row>
    <row r="2559" spans="1:3">
      <c r="A2559" s="35"/>
      <c r="B2559" s="79"/>
      <c r="C2559" s="8"/>
    </row>
    <row r="2560" spans="1:3">
      <c r="A2560" s="35"/>
      <c r="B2560" s="79"/>
      <c r="C2560" s="8"/>
    </row>
    <row r="2561" spans="1:3">
      <c r="A2561" s="35"/>
      <c r="B2561" s="79"/>
      <c r="C2561" s="8"/>
    </row>
    <row r="2562" spans="1:3">
      <c r="A2562" s="35"/>
      <c r="B2562" s="79"/>
      <c r="C2562" s="8"/>
    </row>
    <row r="2563" spans="1:3">
      <c r="A2563" s="35"/>
      <c r="B2563" s="79"/>
      <c r="C2563" s="8"/>
    </row>
    <row r="2564" spans="1:3">
      <c r="A2564" s="35"/>
      <c r="B2564" s="79"/>
      <c r="C2564" s="8"/>
    </row>
    <row r="2565" spans="1:3">
      <c r="A2565" s="35"/>
      <c r="B2565" s="79"/>
      <c r="C2565" s="8"/>
    </row>
    <row r="2566" spans="1:3">
      <c r="A2566" s="35"/>
      <c r="B2566" s="79"/>
      <c r="C2566" s="8"/>
    </row>
    <row r="2567" spans="1:3">
      <c r="A2567" s="35"/>
      <c r="B2567" s="79"/>
      <c r="C2567" s="8"/>
    </row>
    <row r="2568" spans="1:3">
      <c r="A2568" s="35"/>
      <c r="B2568" s="79"/>
      <c r="C2568" s="8"/>
    </row>
    <row r="2569" spans="1:3">
      <c r="A2569" s="35"/>
      <c r="B2569" s="79"/>
      <c r="C2569" s="8"/>
    </row>
    <row r="2570" spans="1:3">
      <c r="A2570" s="35"/>
      <c r="B2570" s="79"/>
      <c r="C2570" s="8"/>
    </row>
    <row r="2571" spans="1:3">
      <c r="A2571" s="35"/>
      <c r="B2571" s="79"/>
      <c r="C2571" s="8"/>
    </row>
    <row r="2572" spans="1:3">
      <c r="A2572" s="35"/>
      <c r="B2572" s="79"/>
      <c r="C2572" s="8"/>
    </row>
    <row r="2573" spans="1:3">
      <c r="A2573" s="35"/>
      <c r="B2573" s="79"/>
      <c r="C2573" s="8"/>
    </row>
    <row r="2574" spans="1:3">
      <c r="A2574" s="35"/>
      <c r="B2574" s="79"/>
      <c r="C2574" s="8"/>
    </row>
    <row r="2575" spans="1:3">
      <c r="A2575" s="35"/>
      <c r="B2575" s="79"/>
      <c r="C2575" s="8"/>
    </row>
    <row r="2576" spans="1:3">
      <c r="A2576" s="35"/>
      <c r="B2576" s="79"/>
      <c r="C2576" s="8"/>
    </row>
    <row r="2577" spans="1:3">
      <c r="A2577" s="35"/>
      <c r="B2577" s="79"/>
      <c r="C2577" s="8"/>
    </row>
    <row r="2578" spans="1:3">
      <c r="A2578" s="35"/>
      <c r="B2578" s="79"/>
      <c r="C2578" s="8"/>
    </row>
    <row r="2579" spans="1:3">
      <c r="A2579" s="35"/>
      <c r="B2579" s="79"/>
      <c r="C2579" s="8"/>
    </row>
    <row r="2580" spans="1:3">
      <c r="A2580" s="35"/>
      <c r="B2580" s="79"/>
      <c r="C2580" s="8"/>
    </row>
    <row r="2581" spans="1:3">
      <c r="A2581" s="35"/>
      <c r="B2581" s="79"/>
      <c r="C2581" s="8"/>
    </row>
    <row r="2582" spans="1:3">
      <c r="A2582" s="35"/>
      <c r="B2582" s="79"/>
      <c r="C2582" s="8"/>
    </row>
    <row r="2583" spans="1:3">
      <c r="A2583" s="35"/>
      <c r="B2583" s="79"/>
      <c r="C2583" s="8"/>
    </row>
    <row r="2584" spans="1:3">
      <c r="A2584" s="35"/>
      <c r="B2584" s="79"/>
      <c r="C2584" s="8"/>
    </row>
    <row r="2585" spans="1:3">
      <c r="A2585" s="35"/>
      <c r="B2585" s="79"/>
      <c r="C2585" s="8"/>
    </row>
    <row r="2586" spans="1:3">
      <c r="A2586" s="35"/>
      <c r="B2586" s="79"/>
      <c r="C2586" s="8"/>
    </row>
    <row r="2587" spans="1:3">
      <c r="A2587" s="35"/>
      <c r="B2587" s="79"/>
      <c r="C2587" s="8"/>
    </row>
    <row r="2588" spans="1:3">
      <c r="A2588" s="35"/>
      <c r="B2588" s="79"/>
      <c r="C2588" s="8"/>
    </row>
    <row r="2589" spans="1:3">
      <c r="A2589" s="35"/>
      <c r="B2589" s="79"/>
      <c r="C2589" s="8"/>
    </row>
    <row r="2590" spans="1:3">
      <c r="A2590" s="35"/>
      <c r="B2590" s="79"/>
      <c r="C2590" s="8"/>
    </row>
    <row r="2591" spans="1:3">
      <c r="A2591" s="35"/>
      <c r="B2591" s="79"/>
      <c r="C2591" s="8"/>
    </row>
    <row r="2592" spans="1:3">
      <c r="A2592" s="35"/>
      <c r="B2592" s="79"/>
      <c r="C2592" s="8"/>
    </row>
    <row r="2593" spans="1:3">
      <c r="A2593" s="35"/>
      <c r="B2593" s="79"/>
      <c r="C2593" s="8"/>
    </row>
    <row r="2594" spans="1:3">
      <c r="A2594" s="35"/>
      <c r="B2594" s="79"/>
      <c r="C2594" s="8"/>
    </row>
    <row r="2595" spans="1:3">
      <c r="A2595" s="35"/>
      <c r="B2595" s="79"/>
      <c r="C2595" s="8"/>
    </row>
    <row r="2596" spans="1:3">
      <c r="A2596" s="35"/>
      <c r="B2596" s="79"/>
      <c r="C2596" s="8"/>
    </row>
    <row r="2597" spans="1:3">
      <c r="A2597" s="35"/>
      <c r="B2597" s="79"/>
      <c r="C2597" s="8"/>
    </row>
    <row r="2598" spans="1:3">
      <c r="A2598" s="35"/>
      <c r="B2598" s="79"/>
      <c r="C2598" s="8"/>
    </row>
    <row r="2599" spans="1:3">
      <c r="A2599" s="35"/>
      <c r="B2599" s="79"/>
      <c r="C2599" s="8"/>
    </row>
    <row r="2600" spans="1:3">
      <c r="A2600" s="35"/>
      <c r="B2600" s="79"/>
      <c r="C2600" s="8"/>
    </row>
    <row r="2601" spans="1:3">
      <c r="A2601" s="35"/>
      <c r="B2601" s="79"/>
      <c r="C2601" s="8"/>
    </row>
    <row r="2602" spans="1:3">
      <c r="A2602" s="35"/>
      <c r="B2602" s="79"/>
      <c r="C2602" s="8"/>
    </row>
    <row r="2603" spans="1:3">
      <c r="A2603" s="35"/>
      <c r="B2603" s="79"/>
      <c r="C2603" s="8"/>
    </row>
    <row r="2604" spans="1:3">
      <c r="A2604" s="35"/>
      <c r="B2604" s="79"/>
      <c r="C2604" s="8"/>
    </row>
    <row r="2605" spans="1:3">
      <c r="A2605" s="35"/>
      <c r="B2605" s="79"/>
      <c r="C2605" s="8"/>
    </row>
    <row r="2606" spans="1:3">
      <c r="A2606" s="35"/>
      <c r="B2606" s="79"/>
      <c r="C2606" s="8"/>
    </row>
    <row r="2607" spans="1:3">
      <c r="A2607" s="35"/>
      <c r="B2607" s="79"/>
      <c r="C2607" s="8"/>
    </row>
    <row r="2608" spans="1:3">
      <c r="A2608" s="35"/>
      <c r="B2608" s="79"/>
      <c r="C2608" s="8"/>
    </row>
    <row r="2609" spans="1:3">
      <c r="A2609" s="35"/>
      <c r="B2609" s="79"/>
      <c r="C2609" s="8"/>
    </row>
    <row r="2610" spans="1:3">
      <c r="A2610" s="35"/>
      <c r="B2610" s="79"/>
      <c r="C2610" s="8"/>
    </row>
    <row r="2611" spans="1:3">
      <c r="A2611" s="35"/>
      <c r="B2611" s="79"/>
      <c r="C2611" s="8"/>
    </row>
    <row r="2612" spans="1:3">
      <c r="A2612" s="35"/>
      <c r="B2612" s="79"/>
      <c r="C2612" s="8"/>
    </row>
    <row r="2613" spans="1:3">
      <c r="A2613" s="35"/>
      <c r="B2613" s="79"/>
      <c r="C2613" s="8"/>
    </row>
    <row r="2614" spans="1:3">
      <c r="A2614" s="35"/>
      <c r="B2614" s="79"/>
      <c r="C2614" s="8"/>
    </row>
    <row r="2615" spans="1:3">
      <c r="A2615" s="35"/>
      <c r="B2615" s="79"/>
      <c r="C2615" s="8"/>
    </row>
    <row r="2616" spans="1:3">
      <c r="A2616" s="35"/>
      <c r="B2616" s="79"/>
      <c r="C2616" s="8"/>
    </row>
    <row r="2617" spans="1:3">
      <c r="A2617" s="35"/>
      <c r="B2617" s="79"/>
      <c r="C2617" s="8"/>
    </row>
    <row r="2618" spans="1:3">
      <c r="A2618" s="35"/>
      <c r="B2618" s="79"/>
      <c r="C2618" s="8"/>
    </row>
    <row r="2619" spans="1:3">
      <c r="A2619" s="35"/>
      <c r="B2619" s="79"/>
      <c r="C2619" s="8"/>
    </row>
    <row r="2620" spans="1:3">
      <c r="A2620" s="35"/>
      <c r="B2620" s="79"/>
      <c r="C2620" s="8"/>
    </row>
    <row r="2621" spans="1:3">
      <c r="A2621" s="35"/>
      <c r="B2621" s="79"/>
      <c r="C2621" s="8"/>
    </row>
    <row r="2622" spans="1:3">
      <c r="A2622" s="35"/>
      <c r="B2622" s="79"/>
      <c r="C2622" s="8"/>
    </row>
    <row r="2623" spans="1:3">
      <c r="A2623" s="35"/>
      <c r="B2623" s="79"/>
      <c r="C2623" s="8"/>
    </row>
    <row r="2624" spans="1:3">
      <c r="A2624" s="35"/>
      <c r="B2624" s="79"/>
      <c r="C2624" s="8"/>
    </row>
    <row r="2625" spans="1:3">
      <c r="A2625" s="35"/>
      <c r="B2625" s="79"/>
      <c r="C2625" s="8"/>
    </row>
    <row r="2626" spans="1:3">
      <c r="A2626" s="35"/>
      <c r="B2626" s="79"/>
      <c r="C2626" s="8"/>
    </row>
    <row r="2627" spans="1:3">
      <c r="A2627" s="35"/>
      <c r="B2627" s="79"/>
      <c r="C2627" s="8"/>
    </row>
    <row r="2628" spans="1:3">
      <c r="A2628" s="35"/>
      <c r="B2628" s="79"/>
      <c r="C2628" s="8"/>
    </row>
    <row r="2629" spans="1:3">
      <c r="A2629" s="35"/>
      <c r="B2629" s="79"/>
      <c r="C2629" s="8"/>
    </row>
    <row r="2630" spans="1:3">
      <c r="A2630" s="35"/>
      <c r="B2630" s="79"/>
      <c r="C2630" s="8"/>
    </row>
    <row r="2631" spans="1:3">
      <c r="A2631" s="35"/>
      <c r="B2631" s="79"/>
      <c r="C2631" s="8"/>
    </row>
    <row r="2632" spans="1:3">
      <c r="A2632" s="35"/>
      <c r="B2632" s="79"/>
      <c r="C2632" s="8"/>
    </row>
    <row r="2633" spans="1:3">
      <c r="A2633" s="35"/>
      <c r="B2633" s="79"/>
      <c r="C2633" s="8"/>
    </row>
    <row r="2634" spans="1:3">
      <c r="A2634" s="35"/>
      <c r="B2634" s="79"/>
      <c r="C2634" s="8"/>
    </row>
    <row r="2635" spans="1:3">
      <c r="A2635" s="35"/>
      <c r="B2635" s="79"/>
      <c r="C2635" s="8"/>
    </row>
    <row r="2636" spans="1:3">
      <c r="A2636" s="35"/>
      <c r="B2636" s="79"/>
      <c r="C2636" s="8"/>
    </row>
    <row r="2637" spans="1:3">
      <c r="A2637" s="35"/>
      <c r="B2637" s="79"/>
      <c r="C2637" s="8"/>
    </row>
    <row r="2638" spans="1:3">
      <c r="A2638" s="35"/>
      <c r="B2638" s="79"/>
      <c r="C2638" s="8"/>
    </row>
    <row r="2639" spans="1:3">
      <c r="A2639" s="35"/>
      <c r="B2639" s="79"/>
      <c r="C2639" s="8"/>
    </row>
    <row r="2640" spans="1:3">
      <c r="A2640" s="35"/>
      <c r="B2640" s="79"/>
      <c r="C2640" s="8"/>
    </row>
    <row r="2641" spans="1:3">
      <c r="A2641" s="35"/>
      <c r="B2641" s="79"/>
      <c r="C2641" s="8"/>
    </row>
    <row r="2642" spans="1:3">
      <c r="A2642" s="35"/>
      <c r="B2642" s="79"/>
      <c r="C2642" s="8"/>
    </row>
    <row r="2643" spans="1:3">
      <c r="A2643" s="35"/>
      <c r="B2643" s="79"/>
      <c r="C2643" s="8"/>
    </row>
    <row r="2644" spans="1:3">
      <c r="A2644" s="35"/>
      <c r="B2644" s="79"/>
      <c r="C2644" s="8"/>
    </row>
    <row r="2645" spans="1:3">
      <c r="A2645" s="35"/>
      <c r="B2645" s="79"/>
      <c r="C2645" s="8"/>
    </row>
    <row r="2646" spans="1:3">
      <c r="A2646" s="35"/>
      <c r="B2646" s="79"/>
      <c r="C2646" s="8"/>
    </row>
    <row r="2647" spans="1:3">
      <c r="A2647" s="35"/>
      <c r="B2647" s="79"/>
      <c r="C2647" s="8"/>
    </row>
    <row r="2648" spans="1:3">
      <c r="A2648" s="35"/>
      <c r="B2648" s="79"/>
      <c r="C2648" s="8"/>
    </row>
    <row r="2649" spans="1:3">
      <c r="A2649" s="35"/>
      <c r="B2649" s="79"/>
      <c r="C2649" s="8"/>
    </row>
    <row r="2650" spans="1:3">
      <c r="A2650" s="35"/>
      <c r="B2650" s="79"/>
      <c r="C2650" s="8"/>
    </row>
    <row r="2651" spans="1:3">
      <c r="A2651" s="35"/>
      <c r="B2651" s="79"/>
      <c r="C2651" s="8"/>
    </row>
    <row r="2652" spans="1:3">
      <c r="A2652" s="35"/>
      <c r="B2652" s="79"/>
      <c r="C2652" s="8"/>
    </row>
    <row r="2653" spans="1:3">
      <c r="A2653" s="35"/>
      <c r="B2653" s="79"/>
      <c r="C2653" s="8"/>
    </row>
    <row r="2654" spans="1:3">
      <c r="A2654" s="35"/>
      <c r="B2654" s="79"/>
      <c r="C2654" s="8"/>
    </row>
    <row r="2655" spans="1:3">
      <c r="A2655" s="35"/>
      <c r="B2655" s="79"/>
      <c r="C2655" s="8"/>
    </row>
    <row r="2656" spans="1:3">
      <c r="A2656" s="35"/>
      <c r="B2656" s="79"/>
      <c r="C2656" s="8"/>
    </row>
    <row r="2657" spans="1:3">
      <c r="A2657" s="35"/>
      <c r="B2657" s="79"/>
      <c r="C2657" s="8"/>
    </row>
    <row r="2658" spans="1:3">
      <c r="A2658" s="35"/>
      <c r="B2658" s="79"/>
      <c r="C2658" s="8"/>
    </row>
    <row r="2659" spans="1:3">
      <c r="A2659" s="35"/>
      <c r="B2659" s="79"/>
      <c r="C2659" s="8"/>
    </row>
    <row r="2660" spans="1:3">
      <c r="A2660" s="35"/>
      <c r="B2660" s="79"/>
      <c r="C2660" s="8"/>
    </row>
    <row r="2661" spans="1:3">
      <c r="A2661" s="35"/>
      <c r="B2661" s="79"/>
      <c r="C2661" s="8"/>
    </row>
    <row r="2662" spans="1:3">
      <c r="A2662" s="35"/>
      <c r="B2662" s="79"/>
      <c r="C2662" s="8"/>
    </row>
    <row r="2663" spans="1:3">
      <c r="A2663" s="35"/>
      <c r="B2663" s="79"/>
      <c r="C2663" s="8"/>
    </row>
    <row r="2664" spans="1:3">
      <c r="A2664" s="35"/>
      <c r="B2664" s="79"/>
      <c r="C2664" s="8"/>
    </row>
    <row r="2665" spans="1:3">
      <c r="A2665" s="35"/>
      <c r="B2665" s="79"/>
      <c r="C2665" s="8"/>
    </row>
    <row r="2666" spans="1:3">
      <c r="A2666" s="35"/>
      <c r="B2666" s="79"/>
      <c r="C2666" s="8"/>
    </row>
    <row r="2667" spans="1:3">
      <c r="A2667" s="35"/>
      <c r="B2667" s="79"/>
      <c r="C2667" s="8"/>
    </row>
    <row r="2668" spans="1:3">
      <c r="A2668" s="35"/>
      <c r="B2668" s="79"/>
      <c r="C2668" s="8"/>
    </row>
    <row r="2669" spans="1:3">
      <c r="A2669" s="35"/>
      <c r="B2669" s="79"/>
      <c r="C2669" s="8"/>
    </row>
    <row r="2670" spans="1:3">
      <c r="A2670" s="35"/>
      <c r="B2670" s="79"/>
      <c r="C2670" s="8"/>
    </row>
    <row r="2671" spans="1:3">
      <c r="A2671" s="35"/>
      <c r="B2671" s="79"/>
      <c r="C2671" s="8"/>
    </row>
    <row r="2672" spans="1:3">
      <c r="A2672" s="35"/>
      <c r="B2672" s="79"/>
      <c r="C2672" s="8"/>
    </row>
    <row r="2673" spans="1:3">
      <c r="A2673" s="35"/>
      <c r="B2673" s="79"/>
      <c r="C2673" s="8"/>
    </row>
    <row r="2674" spans="1:3">
      <c r="A2674" s="35"/>
      <c r="B2674" s="79"/>
      <c r="C2674" s="8"/>
    </row>
    <row r="2675" spans="1:3">
      <c r="A2675" s="35"/>
      <c r="B2675" s="79"/>
      <c r="C2675" s="8"/>
    </row>
    <row r="2676" spans="1:3">
      <c r="A2676" s="35"/>
      <c r="B2676" s="79"/>
      <c r="C2676" s="8"/>
    </row>
    <row r="2677" spans="1:3">
      <c r="A2677" s="35"/>
      <c r="B2677" s="79"/>
      <c r="C2677" s="8"/>
    </row>
    <row r="2678" spans="1:3">
      <c r="A2678" s="35"/>
      <c r="B2678" s="79"/>
      <c r="C2678" s="8"/>
    </row>
    <row r="2679" spans="1:3">
      <c r="A2679" s="35"/>
      <c r="B2679" s="79"/>
      <c r="C2679" s="8"/>
    </row>
    <row r="2680" spans="1:3">
      <c r="A2680" s="35"/>
      <c r="B2680" s="79"/>
      <c r="C2680" s="8"/>
    </row>
    <row r="2681" spans="1:3">
      <c r="A2681" s="35"/>
      <c r="B2681" s="79"/>
      <c r="C2681" s="8"/>
    </row>
    <row r="2682" spans="1:3">
      <c r="A2682" s="35"/>
      <c r="B2682" s="79"/>
      <c r="C2682" s="8"/>
    </row>
    <row r="2683" spans="1:3">
      <c r="A2683" s="35"/>
      <c r="B2683" s="79"/>
      <c r="C2683" s="8"/>
    </row>
    <row r="2684" spans="1:3">
      <c r="A2684" s="35"/>
      <c r="B2684" s="79"/>
      <c r="C2684" s="8"/>
    </row>
    <row r="2685" spans="1:3">
      <c r="A2685" s="35"/>
      <c r="B2685" s="79"/>
      <c r="C2685" s="8"/>
    </row>
    <row r="2686" spans="1:3">
      <c r="A2686" s="35"/>
      <c r="B2686" s="79"/>
      <c r="C2686" s="8"/>
    </row>
    <row r="2687" spans="1:3">
      <c r="A2687" s="35"/>
      <c r="B2687" s="79"/>
      <c r="C2687" s="8"/>
    </row>
    <row r="2688" spans="1:3">
      <c r="A2688" s="35"/>
      <c r="B2688" s="79"/>
      <c r="C2688" s="8"/>
    </row>
    <row r="2689" spans="1:3">
      <c r="A2689" s="35"/>
      <c r="B2689" s="79"/>
      <c r="C2689" s="8"/>
    </row>
    <row r="2690" spans="1:3">
      <c r="A2690" s="35"/>
      <c r="B2690" s="79"/>
      <c r="C2690" s="8"/>
    </row>
    <row r="2691" spans="1:3">
      <c r="A2691" s="35"/>
      <c r="B2691" s="79"/>
      <c r="C2691" s="8"/>
    </row>
    <row r="2692" spans="1:3">
      <c r="A2692" s="35"/>
      <c r="B2692" s="79"/>
      <c r="C2692" s="8"/>
    </row>
    <row r="2693" spans="1:3">
      <c r="A2693" s="35"/>
      <c r="B2693" s="79"/>
      <c r="C2693" s="8"/>
    </row>
    <row r="2694" spans="1:3">
      <c r="A2694" s="35"/>
      <c r="B2694" s="79"/>
      <c r="C2694" s="8"/>
    </row>
    <row r="2695" spans="1:3">
      <c r="A2695" s="35"/>
      <c r="B2695" s="79"/>
      <c r="C2695" s="8"/>
    </row>
    <row r="2696" spans="1:3">
      <c r="A2696" s="35"/>
      <c r="B2696" s="79"/>
      <c r="C2696" s="8"/>
    </row>
    <row r="2697" spans="1:3">
      <c r="A2697" s="35"/>
      <c r="B2697" s="79"/>
      <c r="C2697" s="8"/>
    </row>
    <row r="2698" spans="1:3">
      <c r="A2698" s="35"/>
      <c r="B2698" s="79"/>
      <c r="C2698" s="8"/>
    </row>
    <row r="2699" spans="1:3">
      <c r="A2699" s="35"/>
      <c r="B2699" s="79"/>
      <c r="C2699" s="8"/>
    </row>
    <row r="2700" spans="1:3">
      <c r="A2700" s="35"/>
      <c r="B2700" s="79"/>
      <c r="C2700" s="8"/>
    </row>
    <row r="2701" spans="1:3">
      <c r="A2701" s="35"/>
      <c r="B2701" s="79"/>
      <c r="C2701" s="8"/>
    </row>
    <row r="2702" spans="1:3">
      <c r="A2702" s="35"/>
      <c r="B2702" s="79"/>
      <c r="C2702" s="8"/>
    </row>
    <row r="2703" spans="1:3">
      <c r="A2703" s="35"/>
      <c r="B2703" s="79"/>
      <c r="C2703" s="8"/>
    </row>
    <row r="2704" spans="1:3">
      <c r="A2704" s="35"/>
      <c r="B2704" s="79"/>
      <c r="C2704" s="8"/>
    </row>
    <row r="2705" spans="1:3">
      <c r="A2705" s="35"/>
      <c r="B2705" s="79"/>
      <c r="C2705" s="8"/>
    </row>
    <row r="2706" spans="1:3">
      <c r="A2706" s="35"/>
      <c r="B2706" s="79"/>
      <c r="C2706" s="8"/>
    </row>
    <row r="2707" spans="1:3">
      <c r="A2707" s="35"/>
      <c r="B2707" s="79"/>
      <c r="C2707" s="8"/>
    </row>
    <row r="2708" spans="1:3">
      <c r="A2708" s="35"/>
      <c r="B2708" s="79"/>
      <c r="C2708" s="8"/>
    </row>
    <row r="2709" spans="1:3">
      <c r="A2709" s="35"/>
      <c r="B2709" s="79"/>
      <c r="C2709" s="8"/>
    </row>
    <row r="2710" spans="1:3">
      <c r="A2710" s="35"/>
      <c r="B2710" s="79"/>
      <c r="C2710" s="8"/>
    </row>
    <row r="2711" spans="1:3">
      <c r="A2711" s="35"/>
      <c r="B2711" s="79"/>
      <c r="C2711" s="8"/>
    </row>
    <row r="2712" spans="1:3">
      <c r="A2712" s="35"/>
      <c r="B2712" s="79"/>
      <c r="C2712" s="8"/>
    </row>
    <row r="2713" spans="1:3">
      <c r="A2713" s="35"/>
      <c r="B2713" s="79"/>
      <c r="C2713" s="8"/>
    </row>
    <row r="2714" spans="1:3">
      <c r="A2714" s="35"/>
      <c r="B2714" s="79"/>
      <c r="C2714" s="8"/>
    </row>
    <row r="2715" spans="1:3">
      <c r="A2715" s="35"/>
      <c r="B2715" s="79"/>
      <c r="C2715" s="8"/>
    </row>
    <row r="2716" spans="1:3">
      <c r="A2716" s="35"/>
      <c r="B2716" s="79"/>
      <c r="C2716" s="8"/>
    </row>
    <row r="2717" spans="1:3">
      <c r="A2717" s="35"/>
      <c r="B2717" s="79"/>
      <c r="C2717" s="8"/>
    </row>
    <row r="2718" spans="1:3">
      <c r="A2718" s="35"/>
      <c r="B2718" s="79"/>
      <c r="C2718" s="8"/>
    </row>
    <row r="2719" spans="1:3">
      <c r="A2719" s="35"/>
      <c r="B2719" s="79"/>
      <c r="C2719" s="8"/>
    </row>
    <row r="2720" spans="1:3">
      <c r="A2720" s="35"/>
      <c r="B2720" s="79"/>
      <c r="C2720" s="8"/>
    </row>
    <row r="2721" spans="1:3">
      <c r="A2721" s="35"/>
      <c r="B2721" s="79"/>
      <c r="C2721" s="8"/>
    </row>
    <row r="2722" spans="1:3">
      <c r="A2722" s="35"/>
      <c r="B2722" s="79"/>
      <c r="C2722" s="8"/>
    </row>
    <row r="2723" spans="1:3">
      <c r="A2723" s="35"/>
      <c r="B2723" s="79"/>
      <c r="C2723" s="8"/>
    </row>
    <row r="2724" spans="1:3">
      <c r="A2724" s="35"/>
      <c r="B2724" s="79"/>
      <c r="C2724" s="8"/>
    </row>
    <row r="2725" spans="1:3">
      <c r="A2725" s="35"/>
      <c r="B2725" s="79"/>
      <c r="C2725" s="8"/>
    </row>
    <row r="2726" spans="1:3">
      <c r="A2726" s="35"/>
      <c r="B2726" s="79"/>
      <c r="C2726" s="8"/>
    </row>
    <row r="2727" spans="1:3">
      <c r="A2727" s="35"/>
      <c r="B2727" s="79"/>
      <c r="C2727" s="8"/>
    </row>
    <row r="2728" spans="1:3">
      <c r="A2728" s="35"/>
      <c r="B2728" s="79"/>
      <c r="C2728" s="8"/>
    </row>
    <row r="2729" spans="1:3">
      <c r="A2729" s="35"/>
      <c r="B2729" s="79"/>
      <c r="C2729" s="8"/>
    </row>
    <row r="2730" spans="1:3">
      <c r="A2730" s="35"/>
      <c r="B2730" s="79"/>
      <c r="C2730" s="8"/>
    </row>
    <row r="2731" spans="1:3">
      <c r="A2731" s="35"/>
      <c r="B2731" s="79"/>
      <c r="C2731" s="8"/>
    </row>
    <row r="2732" spans="1:3">
      <c r="A2732" s="35"/>
      <c r="B2732" s="79"/>
      <c r="C2732" s="8"/>
    </row>
    <row r="2733" spans="1:3">
      <c r="A2733" s="35"/>
      <c r="B2733" s="79"/>
      <c r="C2733" s="8"/>
    </row>
    <row r="2734" spans="1:3">
      <c r="A2734" s="35"/>
      <c r="B2734" s="79"/>
      <c r="C2734" s="8"/>
    </row>
    <row r="2735" spans="1:3">
      <c r="A2735" s="35"/>
      <c r="B2735" s="79"/>
      <c r="C2735" s="8"/>
    </row>
    <row r="2736" spans="1:3">
      <c r="A2736" s="35"/>
      <c r="B2736" s="79"/>
      <c r="C2736" s="8"/>
    </row>
    <row r="2737" spans="1:3">
      <c r="A2737" s="35"/>
      <c r="B2737" s="79"/>
      <c r="C2737" s="8"/>
    </row>
    <row r="2738" spans="1:3">
      <c r="A2738" s="35"/>
      <c r="B2738" s="79"/>
      <c r="C2738" s="8"/>
    </row>
    <row r="2739" spans="1:3">
      <c r="A2739" s="35"/>
      <c r="B2739" s="79"/>
      <c r="C2739" s="8"/>
    </row>
    <row r="2740" spans="1:3">
      <c r="A2740" s="35"/>
      <c r="B2740" s="79"/>
      <c r="C2740" s="8"/>
    </row>
    <row r="2741" spans="1:3">
      <c r="A2741" s="35"/>
      <c r="B2741" s="79"/>
      <c r="C2741" s="8"/>
    </row>
    <row r="2742" spans="1:3">
      <c r="A2742" s="35"/>
      <c r="B2742" s="79"/>
      <c r="C2742" s="8"/>
    </row>
    <row r="2743" spans="1:3">
      <c r="A2743" s="35"/>
      <c r="B2743" s="79"/>
      <c r="C2743" s="8"/>
    </row>
    <row r="2744" spans="1:3">
      <c r="A2744" s="35"/>
      <c r="B2744" s="79"/>
      <c r="C2744" s="8"/>
    </row>
    <row r="2745" spans="1:3">
      <c r="A2745" s="35"/>
      <c r="B2745" s="79"/>
      <c r="C2745" s="8"/>
    </row>
    <row r="2746" spans="1:3">
      <c r="A2746" s="35"/>
      <c r="B2746" s="79"/>
      <c r="C2746" s="8"/>
    </row>
    <row r="2747" spans="1:3">
      <c r="A2747" s="35"/>
      <c r="B2747" s="79"/>
      <c r="C2747" s="8"/>
    </row>
    <row r="2748" spans="1:3">
      <c r="A2748" s="35"/>
      <c r="B2748" s="79"/>
      <c r="C2748" s="8"/>
    </row>
    <row r="2749" spans="1:3">
      <c r="A2749" s="35"/>
      <c r="B2749" s="79"/>
      <c r="C2749" s="8"/>
    </row>
    <row r="2750" spans="1:3">
      <c r="A2750" s="35"/>
      <c r="B2750" s="79"/>
      <c r="C2750" s="8"/>
    </row>
    <row r="2751" spans="1:3">
      <c r="A2751" s="35"/>
      <c r="B2751" s="79"/>
      <c r="C2751" s="8"/>
    </row>
    <row r="2752" spans="1:3">
      <c r="A2752" s="35"/>
      <c r="B2752" s="79"/>
      <c r="C2752" s="8"/>
    </row>
    <row r="2753" spans="1:3">
      <c r="A2753" s="35"/>
      <c r="B2753" s="79"/>
      <c r="C2753" s="8"/>
    </row>
    <row r="2754" spans="1:3">
      <c r="A2754" s="35"/>
      <c r="B2754" s="79"/>
      <c r="C2754" s="8"/>
    </row>
    <row r="2755" spans="1:3">
      <c r="A2755" s="35"/>
      <c r="B2755" s="79"/>
      <c r="C2755" s="8"/>
    </row>
    <row r="2756" spans="1:3">
      <c r="A2756" s="35"/>
      <c r="B2756" s="79"/>
      <c r="C2756" s="8"/>
    </row>
    <row r="2757" spans="1:3">
      <c r="A2757" s="35"/>
      <c r="B2757" s="79"/>
      <c r="C2757" s="8"/>
    </row>
    <row r="2758" spans="1:3">
      <c r="A2758" s="35"/>
      <c r="B2758" s="79"/>
      <c r="C2758" s="8"/>
    </row>
    <row r="2759" spans="1:3">
      <c r="A2759" s="35"/>
      <c r="B2759" s="79"/>
      <c r="C2759" s="8"/>
    </row>
    <row r="2760" spans="1:3">
      <c r="A2760" s="35"/>
      <c r="B2760" s="79"/>
      <c r="C2760" s="8"/>
    </row>
    <row r="2761" spans="1:3">
      <c r="A2761" s="35"/>
      <c r="B2761" s="79"/>
      <c r="C2761" s="8"/>
    </row>
    <row r="2762" spans="1:3">
      <c r="A2762" s="35"/>
      <c r="B2762" s="79"/>
      <c r="C2762" s="8"/>
    </row>
    <row r="2763" spans="1:3">
      <c r="A2763" s="35"/>
      <c r="B2763" s="79"/>
      <c r="C2763" s="8"/>
    </row>
    <row r="2764" spans="1:3">
      <c r="A2764" s="35"/>
      <c r="B2764" s="79"/>
      <c r="C2764" s="8"/>
    </row>
    <row r="2765" spans="1:3">
      <c r="A2765" s="35"/>
      <c r="B2765" s="79"/>
      <c r="C2765" s="8"/>
    </row>
    <row r="2766" spans="1:3">
      <c r="A2766" s="35"/>
      <c r="B2766" s="79"/>
      <c r="C2766" s="8"/>
    </row>
    <row r="2767" spans="1:3">
      <c r="A2767" s="35"/>
      <c r="B2767" s="79"/>
      <c r="C2767" s="8"/>
    </row>
    <row r="2768" spans="1:3">
      <c r="A2768" s="35"/>
      <c r="B2768" s="79"/>
      <c r="C2768" s="8"/>
    </row>
    <row r="2769" spans="1:3">
      <c r="A2769" s="35"/>
      <c r="B2769" s="79"/>
      <c r="C2769" s="8"/>
    </row>
    <row r="2770" spans="1:3">
      <c r="A2770" s="35"/>
      <c r="B2770" s="79"/>
      <c r="C2770" s="8"/>
    </row>
    <row r="2771" spans="1:3">
      <c r="A2771" s="35"/>
      <c r="B2771" s="79"/>
      <c r="C2771" s="8"/>
    </row>
    <row r="2772" spans="1:3">
      <c r="A2772" s="35"/>
      <c r="B2772" s="79"/>
      <c r="C2772" s="8"/>
    </row>
    <row r="2773" spans="1:3">
      <c r="A2773" s="35"/>
      <c r="B2773" s="79"/>
      <c r="C2773" s="8"/>
    </row>
    <row r="2774" spans="1:3">
      <c r="A2774" s="35"/>
      <c r="B2774" s="79"/>
      <c r="C2774" s="8"/>
    </row>
    <row r="2775" spans="1:3">
      <c r="A2775" s="35"/>
      <c r="B2775" s="79"/>
      <c r="C2775" s="8"/>
    </row>
    <row r="2776" spans="1:3">
      <c r="A2776" s="35"/>
      <c r="B2776" s="79"/>
      <c r="C2776" s="8"/>
    </row>
    <row r="2777" spans="1:3">
      <c r="A2777" s="35"/>
      <c r="B2777" s="79"/>
      <c r="C2777" s="8"/>
    </row>
    <row r="2778" spans="1:3">
      <c r="A2778" s="35"/>
      <c r="B2778" s="79"/>
      <c r="C2778" s="8"/>
    </row>
    <row r="2779" spans="1:3">
      <c r="A2779" s="35"/>
      <c r="B2779" s="79"/>
      <c r="C2779" s="8"/>
    </row>
    <row r="2780" spans="1:3">
      <c r="A2780" s="35"/>
      <c r="B2780" s="79"/>
      <c r="C2780" s="8"/>
    </row>
    <row r="2781" spans="1:3">
      <c r="A2781" s="35"/>
      <c r="B2781" s="79"/>
      <c r="C2781" s="8"/>
    </row>
    <row r="2782" spans="1:3">
      <c r="A2782" s="35"/>
      <c r="B2782" s="79"/>
      <c r="C2782" s="8"/>
    </row>
    <row r="2783" spans="1:3">
      <c r="A2783" s="35"/>
      <c r="B2783" s="79"/>
      <c r="C2783" s="8"/>
    </row>
    <row r="2784" spans="1:3">
      <c r="A2784" s="35"/>
      <c r="B2784" s="79"/>
      <c r="C2784" s="8"/>
    </row>
    <row r="2785" spans="1:3">
      <c r="A2785" s="35"/>
      <c r="B2785" s="79"/>
      <c r="C2785" s="8"/>
    </row>
    <row r="2786" spans="1:3">
      <c r="A2786" s="35"/>
      <c r="B2786" s="79"/>
      <c r="C2786" s="8"/>
    </row>
    <row r="2787" spans="1:3">
      <c r="A2787" s="35"/>
      <c r="B2787" s="79"/>
      <c r="C2787" s="8"/>
    </row>
    <row r="2788" spans="1:3">
      <c r="A2788" s="35"/>
      <c r="B2788" s="79"/>
      <c r="C2788" s="8"/>
    </row>
    <row r="2789" spans="1:3">
      <c r="A2789" s="35"/>
      <c r="B2789" s="79"/>
      <c r="C2789" s="8"/>
    </row>
    <row r="2790" spans="1:3">
      <c r="A2790" s="35"/>
      <c r="B2790" s="79"/>
      <c r="C2790" s="8"/>
    </row>
    <row r="2791" spans="1:3">
      <c r="A2791" s="35"/>
      <c r="B2791" s="79"/>
      <c r="C2791" s="8"/>
    </row>
    <row r="2792" spans="1:3">
      <c r="A2792" s="35"/>
      <c r="B2792" s="79"/>
      <c r="C2792" s="8"/>
    </row>
    <row r="2793" spans="1:3">
      <c r="A2793" s="35"/>
      <c r="B2793" s="79"/>
      <c r="C2793" s="8"/>
    </row>
    <row r="2794" spans="1:3">
      <c r="A2794" s="35"/>
      <c r="B2794" s="79"/>
      <c r="C2794" s="8"/>
    </row>
    <row r="2795" spans="1:3">
      <c r="A2795" s="35"/>
      <c r="B2795" s="79"/>
      <c r="C2795" s="8"/>
    </row>
    <row r="2796" spans="1:3">
      <c r="A2796" s="35"/>
      <c r="B2796" s="79"/>
      <c r="C2796" s="8"/>
    </row>
    <row r="2797" spans="1:3">
      <c r="A2797" s="35"/>
      <c r="B2797" s="79"/>
      <c r="C2797" s="8"/>
    </row>
    <row r="2798" spans="1:3">
      <c r="A2798" s="35"/>
      <c r="B2798" s="79"/>
      <c r="C2798" s="8"/>
    </row>
    <row r="2799" spans="1:3">
      <c r="A2799" s="35"/>
      <c r="B2799" s="79"/>
      <c r="C2799" s="8"/>
    </row>
    <row r="2800" spans="1:3">
      <c r="A2800" s="35"/>
      <c r="B2800" s="79"/>
      <c r="C2800" s="8"/>
    </row>
    <row r="2801" spans="1:3">
      <c r="A2801" s="35"/>
      <c r="B2801" s="79"/>
      <c r="C2801" s="8"/>
    </row>
    <row r="2802" spans="1:3">
      <c r="A2802" s="35"/>
      <c r="B2802" s="79"/>
      <c r="C2802" s="8"/>
    </row>
    <row r="2803" spans="1:3">
      <c r="A2803" s="35"/>
      <c r="B2803" s="79"/>
      <c r="C2803" s="8"/>
    </row>
    <row r="2804" spans="1:3">
      <c r="A2804" s="35"/>
      <c r="B2804" s="79"/>
      <c r="C2804" s="8"/>
    </row>
    <row r="2805" spans="1:3">
      <c r="A2805" s="35"/>
      <c r="B2805" s="79"/>
      <c r="C2805" s="8"/>
    </row>
    <row r="2806" spans="1:3">
      <c r="A2806" s="35"/>
      <c r="B2806" s="79"/>
      <c r="C2806" s="8"/>
    </row>
    <row r="2807" spans="1:3">
      <c r="A2807" s="35"/>
      <c r="B2807" s="79"/>
      <c r="C2807" s="8"/>
    </row>
    <row r="2808" spans="1:3">
      <c r="A2808" s="35"/>
      <c r="B2808" s="79"/>
      <c r="C2808" s="8"/>
    </row>
    <row r="2809" spans="1:3">
      <c r="A2809" s="35"/>
      <c r="B2809" s="79"/>
      <c r="C2809" s="8"/>
    </row>
    <row r="2810" spans="1:3">
      <c r="A2810" s="35"/>
      <c r="B2810" s="79"/>
      <c r="C2810" s="8"/>
    </row>
    <row r="2811" spans="1:3">
      <c r="A2811" s="35"/>
      <c r="B2811" s="79"/>
      <c r="C2811" s="8"/>
    </row>
    <row r="2812" spans="1:3">
      <c r="A2812" s="35"/>
      <c r="B2812" s="79"/>
      <c r="C2812" s="8"/>
    </row>
    <row r="2813" spans="1:3">
      <c r="A2813" s="35"/>
      <c r="B2813" s="79"/>
      <c r="C2813" s="8"/>
    </row>
    <row r="2814" spans="1:3">
      <c r="A2814" s="35"/>
      <c r="B2814" s="79"/>
      <c r="C2814" s="8"/>
    </row>
    <row r="2815" spans="1:3">
      <c r="A2815" s="35"/>
      <c r="B2815" s="79"/>
      <c r="C2815" s="8"/>
    </row>
    <row r="2816" spans="1:3">
      <c r="A2816" s="35"/>
      <c r="B2816" s="79"/>
      <c r="C2816" s="8"/>
    </row>
    <row r="2817" spans="1:3">
      <c r="A2817" s="35"/>
      <c r="B2817" s="79"/>
      <c r="C2817" s="8"/>
    </row>
    <row r="2818" spans="1:3">
      <c r="A2818" s="35"/>
      <c r="B2818" s="79"/>
      <c r="C2818" s="8"/>
    </row>
    <row r="2819" spans="1:3">
      <c r="A2819" s="35"/>
      <c r="B2819" s="79"/>
      <c r="C2819" s="8"/>
    </row>
    <row r="2820" spans="1:3">
      <c r="A2820" s="35"/>
      <c r="B2820" s="79"/>
      <c r="C2820" s="8"/>
    </row>
    <row r="2821" spans="1:3">
      <c r="A2821" s="35"/>
      <c r="B2821" s="79"/>
      <c r="C2821" s="8"/>
    </row>
    <row r="2822" spans="1:3">
      <c r="A2822" s="35"/>
      <c r="B2822" s="79"/>
      <c r="C2822" s="8"/>
    </row>
    <row r="2823" spans="1:3">
      <c r="A2823" s="35"/>
      <c r="B2823" s="79"/>
      <c r="C2823" s="8"/>
    </row>
    <row r="2824" spans="1:3">
      <c r="A2824" s="35"/>
      <c r="B2824" s="79"/>
      <c r="C2824" s="8"/>
    </row>
    <row r="2825" spans="1:3">
      <c r="A2825" s="35"/>
      <c r="B2825" s="79"/>
      <c r="C2825" s="8"/>
    </row>
    <row r="2826" spans="1:3">
      <c r="A2826" s="35"/>
      <c r="B2826" s="79"/>
      <c r="C2826" s="8"/>
    </row>
    <row r="2827" spans="1:3">
      <c r="A2827" s="35"/>
      <c r="B2827" s="79"/>
      <c r="C2827" s="8"/>
    </row>
    <row r="2828" spans="1:3">
      <c r="A2828" s="35"/>
      <c r="B2828" s="79"/>
      <c r="C2828" s="8"/>
    </row>
    <row r="2829" spans="1:3">
      <c r="A2829" s="35"/>
      <c r="B2829" s="79"/>
      <c r="C2829" s="8"/>
    </row>
    <row r="2830" spans="1:3">
      <c r="A2830" s="35"/>
      <c r="B2830" s="79"/>
      <c r="C2830" s="8"/>
    </row>
    <row r="2831" spans="1:3">
      <c r="A2831" s="35"/>
      <c r="B2831" s="79"/>
      <c r="C2831" s="8"/>
    </row>
    <row r="2832" spans="1:3">
      <c r="A2832" s="35"/>
      <c r="B2832" s="79"/>
      <c r="C2832" s="8"/>
    </row>
    <row r="2833" spans="1:3">
      <c r="A2833" s="35"/>
      <c r="B2833" s="79"/>
      <c r="C2833" s="8"/>
    </row>
    <row r="2834" spans="1:3">
      <c r="A2834" s="35"/>
      <c r="B2834" s="79"/>
      <c r="C2834" s="8"/>
    </row>
    <row r="2835" spans="1:3">
      <c r="A2835" s="35"/>
      <c r="B2835" s="79"/>
      <c r="C2835" s="8"/>
    </row>
    <row r="2836" spans="1:3">
      <c r="A2836" s="35"/>
      <c r="B2836" s="79"/>
      <c r="C2836" s="8"/>
    </row>
    <row r="2837" spans="1:3">
      <c r="A2837" s="35"/>
      <c r="B2837" s="79"/>
      <c r="C2837" s="8"/>
    </row>
    <row r="2838" spans="1:3">
      <c r="A2838" s="35"/>
      <c r="B2838" s="79"/>
      <c r="C2838" s="8"/>
    </row>
    <row r="2839" spans="1:3">
      <c r="A2839" s="35"/>
      <c r="B2839" s="79"/>
      <c r="C2839" s="8"/>
    </row>
    <row r="2840" spans="1:3">
      <c r="A2840" s="35"/>
      <c r="B2840" s="79"/>
      <c r="C2840" s="8"/>
    </row>
    <row r="2841" spans="1:3">
      <c r="A2841" s="35"/>
      <c r="B2841" s="79"/>
      <c r="C2841" s="8"/>
    </row>
    <row r="2842" spans="1:3">
      <c r="A2842" s="35"/>
      <c r="B2842" s="79"/>
      <c r="C2842" s="8"/>
    </row>
    <row r="2843" spans="1:3">
      <c r="A2843" s="35"/>
      <c r="B2843" s="79"/>
      <c r="C2843" s="8"/>
    </row>
    <row r="2844" spans="1:3">
      <c r="A2844" s="35"/>
      <c r="B2844" s="79"/>
      <c r="C2844" s="8"/>
    </row>
    <row r="2845" spans="1:3">
      <c r="A2845" s="35"/>
      <c r="B2845" s="79"/>
      <c r="C2845" s="8"/>
    </row>
    <row r="2846" spans="1:3">
      <c r="A2846" s="35"/>
      <c r="B2846" s="79"/>
      <c r="C2846" s="8"/>
    </row>
    <row r="2847" spans="1:3">
      <c r="A2847" s="35"/>
      <c r="B2847" s="79"/>
      <c r="C2847" s="8"/>
    </row>
    <row r="2848" spans="1:3">
      <c r="A2848" s="35"/>
      <c r="B2848" s="79"/>
      <c r="C2848" s="8"/>
    </row>
    <row r="2849" spans="1:3">
      <c r="A2849" s="35"/>
      <c r="B2849" s="79"/>
      <c r="C2849" s="8"/>
    </row>
    <row r="2850" spans="1:3">
      <c r="A2850" s="35"/>
      <c r="B2850" s="79"/>
      <c r="C2850" s="8"/>
    </row>
    <row r="2851" spans="1:3">
      <c r="A2851" s="35"/>
      <c r="B2851" s="79"/>
      <c r="C2851" s="8"/>
    </row>
    <row r="2852" spans="1:3">
      <c r="A2852" s="35"/>
      <c r="B2852" s="79"/>
      <c r="C2852" s="8"/>
    </row>
    <row r="2853" spans="1:3">
      <c r="A2853" s="35"/>
      <c r="B2853" s="79"/>
      <c r="C2853" s="8"/>
    </row>
    <row r="2854" spans="1:3">
      <c r="A2854" s="35"/>
      <c r="B2854" s="79"/>
      <c r="C2854" s="8"/>
    </row>
    <row r="2855" spans="1:3">
      <c r="A2855" s="35"/>
      <c r="B2855" s="79"/>
      <c r="C2855" s="8"/>
    </row>
    <row r="2856" spans="1:3">
      <c r="A2856" s="35"/>
      <c r="B2856" s="79"/>
      <c r="C2856" s="8"/>
    </row>
    <row r="2857" spans="1:3">
      <c r="A2857" s="35"/>
      <c r="B2857" s="79"/>
      <c r="C2857" s="8"/>
    </row>
    <row r="2858" spans="1:3">
      <c r="A2858" s="35"/>
      <c r="B2858" s="79"/>
      <c r="C2858" s="8"/>
    </row>
    <row r="2859" spans="1:3">
      <c r="A2859" s="35"/>
      <c r="B2859" s="79"/>
      <c r="C2859" s="8"/>
    </row>
    <row r="2860" spans="1:3">
      <c r="A2860" s="35"/>
      <c r="B2860" s="79"/>
      <c r="C2860" s="8"/>
    </row>
    <row r="2861" spans="1:3">
      <c r="A2861" s="35"/>
      <c r="B2861" s="79"/>
      <c r="C2861" s="8"/>
    </row>
    <row r="2862" spans="1:3">
      <c r="A2862" s="35"/>
      <c r="B2862" s="79"/>
      <c r="C2862" s="8"/>
    </row>
    <row r="2863" spans="1:3">
      <c r="A2863" s="35"/>
      <c r="B2863" s="79"/>
      <c r="C2863" s="8"/>
    </row>
    <row r="2864" spans="1:3">
      <c r="A2864" s="35"/>
      <c r="B2864" s="79"/>
      <c r="C2864" s="8"/>
    </row>
    <row r="2865" spans="1:3">
      <c r="A2865" s="35"/>
      <c r="B2865" s="79"/>
      <c r="C2865" s="8"/>
    </row>
    <row r="2866" spans="1:3">
      <c r="A2866" s="35"/>
      <c r="B2866" s="79"/>
      <c r="C2866" s="8"/>
    </row>
    <row r="2867" spans="1:3">
      <c r="A2867" s="35"/>
      <c r="B2867" s="79"/>
      <c r="C2867" s="8"/>
    </row>
    <row r="2868" spans="1:3">
      <c r="A2868" s="35"/>
      <c r="B2868" s="79"/>
      <c r="C2868" s="8"/>
    </row>
    <row r="2869" spans="1:3">
      <c r="A2869" s="35"/>
      <c r="B2869" s="79"/>
      <c r="C2869" s="8"/>
    </row>
    <row r="2870" spans="1:3">
      <c r="A2870" s="35"/>
      <c r="B2870" s="79"/>
      <c r="C2870" s="8"/>
    </row>
    <row r="2871" spans="1:3">
      <c r="A2871" s="35"/>
      <c r="B2871" s="79"/>
      <c r="C2871" s="8"/>
    </row>
    <row r="2872" spans="1:3">
      <c r="A2872" s="35"/>
      <c r="B2872" s="79"/>
      <c r="C2872" s="8"/>
    </row>
    <row r="2873" spans="1:3">
      <c r="A2873" s="35"/>
      <c r="B2873" s="79"/>
      <c r="C2873" s="8"/>
    </row>
    <row r="2874" spans="1:3">
      <c r="A2874" s="35"/>
      <c r="B2874" s="79"/>
      <c r="C2874" s="8"/>
    </row>
    <row r="2875" spans="1:3">
      <c r="A2875" s="35"/>
      <c r="B2875" s="79"/>
      <c r="C2875" s="8"/>
    </row>
    <row r="2876" spans="1:3">
      <c r="A2876" s="35"/>
      <c r="B2876" s="79"/>
      <c r="C2876" s="8"/>
    </row>
    <row r="2877" spans="1:3">
      <c r="A2877" s="35"/>
      <c r="B2877" s="79"/>
      <c r="C2877" s="8"/>
    </row>
    <row r="2878" spans="1:3">
      <c r="A2878" s="35"/>
      <c r="B2878" s="79"/>
      <c r="C2878" s="8"/>
    </row>
    <row r="2879" spans="1:3">
      <c r="A2879" s="35"/>
      <c r="B2879" s="79"/>
      <c r="C2879" s="8"/>
    </row>
    <row r="2880" spans="1:3">
      <c r="A2880" s="35"/>
      <c r="B2880" s="79"/>
      <c r="C2880" s="8"/>
    </row>
    <row r="2881" spans="1:3">
      <c r="A2881" s="35"/>
      <c r="B2881" s="79"/>
      <c r="C2881" s="8"/>
    </row>
    <row r="2882" spans="1:3">
      <c r="A2882" s="35"/>
      <c r="B2882" s="79"/>
      <c r="C2882" s="8"/>
    </row>
    <row r="2883" spans="1:3">
      <c r="A2883" s="35"/>
      <c r="B2883" s="79"/>
      <c r="C2883" s="8"/>
    </row>
    <row r="2884" spans="1:3">
      <c r="A2884" s="35"/>
      <c r="B2884" s="79"/>
      <c r="C2884" s="8"/>
    </row>
    <row r="2885" spans="1:3">
      <c r="A2885" s="35"/>
      <c r="B2885" s="79"/>
      <c r="C2885" s="8"/>
    </row>
    <row r="2886" spans="1:3">
      <c r="A2886" s="35"/>
      <c r="B2886" s="79"/>
      <c r="C2886" s="8"/>
    </row>
    <row r="2887" spans="1:3">
      <c r="A2887" s="35"/>
      <c r="B2887" s="79"/>
      <c r="C2887" s="8"/>
    </row>
    <row r="2888" spans="1:3">
      <c r="A2888" s="35"/>
      <c r="B2888" s="79"/>
      <c r="C2888" s="8"/>
    </row>
    <row r="2889" spans="1:3">
      <c r="A2889" s="35"/>
      <c r="B2889" s="79"/>
      <c r="C2889" s="8"/>
    </row>
    <row r="2890" spans="1:3">
      <c r="A2890" s="35"/>
      <c r="B2890" s="79"/>
      <c r="C2890" s="8"/>
    </row>
    <row r="2891" spans="1:3">
      <c r="A2891" s="35"/>
      <c r="B2891" s="79"/>
      <c r="C2891" s="8"/>
    </row>
    <row r="2892" spans="1:3">
      <c r="A2892" s="35"/>
      <c r="B2892" s="79"/>
      <c r="C2892" s="8"/>
    </row>
    <row r="2893" spans="1:3">
      <c r="A2893" s="35"/>
      <c r="B2893" s="79"/>
      <c r="C2893" s="8"/>
    </row>
    <row r="2894" spans="1:3">
      <c r="A2894" s="35"/>
      <c r="B2894" s="79"/>
      <c r="C2894" s="8"/>
    </row>
    <row r="2895" spans="1:3">
      <c r="A2895" s="35"/>
      <c r="B2895" s="79"/>
      <c r="C2895" s="8"/>
    </row>
    <row r="2896" spans="1:3">
      <c r="A2896" s="35"/>
      <c r="B2896" s="79"/>
      <c r="C2896" s="8"/>
    </row>
    <row r="2897" spans="1:3">
      <c r="A2897" s="35"/>
      <c r="B2897" s="79"/>
      <c r="C2897" s="8"/>
    </row>
    <row r="2898" spans="1:3">
      <c r="A2898" s="35"/>
      <c r="B2898" s="79"/>
      <c r="C2898" s="8"/>
    </row>
    <row r="2899" spans="1:3">
      <c r="A2899" s="35"/>
      <c r="B2899" s="79"/>
      <c r="C2899" s="8"/>
    </row>
    <row r="2900" spans="1:3">
      <c r="A2900" s="35"/>
      <c r="B2900" s="79"/>
      <c r="C2900" s="8"/>
    </row>
    <row r="2901" spans="1:3">
      <c r="A2901" s="35"/>
      <c r="B2901" s="79"/>
      <c r="C2901" s="8"/>
    </row>
    <row r="2902" spans="1:3">
      <c r="A2902" s="35"/>
      <c r="B2902" s="79"/>
      <c r="C2902" s="8"/>
    </row>
    <row r="2903" spans="1:3">
      <c r="A2903" s="35"/>
      <c r="B2903" s="79"/>
      <c r="C2903" s="8"/>
    </row>
    <row r="2904" spans="1:3">
      <c r="A2904" s="35"/>
      <c r="B2904" s="79"/>
      <c r="C2904" s="8"/>
    </row>
    <row r="2905" spans="1:3">
      <c r="A2905" s="35"/>
      <c r="B2905" s="79"/>
      <c r="C2905" s="8"/>
    </row>
    <row r="2906" spans="1:3">
      <c r="A2906" s="35"/>
      <c r="B2906" s="79"/>
      <c r="C2906" s="8"/>
    </row>
    <row r="2907" spans="1:3">
      <c r="A2907" s="35"/>
      <c r="B2907" s="79"/>
      <c r="C2907" s="8"/>
    </row>
    <row r="2908" spans="1:3">
      <c r="A2908" s="35"/>
      <c r="B2908" s="79"/>
      <c r="C2908" s="8"/>
    </row>
    <row r="2909" spans="1:3">
      <c r="A2909" s="35"/>
      <c r="B2909" s="79"/>
      <c r="C2909" s="8"/>
    </row>
    <row r="2910" spans="1:3">
      <c r="A2910" s="35"/>
      <c r="B2910" s="79"/>
      <c r="C2910" s="8"/>
    </row>
    <row r="2911" spans="1:3">
      <c r="A2911" s="35"/>
      <c r="B2911" s="79"/>
      <c r="C2911" s="8"/>
    </row>
    <row r="2912" spans="1:3">
      <c r="A2912" s="35"/>
      <c r="B2912" s="79"/>
      <c r="C2912" s="8"/>
    </row>
    <row r="2913" spans="1:3">
      <c r="A2913" s="35"/>
      <c r="B2913" s="79"/>
      <c r="C2913" s="8"/>
    </row>
    <row r="2914" spans="1:3">
      <c r="A2914" s="35"/>
      <c r="B2914" s="79"/>
      <c r="C2914" s="8"/>
    </row>
    <row r="2915" spans="1:3">
      <c r="A2915" s="35"/>
      <c r="B2915" s="79"/>
      <c r="C2915" s="8"/>
    </row>
    <row r="2916" spans="1:3">
      <c r="A2916" s="35"/>
      <c r="B2916" s="79"/>
      <c r="C2916" s="8"/>
    </row>
    <row r="2917" spans="1:3">
      <c r="A2917" s="35"/>
      <c r="B2917" s="79"/>
      <c r="C2917" s="8"/>
    </row>
    <row r="2918" spans="1:3">
      <c r="A2918" s="35"/>
      <c r="B2918" s="79"/>
      <c r="C2918" s="8"/>
    </row>
    <row r="2919" spans="1:3">
      <c r="A2919" s="35"/>
      <c r="B2919" s="79"/>
      <c r="C2919" s="8"/>
    </row>
    <row r="2920" spans="1:3">
      <c r="A2920" s="35"/>
      <c r="B2920" s="79"/>
      <c r="C2920" s="8"/>
    </row>
    <row r="2921" spans="1:3">
      <c r="A2921" s="35"/>
      <c r="B2921" s="79"/>
      <c r="C2921" s="8"/>
    </row>
    <row r="2922" spans="1:3">
      <c r="A2922" s="35"/>
      <c r="B2922" s="79"/>
      <c r="C2922" s="8"/>
    </row>
    <row r="2923" spans="1:3">
      <c r="A2923" s="35"/>
      <c r="B2923" s="79"/>
      <c r="C2923" s="8"/>
    </row>
    <row r="2924" spans="1:3">
      <c r="A2924" s="35"/>
      <c r="B2924" s="79"/>
      <c r="C2924" s="8"/>
    </row>
    <row r="2925" spans="1:3">
      <c r="A2925" s="35"/>
      <c r="B2925" s="79"/>
      <c r="C2925" s="8"/>
    </row>
    <row r="2926" spans="1:3">
      <c r="A2926" s="35"/>
      <c r="B2926" s="79"/>
      <c r="C2926" s="8"/>
    </row>
    <row r="2927" spans="1:3">
      <c r="A2927" s="35"/>
      <c r="B2927" s="79"/>
      <c r="C2927" s="8"/>
    </row>
    <row r="2928" spans="1:3">
      <c r="A2928" s="35"/>
      <c r="B2928" s="79"/>
      <c r="C2928" s="8"/>
    </row>
    <row r="2929" spans="1:3">
      <c r="A2929" s="35"/>
      <c r="B2929" s="79"/>
      <c r="C2929" s="8"/>
    </row>
    <row r="2930" spans="1:3">
      <c r="A2930" s="35"/>
      <c r="B2930" s="79"/>
      <c r="C2930" s="8"/>
    </row>
    <row r="2931" spans="1:3">
      <c r="A2931" s="35"/>
      <c r="B2931" s="79"/>
      <c r="C2931" s="8"/>
    </row>
    <row r="2932" spans="1:3">
      <c r="A2932" s="35"/>
      <c r="B2932" s="79"/>
      <c r="C2932" s="8"/>
    </row>
    <row r="2933" spans="1:3">
      <c r="A2933" s="35"/>
      <c r="B2933" s="79"/>
      <c r="C2933" s="8"/>
    </row>
    <row r="2934" spans="1:3">
      <c r="A2934" s="35"/>
      <c r="B2934" s="79"/>
      <c r="C2934" s="8"/>
    </row>
    <row r="2935" spans="1:3">
      <c r="A2935" s="35"/>
      <c r="B2935" s="79"/>
      <c r="C2935" s="8"/>
    </row>
    <row r="2936" spans="1:3">
      <c r="A2936" s="35"/>
      <c r="B2936" s="79"/>
      <c r="C2936" s="8"/>
    </row>
    <row r="2937" spans="1:3">
      <c r="A2937" s="35"/>
      <c r="B2937" s="79"/>
      <c r="C2937" s="8"/>
    </row>
    <row r="2938" spans="1:3">
      <c r="A2938" s="35"/>
      <c r="B2938" s="79"/>
      <c r="C2938" s="8"/>
    </row>
    <row r="2939" spans="1:3">
      <c r="A2939" s="35"/>
      <c r="B2939" s="79"/>
      <c r="C2939" s="8"/>
    </row>
    <row r="2940" spans="1:3">
      <c r="A2940" s="35"/>
      <c r="B2940" s="79"/>
      <c r="C2940" s="8"/>
    </row>
    <row r="2941" spans="1:3">
      <c r="A2941" s="35"/>
      <c r="B2941" s="79"/>
      <c r="C2941" s="8"/>
    </row>
    <row r="2942" spans="1:3">
      <c r="A2942" s="35"/>
      <c r="B2942" s="79"/>
      <c r="C2942" s="8"/>
    </row>
    <row r="2943" spans="1:3">
      <c r="A2943" s="35"/>
      <c r="B2943" s="79"/>
      <c r="C2943" s="8"/>
    </row>
    <row r="2944" spans="1:3">
      <c r="A2944" s="35"/>
      <c r="B2944" s="79"/>
      <c r="C2944" s="8"/>
    </row>
    <row r="2945" spans="1:3">
      <c r="A2945" s="35"/>
      <c r="B2945" s="79"/>
      <c r="C2945" s="8"/>
    </row>
    <row r="2946" spans="1:3">
      <c r="A2946" s="35"/>
      <c r="B2946" s="79"/>
      <c r="C2946" s="8"/>
    </row>
    <row r="2947" spans="1:3">
      <c r="A2947" s="35"/>
      <c r="B2947" s="79"/>
      <c r="C2947" s="8"/>
    </row>
    <row r="2948" spans="1:3">
      <c r="A2948" s="35"/>
      <c r="B2948" s="79"/>
      <c r="C2948" s="8"/>
    </row>
    <row r="2949" spans="1:3">
      <c r="A2949" s="35"/>
      <c r="B2949" s="79"/>
      <c r="C2949" s="8"/>
    </row>
    <row r="2950" spans="1:3">
      <c r="A2950" s="35"/>
      <c r="B2950" s="79"/>
      <c r="C2950" s="8"/>
    </row>
    <row r="2951" spans="1:3">
      <c r="A2951" s="35"/>
      <c r="B2951" s="79"/>
      <c r="C2951" s="8"/>
    </row>
    <row r="2952" spans="1:3">
      <c r="A2952" s="35"/>
      <c r="B2952" s="79"/>
      <c r="C2952" s="8"/>
    </row>
    <row r="2953" spans="1:3">
      <c r="A2953" s="35"/>
      <c r="B2953" s="79"/>
      <c r="C2953" s="8"/>
    </row>
    <row r="2954" spans="1:3">
      <c r="A2954" s="35"/>
      <c r="B2954" s="79"/>
      <c r="C2954" s="8"/>
    </row>
    <row r="2955" spans="1:3">
      <c r="A2955" s="35"/>
      <c r="B2955" s="79"/>
      <c r="C2955" s="8"/>
    </row>
    <row r="2956" spans="1:3">
      <c r="A2956" s="35"/>
      <c r="B2956" s="79"/>
      <c r="C2956" s="8"/>
    </row>
    <row r="2957" spans="1:3">
      <c r="A2957" s="35"/>
      <c r="B2957" s="79"/>
      <c r="C2957" s="8"/>
    </row>
    <row r="2958" spans="1:3">
      <c r="A2958" s="35"/>
      <c r="B2958" s="79"/>
      <c r="C2958" s="8"/>
    </row>
    <row r="2959" spans="1:3">
      <c r="A2959" s="35"/>
      <c r="B2959" s="79"/>
      <c r="C2959" s="8"/>
    </row>
    <row r="2960" spans="1:3">
      <c r="A2960" s="35"/>
      <c r="B2960" s="79"/>
      <c r="C2960" s="8"/>
    </row>
    <row r="2961" spans="1:3">
      <c r="A2961" s="35"/>
      <c r="B2961" s="79"/>
      <c r="C2961" s="8"/>
    </row>
    <row r="2962" spans="1:3">
      <c r="A2962" s="35"/>
      <c r="B2962" s="79"/>
      <c r="C2962" s="8"/>
    </row>
    <row r="2963" spans="1:3">
      <c r="A2963" s="35"/>
      <c r="B2963" s="79"/>
      <c r="C2963" s="8"/>
    </row>
    <row r="2964" spans="1:3">
      <c r="A2964" s="35"/>
      <c r="B2964" s="79"/>
      <c r="C2964" s="8"/>
    </row>
    <row r="2965" spans="1:3">
      <c r="A2965" s="35"/>
      <c r="B2965" s="79"/>
      <c r="C2965" s="8"/>
    </row>
    <row r="2966" spans="1:3">
      <c r="A2966" s="35"/>
      <c r="B2966" s="79"/>
      <c r="C2966" s="8"/>
    </row>
    <row r="2967" spans="1:3">
      <c r="A2967" s="35"/>
      <c r="B2967" s="79"/>
      <c r="C2967" s="8"/>
    </row>
    <row r="2968" spans="1:3">
      <c r="A2968" s="35"/>
      <c r="B2968" s="79"/>
      <c r="C2968" s="8"/>
    </row>
    <row r="2969" spans="1:3">
      <c r="A2969" s="35"/>
      <c r="B2969" s="79"/>
      <c r="C2969" s="8"/>
    </row>
    <row r="2970" spans="1:3">
      <c r="A2970" s="35"/>
      <c r="B2970" s="79"/>
      <c r="C2970" s="8"/>
    </row>
    <row r="2971" spans="1:3">
      <c r="A2971" s="35"/>
      <c r="B2971" s="79"/>
      <c r="C2971" s="8"/>
    </row>
    <row r="2972" spans="1:3">
      <c r="A2972" s="35"/>
      <c r="B2972" s="79"/>
      <c r="C2972" s="8"/>
    </row>
    <row r="2973" spans="1:3">
      <c r="A2973" s="35"/>
      <c r="B2973" s="79"/>
      <c r="C2973" s="8"/>
    </row>
    <row r="2974" spans="1:3">
      <c r="A2974" s="35"/>
      <c r="B2974" s="79"/>
      <c r="C2974" s="8"/>
    </row>
    <row r="2975" spans="1:3">
      <c r="A2975" s="35"/>
      <c r="B2975" s="79"/>
      <c r="C2975" s="8"/>
    </row>
    <row r="2976" spans="1:3">
      <c r="A2976" s="35"/>
      <c r="B2976" s="79"/>
      <c r="C2976" s="8"/>
    </row>
    <row r="2977" spans="1:3">
      <c r="A2977" s="35"/>
      <c r="B2977" s="79"/>
      <c r="C2977" s="8"/>
    </row>
    <row r="2978" spans="1:3">
      <c r="A2978" s="35"/>
      <c r="B2978" s="79"/>
      <c r="C2978" s="8"/>
    </row>
    <row r="2979" spans="1:3">
      <c r="A2979" s="35"/>
      <c r="B2979" s="79"/>
      <c r="C2979" s="8"/>
    </row>
    <row r="2980" spans="1:3">
      <c r="A2980" s="35"/>
      <c r="B2980" s="79"/>
      <c r="C2980" s="8"/>
    </row>
    <row r="2981" spans="1:3">
      <c r="A2981" s="35"/>
      <c r="B2981" s="79"/>
      <c r="C2981" s="8"/>
    </row>
    <row r="2982" spans="1:3">
      <c r="A2982" s="35"/>
      <c r="B2982" s="79"/>
      <c r="C2982" s="8"/>
    </row>
    <row r="2983" spans="1:3">
      <c r="A2983" s="35"/>
      <c r="B2983" s="79"/>
      <c r="C2983" s="8"/>
    </row>
    <row r="2984" spans="1:3">
      <c r="A2984" s="35"/>
      <c r="B2984" s="79"/>
      <c r="C2984" s="8"/>
    </row>
    <row r="2985" spans="1:3">
      <c r="A2985" s="35"/>
      <c r="B2985" s="79"/>
      <c r="C2985" s="8"/>
    </row>
    <row r="2986" spans="1:3">
      <c r="A2986" s="35"/>
      <c r="B2986" s="79"/>
      <c r="C2986" s="8"/>
    </row>
    <row r="2987" spans="1:3">
      <c r="A2987" s="35"/>
      <c r="B2987" s="79"/>
      <c r="C2987" s="8"/>
    </row>
    <row r="2988" spans="1:3">
      <c r="A2988" s="35"/>
      <c r="B2988" s="79"/>
      <c r="C2988" s="8"/>
    </row>
    <row r="2989" spans="1:3">
      <c r="A2989" s="35"/>
      <c r="B2989" s="79"/>
      <c r="C2989" s="8"/>
    </row>
    <row r="2990" spans="1:3">
      <c r="A2990" s="35"/>
      <c r="B2990" s="79"/>
      <c r="C2990" s="8"/>
    </row>
    <row r="2991" spans="1:3">
      <c r="A2991" s="35"/>
      <c r="B2991" s="79"/>
      <c r="C2991" s="8"/>
    </row>
    <row r="2992" spans="1:3">
      <c r="A2992" s="35"/>
      <c r="B2992" s="79"/>
      <c r="C2992" s="8"/>
    </row>
    <row r="2993" spans="1:3">
      <c r="A2993" s="35"/>
      <c r="B2993" s="79"/>
      <c r="C2993" s="8"/>
    </row>
    <row r="2994" spans="1:3">
      <c r="A2994" s="35"/>
      <c r="B2994" s="79"/>
      <c r="C2994" s="8"/>
    </row>
    <row r="2995" spans="1:3">
      <c r="A2995" s="35"/>
      <c r="B2995" s="79"/>
      <c r="C2995" s="8"/>
    </row>
    <row r="2996" spans="1:3">
      <c r="A2996" s="35"/>
      <c r="B2996" s="79"/>
      <c r="C2996" s="8"/>
    </row>
    <row r="2997" spans="1:3">
      <c r="A2997" s="35"/>
      <c r="B2997" s="79"/>
      <c r="C2997" s="8"/>
    </row>
    <row r="2998" spans="1:3">
      <c r="A2998" s="35"/>
      <c r="B2998" s="79"/>
      <c r="C2998" s="8"/>
    </row>
    <row r="2999" spans="1:3">
      <c r="A2999" s="35"/>
      <c r="B2999" s="79"/>
      <c r="C2999" s="8"/>
    </row>
    <row r="3000" spans="1:3">
      <c r="A3000" s="35"/>
      <c r="B3000" s="79"/>
      <c r="C3000" s="8"/>
    </row>
    <row r="3001" spans="1:3">
      <c r="A3001" s="35"/>
      <c r="B3001" s="79"/>
      <c r="C3001" s="8"/>
    </row>
    <row r="3002" spans="1:3">
      <c r="A3002" s="35"/>
      <c r="B3002" s="79"/>
      <c r="C3002" s="8"/>
    </row>
    <row r="3003" spans="1:3">
      <c r="A3003" s="35"/>
      <c r="B3003" s="79"/>
      <c r="C3003" s="8"/>
    </row>
    <row r="3004" spans="1:3">
      <c r="A3004" s="35"/>
      <c r="B3004" s="79"/>
      <c r="C3004" s="8"/>
    </row>
    <row r="3005" spans="1:3">
      <c r="A3005" s="35"/>
      <c r="B3005" s="79"/>
      <c r="C3005" s="8"/>
    </row>
    <row r="3006" spans="1:3">
      <c r="A3006" s="35"/>
      <c r="B3006" s="79"/>
      <c r="C3006" s="8"/>
    </row>
    <row r="3007" spans="1:3">
      <c r="A3007" s="35"/>
      <c r="B3007" s="79"/>
      <c r="C3007" s="8"/>
    </row>
    <row r="3008" spans="1:3">
      <c r="A3008" s="35"/>
      <c r="B3008" s="79"/>
      <c r="C3008" s="8"/>
    </row>
    <row r="3009" spans="1:3">
      <c r="A3009" s="35"/>
      <c r="B3009" s="79"/>
      <c r="C3009" s="8"/>
    </row>
    <row r="3010" spans="1:3">
      <c r="A3010" s="35"/>
      <c r="B3010" s="79"/>
      <c r="C3010" s="8"/>
    </row>
    <row r="3011" spans="1:3">
      <c r="A3011" s="35"/>
      <c r="B3011" s="79"/>
      <c r="C3011" s="8"/>
    </row>
    <row r="3012" spans="1:3">
      <c r="A3012" s="35"/>
      <c r="B3012" s="79"/>
      <c r="C3012" s="8"/>
    </row>
    <row r="3013" spans="1:3">
      <c r="A3013" s="35"/>
      <c r="B3013" s="79"/>
      <c r="C3013" s="8"/>
    </row>
    <row r="3014" spans="1:3">
      <c r="A3014" s="35"/>
      <c r="B3014" s="79"/>
      <c r="C3014" s="8"/>
    </row>
    <row r="3015" spans="1:3">
      <c r="A3015" s="35"/>
      <c r="B3015" s="79"/>
      <c r="C3015" s="8"/>
    </row>
    <row r="3016" spans="1:3">
      <c r="A3016" s="35"/>
      <c r="B3016" s="79"/>
      <c r="C3016" s="8"/>
    </row>
    <row r="3017" spans="1:3">
      <c r="A3017" s="35"/>
      <c r="B3017" s="79"/>
      <c r="C3017" s="8"/>
    </row>
    <row r="3018" spans="1:3">
      <c r="A3018" s="35"/>
      <c r="B3018" s="79"/>
      <c r="C3018" s="8"/>
    </row>
    <row r="3019" spans="1:3">
      <c r="A3019" s="35"/>
      <c r="B3019" s="79"/>
      <c r="C3019" s="8"/>
    </row>
    <row r="3020" spans="1:3">
      <c r="A3020" s="35"/>
      <c r="B3020" s="79"/>
      <c r="C3020" s="8"/>
    </row>
    <row r="3021" spans="1:3">
      <c r="A3021" s="35"/>
      <c r="B3021" s="79"/>
      <c r="C3021" s="8"/>
    </row>
    <row r="3022" spans="1:3">
      <c r="A3022" s="35"/>
      <c r="B3022" s="79"/>
      <c r="C3022" s="8"/>
    </row>
    <row r="3023" spans="1:3">
      <c r="A3023" s="35"/>
      <c r="B3023" s="79"/>
      <c r="C3023" s="8"/>
    </row>
    <row r="3024" spans="1:3">
      <c r="A3024" s="35"/>
      <c r="B3024" s="79"/>
      <c r="C3024" s="8"/>
    </row>
    <row r="3025" spans="1:3">
      <c r="A3025" s="35"/>
      <c r="B3025" s="79"/>
      <c r="C3025" s="8"/>
    </row>
    <row r="3026" spans="1:3">
      <c r="A3026" s="35"/>
      <c r="B3026" s="79"/>
      <c r="C3026" s="8"/>
    </row>
    <row r="3027" spans="1:3">
      <c r="A3027" s="35"/>
      <c r="B3027" s="79"/>
      <c r="C3027" s="8"/>
    </row>
    <row r="3028" spans="1:3">
      <c r="A3028" s="35"/>
      <c r="B3028" s="79"/>
      <c r="C3028" s="8"/>
    </row>
    <row r="3029" spans="1:3">
      <c r="A3029" s="35"/>
      <c r="B3029" s="79"/>
      <c r="C3029" s="8"/>
    </row>
    <row r="3030" spans="1:3">
      <c r="A3030" s="35"/>
      <c r="B3030" s="79"/>
      <c r="C3030" s="8"/>
    </row>
    <row r="3031" spans="1:3">
      <c r="A3031" s="35"/>
      <c r="B3031" s="79"/>
      <c r="C3031" s="8"/>
    </row>
    <row r="3032" spans="1:3">
      <c r="A3032" s="35"/>
      <c r="B3032" s="79"/>
      <c r="C3032" s="8"/>
    </row>
    <row r="3033" spans="1:3">
      <c r="A3033" s="35"/>
      <c r="B3033" s="79"/>
      <c r="C3033" s="8"/>
    </row>
    <row r="3034" spans="1:3">
      <c r="A3034" s="35"/>
      <c r="B3034" s="79"/>
      <c r="C3034" s="8"/>
    </row>
    <row r="3035" spans="1:3">
      <c r="A3035" s="35"/>
      <c r="B3035" s="79"/>
      <c r="C3035" s="8"/>
    </row>
    <row r="3036" spans="1:3">
      <c r="A3036" s="35"/>
      <c r="B3036" s="79"/>
      <c r="C3036" s="8"/>
    </row>
    <row r="3037" spans="1:3">
      <c r="A3037" s="35"/>
      <c r="B3037" s="79"/>
      <c r="C3037" s="8"/>
    </row>
    <row r="3038" spans="1:3">
      <c r="A3038" s="35"/>
      <c r="B3038" s="79"/>
      <c r="C3038" s="8"/>
    </row>
    <row r="3039" spans="1:3">
      <c r="A3039" s="35"/>
      <c r="B3039" s="79"/>
      <c r="C3039" s="8"/>
    </row>
    <row r="3040" spans="1:3">
      <c r="A3040" s="35"/>
      <c r="B3040" s="79"/>
      <c r="C3040" s="8"/>
    </row>
    <row r="3041" spans="1:3">
      <c r="A3041" s="35"/>
      <c r="B3041" s="79"/>
      <c r="C3041" s="8"/>
    </row>
    <row r="3042" spans="1:3">
      <c r="A3042" s="35"/>
      <c r="B3042" s="79"/>
      <c r="C3042" s="8"/>
    </row>
    <row r="3043" spans="1:3">
      <c r="A3043" s="35"/>
      <c r="B3043" s="79"/>
      <c r="C3043" s="8"/>
    </row>
    <row r="3044" spans="1:3">
      <c r="A3044" s="35"/>
      <c r="B3044" s="79"/>
      <c r="C3044" s="8"/>
    </row>
    <row r="3045" spans="1:3">
      <c r="A3045" s="35"/>
      <c r="B3045" s="79"/>
      <c r="C3045" s="8"/>
    </row>
    <row r="3046" spans="1:3">
      <c r="A3046" s="35"/>
      <c r="B3046" s="79"/>
      <c r="C3046" s="8"/>
    </row>
    <row r="3047" spans="1:3">
      <c r="A3047" s="35"/>
      <c r="B3047" s="79"/>
      <c r="C3047" s="8"/>
    </row>
    <row r="3048" spans="1:3">
      <c r="A3048" s="35"/>
      <c r="B3048" s="79"/>
      <c r="C3048" s="8"/>
    </row>
    <row r="3049" spans="1:3">
      <c r="A3049" s="35"/>
      <c r="B3049" s="79"/>
      <c r="C3049" s="8"/>
    </row>
    <row r="3050" spans="1:3">
      <c r="A3050" s="35"/>
      <c r="B3050" s="79"/>
      <c r="C3050" s="8"/>
    </row>
    <row r="3051" spans="1:3">
      <c r="A3051" s="35"/>
      <c r="B3051" s="79"/>
      <c r="C3051" s="8"/>
    </row>
    <row r="3052" spans="1:3">
      <c r="A3052" s="35"/>
      <c r="B3052" s="79"/>
      <c r="C3052" s="8"/>
    </row>
    <row r="3053" spans="1:3">
      <c r="A3053" s="35"/>
      <c r="B3053" s="79"/>
      <c r="C3053" s="8"/>
    </row>
    <row r="3054" spans="1:3">
      <c r="A3054" s="35"/>
      <c r="B3054" s="79"/>
      <c r="C3054" s="8"/>
    </row>
    <row r="3055" spans="1:3">
      <c r="A3055" s="35"/>
      <c r="B3055" s="79"/>
      <c r="C3055" s="8"/>
    </row>
    <row r="3056" spans="1:3">
      <c r="A3056" s="35"/>
      <c r="B3056" s="79"/>
      <c r="C3056" s="8"/>
    </row>
    <row r="3057" spans="1:3">
      <c r="A3057" s="35"/>
      <c r="B3057" s="79"/>
      <c r="C3057" s="8"/>
    </row>
    <row r="3058" spans="1:3">
      <c r="A3058" s="35"/>
      <c r="B3058" s="79"/>
      <c r="C3058" s="8"/>
    </row>
    <row r="3059" spans="1:3">
      <c r="A3059" s="35"/>
      <c r="B3059" s="79"/>
      <c r="C3059" s="8"/>
    </row>
    <row r="3060" spans="1:3">
      <c r="A3060" s="35"/>
      <c r="B3060" s="79"/>
      <c r="C3060" s="8"/>
    </row>
    <row r="3061" spans="1:3">
      <c r="A3061" s="35"/>
      <c r="B3061" s="79"/>
      <c r="C3061" s="8"/>
    </row>
    <row r="3062" spans="1:3">
      <c r="A3062" s="35"/>
      <c r="B3062" s="79"/>
      <c r="C3062" s="8"/>
    </row>
    <row r="3063" spans="1:3">
      <c r="A3063" s="35"/>
      <c r="B3063" s="79"/>
      <c r="C3063" s="8"/>
    </row>
    <row r="3064" spans="1:3">
      <c r="A3064" s="35"/>
      <c r="B3064" s="79"/>
      <c r="C3064" s="8"/>
    </row>
    <row r="3065" spans="1:3">
      <c r="A3065" s="35"/>
      <c r="B3065" s="79"/>
      <c r="C3065" s="8"/>
    </row>
    <row r="3066" spans="1:3">
      <c r="A3066" s="35"/>
      <c r="B3066" s="79"/>
      <c r="C3066" s="8"/>
    </row>
    <row r="3067" spans="1:3">
      <c r="A3067" s="35"/>
      <c r="B3067" s="79"/>
      <c r="C3067" s="8"/>
    </row>
    <row r="3068" spans="1:3">
      <c r="A3068" s="35"/>
      <c r="B3068" s="79"/>
      <c r="C3068" s="8"/>
    </row>
    <row r="3069" spans="1:3">
      <c r="A3069" s="35"/>
      <c r="B3069" s="79"/>
      <c r="C3069" s="8"/>
    </row>
    <row r="3070" spans="1:3">
      <c r="A3070" s="35"/>
      <c r="B3070" s="79"/>
      <c r="C3070" s="8"/>
    </row>
    <row r="3071" spans="1:3">
      <c r="A3071" s="35"/>
      <c r="B3071" s="79"/>
      <c r="C3071" s="8"/>
    </row>
    <row r="3072" spans="1:3">
      <c r="A3072" s="35"/>
      <c r="B3072" s="79"/>
      <c r="C3072" s="8"/>
    </row>
    <row r="3073" spans="1:3">
      <c r="A3073" s="35"/>
      <c r="B3073" s="79"/>
      <c r="C3073" s="8"/>
    </row>
    <row r="3074" spans="1:3">
      <c r="A3074" s="35"/>
      <c r="B3074" s="79"/>
      <c r="C3074" s="8"/>
    </row>
    <row r="3075" spans="1:3">
      <c r="A3075" s="35"/>
      <c r="B3075" s="79"/>
      <c r="C3075" s="8"/>
    </row>
    <row r="3076" spans="1:3">
      <c r="A3076" s="35"/>
      <c r="B3076" s="79"/>
      <c r="C3076" s="8"/>
    </row>
    <row r="3077" spans="1:3">
      <c r="A3077" s="35"/>
      <c r="B3077" s="79"/>
      <c r="C3077" s="8"/>
    </row>
    <row r="3078" spans="1:3">
      <c r="A3078" s="35"/>
      <c r="B3078" s="79"/>
      <c r="C3078" s="8"/>
    </row>
    <row r="3079" spans="1:3">
      <c r="A3079" s="35"/>
      <c r="B3079" s="79"/>
      <c r="C3079" s="8"/>
    </row>
    <row r="3080" spans="1:3">
      <c r="A3080" s="35"/>
      <c r="B3080" s="79"/>
      <c r="C3080" s="8"/>
    </row>
    <row r="3081" spans="1:3">
      <c r="A3081" s="35"/>
      <c r="B3081" s="79"/>
      <c r="C3081" s="8"/>
    </row>
    <row r="3082" spans="1:3">
      <c r="A3082" s="35"/>
      <c r="B3082" s="79"/>
      <c r="C3082" s="8"/>
    </row>
    <row r="3083" spans="1:3">
      <c r="A3083" s="35"/>
      <c r="B3083" s="79"/>
      <c r="C3083" s="8"/>
    </row>
    <row r="3084" spans="1:3">
      <c r="A3084" s="35"/>
      <c r="B3084" s="79"/>
      <c r="C3084" s="8"/>
    </row>
    <row r="3085" spans="1:3">
      <c r="A3085" s="35"/>
      <c r="B3085" s="79"/>
      <c r="C3085" s="8"/>
    </row>
    <row r="3086" spans="1:3">
      <c r="A3086" s="35"/>
      <c r="B3086" s="79"/>
      <c r="C3086" s="8"/>
    </row>
    <row r="3087" spans="1:3">
      <c r="A3087" s="35"/>
      <c r="B3087" s="79"/>
      <c r="C3087" s="8"/>
    </row>
    <row r="3088" spans="1:3">
      <c r="A3088" s="35"/>
      <c r="B3088" s="79"/>
      <c r="C3088" s="8"/>
    </row>
    <row r="3089" spans="1:3">
      <c r="A3089" s="35"/>
      <c r="B3089" s="79"/>
      <c r="C3089" s="8"/>
    </row>
    <row r="3090" spans="1:3">
      <c r="A3090" s="35"/>
      <c r="B3090" s="79"/>
      <c r="C3090" s="8"/>
    </row>
    <row r="3091" spans="1:3">
      <c r="A3091" s="35"/>
      <c r="B3091" s="79"/>
      <c r="C3091" s="8"/>
    </row>
    <row r="3092" spans="1:3">
      <c r="A3092" s="35"/>
      <c r="B3092" s="79"/>
      <c r="C3092" s="8"/>
    </row>
    <row r="3093" spans="1:3">
      <c r="A3093" s="35"/>
      <c r="B3093" s="79"/>
      <c r="C3093" s="8"/>
    </row>
    <row r="3094" spans="1:3">
      <c r="A3094" s="35"/>
      <c r="B3094" s="79"/>
      <c r="C3094" s="8"/>
    </row>
    <row r="3095" spans="1:3">
      <c r="A3095" s="35"/>
      <c r="B3095" s="79"/>
      <c r="C3095" s="8"/>
    </row>
    <row r="3096" spans="1:3">
      <c r="A3096" s="35"/>
      <c r="B3096" s="79"/>
      <c r="C3096" s="8"/>
    </row>
    <row r="3097" spans="1:3">
      <c r="A3097" s="35"/>
      <c r="B3097" s="79"/>
      <c r="C3097" s="8"/>
    </row>
    <row r="3098" spans="1:3">
      <c r="A3098" s="35"/>
      <c r="B3098" s="79"/>
      <c r="C3098" s="8"/>
    </row>
    <row r="3099" spans="1:3">
      <c r="A3099" s="35"/>
      <c r="B3099" s="79"/>
      <c r="C3099" s="8"/>
    </row>
    <row r="3100" spans="1:3">
      <c r="A3100" s="35"/>
      <c r="B3100" s="79"/>
      <c r="C3100" s="8"/>
    </row>
    <row r="3101" spans="1:3">
      <c r="A3101" s="35"/>
      <c r="B3101" s="79"/>
      <c r="C3101" s="8"/>
    </row>
    <row r="3102" spans="1:3">
      <c r="A3102" s="35"/>
      <c r="B3102" s="79"/>
      <c r="C3102" s="8"/>
    </row>
    <row r="3103" spans="1:3">
      <c r="A3103" s="35"/>
      <c r="B3103" s="79"/>
      <c r="C3103" s="8"/>
    </row>
    <row r="3104" spans="1:3">
      <c r="A3104" s="35"/>
      <c r="B3104" s="79"/>
      <c r="C3104" s="8"/>
    </row>
    <row r="3105" spans="1:3">
      <c r="A3105" s="35"/>
      <c r="B3105" s="79"/>
      <c r="C3105" s="8"/>
    </row>
    <row r="3106" spans="1:3">
      <c r="A3106" s="35"/>
      <c r="B3106" s="79"/>
      <c r="C3106" s="8"/>
    </row>
    <row r="3107" spans="1:3">
      <c r="A3107" s="35"/>
      <c r="B3107" s="79"/>
      <c r="C3107" s="8"/>
    </row>
    <row r="3108" spans="1:3">
      <c r="A3108" s="35"/>
      <c r="B3108" s="79"/>
      <c r="C3108" s="8"/>
    </row>
    <row r="3109" spans="1:3">
      <c r="A3109" s="35"/>
      <c r="B3109" s="79"/>
      <c r="C3109" s="8"/>
    </row>
    <row r="3110" spans="1:3">
      <c r="A3110" s="35"/>
      <c r="B3110" s="79"/>
      <c r="C3110" s="8"/>
    </row>
    <row r="3111" spans="1:3">
      <c r="A3111" s="35"/>
      <c r="B3111" s="79"/>
      <c r="C3111" s="8"/>
    </row>
    <row r="3112" spans="1:3">
      <c r="A3112" s="35"/>
      <c r="B3112" s="79"/>
      <c r="C3112" s="8"/>
    </row>
    <row r="3113" spans="1:3">
      <c r="A3113" s="35"/>
      <c r="B3113" s="79"/>
      <c r="C3113" s="8"/>
    </row>
    <row r="3114" spans="1:3">
      <c r="A3114" s="35"/>
      <c r="B3114" s="79"/>
      <c r="C3114" s="8"/>
    </row>
    <row r="3115" spans="1:3">
      <c r="A3115" s="35"/>
      <c r="B3115" s="79"/>
      <c r="C3115" s="8"/>
    </row>
    <row r="3116" spans="1:3">
      <c r="A3116" s="35"/>
      <c r="B3116" s="79"/>
      <c r="C3116" s="8"/>
    </row>
    <row r="3117" spans="1:3">
      <c r="A3117" s="35"/>
      <c r="B3117" s="79"/>
      <c r="C3117" s="8"/>
    </row>
    <row r="3118" spans="1:3">
      <c r="A3118" s="35"/>
      <c r="B3118" s="79"/>
      <c r="C3118" s="8"/>
    </row>
    <row r="3119" spans="1:3">
      <c r="A3119" s="35"/>
      <c r="B3119" s="79"/>
      <c r="C3119" s="8"/>
    </row>
    <row r="3120" spans="1:3">
      <c r="A3120" s="35"/>
      <c r="B3120" s="79"/>
      <c r="C3120" s="8"/>
    </row>
    <row r="3121" spans="1:3">
      <c r="A3121" s="35"/>
      <c r="B3121" s="79"/>
      <c r="C3121" s="8"/>
    </row>
    <row r="3122" spans="1:3">
      <c r="A3122" s="35"/>
      <c r="B3122" s="79"/>
      <c r="C3122" s="8"/>
    </row>
    <row r="3123" spans="1:3">
      <c r="A3123" s="35"/>
      <c r="B3123" s="79"/>
      <c r="C3123" s="8"/>
    </row>
    <row r="3124" spans="1:3">
      <c r="A3124" s="35"/>
      <c r="B3124" s="79"/>
      <c r="C3124" s="8"/>
    </row>
    <row r="3125" spans="1:3">
      <c r="A3125" s="35"/>
      <c r="B3125" s="79"/>
      <c r="C3125" s="8"/>
    </row>
    <row r="3126" spans="1:3">
      <c r="A3126" s="35"/>
      <c r="B3126" s="79"/>
      <c r="C3126" s="8"/>
    </row>
    <row r="3127" spans="1:3">
      <c r="A3127" s="35"/>
      <c r="B3127" s="79"/>
      <c r="C3127" s="8"/>
    </row>
    <row r="3128" spans="1:3">
      <c r="A3128" s="35"/>
      <c r="B3128" s="79"/>
      <c r="C3128" s="8"/>
    </row>
    <row r="3129" spans="1:3">
      <c r="A3129" s="35"/>
      <c r="B3129" s="79"/>
      <c r="C3129" s="8"/>
    </row>
    <row r="3130" spans="1:3">
      <c r="A3130" s="35"/>
      <c r="B3130" s="79"/>
      <c r="C3130" s="8"/>
    </row>
    <row r="3131" spans="1:3">
      <c r="A3131" s="35"/>
      <c r="B3131" s="79"/>
      <c r="C3131" s="8"/>
    </row>
    <row r="3132" spans="1:3">
      <c r="A3132" s="35"/>
      <c r="B3132" s="79"/>
      <c r="C3132" s="8"/>
    </row>
    <row r="3133" spans="1:3">
      <c r="A3133" s="35"/>
      <c r="B3133" s="79"/>
      <c r="C3133" s="8"/>
    </row>
    <row r="3134" spans="1:3">
      <c r="A3134" s="35"/>
      <c r="B3134" s="79"/>
      <c r="C3134" s="8"/>
    </row>
    <row r="3135" spans="1:3">
      <c r="A3135" s="35"/>
      <c r="B3135" s="79"/>
      <c r="C3135" s="8"/>
    </row>
    <row r="3136" spans="1:3">
      <c r="A3136" s="35"/>
      <c r="B3136" s="79"/>
      <c r="C3136" s="8"/>
    </row>
    <row r="3137" spans="1:3">
      <c r="A3137" s="35"/>
      <c r="B3137" s="79"/>
      <c r="C3137" s="8"/>
    </row>
    <row r="3138" spans="1:3">
      <c r="A3138" s="35"/>
      <c r="B3138" s="79"/>
      <c r="C3138" s="8"/>
    </row>
    <row r="3139" spans="1:3">
      <c r="A3139" s="35"/>
      <c r="B3139" s="79"/>
      <c r="C3139" s="8"/>
    </row>
    <row r="3140" spans="1:3">
      <c r="A3140" s="35"/>
      <c r="B3140" s="79"/>
      <c r="C3140" s="8"/>
    </row>
    <row r="3141" spans="1:3">
      <c r="A3141" s="35"/>
      <c r="B3141" s="79"/>
      <c r="C3141" s="8"/>
    </row>
    <row r="3142" spans="1:3">
      <c r="A3142" s="35"/>
      <c r="B3142" s="79"/>
      <c r="C3142" s="8"/>
    </row>
    <row r="3143" spans="1:3">
      <c r="A3143" s="35"/>
      <c r="B3143" s="79"/>
      <c r="C3143" s="8"/>
    </row>
    <row r="3144" spans="1:3">
      <c r="A3144" s="35"/>
      <c r="B3144" s="79"/>
      <c r="C3144" s="8"/>
    </row>
    <row r="3145" spans="1:3">
      <c r="A3145" s="35"/>
      <c r="B3145" s="79"/>
      <c r="C3145" s="8"/>
    </row>
    <row r="3146" spans="1:3">
      <c r="A3146" s="35"/>
      <c r="B3146" s="79"/>
      <c r="C3146" s="8"/>
    </row>
    <row r="3147" spans="1:3">
      <c r="A3147" s="35"/>
      <c r="B3147" s="79"/>
      <c r="C3147" s="8"/>
    </row>
    <row r="3148" spans="1:3">
      <c r="A3148" s="35"/>
      <c r="B3148" s="79"/>
      <c r="C3148" s="8"/>
    </row>
    <row r="3149" spans="1:3">
      <c r="A3149" s="35"/>
      <c r="B3149" s="79"/>
      <c r="C3149" s="8"/>
    </row>
    <row r="3150" spans="1:3">
      <c r="A3150" s="35"/>
      <c r="B3150" s="79"/>
      <c r="C3150" s="8"/>
    </row>
    <row r="3151" spans="1:3">
      <c r="A3151" s="35"/>
      <c r="B3151" s="79"/>
      <c r="C3151" s="8"/>
    </row>
    <row r="3152" spans="1:3">
      <c r="A3152" s="35"/>
      <c r="B3152" s="79"/>
      <c r="C3152" s="8"/>
    </row>
    <row r="3153" spans="1:3">
      <c r="A3153" s="35"/>
      <c r="B3153" s="79"/>
      <c r="C3153" s="8"/>
    </row>
    <row r="3154" spans="1:3">
      <c r="A3154" s="35"/>
      <c r="B3154" s="79"/>
      <c r="C3154" s="8"/>
    </row>
    <row r="3155" spans="1:3">
      <c r="A3155" s="35"/>
      <c r="B3155" s="79"/>
      <c r="C3155" s="8"/>
    </row>
    <row r="3156" spans="1:3">
      <c r="A3156" s="35"/>
      <c r="B3156" s="79"/>
      <c r="C3156" s="8"/>
    </row>
    <row r="3157" spans="1:3">
      <c r="A3157" s="35"/>
      <c r="B3157" s="79"/>
      <c r="C3157" s="8"/>
    </row>
    <row r="3158" spans="1:3">
      <c r="A3158" s="35"/>
      <c r="B3158" s="79"/>
      <c r="C3158" s="8"/>
    </row>
    <row r="3159" spans="1:3">
      <c r="A3159" s="35"/>
      <c r="B3159" s="79"/>
      <c r="C3159" s="8"/>
    </row>
    <row r="3160" spans="1:3">
      <c r="A3160" s="35"/>
      <c r="B3160" s="79"/>
      <c r="C3160" s="8"/>
    </row>
    <row r="3161" spans="1:3">
      <c r="A3161" s="35"/>
      <c r="B3161" s="79"/>
      <c r="C3161" s="8"/>
    </row>
    <row r="3162" spans="1:3">
      <c r="A3162" s="35"/>
      <c r="B3162" s="79"/>
      <c r="C3162" s="8"/>
    </row>
    <row r="3163" spans="1:3">
      <c r="A3163" s="35"/>
      <c r="B3163" s="79"/>
      <c r="C3163" s="8"/>
    </row>
    <row r="3164" spans="1:3">
      <c r="A3164" s="35"/>
      <c r="B3164" s="79"/>
      <c r="C3164" s="8"/>
    </row>
    <row r="3165" spans="1:3">
      <c r="A3165" s="35"/>
      <c r="B3165" s="79"/>
      <c r="C3165" s="8"/>
    </row>
    <row r="3166" spans="1:3">
      <c r="A3166" s="35"/>
      <c r="B3166" s="79"/>
      <c r="C3166" s="8"/>
    </row>
    <row r="3167" spans="1:3">
      <c r="A3167" s="35"/>
      <c r="B3167" s="79"/>
      <c r="C3167" s="8"/>
    </row>
    <row r="3168" spans="1:3">
      <c r="A3168" s="35"/>
      <c r="B3168" s="79"/>
      <c r="C3168" s="8"/>
    </row>
    <row r="3169" spans="1:3">
      <c r="A3169" s="35"/>
      <c r="B3169" s="79"/>
      <c r="C3169" s="8"/>
    </row>
    <row r="3170" spans="1:3">
      <c r="A3170" s="35"/>
      <c r="B3170" s="79"/>
      <c r="C3170" s="8"/>
    </row>
    <row r="3171" spans="1:3">
      <c r="A3171" s="35"/>
      <c r="B3171" s="79"/>
      <c r="C3171" s="8"/>
    </row>
    <row r="3172" spans="1:3">
      <c r="A3172" s="35"/>
      <c r="B3172" s="79"/>
      <c r="C3172" s="8"/>
    </row>
    <row r="3173" spans="1:3">
      <c r="A3173" s="35"/>
      <c r="B3173" s="79"/>
      <c r="C3173" s="8"/>
    </row>
    <row r="3174" spans="1:3">
      <c r="A3174" s="35"/>
      <c r="B3174" s="79"/>
      <c r="C3174" s="8"/>
    </row>
    <row r="3175" spans="1:3">
      <c r="A3175" s="35"/>
      <c r="B3175" s="79"/>
      <c r="C3175" s="8"/>
    </row>
    <row r="3176" spans="1:3">
      <c r="A3176" s="35"/>
      <c r="B3176" s="79"/>
      <c r="C3176" s="8"/>
    </row>
    <row r="3177" spans="1:3">
      <c r="A3177" s="35"/>
      <c r="B3177" s="79"/>
      <c r="C3177" s="8"/>
    </row>
    <row r="3178" spans="1:3">
      <c r="A3178" s="35"/>
      <c r="B3178" s="79"/>
      <c r="C3178" s="8"/>
    </row>
    <row r="3179" spans="1:3">
      <c r="A3179" s="35"/>
      <c r="B3179" s="79"/>
      <c r="C3179" s="8"/>
    </row>
    <row r="3180" spans="1:3">
      <c r="A3180" s="35"/>
      <c r="B3180" s="79"/>
      <c r="C3180" s="8"/>
    </row>
    <row r="3181" spans="1:3">
      <c r="A3181" s="35"/>
      <c r="B3181" s="79"/>
      <c r="C3181" s="8"/>
    </row>
    <row r="3182" spans="1:3">
      <c r="A3182" s="35"/>
      <c r="B3182" s="79"/>
      <c r="C3182" s="8"/>
    </row>
    <row r="3183" spans="1:3">
      <c r="A3183" s="35"/>
      <c r="B3183" s="79"/>
      <c r="C3183" s="8"/>
    </row>
    <row r="3184" spans="1:3">
      <c r="A3184" s="35"/>
      <c r="B3184" s="79"/>
      <c r="C3184" s="8"/>
    </row>
    <row r="3185" spans="1:3">
      <c r="A3185" s="35"/>
      <c r="B3185" s="79"/>
      <c r="C3185" s="8"/>
    </row>
    <row r="3186" spans="1:3">
      <c r="A3186" s="35"/>
      <c r="B3186" s="79"/>
      <c r="C3186" s="8"/>
    </row>
    <row r="3187" spans="1:3">
      <c r="A3187" s="35"/>
      <c r="B3187" s="79"/>
      <c r="C3187" s="8"/>
    </row>
    <row r="3188" spans="1:3">
      <c r="A3188" s="35"/>
      <c r="B3188" s="79"/>
      <c r="C3188" s="8"/>
    </row>
    <row r="3189" spans="1:3">
      <c r="A3189" s="35"/>
      <c r="B3189" s="79"/>
      <c r="C3189" s="8"/>
    </row>
    <row r="3190" spans="1:3">
      <c r="A3190" s="35"/>
      <c r="B3190" s="79"/>
      <c r="C3190" s="8"/>
    </row>
    <row r="3191" spans="1:3">
      <c r="A3191" s="35"/>
      <c r="B3191" s="79"/>
      <c r="C3191" s="8"/>
    </row>
    <row r="3192" spans="1:3">
      <c r="A3192" s="35"/>
      <c r="B3192" s="79"/>
      <c r="C3192" s="8"/>
    </row>
    <row r="3193" spans="1:3">
      <c r="A3193" s="35"/>
      <c r="B3193" s="79"/>
      <c r="C3193" s="8"/>
    </row>
    <row r="3194" spans="1:3">
      <c r="A3194" s="35"/>
      <c r="B3194" s="79"/>
      <c r="C3194" s="8"/>
    </row>
    <row r="3195" spans="1:3">
      <c r="A3195" s="35"/>
      <c r="B3195" s="79"/>
      <c r="C3195" s="8"/>
    </row>
    <row r="3196" spans="1:3">
      <c r="A3196" s="35"/>
      <c r="B3196" s="79"/>
      <c r="C3196" s="8"/>
    </row>
    <row r="3197" spans="1:3">
      <c r="A3197" s="35"/>
      <c r="B3197" s="79"/>
      <c r="C3197" s="8"/>
    </row>
    <row r="3198" spans="1:3">
      <c r="A3198" s="35"/>
      <c r="B3198" s="79"/>
      <c r="C3198" s="8"/>
    </row>
    <row r="3199" spans="1:3">
      <c r="A3199" s="35"/>
      <c r="B3199" s="79"/>
      <c r="C3199" s="8"/>
    </row>
    <row r="3200" spans="1:3">
      <c r="A3200" s="35"/>
      <c r="B3200" s="79"/>
      <c r="C3200" s="8"/>
    </row>
    <row r="3201" spans="1:3">
      <c r="A3201" s="35"/>
      <c r="B3201" s="79"/>
      <c r="C3201" s="8"/>
    </row>
    <row r="3202" spans="1:3">
      <c r="A3202" s="35"/>
      <c r="B3202" s="79"/>
      <c r="C3202" s="8"/>
    </row>
    <row r="3203" spans="1:3">
      <c r="A3203" s="35"/>
      <c r="B3203" s="79"/>
      <c r="C3203" s="8"/>
    </row>
    <row r="3204" spans="1:3">
      <c r="A3204" s="35"/>
      <c r="B3204" s="79"/>
      <c r="C3204" s="8"/>
    </row>
    <row r="3205" spans="1:3">
      <c r="A3205" s="35"/>
      <c r="B3205" s="79"/>
      <c r="C3205" s="8"/>
    </row>
    <row r="3206" spans="1:3">
      <c r="A3206" s="35"/>
      <c r="B3206" s="79"/>
      <c r="C3206" s="8"/>
    </row>
    <row r="3207" spans="1:3">
      <c r="A3207" s="35"/>
      <c r="B3207" s="79"/>
      <c r="C3207" s="8"/>
    </row>
    <row r="3208" spans="1:3">
      <c r="A3208" s="35"/>
      <c r="B3208" s="79"/>
      <c r="C3208" s="8"/>
    </row>
    <row r="3209" spans="1:3">
      <c r="A3209" s="35"/>
      <c r="B3209" s="79"/>
      <c r="C3209" s="8"/>
    </row>
    <row r="3210" spans="1:3">
      <c r="A3210" s="35"/>
      <c r="B3210" s="79"/>
      <c r="C3210" s="8"/>
    </row>
    <row r="3211" spans="1:3">
      <c r="A3211" s="35"/>
      <c r="B3211" s="79"/>
      <c r="C3211" s="8"/>
    </row>
    <row r="3212" spans="1:3">
      <c r="A3212" s="35"/>
      <c r="B3212" s="79"/>
      <c r="C3212" s="8"/>
    </row>
    <row r="3213" spans="1:3">
      <c r="A3213" s="35"/>
      <c r="B3213" s="79"/>
      <c r="C3213" s="8"/>
    </row>
    <row r="3214" spans="1:3">
      <c r="A3214" s="35"/>
      <c r="B3214" s="79"/>
      <c r="C3214" s="8"/>
    </row>
    <row r="3215" spans="1:3">
      <c r="A3215" s="35"/>
      <c r="B3215" s="79"/>
      <c r="C3215" s="8"/>
    </row>
    <row r="3216" spans="1:3">
      <c r="A3216" s="35"/>
      <c r="B3216" s="79"/>
      <c r="C3216" s="8"/>
    </row>
    <row r="3217" spans="1:3">
      <c r="A3217" s="35"/>
      <c r="B3217" s="79"/>
      <c r="C3217" s="8"/>
    </row>
    <row r="3218" spans="1:3">
      <c r="A3218" s="35"/>
      <c r="B3218" s="79"/>
      <c r="C3218" s="8"/>
    </row>
    <row r="3219" spans="1:3">
      <c r="A3219" s="35"/>
      <c r="B3219" s="79"/>
      <c r="C3219" s="8"/>
    </row>
    <row r="3220" spans="1:3">
      <c r="A3220" s="35"/>
      <c r="B3220" s="79"/>
      <c r="C3220" s="8"/>
    </row>
    <row r="3221" spans="1:3">
      <c r="A3221" s="35"/>
      <c r="B3221" s="79"/>
      <c r="C3221" s="8"/>
    </row>
    <row r="3222" spans="1:3">
      <c r="A3222" s="35"/>
      <c r="B3222" s="79"/>
      <c r="C3222" s="8"/>
    </row>
    <row r="3223" spans="1:3">
      <c r="A3223" s="35"/>
      <c r="B3223" s="79"/>
      <c r="C3223" s="8"/>
    </row>
    <row r="3224" spans="1:3">
      <c r="A3224" s="35"/>
      <c r="B3224" s="79"/>
      <c r="C3224" s="8"/>
    </row>
    <row r="3225" spans="1:3">
      <c r="A3225" s="35"/>
      <c r="B3225" s="79"/>
      <c r="C3225" s="8"/>
    </row>
    <row r="3226" spans="1:3">
      <c r="A3226" s="35"/>
      <c r="B3226" s="79"/>
      <c r="C3226" s="8"/>
    </row>
    <row r="3227" spans="1:3">
      <c r="A3227" s="35"/>
      <c r="B3227" s="79"/>
      <c r="C3227" s="8"/>
    </row>
    <row r="3228" spans="1:3">
      <c r="A3228" s="35"/>
      <c r="B3228" s="79"/>
      <c r="C3228" s="8"/>
    </row>
    <row r="3229" spans="1:3">
      <c r="A3229" s="35"/>
      <c r="B3229" s="79"/>
      <c r="C3229" s="8"/>
    </row>
    <row r="3230" spans="1:3">
      <c r="A3230" s="35"/>
      <c r="B3230" s="79"/>
      <c r="C3230" s="8"/>
    </row>
    <row r="3231" spans="1:3">
      <c r="A3231" s="35"/>
      <c r="B3231" s="79"/>
      <c r="C3231" s="8"/>
    </row>
    <row r="3232" spans="1:3">
      <c r="A3232" s="35"/>
      <c r="B3232" s="79"/>
      <c r="C3232" s="8"/>
    </row>
    <row r="3233" spans="1:3">
      <c r="A3233" s="35"/>
      <c r="B3233" s="79"/>
      <c r="C3233" s="8"/>
    </row>
    <row r="3234" spans="1:3">
      <c r="A3234" s="35"/>
      <c r="B3234" s="79"/>
      <c r="C3234" s="8"/>
    </row>
    <row r="3235" spans="1:3">
      <c r="A3235" s="35"/>
      <c r="B3235" s="79"/>
      <c r="C3235" s="8"/>
    </row>
    <row r="3236" spans="1:3">
      <c r="A3236" s="35"/>
      <c r="B3236" s="79"/>
      <c r="C3236" s="8"/>
    </row>
    <row r="3237" spans="1:3">
      <c r="A3237" s="35"/>
      <c r="B3237" s="79"/>
      <c r="C3237" s="8"/>
    </row>
    <row r="3238" spans="1:3">
      <c r="A3238" s="35"/>
      <c r="B3238" s="79"/>
      <c r="C3238" s="8"/>
    </row>
    <row r="3239" spans="1:3">
      <c r="A3239" s="35"/>
      <c r="B3239" s="79"/>
      <c r="C3239"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7211-52D0-4120-9613-76AFAA2609AB}">
  <dimension ref="A1:K234"/>
  <sheetViews>
    <sheetView topLeftCell="A72" workbookViewId="0">
      <selection activeCell="D81" sqref="D81"/>
    </sheetView>
  </sheetViews>
  <sheetFormatPr defaultRowHeight="14.4"/>
  <cols>
    <col min="1" max="1" width="21.5546875" customWidth="1"/>
    <col min="9" max="9" width="8.6640625" style="7"/>
    <col min="10" max="10" width="42" style="7" bestFit="1" customWidth="1"/>
    <col min="11" max="11" width="20.33203125" style="7" bestFit="1" customWidth="1"/>
  </cols>
  <sheetData>
    <row r="1" spans="1:11">
      <c r="A1" s="69" t="s">
        <v>996</v>
      </c>
      <c r="B1" s="69" t="s">
        <v>997</v>
      </c>
      <c r="C1" s="69" t="s">
        <v>998</v>
      </c>
      <c r="D1" s="69" t="s">
        <v>999</v>
      </c>
      <c r="I1" s="70" t="s">
        <v>1000</v>
      </c>
      <c r="J1" s="70" t="s">
        <v>35</v>
      </c>
      <c r="K1" s="70" t="s">
        <v>1001</v>
      </c>
    </row>
    <row r="2" spans="1:11">
      <c r="A2" s="69" t="s">
        <v>1002</v>
      </c>
      <c r="B2" s="69" t="s">
        <v>1003</v>
      </c>
      <c r="C2" s="69" t="s">
        <v>1004</v>
      </c>
      <c r="D2" s="69" t="s">
        <v>62</v>
      </c>
      <c r="I2" s="7">
        <v>1</v>
      </c>
      <c r="J2" s="7" t="s">
        <v>1005</v>
      </c>
      <c r="K2" s="7" t="s">
        <v>1006</v>
      </c>
    </row>
    <row r="3" spans="1:11">
      <c r="A3" s="69" t="s">
        <v>1007</v>
      </c>
      <c r="B3" s="69" t="s">
        <v>10</v>
      </c>
      <c r="C3" s="69" t="s">
        <v>1004</v>
      </c>
      <c r="D3" s="69" t="s">
        <v>358</v>
      </c>
      <c r="I3" s="7">
        <v>2</v>
      </c>
      <c r="J3" s="7" t="s">
        <v>1008</v>
      </c>
      <c r="K3" s="7" t="s">
        <v>1006</v>
      </c>
    </row>
    <row r="4" spans="1:11">
      <c r="A4" s="69" t="s">
        <v>1009</v>
      </c>
      <c r="B4" s="69" t="s">
        <v>1003</v>
      </c>
      <c r="C4" s="69" t="s">
        <v>1004</v>
      </c>
      <c r="D4" s="69" t="s">
        <v>929</v>
      </c>
      <c r="I4" s="7">
        <v>3</v>
      </c>
      <c r="J4" s="7" t="s">
        <v>1010</v>
      </c>
      <c r="K4" s="7" t="s">
        <v>1011</v>
      </c>
    </row>
    <row r="5" spans="1:11">
      <c r="A5" s="69" t="s">
        <v>1012</v>
      </c>
      <c r="B5" s="69" t="s">
        <v>1003</v>
      </c>
      <c r="C5" s="69" t="s">
        <v>1004</v>
      </c>
      <c r="D5" s="69" t="s">
        <v>62</v>
      </c>
      <c r="I5" s="7">
        <v>4</v>
      </c>
      <c r="J5" s="7" t="s">
        <v>1013</v>
      </c>
      <c r="K5" s="7" t="s">
        <v>1006</v>
      </c>
    </row>
    <row r="6" spans="1:11">
      <c r="A6" s="69" t="s">
        <v>1014</v>
      </c>
      <c r="B6" s="69" t="s">
        <v>1015</v>
      </c>
      <c r="C6" s="69" t="s">
        <v>1004</v>
      </c>
      <c r="D6" s="69" t="s">
        <v>748</v>
      </c>
      <c r="I6" s="7">
        <v>5</v>
      </c>
      <c r="J6" s="7" t="s">
        <v>1016</v>
      </c>
      <c r="K6" s="7" t="s">
        <v>720</v>
      </c>
    </row>
    <row r="7" spans="1:11">
      <c r="A7" s="69" t="s">
        <v>1017</v>
      </c>
      <c r="B7" s="69" t="s">
        <v>1015</v>
      </c>
      <c r="C7" s="69" t="s">
        <v>1004</v>
      </c>
      <c r="D7" s="69" t="s">
        <v>748</v>
      </c>
      <c r="I7" s="7">
        <v>6</v>
      </c>
      <c r="J7" s="7" t="s">
        <v>1018</v>
      </c>
      <c r="K7" s="7" t="s">
        <v>1006</v>
      </c>
    </row>
    <row r="8" spans="1:11">
      <c r="A8" s="69" t="s">
        <v>1019</v>
      </c>
      <c r="B8" s="69" t="s">
        <v>10</v>
      </c>
      <c r="C8" s="69" t="s">
        <v>1004</v>
      </c>
      <c r="D8" s="69" t="s">
        <v>358</v>
      </c>
      <c r="I8" s="7">
        <v>7</v>
      </c>
      <c r="J8" s="7" t="s">
        <v>1020</v>
      </c>
      <c r="K8" s="7" t="s">
        <v>1006</v>
      </c>
    </row>
    <row r="9" spans="1:11">
      <c r="A9" s="69" t="s">
        <v>1021</v>
      </c>
      <c r="B9" s="69" t="s">
        <v>10</v>
      </c>
      <c r="C9" s="69" t="s">
        <v>1004</v>
      </c>
      <c r="D9" s="69" t="s">
        <v>727</v>
      </c>
      <c r="I9" s="7">
        <v>8</v>
      </c>
      <c r="J9" s="7" t="s">
        <v>1022</v>
      </c>
      <c r="K9" s="7" t="s">
        <v>1006</v>
      </c>
    </row>
    <row r="10" spans="1:11">
      <c r="A10" s="69" t="s">
        <v>1023</v>
      </c>
      <c r="B10" s="69" t="s">
        <v>1015</v>
      </c>
      <c r="C10" s="69" t="s">
        <v>1004</v>
      </c>
      <c r="D10" s="69" t="s">
        <v>724</v>
      </c>
      <c r="I10" s="7">
        <v>9</v>
      </c>
      <c r="J10" s="7" t="s">
        <v>1024</v>
      </c>
      <c r="K10" s="7" t="s">
        <v>720</v>
      </c>
    </row>
    <row r="11" spans="1:11">
      <c r="A11" s="69" t="s">
        <v>1025</v>
      </c>
      <c r="B11" s="69" t="s">
        <v>13</v>
      </c>
      <c r="C11" s="69" t="s">
        <v>1004</v>
      </c>
      <c r="D11" s="69" t="s">
        <v>881</v>
      </c>
      <c r="I11" s="7">
        <v>10</v>
      </c>
      <c r="J11" s="7" t="s">
        <v>1026</v>
      </c>
      <c r="K11" s="7" t="s">
        <v>1011</v>
      </c>
    </row>
    <row r="12" spans="1:11">
      <c r="A12" s="69" t="s">
        <v>1027</v>
      </c>
      <c r="B12" s="69" t="s">
        <v>13</v>
      </c>
      <c r="C12" s="69" t="s">
        <v>1004</v>
      </c>
      <c r="D12" s="69" t="s">
        <v>24</v>
      </c>
      <c r="I12" s="7">
        <v>11</v>
      </c>
      <c r="J12" s="7" t="s">
        <v>1028</v>
      </c>
      <c r="K12" s="7" t="s">
        <v>720</v>
      </c>
    </row>
    <row r="13" spans="1:11">
      <c r="A13" s="69" t="s">
        <v>1029</v>
      </c>
      <c r="B13" s="69" t="s">
        <v>10</v>
      </c>
      <c r="C13" s="69" t="s">
        <v>1004</v>
      </c>
      <c r="D13" s="69" t="s">
        <v>767</v>
      </c>
      <c r="I13" s="7">
        <v>12</v>
      </c>
      <c r="J13" s="7" t="s">
        <v>1030</v>
      </c>
      <c r="K13" s="7" t="s">
        <v>779</v>
      </c>
    </row>
    <row r="14" spans="1:11">
      <c r="A14" s="69" t="s">
        <v>1031</v>
      </c>
      <c r="B14" s="69" t="s">
        <v>10</v>
      </c>
      <c r="C14" s="69" t="s">
        <v>1004</v>
      </c>
      <c r="D14" s="69" t="s">
        <v>358</v>
      </c>
      <c r="I14" s="7">
        <v>13</v>
      </c>
      <c r="J14" s="7" t="s">
        <v>1032</v>
      </c>
      <c r="K14" s="7" t="s">
        <v>1011</v>
      </c>
    </row>
    <row r="15" spans="1:11">
      <c r="A15" s="69" t="s">
        <v>1033</v>
      </c>
      <c r="B15" s="69" t="s">
        <v>1015</v>
      </c>
      <c r="C15" s="69" t="s">
        <v>1004</v>
      </c>
      <c r="D15" s="69" t="s">
        <v>724</v>
      </c>
      <c r="I15" s="7">
        <v>14</v>
      </c>
      <c r="J15" s="7" t="s">
        <v>1034</v>
      </c>
      <c r="K15" s="7" t="s">
        <v>720</v>
      </c>
    </row>
    <row r="16" spans="1:11">
      <c r="A16" s="69" t="s">
        <v>1035</v>
      </c>
      <c r="B16" s="69" t="s">
        <v>1003</v>
      </c>
      <c r="C16" s="69" t="s">
        <v>1004</v>
      </c>
      <c r="D16" s="69" t="s">
        <v>849</v>
      </c>
      <c r="I16" s="7">
        <v>15</v>
      </c>
      <c r="J16" s="7" t="s">
        <v>1036</v>
      </c>
      <c r="K16" s="7" t="s">
        <v>1006</v>
      </c>
    </row>
    <row r="17" spans="1:11">
      <c r="A17" s="69" t="s">
        <v>1037</v>
      </c>
      <c r="B17" s="69" t="s">
        <v>10</v>
      </c>
      <c r="C17" s="69" t="s">
        <v>1004</v>
      </c>
      <c r="D17" s="69" t="s">
        <v>801</v>
      </c>
      <c r="I17" s="7">
        <v>16</v>
      </c>
      <c r="J17" s="7" t="s">
        <v>1038</v>
      </c>
      <c r="K17" s="7" t="s">
        <v>779</v>
      </c>
    </row>
    <row r="18" spans="1:11">
      <c r="A18" s="69" t="s">
        <v>1039</v>
      </c>
      <c r="B18" s="69" t="s">
        <v>1003</v>
      </c>
      <c r="C18" s="69" t="s">
        <v>1004</v>
      </c>
      <c r="D18" s="69" t="s">
        <v>849</v>
      </c>
      <c r="I18" s="7">
        <v>17</v>
      </c>
      <c r="J18" s="7" t="s">
        <v>1040</v>
      </c>
      <c r="K18" s="7" t="s">
        <v>720</v>
      </c>
    </row>
    <row r="19" spans="1:11">
      <c r="A19" s="69" t="s">
        <v>1041</v>
      </c>
      <c r="B19" s="69" t="s">
        <v>10</v>
      </c>
      <c r="C19" s="69" t="s">
        <v>1004</v>
      </c>
      <c r="D19" s="69" t="s">
        <v>767</v>
      </c>
      <c r="I19" s="7">
        <v>18</v>
      </c>
      <c r="J19" s="7" t="s">
        <v>1042</v>
      </c>
      <c r="K19" s="7" t="s">
        <v>1006</v>
      </c>
    </row>
    <row r="20" spans="1:11">
      <c r="A20" s="69" t="s">
        <v>1043</v>
      </c>
      <c r="B20" s="69" t="s">
        <v>10</v>
      </c>
      <c r="C20" s="69" t="s">
        <v>1004</v>
      </c>
      <c r="D20" s="69" t="s">
        <v>767</v>
      </c>
      <c r="I20" s="7">
        <v>19</v>
      </c>
      <c r="J20" s="7" t="s">
        <v>1044</v>
      </c>
      <c r="K20" s="7" t="s">
        <v>720</v>
      </c>
    </row>
    <row r="21" spans="1:11">
      <c r="A21" s="69" t="s">
        <v>1045</v>
      </c>
      <c r="B21" s="69" t="s">
        <v>13</v>
      </c>
      <c r="C21" s="69" t="s">
        <v>1004</v>
      </c>
      <c r="D21" s="69" t="s">
        <v>24</v>
      </c>
      <c r="I21" s="7">
        <v>20</v>
      </c>
      <c r="J21" s="7" t="s">
        <v>1046</v>
      </c>
      <c r="K21" s="7" t="s">
        <v>786</v>
      </c>
    </row>
    <row r="22" spans="1:11">
      <c r="A22" s="69" t="s">
        <v>1047</v>
      </c>
      <c r="B22" s="69" t="s">
        <v>10</v>
      </c>
      <c r="C22" s="69" t="s">
        <v>1004</v>
      </c>
      <c r="D22" s="69" t="s">
        <v>767</v>
      </c>
      <c r="I22" s="7">
        <v>21</v>
      </c>
      <c r="J22" s="7" t="s">
        <v>1048</v>
      </c>
      <c r="K22" s="7" t="s">
        <v>1006</v>
      </c>
    </row>
    <row r="23" spans="1:11">
      <c r="A23" s="69" t="s">
        <v>1049</v>
      </c>
      <c r="B23" s="69" t="s">
        <v>1003</v>
      </c>
      <c r="C23" s="69" t="s">
        <v>1004</v>
      </c>
      <c r="D23" s="69" t="s">
        <v>33</v>
      </c>
      <c r="I23" s="7">
        <v>22</v>
      </c>
      <c r="J23" s="7" t="s">
        <v>1050</v>
      </c>
      <c r="K23" s="7" t="s">
        <v>786</v>
      </c>
    </row>
    <row r="24" spans="1:11">
      <c r="A24" s="69" t="s">
        <v>1051</v>
      </c>
      <c r="B24" s="69" t="s">
        <v>1015</v>
      </c>
      <c r="C24" s="69" t="s">
        <v>1004</v>
      </c>
      <c r="D24" s="69" t="s">
        <v>748</v>
      </c>
      <c r="I24" s="7">
        <v>23</v>
      </c>
      <c r="J24" s="7" t="s">
        <v>1052</v>
      </c>
      <c r="K24" s="7" t="s">
        <v>720</v>
      </c>
    </row>
    <row r="25" spans="1:11">
      <c r="A25" s="69" t="s">
        <v>1053</v>
      </c>
      <c r="B25" s="69" t="s">
        <v>13</v>
      </c>
      <c r="C25" s="69" t="s">
        <v>1004</v>
      </c>
      <c r="D25" s="69" t="s">
        <v>24</v>
      </c>
      <c r="I25" s="7">
        <v>24</v>
      </c>
      <c r="J25" s="7" t="s">
        <v>1054</v>
      </c>
      <c r="K25" s="7" t="s">
        <v>1006</v>
      </c>
    </row>
    <row r="26" spans="1:11">
      <c r="A26" s="69" t="s">
        <v>1055</v>
      </c>
      <c r="B26" s="69" t="s">
        <v>1003</v>
      </c>
      <c r="C26" s="69" t="s">
        <v>1004</v>
      </c>
      <c r="D26" s="69" t="s">
        <v>62</v>
      </c>
      <c r="I26" s="7">
        <v>25</v>
      </c>
      <c r="J26" s="7" t="s">
        <v>1056</v>
      </c>
      <c r="K26" s="7" t="s">
        <v>779</v>
      </c>
    </row>
    <row r="27" spans="1:11">
      <c r="A27" s="69" t="s">
        <v>1057</v>
      </c>
      <c r="B27" s="69" t="s">
        <v>10</v>
      </c>
      <c r="C27" s="69" t="s">
        <v>1004</v>
      </c>
      <c r="D27" s="69" t="s">
        <v>767</v>
      </c>
      <c r="I27" s="7">
        <v>26</v>
      </c>
      <c r="J27" s="7" t="s">
        <v>1058</v>
      </c>
      <c r="K27" s="7" t="s">
        <v>786</v>
      </c>
    </row>
    <row r="28" spans="1:11">
      <c r="A28" s="69" t="s">
        <v>1059</v>
      </c>
      <c r="B28" s="69" t="s">
        <v>13</v>
      </c>
      <c r="C28" s="69" t="s">
        <v>1004</v>
      </c>
      <c r="D28" s="69" t="s">
        <v>24</v>
      </c>
      <c r="I28" s="7">
        <v>27</v>
      </c>
      <c r="J28" s="7" t="s">
        <v>1060</v>
      </c>
      <c r="K28" s="7" t="s">
        <v>1011</v>
      </c>
    </row>
    <row r="29" spans="1:11">
      <c r="A29" s="69" t="s">
        <v>1061</v>
      </c>
      <c r="B29" s="69" t="s">
        <v>1003</v>
      </c>
      <c r="C29" s="69" t="s">
        <v>1004</v>
      </c>
      <c r="D29" s="69" t="s">
        <v>33</v>
      </c>
      <c r="I29" s="7">
        <v>28</v>
      </c>
      <c r="J29" s="7" t="s">
        <v>1062</v>
      </c>
      <c r="K29" s="7" t="s">
        <v>1006</v>
      </c>
    </row>
    <row r="30" spans="1:11">
      <c r="A30" s="69" t="s">
        <v>1063</v>
      </c>
      <c r="B30" s="69" t="s">
        <v>13</v>
      </c>
      <c r="C30" s="69" t="s">
        <v>1004</v>
      </c>
      <c r="D30" s="69" t="s">
        <v>24</v>
      </c>
      <c r="I30" s="7">
        <v>29</v>
      </c>
      <c r="J30" s="7" t="s">
        <v>1064</v>
      </c>
      <c r="K30" s="7" t="s">
        <v>1011</v>
      </c>
    </row>
    <row r="31" spans="1:11">
      <c r="A31" s="69" t="s">
        <v>1065</v>
      </c>
      <c r="B31" s="69" t="s">
        <v>10</v>
      </c>
      <c r="C31" s="69" t="s">
        <v>1066</v>
      </c>
      <c r="D31" s="69" t="s">
        <v>27</v>
      </c>
      <c r="I31" s="7">
        <v>30</v>
      </c>
      <c r="J31" s="7" t="s">
        <v>1067</v>
      </c>
      <c r="K31" s="7" t="s">
        <v>1011</v>
      </c>
    </row>
    <row r="32" spans="1:11">
      <c r="A32" s="69" t="s">
        <v>1068</v>
      </c>
      <c r="B32" s="69" t="s">
        <v>10</v>
      </c>
      <c r="C32" s="69" t="s">
        <v>1066</v>
      </c>
      <c r="D32" s="69" t="s">
        <v>727</v>
      </c>
      <c r="I32" s="7">
        <v>31</v>
      </c>
      <c r="J32" s="7" t="s">
        <v>1069</v>
      </c>
      <c r="K32" s="7" t="s">
        <v>1011</v>
      </c>
    </row>
    <row r="33" spans="1:11">
      <c r="A33" s="69" t="s">
        <v>1070</v>
      </c>
      <c r="B33" s="69" t="s">
        <v>10</v>
      </c>
      <c r="C33" s="69" t="s">
        <v>1066</v>
      </c>
      <c r="D33" s="69" t="s">
        <v>767</v>
      </c>
      <c r="I33" s="7">
        <v>32</v>
      </c>
      <c r="J33" s="7" t="s">
        <v>1071</v>
      </c>
      <c r="K33" s="7" t="s">
        <v>786</v>
      </c>
    </row>
    <row r="34" spans="1:11">
      <c r="A34" s="69" t="s">
        <v>1072</v>
      </c>
      <c r="B34" s="69" t="s">
        <v>10</v>
      </c>
      <c r="C34" s="69" t="s">
        <v>1066</v>
      </c>
      <c r="D34" s="69" t="s">
        <v>27</v>
      </c>
      <c r="I34" s="7">
        <v>33</v>
      </c>
      <c r="J34" s="7" t="s">
        <v>1073</v>
      </c>
      <c r="K34" s="7" t="s">
        <v>779</v>
      </c>
    </row>
    <row r="35" spans="1:11">
      <c r="A35" s="69" t="s">
        <v>1074</v>
      </c>
      <c r="B35" s="69" t="s">
        <v>10</v>
      </c>
      <c r="C35" s="69" t="s">
        <v>1066</v>
      </c>
      <c r="D35" s="69" t="s">
        <v>358</v>
      </c>
      <c r="I35" s="7">
        <v>34</v>
      </c>
      <c r="J35" s="7" t="s">
        <v>1075</v>
      </c>
      <c r="K35" s="7" t="s">
        <v>1011</v>
      </c>
    </row>
    <row r="36" spans="1:11">
      <c r="A36" s="69" t="s">
        <v>1076</v>
      </c>
      <c r="B36" s="69" t="s">
        <v>10</v>
      </c>
      <c r="C36" s="69" t="s">
        <v>1066</v>
      </c>
      <c r="D36" s="69" t="s">
        <v>27</v>
      </c>
      <c r="I36" s="7">
        <v>35</v>
      </c>
      <c r="J36" s="7" t="s">
        <v>1077</v>
      </c>
      <c r="K36" s="7" t="s">
        <v>1006</v>
      </c>
    </row>
    <row r="37" spans="1:11">
      <c r="A37" s="69" t="s">
        <v>1078</v>
      </c>
      <c r="B37" s="69" t="s">
        <v>10</v>
      </c>
      <c r="C37" s="69" t="s">
        <v>1066</v>
      </c>
      <c r="D37" s="69" t="s">
        <v>727</v>
      </c>
      <c r="I37" s="7">
        <v>36</v>
      </c>
      <c r="J37" s="7" t="s">
        <v>1079</v>
      </c>
      <c r="K37" s="7" t="s">
        <v>779</v>
      </c>
    </row>
    <row r="38" spans="1:11">
      <c r="A38" s="69" t="s">
        <v>1080</v>
      </c>
      <c r="B38" s="69" t="s">
        <v>10</v>
      </c>
      <c r="C38" s="69" t="s">
        <v>1066</v>
      </c>
      <c r="D38" s="69" t="s">
        <v>767</v>
      </c>
      <c r="I38" s="7">
        <v>37</v>
      </c>
      <c r="J38" s="7" t="s">
        <v>1081</v>
      </c>
      <c r="K38" s="7" t="s">
        <v>1011</v>
      </c>
    </row>
    <row r="39" spans="1:11">
      <c r="A39" s="69" t="s">
        <v>1082</v>
      </c>
      <c r="B39" s="69" t="s">
        <v>1015</v>
      </c>
      <c r="C39" s="69" t="s">
        <v>1066</v>
      </c>
      <c r="D39" s="69" t="s">
        <v>724</v>
      </c>
      <c r="I39" s="7">
        <v>38</v>
      </c>
      <c r="J39" s="7" t="s">
        <v>1083</v>
      </c>
      <c r="K39" s="7" t="s">
        <v>786</v>
      </c>
    </row>
    <row r="40" spans="1:11">
      <c r="A40" s="69" t="s">
        <v>1084</v>
      </c>
      <c r="B40" s="69" t="s">
        <v>1015</v>
      </c>
      <c r="C40" s="69" t="s">
        <v>1066</v>
      </c>
      <c r="D40" s="69" t="s">
        <v>724</v>
      </c>
      <c r="I40" s="7">
        <v>39</v>
      </c>
      <c r="J40" s="7" t="s">
        <v>1085</v>
      </c>
      <c r="K40" s="7" t="s">
        <v>1011</v>
      </c>
    </row>
    <row r="41" spans="1:11">
      <c r="A41" s="69" t="s">
        <v>1086</v>
      </c>
      <c r="B41" s="69" t="s">
        <v>10</v>
      </c>
      <c r="C41" s="69" t="s">
        <v>1066</v>
      </c>
      <c r="D41" s="69" t="s">
        <v>767</v>
      </c>
      <c r="I41" s="7">
        <v>40</v>
      </c>
      <c r="J41" s="7" t="s">
        <v>1087</v>
      </c>
      <c r="K41" s="7" t="s">
        <v>1006</v>
      </c>
    </row>
    <row r="42" spans="1:11">
      <c r="A42" s="69" t="s">
        <v>1088</v>
      </c>
      <c r="B42" s="69" t="s">
        <v>1003</v>
      </c>
      <c r="C42" s="69" t="s">
        <v>1004</v>
      </c>
      <c r="D42" s="69" t="s">
        <v>33</v>
      </c>
      <c r="I42" s="7">
        <v>41</v>
      </c>
      <c r="J42" s="7" t="s">
        <v>1089</v>
      </c>
      <c r="K42" s="7" t="s">
        <v>779</v>
      </c>
    </row>
    <row r="43" spans="1:11">
      <c r="A43" s="69" t="s">
        <v>1090</v>
      </c>
      <c r="B43" s="69" t="s">
        <v>1015</v>
      </c>
      <c r="C43" s="69" t="s">
        <v>1066</v>
      </c>
      <c r="D43" s="69" t="s">
        <v>724</v>
      </c>
      <c r="I43" s="7">
        <v>42</v>
      </c>
      <c r="J43" s="7" t="s">
        <v>1091</v>
      </c>
      <c r="K43" s="7" t="s">
        <v>779</v>
      </c>
    </row>
    <row r="44" spans="1:11">
      <c r="A44" s="69" t="s">
        <v>1092</v>
      </c>
      <c r="B44" s="69" t="s">
        <v>10</v>
      </c>
      <c r="C44" s="69" t="s">
        <v>1066</v>
      </c>
      <c r="D44" s="69" t="s">
        <v>727</v>
      </c>
      <c r="I44" s="7">
        <v>43</v>
      </c>
      <c r="J44" s="7" t="s">
        <v>1093</v>
      </c>
      <c r="K44" s="7" t="s">
        <v>1011</v>
      </c>
    </row>
    <row r="45" spans="1:11">
      <c r="A45" s="69" t="s">
        <v>1062</v>
      </c>
      <c r="B45" s="69" t="s">
        <v>10</v>
      </c>
      <c r="C45" s="69" t="s">
        <v>1066</v>
      </c>
      <c r="D45" s="69" t="s">
        <v>756</v>
      </c>
      <c r="I45" s="7">
        <v>44</v>
      </c>
      <c r="J45" s="7" t="s">
        <v>1094</v>
      </c>
      <c r="K45" s="7" t="s">
        <v>779</v>
      </c>
    </row>
    <row r="46" spans="1:11">
      <c r="A46" s="69" t="s">
        <v>1095</v>
      </c>
      <c r="B46" s="69" t="s">
        <v>1003</v>
      </c>
      <c r="C46" s="69" t="s">
        <v>1004</v>
      </c>
      <c r="D46" s="69" t="s">
        <v>714</v>
      </c>
      <c r="I46" s="7">
        <v>45</v>
      </c>
      <c r="J46" s="7" t="s">
        <v>1096</v>
      </c>
      <c r="K46" s="7" t="s">
        <v>786</v>
      </c>
    </row>
    <row r="47" spans="1:11">
      <c r="A47" s="69" t="s">
        <v>1048</v>
      </c>
      <c r="B47" s="69" t="s">
        <v>10</v>
      </c>
      <c r="C47" s="69" t="s">
        <v>1004</v>
      </c>
      <c r="D47" s="69" t="s">
        <v>756</v>
      </c>
      <c r="I47" s="7">
        <v>46</v>
      </c>
      <c r="J47" s="7" t="s">
        <v>1097</v>
      </c>
      <c r="K47" s="7" t="s">
        <v>1011</v>
      </c>
    </row>
    <row r="48" spans="1:11">
      <c r="A48" s="69" t="s">
        <v>1098</v>
      </c>
      <c r="B48" s="69" t="s">
        <v>1003</v>
      </c>
      <c r="C48" s="69" t="s">
        <v>1004</v>
      </c>
      <c r="D48" s="69" t="s">
        <v>756</v>
      </c>
      <c r="I48" s="7">
        <v>47</v>
      </c>
      <c r="J48" s="7" t="s">
        <v>1099</v>
      </c>
      <c r="K48" s="7" t="s">
        <v>1011</v>
      </c>
    </row>
    <row r="49" spans="1:11">
      <c r="A49" s="69" t="s">
        <v>1100</v>
      </c>
      <c r="B49" s="69" t="s">
        <v>1003</v>
      </c>
      <c r="C49" s="69" t="s">
        <v>1004</v>
      </c>
      <c r="D49" s="69" t="s">
        <v>849</v>
      </c>
      <c r="I49" s="7">
        <v>48</v>
      </c>
      <c r="J49" s="7" t="s">
        <v>1101</v>
      </c>
      <c r="K49" s="7" t="s">
        <v>1011</v>
      </c>
    </row>
    <row r="50" spans="1:11">
      <c r="A50" s="69" t="s">
        <v>1102</v>
      </c>
      <c r="B50" s="69" t="s">
        <v>13</v>
      </c>
      <c r="C50" s="69" t="s">
        <v>1004</v>
      </c>
      <c r="D50" s="69" t="s">
        <v>24</v>
      </c>
      <c r="I50" s="7">
        <v>49</v>
      </c>
      <c r="J50" s="7" t="s">
        <v>1103</v>
      </c>
      <c r="K50" s="7" t="s">
        <v>1006</v>
      </c>
    </row>
    <row r="51" spans="1:11">
      <c r="A51" s="69" t="s">
        <v>1104</v>
      </c>
      <c r="B51" s="69" t="s">
        <v>13</v>
      </c>
      <c r="C51" s="69" t="s">
        <v>1004</v>
      </c>
      <c r="D51" s="69" t="s">
        <v>24</v>
      </c>
      <c r="I51" s="7">
        <v>50</v>
      </c>
      <c r="J51" s="7" t="s">
        <v>1105</v>
      </c>
      <c r="K51" s="7" t="s">
        <v>720</v>
      </c>
    </row>
    <row r="52" spans="1:11">
      <c r="A52" s="69" t="s">
        <v>758</v>
      </c>
      <c r="B52" s="69" t="s">
        <v>1003</v>
      </c>
      <c r="C52" s="69" t="s">
        <v>1004</v>
      </c>
      <c r="D52" s="69" t="s">
        <v>714</v>
      </c>
      <c r="I52" s="7">
        <v>51</v>
      </c>
      <c r="J52" s="7" t="s">
        <v>778</v>
      </c>
      <c r="K52" s="7" t="s">
        <v>779</v>
      </c>
    </row>
    <row r="53" spans="1:11">
      <c r="A53" s="69" t="s">
        <v>1013</v>
      </c>
      <c r="B53" s="69" t="s">
        <v>10</v>
      </c>
      <c r="C53" s="69" t="s">
        <v>1066</v>
      </c>
      <c r="D53" s="69" t="s">
        <v>756</v>
      </c>
      <c r="I53" s="7">
        <v>52</v>
      </c>
      <c r="J53" s="7" t="s">
        <v>1106</v>
      </c>
      <c r="K53" s="7" t="s">
        <v>1011</v>
      </c>
    </row>
    <row r="54" spans="1:11">
      <c r="A54" s="69" t="s">
        <v>1107</v>
      </c>
      <c r="B54" s="69" t="s">
        <v>10</v>
      </c>
      <c r="C54" s="69" t="s">
        <v>1004</v>
      </c>
      <c r="D54" s="69" t="s">
        <v>767</v>
      </c>
      <c r="I54" s="7">
        <v>53</v>
      </c>
      <c r="J54" s="7" t="s">
        <v>1108</v>
      </c>
      <c r="K54" s="7" t="s">
        <v>1006</v>
      </c>
    </row>
    <row r="55" spans="1:11">
      <c r="A55" s="69" t="s">
        <v>1109</v>
      </c>
      <c r="B55" s="69" t="s">
        <v>13</v>
      </c>
      <c r="C55" s="69" t="s">
        <v>1004</v>
      </c>
      <c r="D55" s="69" t="s">
        <v>24</v>
      </c>
      <c r="I55" s="7">
        <v>54</v>
      </c>
      <c r="J55" s="7" t="s">
        <v>1110</v>
      </c>
      <c r="K55" s="7" t="s">
        <v>779</v>
      </c>
    </row>
    <row r="56" spans="1:11">
      <c r="A56" s="69" t="s">
        <v>284</v>
      </c>
      <c r="B56" s="69" t="s">
        <v>13</v>
      </c>
      <c r="C56" s="69" t="s">
        <v>1004</v>
      </c>
      <c r="D56" s="69" t="s">
        <v>24</v>
      </c>
      <c r="I56" s="7">
        <v>55</v>
      </c>
      <c r="J56" s="7" t="s">
        <v>1111</v>
      </c>
      <c r="K56" s="7" t="s">
        <v>720</v>
      </c>
    </row>
    <row r="57" spans="1:11">
      <c r="A57" s="69" t="s">
        <v>169</v>
      </c>
      <c r="B57" s="69" t="s">
        <v>13</v>
      </c>
      <c r="C57" s="69" t="s">
        <v>1004</v>
      </c>
      <c r="D57" s="69" t="s">
        <v>24</v>
      </c>
      <c r="I57" s="7">
        <v>56</v>
      </c>
      <c r="J57" s="7" t="s">
        <v>1112</v>
      </c>
      <c r="K57" s="7" t="s">
        <v>779</v>
      </c>
    </row>
    <row r="58" spans="1:11">
      <c r="A58" s="69" t="s">
        <v>1113</v>
      </c>
      <c r="B58" s="69" t="s">
        <v>13</v>
      </c>
      <c r="C58" s="69" t="s">
        <v>1004</v>
      </c>
      <c r="D58" s="69" t="s">
        <v>24</v>
      </c>
      <c r="I58" s="7">
        <v>57</v>
      </c>
      <c r="J58" s="7" t="s">
        <v>136</v>
      </c>
      <c r="K58" s="7" t="s">
        <v>720</v>
      </c>
    </row>
    <row r="59" spans="1:11">
      <c r="A59" s="69" t="s">
        <v>1114</v>
      </c>
      <c r="B59" s="69" t="s">
        <v>13</v>
      </c>
      <c r="C59" s="69" t="s">
        <v>1004</v>
      </c>
      <c r="D59" s="69" t="s">
        <v>24</v>
      </c>
      <c r="I59" s="7">
        <v>58</v>
      </c>
      <c r="J59" s="7" t="s">
        <v>1115</v>
      </c>
      <c r="K59" s="7" t="s">
        <v>786</v>
      </c>
    </row>
    <row r="60" spans="1:11">
      <c r="A60" s="69" t="s">
        <v>1116</v>
      </c>
      <c r="B60" s="69" t="s">
        <v>1003</v>
      </c>
      <c r="C60" s="69" t="s">
        <v>1004</v>
      </c>
      <c r="D60" s="69" t="s">
        <v>849</v>
      </c>
      <c r="I60" s="7">
        <v>59</v>
      </c>
      <c r="J60" s="7" t="s">
        <v>1117</v>
      </c>
      <c r="K60" s="7" t="s">
        <v>779</v>
      </c>
    </row>
    <row r="61" spans="1:11">
      <c r="A61" s="69" t="s">
        <v>1118</v>
      </c>
      <c r="B61" s="69" t="s">
        <v>10</v>
      </c>
      <c r="C61" s="69" t="s">
        <v>1004</v>
      </c>
      <c r="D61" s="69" t="s">
        <v>849</v>
      </c>
      <c r="I61" s="7">
        <v>60</v>
      </c>
      <c r="J61" s="7" t="s">
        <v>1119</v>
      </c>
      <c r="K61" s="7" t="s">
        <v>786</v>
      </c>
    </row>
    <row r="62" spans="1:11">
      <c r="A62" s="69" t="s">
        <v>1120</v>
      </c>
      <c r="B62" s="69" t="s">
        <v>1003</v>
      </c>
      <c r="C62" s="69" t="s">
        <v>1004</v>
      </c>
      <c r="D62" s="69" t="s">
        <v>714</v>
      </c>
      <c r="I62" s="7">
        <v>61</v>
      </c>
      <c r="J62" s="7" t="s">
        <v>1121</v>
      </c>
      <c r="K62" s="7" t="s">
        <v>786</v>
      </c>
    </row>
    <row r="63" spans="1:11">
      <c r="A63" s="69" t="s">
        <v>1122</v>
      </c>
      <c r="B63" s="69" t="s">
        <v>10</v>
      </c>
      <c r="C63" s="69" t="s">
        <v>1004</v>
      </c>
      <c r="D63" s="69" t="s">
        <v>27</v>
      </c>
      <c r="I63" s="7">
        <v>62</v>
      </c>
      <c r="J63" s="7" t="s">
        <v>1123</v>
      </c>
      <c r="K63" s="7" t="s">
        <v>779</v>
      </c>
    </row>
    <row r="64" spans="1:11">
      <c r="A64" s="69" t="s">
        <v>1124</v>
      </c>
      <c r="B64" s="69" t="s">
        <v>1015</v>
      </c>
      <c r="C64" s="69" t="s">
        <v>1004</v>
      </c>
      <c r="D64" s="69" t="s">
        <v>748</v>
      </c>
      <c r="I64" s="7">
        <v>63</v>
      </c>
      <c r="J64" s="7" t="s">
        <v>1125</v>
      </c>
      <c r="K64" s="7" t="s">
        <v>720</v>
      </c>
    </row>
    <row r="65" spans="1:11">
      <c r="A65" s="69" t="s">
        <v>1126</v>
      </c>
      <c r="B65" s="69" t="s">
        <v>1003</v>
      </c>
      <c r="C65" s="69" t="s">
        <v>1004</v>
      </c>
      <c r="D65" s="69" t="s">
        <v>929</v>
      </c>
      <c r="I65" s="7">
        <v>64</v>
      </c>
      <c r="J65" s="7" t="s">
        <v>1127</v>
      </c>
      <c r="K65" s="7" t="s">
        <v>1011</v>
      </c>
    </row>
    <row r="66" spans="1:11">
      <c r="A66" s="69" t="s">
        <v>1128</v>
      </c>
      <c r="B66" s="69" t="s">
        <v>1003</v>
      </c>
      <c r="C66" s="69" t="s">
        <v>1004</v>
      </c>
      <c r="D66" s="69" t="s">
        <v>929</v>
      </c>
      <c r="I66" s="7">
        <v>65</v>
      </c>
      <c r="J66" s="7" t="s">
        <v>1129</v>
      </c>
      <c r="K66" s="7" t="s">
        <v>786</v>
      </c>
    </row>
    <row r="67" spans="1:11">
      <c r="A67" s="69" t="s">
        <v>1130</v>
      </c>
      <c r="B67" s="69" t="s">
        <v>1003</v>
      </c>
      <c r="C67" s="69" t="s">
        <v>1004</v>
      </c>
      <c r="D67" s="69" t="s">
        <v>756</v>
      </c>
      <c r="I67" s="7">
        <v>66</v>
      </c>
      <c r="J67" s="7" t="s">
        <v>1131</v>
      </c>
      <c r="K67" s="7" t="s">
        <v>1006</v>
      </c>
    </row>
    <row r="68" spans="1:11">
      <c r="A68" s="69" t="s">
        <v>1132</v>
      </c>
      <c r="B68" s="69" t="s">
        <v>1003</v>
      </c>
      <c r="C68" s="69" t="s">
        <v>1004</v>
      </c>
      <c r="D68" s="69" t="s">
        <v>929</v>
      </c>
      <c r="I68" s="7">
        <v>67</v>
      </c>
      <c r="J68" s="7" t="s">
        <v>1130</v>
      </c>
      <c r="K68" s="7" t="s">
        <v>720</v>
      </c>
    </row>
    <row r="69" spans="1:11">
      <c r="A69" s="69" t="s">
        <v>1133</v>
      </c>
      <c r="B69" s="69" t="s">
        <v>1003</v>
      </c>
      <c r="C69" s="69" t="s">
        <v>1004</v>
      </c>
      <c r="D69" s="69" t="s">
        <v>929</v>
      </c>
      <c r="I69" s="7">
        <v>68</v>
      </c>
      <c r="J69" s="7" t="s">
        <v>1134</v>
      </c>
      <c r="K69" s="7" t="s">
        <v>1011</v>
      </c>
    </row>
    <row r="70" spans="1:11">
      <c r="A70" s="69" t="s">
        <v>1135</v>
      </c>
      <c r="B70" s="69" t="s">
        <v>10</v>
      </c>
      <c r="C70" s="69" t="s">
        <v>1004</v>
      </c>
      <c r="D70" s="69" t="s">
        <v>767</v>
      </c>
      <c r="I70" s="7">
        <v>69</v>
      </c>
      <c r="J70" s="7" t="s">
        <v>256</v>
      </c>
      <c r="K70" s="7" t="s">
        <v>720</v>
      </c>
    </row>
    <row r="71" spans="1:11">
      <c r="A71" s="69" t="s">
        <v>1136</v>
      </c>
      <c r="B71" s="69" t="s">
        <v>13</v>
      </c>
      <c r="C71" s="69" t="s">
        <v>1004</v>
      </c>
      <c r="D71" s="69" t="s">
        <v>24</v>
      </c>
      <c r="I71" s="7">
        <v>70</v>
      </c>
      <c r="J71" s="7" t="s">
        <v>1137</v>
      </c>
      <c r="K71" s="7" t="s">
        <v>786</v>
      </c>
    </row>
    <row r="72" spans="1:11">
      <c r="A72" s="69" t="s">
        <v>1028</v>
      </c>
      <c r="B72" s="69" t="s">
        <v>1003</v>
      </c>
      <c r="C72" s="69" t="s">
        <v>1004</v>
      </c>
      <c r="D72" s="69" t="s">
        <v>756</v>
      </c>
      <c r="I72" s="7">
        <v>71</v>
      </c>
      <c r="J72" s="7" t="s">
        <v>1138</v>
      </c>
      <c r="K72" s="7" t="s">
        <v>779</v>
      </c>
    </row>
    <row r="73" spans="1:11">
      <c r="A73" s="69" t="s">
        <v>1139</v>
      </c>
      <c r="B73" s="69" t="s">
        <v>1003</v>
      </c>
      <c r="C73" s="69" t="s">
        <v>1004</v>
      </c>
      <c r="D73" s="69" t="s">
        <v>33</v>
      </c>
      <c r="I73" s="7">
        <v>72</v>
      </c>
      <c r="J73" s="7" t="s">
        <v>1140</v>
      </c>
      <c r="K73" s="7" t="s">
        <v>779</v>
      </c>
    </row>
    <row r="74" spans="1:11">
      <c r="A74" s="69" t="s">
        <v>1141</v>
      </c>
      <c r="B74" s="69" t="s">
        <v>1003</v>
      </c>
      <c r="C74" s="69" t="s">
        <v>1004</v>
      </c>
      <c r="D74" s="69" t="s">
        <v>714</v>
      </c>
      <c r="I74" s="7">
        <v>73</v>
      </c>
      <c r="J74" s="7" t="s">
        <v>1142</v>
      </c>
      <c r="K74" s="7" t="s">
        <v>1006</v>
      </c>
    </row>
    <row r="75" spans="1:11">
      <c r="A75" s="69" t="s">
        <v>1143</v>
      </c>
      <c r="B75" s="69" t="s">
        <v>1003</v>
      </c>
      <c r="C75" s="69" t="s">
        <v>1004</v>
      </c>
      <c r="D75" s="69" t="s">
        <v>849</v>
      </c>
      <c r="I75" s="7">
        <v>74</v>
      </c>
      <c r="J75" s="7" t="s">
        <v>1144</v>
      </c>
      <c r="K75" s="7" t="s">
        <v>786</v>
      </c>
    </row>
    <row r="76" spans="1:11">
      <c r="A76" s="69" t="s">
        <v>1145</v>
      </c>
      <c r="B76" s="69" t="s">
        <v>1003</v>
      </c>
      <c r="C76" s="69" t="s">
        <v>1004</v>
      </c>
      <c r="D76" s="69" t="s">
        <v>33</v>
      </c>
      <c r="I76" s="7">
        <v>75</v>
      </c>
      <c r="J76" s="7" t="s">
        <v>1146</v>
      </c>
      <c r="K76" s="7" t="s">
        <v>786</v>
      </c>
    </row>
    <row r="77" spans="1:11">
      <c r="A77" s="69" t="s">
        <v>1147</v>
      </c>
      <c r="B77" s="69" t="s">
        <v>1003</v>
      </c>
      <c r="C77" s="69" t="s">
        <v>1004</v>
      </c>
      <c r="D77" s="69" t="s">
        <v>929</v>
      </c>
      <c r="I77" s="7">
        <v>76</v>
      </c>
      <c r="J77" s="7" t="s">
        <v>1148</v>
      </c>
      <c r="K77" s="7" t="s">
        <v>786</v>
      </c>
    </row>
    <row r="78" spans="1:11">
      <c r="A78" s="69" t="s">
        <v>1149</v>
      </c>
      <c r="B78" s="69" t="s">
        <v>1003</v>
      </c>
      <c r="C78" s="69" t="s">
        <v>1004</v>
      </c>
      <c r="D78" s="69" t="s">
        <v>756</v>
      </c>
      <c r="I78" s="7">
        <v>77</v>
      </c>
      <c r="J78" s="7" t="s">
        <v>1150</v>
      </c>
      <c r="K78" s="7" t="s">
        <v>786</v>
      </c>
    </row>
    <row r="79" spans="1:11">
      <c r="A79" s="69" t="s">
        <v>1151</v>
      </c>
      <c r="B79" s="69" t="s">
        <v>1003</v>
      </c>
      <c r="C79" s="69" t="s">
        <v>1004</v>
      </c>
      <c r="D79" s="69" t="s">
        <v>849</v>
      </c>
      <c r="I79" s="7">
        <v>78</v>
      </c>
      <c r="J79" s="7" t="s">
        <v>1149</v>
      </c>
      <c r="K79" s="7" t="s">
        <v>1011</v>
      </c>
    </row>
    <row r="80" spans="1:11">
      <c r="A80" s="69" t="s">
        <v>1152</v>
      </c>
      <c r="B80" s="69" t="s">
        <v>1003</v>
      </c>
      <c r="C80" s="69" t="s">
        <v>1004</v>
      </c>
      <c r="D80" s="69" t="s">
        <v>849</v>
      </c>
      <c r="I80" s="7">
        <v>79</v>
      </c>
      <c r="J80" s="7" t="s">
        <v>1153</v>
      </c>
      <c r="K80" s="7" t="s">
        <v>779</v>
      </c>
    </row>
    <row r="81" spans="1:11">
      <c r="A81" s="69" t="s">
        <v>1154</v>
      </c>
      <c r="B81" s="69" t="s">
        <v>1003</v>
      </c>
      <c r="C81" s="69" t="s">
        <v>1004</v>
      </c>
      <c r="D81" s="69" t="s">
        <v>714</v>
      </c>
      <c r="I81" s="7">
        <v>80</v>
      </c>
      <c r="J81" s="7" t="s">
        <v>1155</v>
      </c>
      <c r="K81" s="7" t="s">
        <v>1011</v>
      </c>
    </row>
    <row r="82" spans="1:11">
      <c r="A82" s="69" t="s">
        <v>1156</v>
      </c>
      <c r="B82" s="69" t="s">
        <v>1003</v>
      </c>
      <c r="C82" s="69" t="s">
        <v>1004</v>
      </c>
      <c r="D82" s="69" t="s">
        <v>33</v>
      </c>
      <c r="I82" s="7">
        <v>81</v>
      </c>
      <c r="J82" s="7" t="s">
        <v>1157</v>
      </c>
      <c r="K82" s="7" t="s">
        <v>1011</v>
      </c>
    </row>
    <row r="83" spans="1:11">
      <c r="A83" s="69" t="s">
        <v>1158</v>
      </c>
      <c r="B83" s="69" t="s">
        <v>1003</v>
      </c>
      <c r="C83" s="69" t="s">
        <v>1004</v>
      </c>
      <c r="D83" s="69" t="s">
        <v>714</v>
      </c>
      <c r="I83" s="7">
        <v>82</v>
      </c>
      <c r="J83" s="7" t="s">
        <v>1159</v>
      </c>
      <c r="K83" s="7" t="s">
        <v>720</v>
      </c>
    </row>
    <row r="84" spans="1:11">
      <c r="A84" s="69" t="s">
        <v>1160</v>
      </c>
      <c r="B84" s="69" t="s">
        <v>10</v>
      </c>
      <c r="C84" s="69" t="s">
        <v>1004</v>
      </c>
      <c r="D84" s="69" t="s">
        <v>756</v>
      </c>
      <c r="I84" s="7">
        <v>83</v>
      </c>
      <c r="J84" s="7" t="s">
        <v>1161</v>
      </c>
      <c r="K84" s="7" t="s">
        <v>786</v>
      </c>
    </row>
    <row r="85" spans="1:11">
      <c r="A85" s="69" t="s">
        <v>1162</v>
      </c>
      <c r="B85" s="69" t="s">
        <v>13</v>
      </c>
      <c r="C85" s="69" t="s">
        <v>1004</v>
      </c>
      <c r="D85" s="69" t="s">
        <v>24</v>
      </c>
      <c r="I85" s="7">
        <v>84</v>
      </c>
      <c r="J85" s="7" t="s">
        <v>1163</v>
      </c>
      <c r="K85" s="7" t="s">
        <v>720</v>
      </c>
    </row>
    <row r="86" spans="1:11">
      <c r="A86" s="69" t="s">
        <v>1164</v>
      </c>
      <c r="B86" s="69" t="s">
        <v>1003</v>
      </c>
      <c r="C86" s="69" t="s">
        <v>1004</v>
      </c>
      <c r="D86" s="69" t="s">
        <v>62</v>
      </c>
      <c r="I86" s="7">
        <v>85</v>
      </c>
      <c r="J86" s="7" t="s">
        <v>1165</v>
      </c>
      <c r="K86" s="7" t="s">
        <v>779</v>
      </c>
    </row>
    <row r="87" spans="1:11">
      <c r="A87" s="69" t="s">
        <v>1166</v>
      </c>
      <c r="B87" s="69" t="s">
        <v>10</v>
      </c>
      <c r="C87" s="69" t="s">
        <v>1004</v>
      </c>
      <c r="D87" s="69" t="s">
        <v>767</v>
      </c>
      <c r="I87" s="7">
        <v>86</v>
      </c>
      <c r="J87" s="7" t="s">
        <v>1167</v>
      </c>
      <c r="K87" s="7" t="s">
        <v>786</v>
      </c>
    </row>
    <row r="88" spans="1:11">
      <c r="A88" s="69" t="s">
        <v>1168</v>
      </c>
      <c r="B88" s="69" t="s">
        <v>13</v>
      </c>
      <c r="C88" s="69" t="s">
        <v>1004</v>
      </c>
      <c r="D88" s="69" t="s">
        <v>756</v>
      </c>
      <c r="I88" s="7">
        <v>87</v>
      </c>
      <c r="J88" s="7" t="s">
        <v>1169</v>
      </c>
      <c r="K88" s="7" t="s">
        <v>779</v>
      </c>
    </row>
    <row r="89" spans="1:11">
      <c r="A89" s="69" t="s">
        <v>1170</v>
      </c>
      <c r="B89" s="69" t="s">
        <v>1015</v>
      </c>
      <c r="C89" s="69" t="s">
        <v>1004</v>
      </c>
      <c r="D89" s="69" t="s">
        <v>1171</v>
      </c>
      <c r="I89" s="7">
        <v>88</v>
      </c>
      <c r="J89" s="7" t="s">
        <v>1168</v>
      </c>
      <c r="K89" s="7" t="s">
        <v>720</v>
      </c>
    </row>
    <row r="90" spans="1:11">
      <c r="A90" s="69" t="s">
        <v>1172</v>
      </c>
      <c r="B90" s="69" t="s">
        <v>1003</v>
      </c>
      <c r="C90" s="69" t="s">
        <v>1004</v>
      </c>
      <c r="D90" s="69" t="s">
        <v>714</v>
      </c>
      <c r="I90" s="7">
        <v>89</v>
      </c>
      <c r="J90" s="7" t="s">
        <v>1173</v>
      </c>
      <c r="K90" s="7" t="s">
        <v>720</v>
      </c>
    </row>
    <row r="91" spans="1:11">
      <c r="A91" s="69" t="s">
        <v>1174</v>
      </c>
      <c r="B91" s="69" t="s">
        <v>10</v>
      </c>
      <c r="C91" s="69" t="s">
        <v>1004</v>
      </c>
      <c r="D91" s="69" t="s">
        <v>727</v>
      </c>
      <c r="I91" s="7">
        <v>90</v>
      </c>
      <c r="J91" s="7" t="s">
        <v>1175</v>
      </c>
      <c r="K91" s="7" t="s">
        <v>779</v>
      </c>
    </row>
    <row r="92" spans="1:11">
      <c r="A92" s="69" t="s">
        <v>1144</v>
      </c>
      <c r="B92" s="69" t="s">
        <v>10</v>
      </c>
      <c r="C92" s="69" t="s">
        <v>1004</v>
      </c>
      <c r="D92" s="69" t="s">
        <v>756</v>
      </c>
      <c r="I92" s="7">
        <v>91</v>
      </c>
      <c r="J92" s="7" t="s">
        <v>1176</v>
      </c>
      <c r="K92" s="7" t="s">
        <v>786</v>
      </c>
    </row>
    <row r="93" spans="1:11">
      <c r="A93" s="69" t="s">
        <v>1034</v>
      </c>
      <c r="B93" s="69" t="s">
        <v>1003</v>
      </c>
      <c r="C93" s="69" t="s">
        <v>1004</v>
      </c>
      <c r="D93" s="69" t="s">
        <v>756</v>
      </c>
      <c r="I93" s="7">
        <v>92</v>
      </c>
      <c r="J93" s="7" t="s">
        <v>1098</v>
      </c>
      <c r="K93" s="7" t="s">
        <v>720</v>
      </c>
    </row>
    <row r="94" spans="1:11">
      <c r="A94" s="69" t="s">
        <v>1177</v>
      </c>
      <c r="B94" s="69" t="s">
        <v>10</v>
      </c>
      <c r="C94" s="69" t="s">
        <v>1004</v>
      </c>
      <c r="D94" s="69" t="s">
        <v>767</v>
      </c>
      <c r="I94" s="7">
        <v>93</v>
      </c>
      <c r="J94" s="7" t="s">
        <v>1178</v>
      </c>
      <c r="K94" s="7" t="s">
        <v>1006</v>
      </c>
    </row>
    <row r="95" spans="1:11">
      <c r="A95" s="69" t="s">
        <v>1179</v>
      </c>
      <c r="B95" s="69" t="s">
        <v>1003</v>
      </c>
      <c r="C95" s="69" t="s">
        <v>1004</v>
      </c>
      <c r="D95" s="69" t="s">
        <v>849</v>
      </c>
      <c r="I95" s="7">
        <v>94</v>
      </c>
      <c r="J95" s="7" t="s">
        <v>1180</v>
      </c>
      <c r="K95" s="7" t="s">
        <v>779</v>
      </c>
    </row>
    <row r="96" spans="1:11">
      <c r="A96" s="69" t="s">
        <v>1087</v>
      </c>
      <c r="B96" s="69" t="s">
        <v>10</v>
      </c>
      <c r="C96" s="69" t="s">
        <v>1004</v>
      </c>
      <c r="D96" s="69" t="s">
        <v>756</v>
      </c>
      <c r="I96" s="7">
        <v>95</v>
      </c>
      <c r="J96" s="7" t="s">
        <v>1181</v>
      </c>
      <c r="K96" s="7" t="s">
        <v>779</v>
      </c>
    </row>
    <row r="97" spans="1:11">
      <c r="A97" s="69" t="s">
        <v>1182</v>
      </c>
      <c r="B97" s="69" t="s">
        <v>10</v>
      </c>
      <c r="C97" s="69" t="s">
        <v>1004</v>
      </c>
      <c r="D97" s="69" t="s">
        <v>801</v>
      </c>
      <c r="I97" s="7">
        <v>96</v>
      </c>
      <c r="J97" s="7" t="s">
        <v>1183</v>
      </c>
      <c r="K97" s="7" t="s">
        <v>720</v>
      </c>
    </row>
    <row r="98" spans="1:11">
      <c r="A98" s="69" t="s">
        <v>1184</v>
      </c>
      <c r="B98" s="69" t="s">
        <v>13</v>
      </c>
      <c r="C98" s="69" t="s">
        <v>1004</v>
      </c>
      <c r="D98" s="69" t="s">
        <v>24</v>
      </c>
      <c r="I98" s="7">
        <v>97</v>
      </c>
      <c r="J98" s="7" t="s">
        <v>1185</v>
      </c>
      <c r="K98" s="7" t="s">
        <v>786</v>
      </c>
    </row>
    <row r="99" spans="1:11">
      <c r="A99" s="69" t="s">
        <v>1186</v>
      </c>
      <c r="B99" s="69" t="s">
        <v>13</v>
      </c>
      <c r="C99" s="69" t="s">
        <v>1004</v>
      </c>
      <c r="D99" s="69" t="s">
        <v>24</v>
      </c>
      <c r="I99" s="7">
        <v>98</v>
      </c>
      <c r="J99" s="7" t="s">
        <v>1187</v>
      </c>
      <c r="K99" s="7" t="s">
        <v>720</v>
      </c>
    </row>
    <row r="100" spans="1:11">
      <c r="A100" s="69" t="s">
        <v>910</v>
      </c>
      <c r="B100" s="69" t="s">
        <v>10</v>
      </c>
      <c r="C100" s="69" t="s">
        <v>1004</v>
      </c>
      <c r="D100" s="69" t="s">
        <v>767</v>
      </c>
    </row>
    <row r="101" spans="1:11">
      <c r="A101" s="69" t="s">
        <v>1050</v>
      </c>
      <c r="B101" s="69" t="s">
        <v>10</v>
      </c>
      <c r="C101" s="69" t="s">
        <v>1004</v>
      </c>
      <c r="D101" s="69" t="s">
        <v>756</v>
      </c>
    </row>
    <row r="102" spans="1:11">
      <c r="A102" s="69" t="s">
        <v>1188</v>
      </c>
      <c r="B102" s="69" t="s">
        <v>13</v>
      </c>
      <c r="C102" s="69" t="s">
        <v>1004</v>
      </c>
      <c r="D102" s="69" t="s">
        <v>24</v>
      </c>
    </row>
    <row r="103" spans="1:11">
      <c r="A103" s="69" t="s">
        <v>256</v>
      </c>
      <c r="B103" s="69" t="s">
        <v>10</v>
      </c>
      <c r="C103" s="69" t="s">
        <v>1004</v>
      </c>
      <c r="D103" s="69" t="s">
        <v>756</v>
      </c>
    </row>
    <row r="104" spans="1:11">
      <c r="A104" s="69" t="s">
        <v>1101</v>
      </c>
      <c r="B104" s="69" t="s">
        <v>1003</v>
      </c>
      <c r="C104" s="69" t="s">
        <v>1004</v>
      </c>
      <c r="D104" s="69" t="s">
        <v>756</v>
      </c>
    </row>
    <row r="105" spans="1:11">
      <c r="A105" s="69" t="s">
        <v>1189</v>
      </c>
      <c r="B105" s="69" t="s">
        <v>1003</v>
      </c>
      <c r="C105" s="69" t="s">
        <v>1004</v>
      </c>
      <c r="D105" s="69" t="s">
        <v>714</v>
      </c>
    </row>
    <row r="106" spans="1:11">
      <c r="A106" s="69" t="s">
        <v>1190</v>
      </c>
      <c r="B106" s="69" t="s">
        <v>1003</v>
      </c>
      <c r="C106" s="69" t="s">
        <v>1004</v>
      </c>
      <c r="D106" s="69" t="s">
        <v>849</v>
      </c>
    </row>
    <row r="107" spans="1:11">
      <c r="A107" s="69" t="s">
        <v>1191</v>
      </c>
      <c r="B107" s="69" t="s">
        <v>12</v>
      </c>
      <c r="C107" s="69" t="s">
        <v>1004</v>
      </c>
      <c r="D107" s="69" t="s">
        <v>714</v>
      </c>
    </row>
    <row r="108" spans="1:11">
      <c r="A108" s="69" t="s">
        <v>1192</v>
      </c>
      <c r="B108" s="69" t="s">
        <v>10</v>
      </c>
      <c r="C108" s="69" t="s">
        <v>1004</v>
      </c>
      <c r="D108" s="69" t="s">
        <v>799</v>
      </c>
    </row>
    <row r="109" spans="1:11">
      <c r="A109" s="69" t="s">
        <v>1077</v>
      </c>
      <c r="B109" s="69" t="s">
        <v>10</v>
      </c>
      <c r="C109" s="69" t="s">
        <v>1004</v>
      </c>
      <c r="D109" s="69" t="s">
        <v>756</v>
      </c>
    </row>
    <row r="110" spans="1:11">
      <c r="A110" s="69" t="s">
        <v>1093</v>
      </c>
      <c r="B110" s="69" t="s">
        <v>10</v>
      </c>
      <c r="C110" s="69" t="s">
        <v>1004</v>
      </c>
      <c r="D110" s="69" t="s">
        <v>756</v>
      </c>
    </row>
    <row r="111" spans="1:11">
      <c r="A111" s="69" t="s">
        <v>1193</v>
      </c>
      <c r="B111" s="69" t="s">
        <v>1003</v>
      </c>
      <c r="C111" s="69" t="s">
        <v>1004</v>
      </c>
      <c r="D111" s="69" t="s">
        <v>33</v>
      </c>
    </row>
    <row r="112" spans="1:11">
      <c r="A112" s="69" t="s">
        <v>1194</v>
      </c>
      <c r="B112" s="69" t="s">
        <v>10</v>
      </c>
      <c r="C112" s="69" t="s">
        <v>1004</v>
      </c>
      <c r="D112" s="69" t="s">
        <v>767</v>
      </c>
    </row>
    <row r="113" spans="1:4">
      <c r="A113" s="69" t="s">
        <v>1131</v>
      </c>
      <c r="B113" s="69" t="s">
        <v>1015</v>
      </c>
      <c r="C113" s="69" t="s">
        <v>1004</v>
      </c>
      <c r="D113" s="69" t="s">
        <v>756</v>
      </c>
    </row>
    <row r="114" spans="1:4">
      <c r="A114" s="69" t="s">
        <v>1195</v>
      </c>
      <c r="B114" s="69" t="s">
        <v>10</v>
      </c>
      <c r="C114" s="69" t="s">
        <v>1004</v>
      </c>
      <c r="D114" s="69" t="s">
        <v>1196</v>
      </c>
    </row>
    <row r="115" spans="1:4">
      <c r="A115" s="69" t="s">
        <v>136</v>
      </c>
      <c r="B115" s="69" t="s">
        <v>1003</v>
      </c>
      <c r="C115" s="69" t="s">
        <v>1004</v>
      </c>
      <c r="D115" s="69" t="s">
        <v>756</v>
      </c>
    </row>
    <row r="116" spans="1:4">
      <c r="A116" s="69" t="s">
        <v>1197</v>
      </c>
      <c r="B116" s="69" t="s">
        <v>1003</v>
      </c>
      <c r="C116" s="69" t="s">
        <v>1004</v>
      </c>
      <c r="D116" s="69" t="s">
        <v>33</v>
      </c>
    </row>
    <row r="117" spans="1:4">
      <c r="A117" s="69" t="s">
        <v>1121</v>
      </c>
      <c r="B117" s="69" t="s">
        <v>10</v>
      </c>
      <c r="C117" s="69" t="s">
        <v>1004</v>
      </c>
      <c r="D117" s="69" t="s">
        <v>756</v>
      </c>
    </row>
    <row r="118" spans="1:4">
      <c r="A118" s="69" t="s">
        <v>1026</v>
      </c>
      <c r="B118" s="69" t="s">
        <v>1003</v>
      </c>
      <c r="C118" s="69" t="s">
        <v>1004</v>
      </c>
      <c r="D118" s="69" t="s">
        <v>756</v>
      </c>
    </row>
    <row r="119" spans="1:4">
      <c r="A119" s="69" t="s">
        <v>1198</v>
      </c>
      <c r="B119" s="69" t="s">
        <v>13</v>
      </c>
      <c r="C119" s="69" t="s">
        <v>1004</v>
      </c>
      <c r="D119" s="69" t="s">
        <v>24</v>
      </c>
    </row>
    <row r="120" spans="1:4">
      <c r="A120" s="69" t="s">
        <v>1085</v>
      </c>
      <c r="B120" s="69" t="s">
        <v>1003</v>
      </c>
      <c r="C120" s="69" t="s">
        <v>1004</v>
      </c>
      <c r="D120" s="69" t="s">
        <v>756</v>
      </c>
    </row>
    <row r="121" spans="1:4">
      <c r="A121" s="69" t="s">
        <v>1199</v>
      </c>
      <c r="B121" s="69" t="s">
        <v>10</v>
      </c>
      <c r="C121" s="69" t="s">
        <v>1004</v>
      </c>
      <c r="D121" s="69" t="s">
        <v>1196</v>
      </c>
    </row>
    <row r="122" spans="1:4">
      <c r="A122" s="69" t="s">
        <v>1119</v>
      </c>
      <c r="B122" s="69" t="s">
        <v>10</v>
      </c>
      <c r="C122" s="69" t="s">
        <v>1004</v>
      </c>
      <c r="D122" s="69" t="s">
        <v>756</v>
      </c>
    </row>
    <row r="123" spans="1:4">
      <c r="A123" s="69" t="s">
        <v>1024</v>
      </c>
      <c r="B123" s="69" t="s">
        <v>1003</v>
      </c>
      <c r="C123" s="69" t="s">
        <v>1004</v>
      </c>
      <c r="D123" s="69" t="s">
        <v>756</v>
      </c>
    </row>
    <row r="124" spans="1:4">
      <c r="A124" s="69" t="s">
        <v>1036</v>
      </c>
      <c r="B124" s="69" t="s">
        <v>10</v>
      </c>
      <c r="C124" s="69" t="s">
        <v>1004</v>
      </c>
      <c r="D124" s="69" t="s">
        <v>756</v>
      </c>
    </row>
    <row r="125" spans="1:4">
      <c r="A125" s="69" t="s">
        <v>1099</v>
      </c>
      <c r="B125" s="69" t="s">
        <v>1003</v>
      </c>
      <c r="C125" s="69" t="s">
        <v>1004</v>
      </c>
      <c r="D125" s="69" t="s">
        <v>756</v>
      </c>
    </row>
    <row r="126" spans="1:4">
      <c r="A126" s="69" t="s">
        <v>1200</v>
      </c>
      <c r="B126" s="69" t="s">
        <v>10</v>
      </c>
      <c r="C126" s="69" t="s">
        <v>1004</v>
      </c>
      <c r="D126" s="69" t="s">
        <v>756</v>
      </c>
    </row>
    <row r="127" spans="1:4">
      <c r="A127" s="69" t="s">
        <v>1201</v>
      </c>
      <c r="B127" s="69" t="s">
        <v>10</v>
      </c>
      <c r="C127" s="69" t="s">
        <v>1004</v>
      </c>
      <c r="D127" s="69" t="s">
        <v>801</v>
      </c>
    </row>
    <row r="128" spans="1:4">
      <c r="A128" s="69" t="s">
        <v>1202</v>
      </c>
      <c r="B128" s="69" t="s">
        <v>1015</v>
      </c>
      <c r="C128" s="69" t="s">
        <v>1004</v>
      </c>
      <c r="D128" s="69" t="s">
        <v>1203</v>
      </c>
    </row>
    <row r="129" spans="1:4">
      <c r="A129" s="69" t="s">
        <v>1071</v>
      </c>
      <c r="B129" s="69" t="s">
        <v>10</v>
      </c>
      <c r="C129" s="69" t="s">
        <v>1004</v>
      </c>
      <c r="D129" s="69" t="s">
        <v>756</v>
      </c>
    </row>
    <row r="130" spans="1:4">
      <c r="A130" s="69" t="s">
        <v>1204</v>
      </c>
      <c r="B130" s="69" t="s">
        <v>13</v>
      </c>
      <c r="C130" s="69" t="s">
        <v>1004</v>
      </c>
      <c r="D130" s="69" t="s">
        <v>24</v>
      </c>
    </row>
    <row r="131" spans="1:4">
      <c r="A131" s="69" t="s">
        <v>1205</v>
      </c>
      <c r="B131" s="69" t="s">
        <v>10</v>
      </c>
      <c r="C131" s="69" t="s">
        <v>1004</v>
      </c>
      <c r="D131" s="69" t="s">
        <v>801</v>
      </c>
    </row>
    <row r="132" spans="1:4">
      <c r="A132" s="69" t="s">
        <v>1206</v>
      </c>
      <c r="B132" s="69" t="s">
        <v>1003</v>
      </c>
      <c r="C132" s="69" t="s">
        <v>1004</v>
      </c>
      <c r="D132" s="69" t="s">
        <v>33</v>
      </c>
    </row>
    <row r="133" spans="1:4">
      <c r="A133" s="69" t="s">
        <v>1187</v>
      </c>
      <c r="B133" s="69" t="s">
        <v>1003</v>
      </c>
      <c r="C133" s="69" t="s">
        <v>1004</v>
      </c>
      <c r="D133" s="69" t="s">
        <v>756</v>
      </c>
    </row>
    <row r="134" spans="1:4">
      <c r="A134" s="69" t="s">
        <v>1207</v>
      </c>
      <c r="B134" s="69" t="s">
        <v>1003</v>
      </c>
      <c r="C134" s="69" t="s">
        <v>1004</v>
      </c>
      <c r="D134" s="69" t="s">
        <v>33</v>
      </c>
    </row>
    <row r="135" spans="1:4">
      <c r="A135" s="69" t="s">
        <v>1094</v>
      </c>
      <c r="B135" s="69" t="s">
        <v>10</v>
      </c>
      <c r="C135" s="69" t="s">
        <v>1004</v>
      </c>
      <c r="D135" s="69" t="s">
        <v>756</v>
      </c>
    </row>
    <row r="136" spans="1:4">
      <c r="A136" s="69" t="s">
        <v>1064</v>
      </c>
      <c r="B136" s="69" t="s">
        <v>1003</v>
      </c>
      <c r="C136" s="69" t="s">
        <v>1004</v>
      </c>
      <c r="D136" s="69" t="s">
        <v>756</v>
      </c>
    </row>
    <row r="137" spans="1:4">
      <c r="A137" s="69" t="s">
        <v>1208</v>
      </c>
      <c r="B137" s="69" t="s">
        <v>10</v>
      </c>
      <c r="C137" s="69" t="s">
        <v>1004</v>
      </c>
      <c r="D137" s="69" t="s">
        <v>767</v>
      </c>
    </row>
    <row r="138" spans="1:4">
      <c r="A138" s="69" t="s">
        <v>1209</v>
      </c>
      <c r="B138" s="69" t="s">
        <v>13</v>
      </c>
      <c r="C138" s="69" t="s">
        <v>1004</v>
      </c>
      <c r="D138" s="69" t="s">
        <v>24</v>
      </c>
    </row>
    <row r="139" spans="1:4">
      <c r="A139" s="69" t="s">
        <v>1138</v>
      </c>
      <c r="B139" s="69" t="s">
        <v>1015</v>
      </c>
      <c r="C139" s="69" t="s">
        <v>1004</v>
      </c>
      <c r="D139" s="69" t="s">
        <v>756</v>
      </c>
    </row>
    <row r="140" spans="1:4">
      <c r="A140" s="69" t="s">
        <v>1210</v>
      </c>
      <c r="B140" s="69" t="s">
        <v>1003</v>
      </c>
      <c r="C140" s="69" t="s">
        <v>1004</v>
      </c>
      <c r="D140" s="69" t="s">
        <v>33</v>
      </c>
    </row>
    <row r="141" spans="1:4">
      <c r="A141" s="69" t="s">
        <v>1211</v>
      </c>
      <c r="B141" s="69" t="s">
        <v>1003</v>
      </c>
      <c r="C141" s="69" t="s">
        <v>1004</v>
      </c>
      <c r="D141" s="69" t="s">
        <v>929</v>
      </c>
    </row>
    <row r="142" spans="1:4">
      <c r="A142" s="69" t="s">
        <v>1212</v>
      </c>
      <c r="B142" s="69" t="s">
        <v>1003</v>
      </c>
      <c r="C142" s="69" t="s">
        <v>1004</v>
      </c>
      <c r="D142" s="69" t="s">
        <v>33</v>
      </c>
    </row>
    <row r="143" spans="1:4">
      <c r="A143" s="69" t="s">
        <v>1213</v>
      </c>
      <c r="B143" s="69" t="s">
        <v>1003</v>
      </c>
      <c r="C143" s="69" t="s">
        <v>1004</v>
      </c>
      <c r="D143" s="69" t="s">
        <v>756</v>
      </c>
    </row>
    <row r="144" spans="1:4">
      <c r="A144" s="69" t="s">
        <v>1214</v>
      </c>
      <c r="B144" s="69" t="s">
        <v>10</v>
      </c>
      <c r="C144" s="69" t="s">
        <v>1004</v>
      </c>
      <c r="D144" s="69" t="s">
        <v>756</v>
      </c>
    </row>
    <row r="145" spans="1:4">
      <c r="A145" s="69" t="s">
        <v>1215</v>
      </c>
      <c r="B145" s="69" t="s">
        <v>1015</v>
      </c>
      <c r="C145" s="69" t="s">
        <v>1066</v>
      </c>
      <c r="D145" s="69" t="s">
        <v>724</v>
      </c>
    </row>
    <row r="146" spans="1:4">
      <c r="A146" s="69" t="s">
        <v>1216</v>
      </c>
      <c r="B146" s="69" t="s">
        <v>10</v>
      </c>
      <c r="C146" s="69" t="s">
        <v>1004</v>
      </c>
      <c r="D146" s="69" t="s">
        <v>756</v>
      </c>
    </row>
    <row r="147" spans="1:4">
      <c r="A147" s="69" t="s">
        <v>1217</v>
      </c>
      <c r="B147" s="69" t="s">
        <v>10</v>
      </c>
      <c r="C147" s="69" t="s">
        <v>1004</v>
      </c>
      <c r="D147" s="69" t="s">
        <v>727</v>
      </c>
    </row>
    <row r="148" spans="1:4">
      <c r="A148" s="69" t="s">
        <v>1218</v>
      </c>
      <c r="B148" s="69" t="s">
        <v>1003</v>
      </c>
      <c r="C148" s="69" t="s">
        <v>1004</v>
      </c>
      <c r="D148" s="69" t="s">
        <v>929</v>
      </c>
    </row>
    <row r="149" spans="1:4">
      <c r="A149" s="69" t="s">
        <v>1161</v>
      </c>
      <c r="B149" s="69" t="s">
        <v>10</v>
      </c>
      <c r="C149" s="69" t="s">
        <v>1004</v>
      </c>
      <c r="D149" s="69" t="s">
        <v>756</v>
      </c>
    </row>
    <row r="150" spans="1:4">
      <c r="A150" s="69" t="s">
        <v>1219</v>
      </c>
      <c r="B150" s="69" t="s">
        <v>1003</v>
      </c>
      <c r="C150" s="69" t="s">
        <v>1004</v>
      </c>
      <c r="D150" s="69" t="s">
        <v>929</v>
      </c>
    </row>
    <row r="151" spans="1:4">
      <c r="A151" s="69" t="s">
        <v>1220</v>
      </c>
      <c r="B151" s="69" t="s">
        <v>10</v>
      </c>
      <c r="C151" s="69" t="s">
        <v>1004</v>
      </c>
      <c r="D151" s="69" t="s">
        <v>756</v>
      </c>
    </row>
    <row r="152" spans="1:4">
      <c r="A152" s="69" t="s">
        <v>1163</v>
      </c>
      <c r="B152" s="69" t="s">
        <v>1003</v>
      </c>
      <c r="C152" s="69" t="s">
        <v>1004</v>
      </c>
      <c r="D152" s="69" t="s">
        <v>756</v>
      </c>
    </row>
    <row r="153" spans="1:4">
      <c r="A153" s="69" t="s">
        <v>1022</v>
      </c>
      <c r="B153" s="69" t="s">
        <v>10</v>
      </c>
      <c r="C153" s="69" t="s">
        <v>1004</v>
      </c>
      <c r="D153" s="69" t="s">
        <v>756</v>
      </c>
    </row>
    <row r="154" spans="1:4">
      <c r="A154" s="69" t="s">
        <v>1221</v>
      </c>
      <c r="B154" s="69" t="s">
        <v>10</v>
      </c>
      <c r="C154" s="69" t="s">
        <v>1004</v>
      </c>
      <c r="D154" s="69" t="s">
        <v>727</v>
      </c>
    </row>
    <row r="155" spans="1:4">
      <c r="A155" s="69" t="s">
        <v>1016</v>
      </c>
      <c r="B155" s="69" t="s">
        <v>1003</v>
      </c>
      <c r="C155" s="69" t="s">
        <v>1004</v>
      </c>
      <c r="D155" s="69" t="s">
        <v>756</v>
      </c>
    </row>
    <row r="156" spans="1:4">
      <c r="A156" s="69" t="s">
        <v>1222</v>
      </c>
      <c r="B156" s="69" t="s">
        <v>13</v>
      </c>
      <c r="C156" s="69" t="s">
        <v>1004</v>
      </c>
      <c r="D156" s="69" t="s">
        <v>24</v>
      </c>
    </row>
    <row r="157" spans="1:4">
      <c r="A157" s="69" t="s">
        <v>1054</v>
      </c>
      <c r="B157" s="69" t="s">
        <v>10</v>
      </c>
      <c r="C157" s="69" t="s">
        <v>1004</v>
      </c>
      <c r="D157" s="69" t="s">
        <v>756</v>
      </c>
    </row>
    <row r="158" spans="1:4">
      <c r="A158" s="69" t="s">
        <v>1223</v>
      </c>
      <c r="B158" s="69" t="s">
        <v>10</v>
      </c>
      <c r="C158" s="69" t="s">
        <v>1004</v>
      </c>
      <c r="D158" s="69" t="s">
        <v>756</v>
      </c>
    </row>
    <row r="159" spans="1:4">
      <c r="A159" s="69" t="s">
        <v>1091</v>
      </c>
      <c r="B159" s="69" t="s">
        <v>1015</v>
      </c>
      <c r="C159" s="69" t="s">
        <v>1004</v>
      </c>
      <c r="D159" s="69" t="s">
        <v>756</v>
      </c>
    </row>
    <row r="160" spans="1:4">
      <c r="A160" s="69" t="s">
        <v>1105</v>
      </c>
      <c r="B160" s="69" t="s">
        <v>1003</v>
      </c>
      <c r="C160" s="69" t="s">
        <v>1004</v>
      </c>
      <c r="D160" s="69" t="s">
        <v>756</v>
      </c>
    </row>
    <row r="161" spans="1:4">
      <c r="A161" s="69" t="s">
        <v>1146</v>
      </c>
      <c r="B161" s="69" t="s">
        <v>10</v>
      </c>
      <c r="C161" s="69" t="s">
        <v>1004</v>
      </c>
      <c r="D161" s="69" t="s">
        <v>756</v>
      </c>
    </row>
    <row r="162" spans="1:4">
      <c r="A162" s="69" t="s">
        <v>1224</v>
      </c>
      <c r="B162" s="69" t="s">
        <v>10</v>
      </c>
      <c r="C162" s="69" t="s">
        <v>1004</v>
      </c>
      <c r="D162" s="69" t="s">
        <v>727</v>
      </c>
    </row>
    <row r="163" spans="1:4">
      <c r="A163" s="69" t="s">
        <v>1010</v>
      </c>
      <c r="B163" s="69" t="s">
        <v>1003</v>
      </c>
      <c r="C163" s="69" t="s">
        <v>1004</v>
      </c>
      <c r="D163" s="69" t="s">
        <v>756</v>
      </c>
    </row>
    <row r="164" spans="1:4">
      <c r="A164" s="69" t="s">
        <v>1052</v>
      </c>
      <c r="B164" s="69" t="s">
        <v>1003</v>
      </c>
      <c r="C164" s="69" t="s">
        <v>1004</v>
      </c>
      <c r="D164" s="69" t="s">
        <v>756</v>
      </c>
    </row>
    <row r="165" spans="1:4">
      <c r="A165" s="69" t="s">
        <v>1225</v>
      </c>
      <c r="B165" s="69" t="s">
        <v>10</v>
      </c>
      <c r="C165" s="69" t="s">
        <v>1004</v>
      </c>
      <c r="D165" s="69" t="s">
        <v>756</v>
      </c>
    </row>
    <row r="166" spans="1:4">
      <c r="A166" s="69" t="s">
        <v>1226</v>
      </c>
      <c r="B166" s="69" t="s">
        <v>10</v>
      </c>
      <c r="C166" s="69" t="s">
        <v>1004</v>
      </c>
      <c r="D166" s="69" t="s">
        <v>727</v>
      </c>
    </row>
    <row r="167" spans="1:4">
      <c r="A167" s="69" t="s">
        <v>778</v>
      </c>
      <c r="B167" s="69" t="s">
        <v>10</v>
      </c>
      <c r="C167" s="69" t="s">
        <v>1004</v>
      </c>
      <c r="D167" s="69" t="s">
        <v>756</v>
      </c>
    </row>
    <row r="168" spans="1:4">
      <c r="A168" s="69" t="s">
        <v>878</v>
      </c>
      <c r="B168" s="69" t="s">
        <v>1015</v>
      </c>
      <c r="C168" s="69" t="s">
        <v>1004</v>
      </c>
      <c r="D168" s="69" t="s">
        <v>879</v>
      </c>
    </row>
    <row r="169" spans="1:4">
      <c r="A169" s="69" t="s">
        <v>1227</v>
      </c>
      <c r="B169" s="69" t="s">
        <v>10</v>
      </c>
      <c r="C169" s="69" t="s">
        <v>1066</v>
      </c>
      <c r="D169" s="69" t="s">
        <v>714</v>
      </c>
    </row>
    <row r="170" spans="1:4">
      <c r="A170" s="69" t="s">
        <v>1040</v>
      </c>
      <c r="B170" s="69" t="s">
        <v>1003</v>
      </c>
      <c r="C170" s="69" t="s">
        <v>1004</v>
      </c>
      <c r="D170" s="69" t="s">
        <v>756</v>
      </c>
    </row>
    <row r="171" spans="1:4">
      <c r="A171" s="69" t="s">
        <v>1228</v>
      </c>
      <c r="B171" s="69" t="s">
        <v>1015</v>
      </c>
      <c r="C171" s="69" t="s">
        <v>1004</v>
      </c>
      <c r="D171" s="69" t="s">
        <v>714</v>
      </c>
    </row>
    <row r="172" spans="1:4">
      <c r="A172" s="69" t="s">
        <v>1229</v>
      </c>
      <c r="B172" s="69" t="s">
        <v>1015</v>
      </c>
      <c r="C172" s="69" t="s">
        <v>1004</v>
      </c>
      <c r="D172" s="69" t="s">
        <v>714</v>
      </c>
    </row>
    <row r="173" spans="1:4">
      <c r="A173" s="69" t="s">
        <v>1230</v>
      </c>
      <c r="B173" s="69" t="s">
        <v>1015</v>
      </c>
      <c r="C173" s="69" t="s">
        <v>1004</v>
      </c>
      <c r="D173" s="69" t="s">
        <v>724</v>
      </c>
    </row>
    <row r="174" spans="1:4">
      <c r="A174" s="69" t="s">
        <v>1060</v>
      </c>
      <c r="B174" s="69" t="s">
        <v>1003</v>
      </c>
      <c r="C174" s="69" t="s">
        <v>1004</v>
      </c>
      <c r="D174" s="69" t="s">
        <v>756</v>
      </c>
    </row>
    <row r="175" spans="1:4">
      <c r="A175" s="69" t="s">
        <v>1123</v>
      </c>
      <c r="B175" s="69" t="s">
        <v>1015</v>
      </c>
      <c r="C175" s="69" t="s">
        <v>1004</v>
      </c>
      <c r="D175" s="69" t="s">
        <v>1231</v>
      </c>
    </row>
    <row r="176" spans="1:4">
      <c r="A176" s="69" t="s">
        <v>1153</v>
      </c>
      <c r="B176" s="69" t="s">
        <v>10</v>
      </c>
      <c r="C176" s="69" t="s">
        <v>1004</v>
      </c>
      <c r="D176" s="69" t="s">
        <v>756</v>
      </c>
    </row>
    <row r="177" spans="1:4">
      <c r="A177" s="69" t="s">
        <v>1232</v>
      </c>
      <c r="B177" s="69" t="s">
        <v>1015</v>
      </c>
      <c r="C177" s="69" t="s">
        <v>1004</v>
      </c>
      <c r="D177" s="69" t="s">
        <v>724</v>
      </c>
    </row>
    <row r="178" spans="1:4">
      <c r="A178" s="69" t="s">
        <v>1233</v>
      </c>
      <c r="B178" s="69" t="s">
        <v>1015</v>
      </c>
      <c r="C178" s="69" t="s">
        <v>1004</v>
      </c>
      <c r="D178" s="69" t="s">
        <v>724</v>
      </c>
    </row>
    <row r="179" spans="1:4">
      <c r="A179" s="69" t="s">
        <v>208</v>
      </c>
      <c r="B179" s="69" t="s">
        <v>10</v>
      </c>
      <c r="C179" s="69" t="s">
        <v>1004</v>
      </c>
      <c r="D179" s="69" t="s">
        <v>727</v>
      </c>
    </row>
    <row r="180" spans="1:4">
      <c r="A180" s="69" t="s">
        <v>1042</v>
      </c>
      <c r="B180" s="69" t="s">
        <v>10</v>
      </c>
      <c r="C180" s="69" t="s">
        <v>1004</v>
      </c>
      <c r="D180" s="69" t="s">
        <v>756</v>
      </c>
    </row>
    <row r="181" spans="1:4">
      <c r="A181" s="69" t="s">
        <v>1046</v>
      </c>
      <c r="B181" s="69" t="s">
        <v>10</v>
      </c>
      <c r="C181" s="69" t="s">
        <v>1004</v>
      </c>
      <c r="D181" s="69" t="s">
        <v>756</v>
      </c>
    </row>
    <row r="182" spans="1:4">
      <c r="A182" s="69" t="s">
        <v>1234</v>
      </c>
      <c r="B182" s="69" t="s">
        <v>10</v>
      </c>
      <c r="C182" s="69" t="s">
        <v>1004</v>
      </c>
      <c r="D182" s="69" t="s">
        <v>727</v>
      </c>
    </row>
    <row r="183" spans="1:4">
      <c r="A183" s="69" t="s">
        <v>1235</v>
      </c>
      <c r="B183" s="69" t="s">
        <v>1015</v>
      </c>
      <c r="C183" s="69" t="s">
        <v>1004</v>
      </c>
      <c r="D183" s="69" t="s">
        <v>714</v>
      </c>
    </row>
    <row r="184" spans="1:4">
      <c r="A184" s="69" t="s">
        <v>1169</v>
      </c>
      <c r="B184" s="69" t="s">
        <v>10</v>
      </c>
      <c r="C184" s="69" t="s">
        <v>1004</v>
      </c>
      <c r="D184" s="69" t="s">
        <v>756</v>
      </c>
    </row>
    <row r="185" spans="1:4">
      <c r="A185" s="69" t="s">
        <v>1236</v>
      </c>
      <c r="B185" s="69" t="s">
        <v>1015</v>
      </c>
      <c r="C185" s="69" t="s">
        <v>1066</v>
      </c>
      <c r="D185" s="69" t="s">
        <v>1237</v>
      </c>
    </row>
    <row r="186" spans="1:4">
      <c r="A186" s="69" t="s">
        <v>1083</v>
      </c>
      <c r="B186" s="69" t="s">
        <v>10</v>
      </c>
      <c r="C186" s="69" t="s">
        <v>1004</v>
      </c>
      <c r="D186" s="69" t="s">
        <v>756</v>
      </c>
    </row>
    <row r="187" spans="1:4">
      <c r="A187" s="69" t="s">
        <v>1148</v>
      </c>
      <c r="B187" s="69" t="s">
        <v>10</v>
      </c>
      <c r="C187" s="69" t="s">
        <v>1004</v>
      </c>
      <c r="D187" s="69" t="s">
        <v>756</v>
      </c>
    </row>
    <row r="188" spans="1:4">
      <c r="A188" s="69" t="s">
        <v>1081</v>
      </c>
      <c r="B188" s="69" t="s">
        <v>1003</v>
      </c>
      <c r="C188" s="69" t="s">
        <v>1004</v>
      </c>
      <c r="D188" s="69" t="s">
        <v>756</v>
      </c>
    </row>
    <row r="189" spans="1:4">
      <c r="A189" s="69" t="s">
        <v>1115</v>
      </c>
      <c r="B189" s="69" t="s">
        <v>10</v>
      </c>
      <c r="C189" s="69" t="s">
        <v>1004</v>
      </c>
      <c r="D189" s="69" t="s">
        <v>756</v>
      </c>
    </row>
    <row r="190" spans="1:4">
      <c r="A190" s="69" t="s">
        <v>1238</v>
      </c>
      <c r="B190" s="69" t="s">
        <v>13</v>
      </c>
      <c r="C190" s="69" t="s">
        <v>1004</v>
      </c>
      <c r="D190" s="69" t="s">
        <v>24</v>
      </c>
    </row>
    <row r="191" spans="1:4">
      <c r="A191" s="69" t="s">
        <v>1239</v>
      </c>
      <c r="B191" s="69" t="s">
        <v>1015</v>
      </c>
      <c r="C191" s="69" t="s">
        <v>1004</v>
      </c>
      <c r="D191" s="69" t="s">
        <v>724</v>
      </c>
    </row>
    <row r="192" spans="1:4">
      <c r="A192" s="69" t="s">
        <v>1067</v>
      </c>
      <c r="B192" s="69" t="s">
        <v>1003</v>
      </c>
      <c r="C192" s="69" t="s">
        <v>1004</v>
      </c>
      <c r="D192" s="69" t="s">
        <v>756</v>
      </c>
    </row>
    <row r="193" spans="1:4">
      <c r="A193" s="69" t="s">
        <v>1134</v>
      </c>
      <c r="B193" s="69" t="s">
        <v>1003</v>
      </c>
      <c r="C193" s="69" t="s">
        <v>1004</v>
      </c>
      <c r="D193" s="69" t="s">
        <v>756</v>
      </c>
    </row>
    <row r="194" spans="1:4">
      <c r="A194" s="69" t="s">
        <v>1240</v>
      </c>
      <c r="B194" s="69" t="s">
        <v>1015</v>
      </c>
      <c r="C194" s="69" t="s">
        <v>1004</v>
      </c>
      <c r="D194" s="69" t="s">
        <v>1241</v>
      </c>
    </row>
    <row r="195" spans="1:4">
      <c r="A195" s="69" t="s">
        <v>1242</v>
      </c>
      <c r="B195" s="69" t="s">
        <v>1003</v>
      </c>
      <c r="C195" s="69" t="s">
        <v>1004</v>
      </c>
      <c r="D195" s="69" t="s">
        <v>62</v>
      </c>
    </row>
    <row r="196" spans="1:4">
      <c r="A196" s="69" t="s">
        <v>1056</v>
      </c>
      <c r="B196" s="69" t="s">
        <v>1015</v>
      </c>
      <c r="C196" s="69" t="s">
        <v>1004</v>
      </c>
      <c r="D196" s="69" t="s">
        <v>756</v>
      </c>
    </row>
    <row r="197" spans="1:4">
      <c r="A197" s="69" t="s">
        <v>1243</v>
      </c>
      <c r="B197" s="69" t="s">
        <v>10</v>
      </c>
      <c r="C197" s="69" t="s">
        <v>1004</v>
      </c>
      <c r="D197" s="69" t="s">
        <v>767</v>
      </c>
    </row>
    <row r="198" spans="1:4">
      <c r="A198" s="69" t="s">
        <v>1020</v>
      </c>
      <c r="B198" s="69" t="s">
        <v>10</v>
      </c>
      <c r="C198" s="69" t="s">
        <v>1004</v>
      </c>
      <c r="D198" s="69" t="s">
        <v>756</v>
      </c>
    </row>
    <row r="199" spans="1:4">
      <c r="A199" s="69" t="s">
        <v>1244</v>
      </c>
      <c r="B199" s="69" t="s">
        <v>10</v>
      </c>
      <c r="C199" s="69" t="s">
        <v>1004</v>
      </c>
      <c r="D199" s="69" t="s">
        <v>767</v>
      </c>
    </row>
    <row r="200" spans="1:4">
      <c r="A200" s="69" t="s">
        <v>1245</v>
      </c>
      <c r="B200" s="69" t="s">
        <v>1003</v>
      </c>
      <c r="C200" s="69" t="s">
        <v>1004</v>
      </c>
      <c r="D200" s="69" t="s">
        <v>33</v>
      </c>
    </row>
    <row r="201" spans="1:4">
      <c r="A201" s="69" t="s">
        <v>1246</v>
      </c>
      <c r="B201" s="69" t="s">
        <v>1003</v>
      </c>
      <c r="C201" s="69" t="s">
        <v>1004</v>
      </c>
      <c r="D201" s="69" t="s">
        <v>33</v>
      </c>
    </row>
    <row r="202" spans="1:4">
      <c r="A202" s="69" t="s">
        <v>1096</v>
      </c>
      <c r="B202" s="69" t="s">
        <v>10</v>
      </c>
      <c r="C202" s="69" t="s">
        <v>1004</v>
      </c>
      <c r="D202" s="69" t="s">
        <v>756</v>
      </c>
    </row>
    <row r="203" spans="1:4">
      <c r="A203" s="69" t="s">
        <v>1247</v>
      </c>
      <c r="B203" s="69" t="s">
        <v>10</v>
      </c>
      <c r="C203" s="69" t="s">
        <v>1004</v>
      </c>
      <c r="D203" s="69" t="s">
        <v>756</v>
      </c>
    </row>
    <row r="204" spans="1:4">
      <c r="A204" s="69" t="s">
        <v>1075</v>
      </c>
      <c r="B204" s="69" t="s">
        <v>1003</v>
      </c>
      <c r="C204" s="69" t="s">
        <v>1004</v>
      </c>
      <c r="D204" s="69" t="s">
        <v>756</v>
      </c>
    </row>
    <row r="205" spans="1:4">
      <c r="A205" s="69" t="s">
        <v>1018</v>
      </c>
      <c r="B205" s="69" t="s">
        <v>10</v>
      </c>
      <c r="C205" s="69" t="s">
        <v>1004</v>
      </c>
      <c r="D205" s="69" t="s">
        <v>756</v>
      </c>
    </row>
    <row r="206" spans="1:4">
      <c r="A206" s="69" t="s">
        <v>1044</v>
      </c>
      <c r="B206" s="69" t="s">
        <v>1003</v>
      </c>
      <c r="C206" s="69" t="s">
        <v>1004</v>
      </c>
      <c r="D206" s="69" t="s">
        <v>756</v>
      </c>
    </row>
    <row r="207" spans="1:4">
      <c r="A207" s="69" t="s">
        <v>1248</v>
      </c>
      <c r="B207" s="69" t="s">
        <v>10</v>
      </c>
      <c r="C207" s="69" t="s">
        <v>1004</v>
      </c>
      <c r="D207" s="69" t="s">
        <v>756</v>
      </c>
    </row>
    <row r="208" spans="1:4">
      <c r="A208" s="69" t="s">
        <v>1165</v>
      </c>
      <c r="B208" s="69" t="s">
        <v>1015</v>
      </c>
      <c r="C208" s="69" t="s">
        <v>1004</v>
      </c>
      <c r="D208" s="69" t="s">
        <v>756</v>
      </c>
    </row>
    <row r="209" spans="1:4">
      <c r="A209" s="69" t="s">
        <v>1249</v>
      </c>
      <c r="B209" s="69" t="s">
        <v>1015</v>
      </c>
      <c r="C209" s="69" t="s">
        <v>1004</v>
      </c>
      <c r="D209" s="69" t="s">
        <v>724</v>
      </c>
    </row>
    <row r="210" spans="1:4">
      <c r="A210" s="69" t="s">
        <v>1250</v>
      </c>
      <c r="B210" s="69" t="s">
        <v>13</v>
      </c>
      <c r="C210" s="69" t="s">
        <v>1004</v>
      </c>
      <c r="D210" s="69" t="s">
        <v>24</v>
      </c>
    </row>
    <row r="211" spans="1:4">
      <c r="A211" s="69" t="s">
        <v>1251</v>
      </c>
      <c r="B211" s="69" t="s">
        <v>1003</v>
      </c>
      <c r="C211" s="69" t="s">
        <v>1004</v>
      </c>
      <c r="D211" s="69" t="s">
        <v>33</v>
      </c>
    </row>
    <row r="212" spans="1:4">
      <c r="A212" s="69" t="s">
        <v>1252</v>
      </c>
      <c r="B212" s="69" t="s">
        <v>10</v>
      </c>
      <c r="C212" s="69" t="s">
        <v>1066</v>
      </c>
      <c r="D212" s="69" t="s">
        <v>756</v>
      </c>
    </row>
    <row r="213" spans="1:4">
      <c r="A213" s="69" t="s">
        <v>1253</v>
      </c>
      <c r="B213" s="69" t="s">
        <v>10</v>
      </c>
      <c r="C213" s="69" t="s">
        <v>1004</v>
      </c>
      <c r="D213" s="69" t="s">
        <v>756</v>
      </c>
    </row>
    <row r="214" spans="1:4">
      <c r="A214" s="69" t="s">
        <v>1254</v>
      </c>
      <c r="B214" s="69" t="s">
        <v>1003</v>
      </c>
      <c r="C214" s="69" t="s">
        <v>1004</v>
      </c>
      <c r="D214" s="69" t="s">
        <v>33</v>
      </c>
    </row>
    <row r="215" spans="1:4">
      <c r="A215" s="69" t="s">
        <v>1255</v>
      </c>
      <c r="B215" s="69" t="s">
        <v>1003</v>
      </c>
      <c r="C215" s="69" t="s">
        <v>1004</v>
      </c>
      <c r="D215" s="69" t="s">
        <v>929</v>
      </c>
    </row>
    <row r="216" spans="1:4">
      <c r="A216" s="69" t="s">
        <v>1038</v>
      </c>
      <c r="B216" s="69" t="s">
        <v>1015</v>
      </c>
      <c r="C216" s="69" t="s">
        <v>1004</v>
      </c>
      <c r="D216" s="69" t="s">
        <v>756</v>
      </c>
    </row>
    <row r="217" spans="1:4">
      <c r="A217" s="69" t="s">
        <v>1008</v>
      </c>
      <c r="B217" s="69" t="s">
        <v>10</v>
      </c>
      <c r="C217" s="69" t="s">
        <v>1004</v>
      </c>
      <c r="D217" s="69" t="s">
        <v>756</v>
      </c>
    </row>
    <row r="218" spans="1:4">
      <c r="A218" s="69" t="s">
        <v>1256</v>
      </c>
      <c r="B218" s="69" t="s">
        <v>1003</v>
      </c>
      <c r="C218" s="69" t="s">
        <v>1004</v>
      </c>
      <c r="D218" s="69" t="s">
        <v>929</v>
      </c>
    </row>
    <row r="219" spans="1:4">
      <c r="A219" s="69" t="s">
        <v>1129</v>
      </c>
      <c r="B219" s="69" t="s">
        <v>10</v>
      </c>
      <c r="C219" s="69" t="s">
        <v>1004</v>
      </c>
      <c r="D219" s="69" t="s">
        <v>756</v>
      </c>
    </row>
    <row r="220" spans="1:4">
      <c r="A220" s="69" t="s">
        <v>1257</v>
      </c>
      <c r="B220" s="69" t="s">
        <v>1003</v>
      </c>
      <c r="C220" s="69" t="s">
        <v>1004</v>
      </c>
      <c r="D220" s="69" t="s">
        <v>929</v>
      </c>
    </row>
    <row r="221" spans="1:4">
      <c r="A221" s="69" t="s">
        <v>1258</v>
      </c>
      <c r="B221" s="69" t="s">
        <v>1015</v>
      </c>
      <c r="C221" s="69" t="s">
        <v>1004</v>
      </c>
      <c r="D221" s="69" t="s">
        <v>724</v>
      </c>
    </row>
    <row r="222" spans="1:4">
      <c r="A222" s="69" t="s">
        <v>1259</v>
      </c>
      <c r="B222" s="69" t="s">
        <v>1015</v>
      </c>
      <c r="C222" s="69" t="s">
        <v>1004</v>
      </c>
      <c r="D222" s="69" t="s">
        <v>724</v>
      </c>
    </row>
    <row r="223" spans="1:4">
      <c r="A223" s="69" t="s">
        <v>1106</v>
      </c>
      <c r="B223" s="69" t="s">
        <v>1003</v>
      </c>
      <c r="C223" s="69" t="s">
        <v>1004</v>
      </c>
      <c r="D223" s="69" t="s">
        <v>756</v>
      </c>
    </row>
    <row r="224" spans="1:4">
      <c r="A224" s="69" t="s">
        <v>1159</v>
      </c>
      <c r="B224" s="69" t="s">
        <v>1003</v>
      </c>
      <c r="C224" s="69" t="s">
        <v>1004</v>
      </c>
      <c r="D224" s="69" t="s">
        <v>756</v>
      </c>
    </row>
    <row r="225" spans="1:4">
      <c r="A225" s="69" t="s">
        <v>1111</v>
      </c>
      <c r="B225" s="69" t="s">
        <v>1003</v>
      </c>
      <c r="C225" s="69" t="s">
        <v>1004</v>
      </c>
      <c r="D225" s="69" t="s">
        <v>756</v>
      </c>
    </row>
    <row r="226" spans="1:4">
      <c r="A226" s="69" t="s">
        <v>1260</v>
      </c>
      <c r="B226" s="69" t="s">
        <v>13</v>
      </c>
      <c r="C226" s="69" t="s">
        <v>1004</v>
      </c>
      <c r="D226" s="69" t="s">
        <v>881</v>
      </c>
    </row>
    <row r="227" spans="1:4">
      <c r="A227" s="69" t="s">
        <v>1261</v>
      </c>
      <c r="B227" s="69" t="s">
        <v>13</v>
      </c>
      <c r="C227" s="69" t="s">
        <v>1004</v>
      </c>
      <c r="D227" s="69" t="s">
        <v>881</v>
      </c>
    </row>
    <row r="228" spans="1:4">
      <c r="A228" s="69" t="s">
        <v>1262</v>
      </c>
      <c r="B228" s="69" t="s">
        <v>10</v>
      </c>
      <c r="C228" s="69" t="s">
        <v>1263</v>
      </c>
      <c r="D228" s="69" t="s">
        <v>1264</v>
      </c>
    </row>
    <row r="229" spans="1:4">
      <c r="A229" s="69" t="s">
        <v>1265</v>
      </c>
      <c r="B229" s="69" t="s">
        <v>1003</v>
      </c>
      <c r="C229" s="69" t="s">
        <v>1263</v>
      </c>
      <c r="D229" s="69" t="s">
        <v>33</v>
      </c>
    </row>
    <row r="230" spans="1:4">
      <c r="A230" s="69" t="s">
        <v>1266</v>
      </c>
      <c r="B230" s="69" t="s">
        <v>13</v>
      </c>
      <c r="C230" s="69" t="s">
        <v>1263</v>
      </c>
      <c r="D230" s="69" t="s">
        <v>881</v>
      </c>
    </row>
    <row r="231" spans="1:4">
      <c r="A231" s="69" t="s">
        <v>1267</v>
      </c>
      <c r="B231" s="69" t="s">
        <v>1015</v>
      </c>
      <c r="C231" s="69" t="s">
        <v>1263</v>
      </c>
      <c r="D231" s="69" t="s">
        <v>1268</v>
      </c>
    </row>
    <row r="232" spans="1:4">
      <c r="A232" s="69" t="s">
        <v>1269</v>
      </c>
      <c r="B232" s="69" t="s">
        <v>12</v>
      </c>
      <c r="C232" s="69" t="s">
        <v>1004</v>
      </c>
      <c r="D232" s="69" t="s">
        <v>756</v>
      </c>
    </row>
    <row r="233" spans="1:4">
      <c r="A233" s="69" t="s">
        <v>1260</v>
      </c>
      <c r="B233" s="69" t="s">
        <v>10</v>
      </c>
      <c r="C233" s="69" t="s">
        <v>1004</v>
      </c>
      <c r="D233" s="69" t="s">
        <v>1264</v>
      </c>
    </row>
    <row r="234" spans="1:4">
      <c r="A234" s="69" t="s">
        <v>1270</v>
      </c>
      <c r="B234" s="69" t="s">
        <v>1015</v>
      </c>
      <c r="C234" s="69" t="s">
        <v>1271</v>
      </c>
      <c r="D234" s="69" t="s">
        <v>748</v>
      </c>
    </row>
  </sheetData>
  <autoFilter ref="A1:D234" xr:uid="{A52A7211-52D0-4120-9613-76AFAA2609AB}"/>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Governance</vt:lpstr>
      <vt:lpstr>Sheet1</vt:lpstr>
      <vt:lpstr>Invoices</vt:lpstr>
      <vt:lpstr>Rebates</vt:lpstr>
      <vt:lpstr>XE rates</vt:lpstr>
      <vt:lpstr>Validation</vt:lpstr>
      <vt:lpstr>RevOPs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2026-07-29T06:57:03Z</dcterms:modified>
  <cp:category/>
  <cp:contentStatus/>
</cp:coreProperties>
</file>