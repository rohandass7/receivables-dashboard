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6" documentId="13_ncr:1_{FBBCA0B3-976C-48A8-9077-0DD5C5E7D3E2}" xr6:coauthVersionLast="47" xr6:coauthVersionMax="47" xr10:uidLastSave="{42BC9601-6098-4858-A709-2FD899561353}"/>
  <bookViews>
    <workbookView xWindow="-110" yWindow="-110" windowWidth="19420" windowHeight="103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Invoices!$A$1:$AB$164</definedName>
    <definedName name="_xlnm._FilterDatabase" localSheetId="4" hidden="1">Rebates!$A$1:$Y$5</definedName>
    <definedName name="_xlnm._FilterDatabase" localSheetId="0" hidden="1">Summary!#REF!</definedName>
    <definedName name="_xlnm._FilterDatabase" localSheetId="6" hidden="1">Validation!$A$2:$E$331</definedName>
    <definedName name="Slicer_Account_Manager">#N/A</definedName>
    <definedName name="Slicer_Region">#N/A</definedName>
  </definedNames>
  <calcPr calcId="191028"/>
  <pivotCaches>
    <pivotCache cacheId="7" r:id="rId10"/>
    <pivotCache cacheId="8" r:id="rId11"/>
    <pivotCache cacheId="9" r:id="rId12"/>
    <pivotCache cacheId="1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2" i="1"/>
  <c r="C326" i="4"/>
  <c r="C325" i="4"/>
  <c r="C106" i="1"/>
  <c r="D106" i="1"/>
  <c r="E106" i="1"/>
  <c r="G106" i="1"/>
  <c r="C107" i="1"/>
  <c r="D107" i="1"/>
  <c r="E107" i="1"/>
  <c r="G107" i="1"/>
  <c r="C108" i="1"/>
  <c r="D108" i="1"/>
  <c r="E108" i="1"/>
  <c r="G108" i="1"/>
  <c r="C109" i="1"/>
  <c r="D109" i="1"/>
  <c r="E109" i="1"/>
  <c r="G109" i="1"/>
  <c r="C110" i="1"/>
  <c r="D110" i="1"/>
  <c r="E110" i="1"/>
  <c r="G110" i="1"/>
  <c r="C111" i="1"/>
  <c r="D111" i="1"/>
  <c r="E111" i="1"/>
  <c r="G111" i="1"/>
  <c r="C112" i="1"/>
  <c r="D112" i="1"/>
  <c r="E112" i="1"/>
  <c r="G112" i="1"/>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C145" i="1"/>
  <c r="D145" i="1"/>
  <c r="E145" i="1"/>
  <c r="G145" i="1"/>
  <c r="C146" i="1"/>
  <c r="D146" i="1"/>
  <c r="E146" i="1"/>
  <c r="G146" i="1"/>
  <c r="C147" i="1"/>
  <c r="D147" i="1"/>
  <c r="E147" i="1"/>
  <c r="G147" i="1"/>
  <c r="C148" i="1"/>
  <c r="D148" i="1"/>
  <c r="E148" i="1"/>
  <c r="G148" i="1"/>
  <c r="C149" i="1"/>
  <c r="D149" i="1"/>
  <c r="E149" i="1"/>
  <c r="G149" i="1"/>
  <c r="C150" i="1"/>
  <c r="D150" i="1"/>
  <c r="E150" i="1"/>
  <c r="G150" i="1"/>
  <c r="C151" i="1"/>
  <c r="D151" i="1"/>
  <c r="E151" i="1"/>
  <c r="G151" i="1"/>
  <c r="C152" i="1"/>
  <c r="D152" i="1"/>
  <c r="E152" i="1"/>
  <c r="G152" i="1"/>
  <c r="C153" i="1"/>
  <c r="D153" i="1"/>
  <c r="E153" i="1"/>
  <c r="G153" i="1"/>
  <c r="C154" i="1"/>
  <c r="D154" i="1"/>
  <c r="E154" i="1"/>
  <c r="G154" i="1"/>
  <c r="C155" i="1"/>
  <c r="D155" i="1"/>
  <c r="E155" i="1"/>
  <c r="G155" i="1"/>
  <c r="C156" i="1"/>
  <c r="D156" i="1"/>
  <c r="E156" i="1"/>
  <c r="G156" i="1"/>
  <c r="C157" i="1"/>
  <c r="D157" i="1"/>
  <c r="E157" i="1"/>
  <c r="G157" i="1"/>
  <c r="C158" i="1"/>
  <c r="D158" i="1"/>
  <c r="E158" i="1"/>
  <c r="G158" i="1"/>
  <c r="C159" i="1"/>
  <c r="D159" i="1"/>
  <c r="E159" i="1"/>
  <c r="G159" i="1"/>
  <c r="C160" i="1"/>
  <c r="D160" i="1"/>
  <c r="E160" i="1"/>
  <c r="G160" i="1"/>
  <c r="C161" i="1"/>
  <c r="D161" i="1"/>
  <c r="E161" i="1"/>
  <c r="G161" i="1"/>
  <c r="C162" i="1"/>
  <c r="D162" i="1"/>
  <c r="E162" i="1"/>
  <c r="G162" i="1"/>
  <c r="C163" i="1"/>
  <c r="D163" i="1"/>
  <c r="E163" i="1"/>
  <c r="G163" i="1"/>
  <c r="C164" i="1"/>
  <c r="D164" i="1"/>
  <c r="E164" i="1"/>
  <c r="G164"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D38" i="3"/>
  <c r="J6" i="2"/>
  <c r="G100" i="1"/>
  <c r="G101" i="1"/>
  <c r="G102" i="1"/>
  <c r="G103" i="1"/>
  <c r="G104" i="1"/>
  <c r="G105" i="1"/>
  <c r="M99" i="1"/>
  <c r="M100" i="1"/>
  <c r="M101" i="1"/>
  <c r="M102" i="1"/>
  <c r="M103" i="1"/>
  <c r="M104" i="1"/>
  <c r="M105" i="1"/>
  <c r="J99" i="1"/>
  <c r="J100" i="1"/>
  <c r="J101" i="1"/>
  <c r="J102" i="1"/>
  <c r="J103" i="1"/>
  <c r="J104" i="1"/>
  <c r="J105" i="1"/>
  <c r="C323" i="4"/>
  <c r="C100" i="1"/>
  <c r="D100" i="1"/>
  <c r="E100" i="1"/>
  <c r="C101" i="1"/>
  <c r="D101" i="1"/>
  <c r="E101" i="1"/>
  <c r="C102" i="1"/>
  <c r="D102" i="1"/>
  <c r="E102" i="1"/>
  <c r="C103" i="1"/>
  <c r="D103" i="1"/>
  <c r="E103" i="1"/>
  <c r="C104" i="1"/>
  <c r="D104" i="1"/>
  <c r="E104" i="1"/>
  <c r="C105" i="1"/>
  <c r="D105" i="1"/>
  <c r="E105" i="1"/>
  <c r="C322" i="4"/>
  <c r="C321" i="4"/>
  <c r="C320" i="4"/>
  <c r="C75" i="1"/>
  <c r="D75" i="1"/>
  <c r="E75"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M78" i="1"/>
  <c r="M79" i="1"/>
  <c r="M80" i="1"/>
  <c r="M81" i="1"/>
  <c r="M82" i="1"/>
  <c r="M83" i="1"/>
  <c r="M84" i="1"/>
  <c r="M85" i="1"/>
  <c r="M86" i="1"/>
  <c r="M87" i="1"/>
  <c r="M88" i="1"/>
  <c r="M89" i="1"/>
  <c r="M90" i="1"/>
  <c r="M91" i="1"/>
  <c r="M92" i="1"/>
  <c r="M93" i="1"/>
  <c r="M94" i="1"/>
  <c r="M95" i="1"/>
  <c r="M96" i="1"/>
  <c r="M97" i="1"/>
  <c r="M98" i="1"/>
  <c r="J78" i="1"/>
  <c r="J79" i="1"/>
  <c r="J80" i="1"/>
  <c r="J81" i="1"/>
  <c r="J82" i="1"/>
  <c r="J83" i="1"/>
  <c r="J84" i="1"/>
  <c r="J85" i="1"/>
  <c r="J86" i="1"/>
  <c r="J87" i="1"/>
  <c r="J88" i="1"/>
  <c r="J89" i="1"/>
  <c r="J90" i="1"/>
  <c r="J91" i="1"/>
  <c r="J92" i="1"/>
  <c r="J93" i="1"/>
  <c r="J94" i="1"/>
  <c r="J95" i="1"/>
  <c r="J96" i="1"/>
  <c r="J97" i="1"/>
  <c r="J98" i="1"/>
  <c r="J76" i="1"/>
  <c r="J77" i="1"/>
  <c r="G78" i="1"/>
  <c r="G79" i="1"/>
  <c r="G80" i="1"/>
  <c r="G81" i="1"/>
  <c r="G82" i="1"/>
  <c r="G83" i="1"/>
  <c r="G84" i="1"/>
  <c r="G85" i="1"/>
  <c r="G86" i="1"/>
  <c r="G87" i="1"/>
  <c r="G88" i="1"/>
  <c r="G89" i="1"/>
  <c r="G90" i="1"/>
  <c r="G91" i="1"/>
  <c r="G92" i="1"/>
  <c r="G93" i="1"/>
  <c r="G94" i="1"/>
  <c r="G95" i="1"/>
  <c r="G96" i="1"/>
  <c r="G97" i="1"/>
  <c r="G98" i="1"/>
  <c r="G99" i="1"/>
  <c r="G74" i="1"/>
  <c r="G75" i="1"/>
  <c r="G76" i="1"/>
  <c r="G77" i="1"/>
  <c r="C319" i="4"/>
  <c r="M76" i="1"/>
  <c r="M77" i="1"/>
  <c r="C318" i="4" l="1"/>
  <c r="C317" i="4"/>
  <c r="J57" i="1"/>
  <c r="J58" i="1"/>
  <c r="J59" i="1"/>
  <c r="J60" i="1"/>
  <c r="J61" i="1"/>
  <c r="J62" i="1"/>
  <c r="J63" i="1"/>
  <c r="J64" i="1"/>
  <c r="J65" i="1"/>
  <c r="J66" i="1"/>
  <c r="J67" i="1"/>
  <c r="J68" i="1"/>
  <c r="J69" i="1"/>
  <c r="J70" i="1"/>
  <c r="J71" i="1"/>
  <c r="J72" i="1"/>
  <c r="J73" i="1"/>
  <c r="J74" i="1"/>
  <c r="J75" i="1"/>
  <c r="J56" i="1"/>
  <c r="C48" i="1"/>
  <c r="D48" i="1"/>
  <c r="E48" i="1"/>
  <c r="G48" i="1"/>
  <c r="C49" i="1"/>
  <c r="D49" i="1"/>
  <c r="E49" i="1"/>
  <c r="G49"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M57" i="1"/>
  <c r="M58" i="1"/>
  <c r="M59" i="1"/>
  <c r="M60" i="1"/>
  <c r="M61" i="1"/>
  <c r="M62" i="1"/>
  <c r="M63" i="1"/>
  <c r="M64" i="1"/>
  <c r="M65" i="1"/>
  <c r="M66" i="1"/>
  <c r="M67" i="1"/>
  <c r="M68" i="1"/>
  <c r="M69" i="1"/>
  <c r="M70" i="1"/>
  <c r="M71" i="1"/>
  <c r="M72" i="1"/>
  <c r="M73" i="1"/>
  <c r="M74" i="1"/>
  <c r="M75" i="1"/>
  <c r="M48" i="1"/>
  <c r="M49" i="1"/>
  <c r="M50" i="1"/>
  <c r="M51" i="1"/>
  <c r="M52" i="1"/>
  <c r="M53" i="1"/>
  <c r="M54" i="1"/>
  <c r="M55" i="1"/>
  <c r="M56" i="1"/>
  <c r="C316" i="4"/>
  <c r="D19" i="3"/>
  <c r="F19" i="3"/>
  <c r="C19" i="3"/>
  <c r="E19" i="3"/>
  <c r="G19" i="3"/>
  <c r="C315" i="4" l="1"/>
  <c r="C314" i="4"/>
  <c r="C313" i="4"/>
  <c r="C312" i="4"/>
  <c r="C311" i="4"/>
  <c r="C285" i="4"/>
  <c r="C279" i="4"/>
  <c r="C245" i="4"/>
  <c r="C238" i="4"/>
  <c r="C236" i="4"/>
  <c r="C232" i="4"/>
  <c r="C217" i="4"/>
  <c r="C210" i="4"/>
  <c r="C160" i="4"/>
  <c r="C142" i="4"/>
  <c r="C310" i="4" l="1"/>
  <c r="C309" i="4"/>
  <c r="C308" i="4"/>
  <c r="M46" i="1"/>
  <c r="M47" i="1"/>
  <c r="J46" i="1"/>
  <c r="J47" i="1"/>
  <c r="J48" i="1"/>
  <c r="J49" i="1"/>
  <c r="J50" i="1"/>
  <c r="J51" i="1"/>
  <c r="J52" i="1"/>
  <c r="J53" i="1"/>
  <c r="J54" i="1"/>
  <c r="J55" i="1"/>
  <c r="G46" i="1"/>
  <c r="G47" i="1"/>
  <c r="C46" i="1"/>
  <c r="D46" i="1"/>
  <c r="E46" i="1"/>
  <c r="C47" i="1"/>
  <c r="D47" i="1"/>
  <c r="E47" i="1"/>
  <c r="C307" i="4"/>
  <c r="M45" i="1"/>
  <c r="G45" i="1"/>
  <c r="J45" i="1"/>
  <c r="C45" i="1"/>
  <c r="D45" i="1"/>
  <c r="E45" i="1"/>
  <c r="C306" i="4" l="1"/>
  <c r="C305" i="4"/>
  <c r="C304" i="4"/>
  <c r="C303" i="4"/>
  <c r="C302" i="4"/>
  <c r="M37" i="1"/>
  <c r="M38" i="1"/>
  <c r="M39" i="1"/>
  <c r="M40" i="1"/>
  <c r="M41" i="1"/>
  <c r="M42" i="1"/>
  <c r="M43" i="1"/>
  <c r="M44" i="1"/>
  <c r="J37" i="1"/>
  <c r="J38" i="1"/>
  <c r="J39" i="1"/>
  <c r="J40" i="1"/>
  <c r="J41" i="1"/>
  <c r="J42" i="1"/>
  <c r="J43" i="1"/>
  <c r="J4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C37" i="1"/>
  <c r="D37" i="1"/>
  <c r="E37" i="1"/>
  <c r="C38" i="1"/>
  <c r="D38" i="1"/>
  <c r="E38" i="1"/>
  <c r="C39" i="1"/>
  <c r="D39" i="1"/>
  <c r="E39" i="1"/>
  <c r="C40" i="1"/>
  <c r="D40" i="1"/>
  <c r="E40" i="1"/>
  <c r="C41" i="1"/>
  <c r="D41" i="1"/>
  <c r="E41" i="1"/>
  <c r="C42" i="1"/>
  <c r="D42" i="1"/>
  <c r="E42" i="1"/>
  <c r="C43" i="1"/>
  <c r="D43" i="1"/>
  <c r="E43" i="1"/>
  <c r="C44" i="1"/>
  <c r="D44" i="1"/>
  <c r="E44" i="1"/>
  <c r="J36" i="1" l="1"/>
  <c r="M36" i="1"/>
  <c r="C36" i="1"/>
  <c r="D36" i="1"/>
  <c r="E36" i="1"/>
  <c r="Z12" i="1"/>
  <c r="AA12" i="1" s="1"/>
  <c r="Z15" i="1"/>
  <c r="AA15" i="1" s="1"/>
  <c r="Z22" i="1"/>
  <c r="AA22" i="1" s="1"/>
  <c r="Z29" i="1"/>
  <c r="AA29" i="1" s="1"/>
  <c r="Z16" i="1"/>
  <c r="AA16" i="1" s="1"/>
  <c r="Z21" i="1"/>
  <c r="AA21" i="1" s="1"/>
  <c r="Z23" i="1"/>
  <c r="AA23" i="1" s="1"/>
  <c r="Z30" i="1"/>
  <c r="AA30" i="1" s="1"/>
  <c r="Z24" i="1"/>
  <c r="AA24" i="1" s="1"/>
  <c r="Z31" i="1"/>
  <c r="AA31" i="1" s="1"/>
  <c r="Z17" i="1"/>
  <c r="AA17" i="1" s="1"/>
  <c r="Z32" i="1"/>
  <c r="AA32" i="1" s="1"/>
  <c r="Z8" i="1"/>
  <c r="AA8" i="1" s="1"/>
  <c r="Z10" i="1"/>
  <c r="AA10" i="1" s="1"/>
  <c r="Z13" i="1"/>
  <c r="AA13" i="1" s="1"/>
  <c r="Z18" i="1"/>
  <c r="AA18" i="1" s="1"/>
  <c r="Z25" i="1"/>
  <c r="AA25" i="1" s="1"/>
  <c r="Z33" i="1"/>
  <c r="AA33" i="1" s="1"/>
  <c r="Z26" i="1"/>
  <c r="AA26" i="1" s="1"/>
  <c r="Z34" i="1"/>
  <c r="AA34" i="1" s="1"/>
  <c r="Z2" i="1"/>
  <c r="AA2" i="1" s="1"/>
  <c r="Z3" i="1"/>
  <c r="AA3" i="1" s="1"/>
  <c r="Z4" i="1"/>
  <c r="AA4" i="1" s="1"/>
  <c r="Z5" i="1"/>
  <c r="AA5" i="1" s="1"/>
  <c r="Z6" i="1"/>
  <c r="AA6" i="1" s="1"/>
  <c r="Z7" i="1"/>
  <c r="AA7" i="1" s="1"/>
  <c r="Z9" i="1"/>
  <c r="Z11" i="1"/>
  <c r="AA11" i="1" s="1"/>
  <c r="Z14" i="1"/>
  <c r="AA14" i="1" s="1"/>
  <c r="Z19" i="1"/>
  <c r="AA19" i="1" s="1"/>
  <c r="Z27" i="1"/>
  <c r="AA27" i="1" s="1"/>
  <c r="Z35" i="1"/>
  <c r="AA35" i="1" s="1"/>
  <c r="Z20" i="1"/>
  <c r="AA20" i="1" s="1"/>
  <c r="Y12" i="1"/>
  <c r="Y13" i="1"/>
  <c r="Y14" i="1"/>
  <c r="Y15" i="1"/>
  <c r="Y16" i="1"/>
  <c r="Y17" i="1"/>
  <c r="Y18" i="1"/>
  <c r="Y19" i="1"/>
  <c r="Y20" i="1"/>
  <c r="Y21" i="1"/>
  <c r="Y22" i="1"/>
  <c r="Y23" i="1"/>
  <c r="Y24" i="1"/>
  <c r="Y25" i="1"/>
  <c r="Y26" i="1"/>
  <c r="Y27" i="1"/>
  <c r="Y28" i="1"/>
  <c r="Y29" i="1"/>
  <c r="Y30" i="1"/>
  <c r="Y31" i="1"/>
  <c r="Y32" i="1"/>
  <c r="Y33" i="1"/>
  <c r="Y34" i="1"/>
  <c r="Y35" i="1"/>
  <c r="Y2" i="1"/>
  <c r="Y3" i="1"/>
  <c r="Y4" i="1"/>
  <c r="Y5" i="1"/>
  <c r="Y6" i="1"/>
  <c r="Y7" i="1"/>
  <c r="Y8" i="1"/>
  <c r="Y9" i="1"/>
  <c r="Y10" i="1"/>
  <c r="Y11" i="1"/>
  <c r="C301" i="4"/>
  <c r="C300" i="4"/>
  <c r="C299" i="4"/>
  <c r="C298" i="4"/>
  <c r="C297" i="4"/>
  <c r="M28" i="1"/>
  <c r="M29" i="1"/>
  <c r="M30" i="1"/>
  <c r="M31" i="1"/>
  <c r="M32" i="1"/>
  <c r="M33" i="1"/>
  <c r="M34" i="1"/>
  <c r="M35" i="1"/>
  <c r="J28" i="1"/>
  <c r="J29" i="1"/>
  <c r="J30" i="1"/>
  <c r="J31" i="1"/>
  <c r="J32" i="1"/>
  <c r="J33" i="1"/>
  <c r="J34" i="1"/>
  <c r="J35" i="1"/>
  <c r="C28" i="1"/>
  <c r="D28" i="1"/>
  <c r="E28" i="1"/>
  <c r="C29" i="1"/>
  <c r="D29" i="1"/>
  <c r="E29" i="1"/>
  <c r="C30" i="1"/>
  <c r="D30" i="1"/>
  <c r="E30" i="1"/>
  <c r="C31" i="1"/>
  <c r="D31" i="1"/>
  <c r="E31" i="1"/>
  <c r="C32" i="1"/>
  <c r="D32" i="1"/>
  <c r="E32" i="1"/>
  <c r="C33" i="1"/>
  <c r="D33" i="1"/>
  <c r="E33" i="1"/>
  <c r="C34" i="1"/>
  <c r="D34" i="1"/>
  <c r="E34" i="1"/>
  <c r="C35" i="1"/>
  <c r="D35" i="1"/>
  <c r="E35"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7" i="3"/>
  <c r="F18" i="3"/>
  <c r="D18" i="3"/>
  <c r="E17" i="3"/>
  <c r="E18" i="3"/>
  <c r="G18" i="3"/>
  <c r="C18" i="3"/>
  <c r="D17" i="3"/>
  <c r="D6" i="1" l="1"/>
  <c r="E6" i="1"/>
  <c r="D7" i="1"/>
  <c r="E7" i="1"/>
  <c r="M2" i="1"/>
  <c r="M3" i="1"/>
  <c r="M4" i="1"/>
  <c r="M5" i="1"/>
  <c r="E2" i="1"/>
  <c r="D3" i="1"/>
  <c r="E3" i="1"/>
  <c r="D4" i="1"/>
  <c r="E4" i="1"/>
  <c r="D5" i="1"/>
  <c r="E5" i="1"/>
  <c r="J5" i="1" l="1"/>
  <c r="G2" i="1" l="1"/>
  <c r="D16" i="3"/>
  <c r="C16" i="3"/>
  <c r="E15" i="3"/>
  <c r="E16" i="3"/>
  <c r="C15" i="3"/>
  <c r="F15" i="3"/>
  <c r="D15" i="3"/>
  <c r="F16" i="3"/>
  <c r="E20" i="3" l="1"/>
  <c r="D20" i="3"/>
  <c r="F20" i="3"/>
  <c r="C20" i="3"/>
  <c r="G17" i="3"/>
  <c r="G16" i="3"/>
  <c r="G15" i="3"/>
  <c r="G20" i="3" l="1"/>
  <c r="H19" i="3" s="1"/>
  <c r="Y1" i="1"/>
  <c r="N106" i="1" l="1"/>
  <c r="O106" i="1" s="1"/>
  <c r="N110" i="1"/>
  <c r="O110" i="1" s="1"/>
  <c r="N111" i="1"/>
  <c r="O111" i="1" s="1"/>
  <c r="N114" i="1"/>
  <c r="O114" i="1" s="1"/>
  <c r="N118" i="1"/>
  <c r="O118" i="1" s="1"/>
  <c r="N121" i="1"/>
  <c r="O121" i="1" s="1"/>
  <c r="N128" i="1"/>
  <c r="O128" i="1" s="1"/>
  <c r="N132" i="1"/>
  <c r="O132" i="1" s="1"/>
  <c r="N136" i="1"/>
  <c r="O136" i="1" s="1"/>
  <c r="N140" i="1"/>
  <c r="O140" i="1" s="1"/>
  <c r="N142" i="1"/>
  <c r="O142" i="1" s="1"/>
  <c r="N146" i="1"/>
  <c r="O146" i="1" s="1"/>
  <c r="N150" i="1"/>
  <c r="O150" i="1" s="1"/>
  <c r="N153" i="1"/>
  <c r="O153" i="1" s="1"/>
  <c r="N159" i="1"/>
  <c r="O159" i="1" s="1"/>
  <c r="N162" i="1"/>
  <c r="O162" i="1" s="1"/>
  <c r="N107" i="1"/>
  <c r="O107" i="1" s="1"/>
  <c r="N112" i="1"/>
  <c r="O112" i="1" s="1"/>
  <c r="N122" i="1"/>
  <c r="O122" i="1" s="1"/>
  <c r="N125" i="1"/>
  <c r="O125" i="1" s="1"/>
  <c r="N129" i="1"/>
  <c r="O129" i="1" s="1"/>
  <c r="N133" i="1"/>
  <c r="O133" i="1" s="1"/>
  <c r="N137" i="1"/>
  <c r="O137" i="1" s="1"/>
  <c r="N141" i="1"/>
  <c r="O141" i="1" s="1"/>
  <c r="N143" i="1"/>
  <c r="O143" i="1" s="1"/>
  <c r="N147" i="1"/>
  <c r="O147" i="1" s="1"/>
  <c r="N151" i="1"/>
  <c r="O151" i="1" s="1"/>
  <c r="N154" i="1"/>
  <c r="O154" i="1" s="1"/>
  <c r="N156" i="1"/>
  <c r="O156" i="1" s="1"/>
  <c r="N160" i="1"/>
  <c r="O160" i="1" s="1"/>
  <c r="N163" i="1"/>
  <c r="O163" i="1" s="1"/>
  <c r="N108" i="1"/>
  <c r="O108" i="1" s="1"/>
  <c r="N115" i="1"/>
  <c r="O115" i="1" s="1"/>
  <c r="N119" i="1"/>
  <c r="O119" i="1" s="1"/>
  <c r="N123" i="1"/>
  <c r="O123" i="1" s="1"/>
  <c r="N126" i="1"/>
  <c r="O126" i="1" s="1"/>
  <c r="N130" i="1"/>
  <c r="O130" i="1" s="1"/>
  <c r="N134" i="1"/>
  <c r="O134" i="1" s="1"/>
  <c r="N138" i="1"/>
  <c r="O138" i="1" s="1"/>
  <c r="N144" i="1"/>
  <c r="O144" i="1" s="1"/>
  <c r="N148" i="1"/>
  <c r="O148" i="1" s="1"/>
  <c r="N152" i="1"/>
  <c r="O152" i="1" s="1"/>
  <c r="N155" i="1"/>
  <c r="O155" i="1" s="1"/>
  <c r="N157" i="1"/>
  <c r="O157" i="1" s="1"/>
  <c r="N161" i="1"/>
  <c r="O161" i="1" s="1"/>
  <c r="N164" i="1"/>
  <c r="O164" i="1" s="1"/>
  <c r="N109" i="1"/>
  <c r="O109" i="1" s="1"/>
  <c r="N113" i="1"/>
  <c r="O113" i="1" s="1"/>
  <c r="N116" i="1"/>
  <c r="O116" i="1" s="1"/>
  <c r="N117" i="1"/>
  <c r="O117" i="1" s="1"/>
  <c r="N120" i="1"/>
  <c r="O120" i="1" s="1"/>
  <c r="N124" i="1"/>
  <c r="O124" i="1" s="1"/>
  <c r="N127" i="1"/>
  <c r="O127" i="1" s="1"/>
  <c r="N131" i="1"/>
  <c r="O131" i="1" s="1"/>
  <c r="N135" i="1"/>
  <c r="O135" i="1" s="1"/>
  <c r="N139" i="1"/>
  <c r="O139" i="1" s="1"/>
  <c r="N145" i="1"/>
  <c r="O145" i="1" s="1"/>
  <c r="N149" i="1"/>
  <c r="O149" i="1" s="1"/>
  <c r="N158" i="1"/>
  <c r="O158" i="1" s="1"/>
  <c r="N99" i="1"/>
  <c r="O99" i="1" s="1"/>
  <c r="N101" i="1"/>
  <c r="O101" i="1" s="1"/>
  <c r="N105" i="1"/>
  <c r="O105" i="1" s="1"/>
  <c r="N100" i="1"/>
  <c r="O100" i="1" s="1"/>
  <c r="N102" i="1"/>
  <c r="O102" i="1" s="1"/>
  <c r="N104" i="1"/>
  <c r="O104" i="1" s="1"/>
  <c r="N103" i="1"/>
  <c r="O103" i="1" s="1"/>
  <c r="N85" i="1"/>
  <c r="O85" i="1" s="1"/>
  <c r="N95" i="1"/>
  <c r="O95" i="1" s="1"/>
  <c r="N79" i="1"/>
  <c r="O79" i="1" s="1"/>
  <c r="N82" i="1"/>
  <c r="O82" i="1" s="1"/>
  <c r="N84" i="1"/>
  <c r="O84" i="1" s="1"/>
  <c r="N88" i="1"/>
  <c r="O88" i="1" s="1"/>
  <c r="N92" i="1"/>
  <c r="O92" i="1" s="1"/>
  <c r="N96" i="1"/>
  <c r="O96" i="1" s="1"/>
  <c r="N98" i="1"/>
  <c r="O98" i="1" s="1"/>
  <c r="N80" i="1"/>
  <c r="O80" i="1" s="1"/>
  <c r="N83" i="1"/>
  <c r="O83" i="1" s="1"/>
  <c r="N86" i="1"/>
  <c r="O86" i="1" s="1"/>
  <c r="N90" i="1"/>
  <c r="O90" i="1" s="1"/>
  <c r="N93" i="1"/>
  <c r="O93" i="1" s="1"/>
  <c r="N97" i="1"/>
  <c r="O97" i="1" s="1"/>
  <c r="N78" i="1"/>
  <c r="O78" i="1" s="1"/>
  <c r="N89" i="1"/>
  <c r="O89" i="1" s="1"/>
  <c r="N81" i="1"/>
  <c r="O81" i="1" s="1"/>
  <c r="N87" i="1"/>
  <c r="O87" i="1" s="1"/>
  <c r="N91" i="1"/>
  <c r="O91" i="1" s="1"/>
  <c r="N94" i="1"/>
  <c r="O94" i="1" s="1"/>
  <c r="N76" i="1"/>
  <c r="O76" i="1" s="1"/>
  <c r="N77" i="1"/>
  <c r="O77" i="1" s="1"/>
  <c r="H18" i="3"/>
  <c r="N66" i="1"/>
  <c r="O66" i="1" s="1"/>
  <c r="N67" i="1"/>
  <c r="O67" i="1" s="1"/>
  <c r="N73" i="1"/>
  <c r="O73" i="1" s="1"/>
  <c r="N75" i="1"/>
  <c r="O75" i="1" s="1"/>
  <c r="N59" i="1"/>
  <c r="O59" i="1" s="1"/>
  <c r="N61" i="1"/>
  <c r="O61" i="1" s="1"/>
  <c r="N60" i="1"/>
  <c r="O60" i="1" s="1"/>
  <c r="N68" i="1"/>
  <c r="O68" i="1" s="1"/>
  <c r="N57" i="1"/>
  <c r="O57" i="1" s="1"/>
  <c r="N63" i="1"/>
  <c r="O63" i="1" s="1"/>
  <c r="N70" i="1"/>
  <c r="O70" i="1" s="1"/>
  <c r="N62" i="1"/>
  <c r="O62" i="1" s="1"/>
  <c r="N71" i="1"/>
  <c r="O71" i="1" s="1"/>
  <c r="N58" i="1"/>
  <c r="O58" i="1" s="1"/>
  <c r="N64" i="1"/>
  <c r="O64" i="1" s="1"/>
  <c r="N65" i="1"/>
  <c r="O65" i="1" s="1"/>
  <c r="N69" i="1"/>
  <c r="O69" i="1" s="1"/>
  <c r="N72" i="1"/>
  <c r="O72" i="1" s="1"/>
  <c r="N74" i="1"/>
  <c r="O74" i="1" s="1"/>
  <c r="N51" i="1"/>
  <c r="O51" i="1" s="1"/>
  <c r="N55" i="1"/>
  <c r="O55" i="1" s="1"/>
  <c r="N56" i="1"/>
  <c r="O56" i="1" s="1"/>
  <c r="N52" i="1"/>
  <c r="O52" i="1" s="1"/>
  <c r="N54" i="1"/>
  <c r="O54" i="1" s="1"/>
  <c r="N53" i="1"/>
  <c r="O53" i="1" s="1"/>
  <c r="N46" i="1"/>
  <c r="O46" i="1" s="1"/>
  <c r="N47" i="1"/>
  <c r="O47" i="1" s="1"/>
  <c r="N49" i="1"/>
  <c r="O49" i="1" s="1"/>
  <c r="N48" i="1"/>
  <c r="O48" i="1" s="1"/>
  <c r="N50" i="1"/>
  <c r="O50" i="1" s="1"/>
  <c r="N45" i="1"/>
  <c r="O45" i="1" s="1"/>
  <c r="N41" i="1"/>
  <c r="O41" i="1" s="1"/>
  <c r="N38" i="1"/>
  <c r="O38" i="1" s="1"/>
  <c r="N37" i="1"/>
  <c r="O37" i="1" s="1"/>
  <c r="N39" i="1"/>
  <c r="O39" i="1" s="1"/>
  <c r="N43" i="1"/>
  <c r="O43" i="1" s="1"/>
  <c r="N42" i="1"/>
  <c r="O42" i="1" s="1"/>
  <c r="N40" i="1"/>
  <c r="O40" i="1" s="1"/>
  <c r="N44" i="1"/>
  <c r="O44" i="1" s="1"/>
  <c r="N36" i="1"/>
  <c r="O36" i="1" s="1"/>
  <c r="N28" i="1"/>
  <c r="O28" i="1" s="1"/>
  <c r="N35" i="1"/>
  <c r="O35" i="1" s="1"/>
  <c r="N29" i="1"/>
  <c r="O29" i="1" s="1"/>
  <c r="N30" i="1"/>
  <c r="O30" i="1" s="1"/>
  <c r="N31" i="1"/>
  <c r="O31" i="1" s="1"/>
  <c r="N32" i="1"/>
  <c r="O32" i="1" s="1"/>
  <c r="N33" i="1"/>
  <c r="O33" i="1" s="1"/>
  <c r="N34" i="1"/>
  <c r="O34"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<sst xmlns="http://schemas.openxmlformats.org/spreadsheetml/2006/main" count="3823" uniqueCount="1000">
  <si>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</si>
  <si>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</si>
  <si>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</si>
  <si>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</si>
  <si>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</si>
  <si>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</si>
  <si>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</si>
  <si>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</si>
  <si>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</si>
  <si>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</si>
  <si>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</si>
  <si>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</si>
  <si>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</si>
  <si>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</si>
  <si>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</si>
  <si>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</si>
  <si>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</si>
  <si>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</si>
  <si>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</si>
  <si>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</si>
  <si>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</si>
  <si>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</si>
  <si>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</si>
  <si>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</si>
  <si>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</si>
  <si>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</si>
  <si>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</si>
  <si>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</si>
  <si>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</si>
  <si>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</si>
  <si>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</si>
  <si>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</si>
  <si>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</si>
  <si>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</si>
  <si>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</si>
  <si>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</si>
  <si>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</si>
  <si>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</si>
  <si>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</si>
  <si>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</si>
  <si>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</si>
  <si>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</si>
  <si>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</si>
  <si>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</si>
  <si>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</si>
  <si>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</si>
  <si>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</si>
  <si>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</si>
  <si>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</si>
  <si>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</si>
  <si>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</si>
  <si>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</si>
  <si>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</si>
  <si>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</si>
  <si>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</si>
  <si>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</si>
  <si>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</si>
  <si>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</si>
  <si>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</si>
  <si>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</si>
  <si>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</si>
  <si>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</si>
  <si>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</si>
  <si>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</si>
  <si>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</si>
  <si>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</si>
  <si>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</si>
  <si>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</si>
  <si>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</si>
  <si>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</si>
  <si>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</si>
  <si>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</si>
  <si>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</si>
  <si>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</si>
  <si>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</si>
  <si>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</si>
  <si>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</si>
  <si>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</si>
  <si>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</si>
  <si>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</si>
  <si>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</si>
  <si>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</si>
  <si>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</si>
  <si>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</si>
  <si>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</si>
  <si>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</si>
  <si>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</si>
  <si>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</si>
  <si>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</si>
  <si>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</si>
  <si>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</si>
  <si>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</si>
  <si>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</si>
  <si>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</si>
  <si>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</si>
  <si>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</si>
  <si>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</si>
  <si>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</si>
  <si>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</si>
  <si>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</si>
  <si>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</si>
  <si>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</si>
  <si>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</si>
  <si>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</si>
  <si>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</si>
  <si>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</si>
  <si>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</si>
  <si>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</si>
  <si>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</si>
  <si>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</si>
  <si>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</si>
  <si>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</si>
  <si>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</si>
  <si>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</si>
  <si>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</si>
  <si>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</si>
  <si>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</si>
  <si>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</si>
  <si>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</si>
  <si>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</si>
  <si>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</si>
  <si>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</si>
  <si>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</si>
  <si>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</si>
  <si>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</si>
  <si>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</si>
  <si>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</si>
  <si>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</si>
  <si>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</si>
  <si>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</si>
  <si>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</si>
  <si>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</si>
  <si>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</si>
  <si>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</si>
  <si>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</si>
  <si>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</si>
  <si>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</si>
  <si>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</si>
  <si>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</si>
  <si>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</si>
  <si>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</si>
  <si>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</si>
  <si>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</si>
  <si>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</si>
  <si>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</si>
  <si>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</si>
  <si>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</si>
  <si>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</si>
  <si>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</si>
  <si>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</si>
  <si>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</si>
  <si>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</si>
  <si>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</si>
  <si>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</si>
  <si>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</si>
  <si>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</si>
  <si>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</si>
  <si>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</si>
  <si>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</si>
  <si>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</si>
  <si>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</si>
  <si>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</si>
  <si>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</si>
  <si>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</si>
  <si>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</si>
  <si>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</si>
  <si>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</si>
  <si>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</si>
  <si>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</si>
  <si>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</si>
  <si>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</si>
  <si>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</si>
  <si>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</si>
  <si>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</si>
  <si>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</si>
  <si>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</si>
  <si>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</si>
  <si>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</si>
  <si>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</si>
  <si>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</si>
  <si>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</si>
  <si>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</si>
  <si>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</si>
  <si>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</si>
  <si>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</si>
  <si>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</si>
  <si>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</si>
  <si>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</si>
  <si>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</si>
  <si>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</si>
  <si>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</si>
  <si>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</si>
  <si>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</si>
  <si>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</si>
  <si>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</si>
  <si>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</si>
  <si>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</si>
  <si>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</si>
  <si>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</si>
  <si>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</si>
  <si>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</si>
  <si>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</si>
  <si>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</si>
  <si>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</si>
  <si>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</si>
  <si>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</si>
  <si>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</si>
  <si>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</si>
  <si>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</si>
  <si>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</si>
  <si>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</si>
  <si>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</si>
  <si>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</si>
  <si>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</si>
  <si>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</si>
  <si>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</si>
  <si>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</si>
  <si>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</si>
  <si>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</si>
  <si>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</si>
  <si>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</si>
  <si>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</si>
  <si>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</si>
  <si>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</si>
  <si>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</si>
  <si>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</si>
  <si>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</si>
  <si>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</si>
  <si>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</si>
  <si>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</si>
  <si>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</si>
  <si>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</si>
  <si>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</si>
  <si>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</si>
  <si>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</si>
  <si>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</si>
  <si>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</si>
  <si>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</si>
  <si>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</si>
  <si>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</si>
  <si>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</si>
  <si>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</si>
  <si>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</si>
  <si>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</si>
  <si>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</si>
  <si>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</si>
  <si>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</si>
  <si>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</si>
  <si>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</si>
  <si>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</si>
  <si>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</si>
  <si>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</si>
  <si>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</si>
  <si>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</si>
  <si>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</si>
  <si>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</si>
  <si>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</si>
  <si>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</si>
  <si>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</si>
  <si>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</si>
  <si>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</si>
  <si>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</si>
  <si>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</si>
  <si>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</si>
  <si>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</si>
  <si>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</si>
  <si>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</si>
  <si>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</si>
  <si>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</si>
  <si>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</si>
  <si>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</si>
  <si>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</si>
  <si>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</si>
  <si>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</si>
  <si>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</si>
  <si>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</si>
  <si>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</si>
  <si>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</si>
  <si>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</si>
  <si>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</si>
  <si>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</si>
  <si>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</si>
  <si>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</si>
  <si>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</si>
  <si>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</si>
  <si>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</si>
  <si>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</si>
  <si>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</si>
  <si>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</si>
  <si>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</si>
  <si>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</si>
  <si>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</si>
  <si>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</si>
  <si>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</si>
  <si>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</si>
  <si>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</si>
  <si>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</si>
  <si>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</si>
  <si>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</si>
  <si>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</si>
  <si>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</si>
  <si>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</si>
  <si>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</si>
  <si>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</si>
  <si>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</si>
  <si>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</si>
  <si>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</si>
  <si>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</si>
  <si>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</si>
  <si>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</si>
  <si>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</si>
  <si>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</si>
  <si>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</si>
  <si>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</si>
  <si>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</si>
  <si>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</si>
  <si>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</si>
  <si>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</si>
  <si>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</si>
  <si>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</si>
  <si>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</si>
  <si>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</si>
  <si>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</si>
  <si>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</si>
  <si>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</si>
  <si>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</si>
  <si>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</si>
  <si>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</si>
  <si>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</si>
  <si>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</si>
  <si>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</si>
  <si>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</si>
  <si>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</si>
  <si>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</si>
  <si>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</si>
  <si>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</si>
  <si>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</si>
  <si>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</si>
  <si>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</si>
  <si>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</si>
  <si>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</si>
  <si>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</si>
  <si>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</si>
  <si>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</si>
  <si>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</si>
  <si>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</si>
  <si>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</si>
  <si>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</si>
  <si>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</si>
  <si>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</si>
  <si>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</si>
  <si>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</si>
  <si>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</si>
  <si>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</si>
  <si>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</si>
  <si>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</si>
  <si>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</si>
  <si>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</si>
  <si>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</si>
  <si>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</si>
  <si>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</si>
  <si>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</si>
  <si>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</si>
  <si>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</si>
  <si>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</si>
  <si>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</si>
  <si>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</si>
  <si>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</si>
  <si>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</si>
  <si>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</si>
  <si>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</si>
  <si>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</si>
  <si>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</si>
  <si>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</si>
  <si>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</si>
  <si>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</si>
  <si>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</si>
  <si>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</si>
  <si>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</si>
  <si>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</si>
  <si>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</si>
  <si>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</si>
  <si>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</si>
  <si>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</si>
  <si>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</si>
  <si>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</si>
  <si>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</si>
  <si>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</si>
  <si>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</si>
  <si>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</si>
  <si>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</si>
  <si>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</si>
  <si>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</si>
  <si>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</si>
  <si>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</si>
  <si>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</si>
  <si>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</si>
  <si>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</si>
  <si>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</si>
  <si>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</si>
  <si>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</si>
  <si>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</si>
  <si>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</si>
  <si>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</si>
  <si>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</si>
  <si>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</si>
  <si>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</si>
  <si>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</si>
  <si>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</si>
  <si>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</si>
  <si>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</si>
  <si>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</si>
  <si>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</si>
  <si>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</si>
  <si>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</si>
  <si>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</si>
  <si>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</si>
  <si>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</si>
  <si>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</si>
  <si>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</si>
  <si>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</si>
  <si>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</si>
  <si>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</si>
  <si>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</si>
  <si>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</si>
  <si>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</si>
  <si>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</si>
  <si>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</si>
  <si>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</si>
  <si>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</si>
  <si>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</si>
  <si>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</si>
  <si>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</si>
  <si>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</si>
  <si>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</si>
  <si>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</si>
  <si>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</si>
  <si>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</si>
  <si>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</si>
  <si>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</si>
  <si>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</si>
  <si>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</si>
  <si>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</si>
  <si>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</si>
  <si>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</si>
  <si>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</si>
  <si>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</si>
  <si>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</si>
  <si>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</si>
  <si>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</si>
  <si>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</si>
  <si>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</si>
  <si>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</si>
  <si>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</si>
  <si>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</si>
  <si>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</si>
  <si>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</si>
  <si>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</si>
  <si>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</si>
  <si>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</si>
  <si>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</si>
  <si>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</si>
  <si>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</si>
  <si>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</si>
  <si>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</si>
  <si>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</si>
  <si>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</si>
  <si>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</si>
  <si>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</si>
  <si>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</si>
  <si>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</si>
  <si>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</si>
  <si>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</si>
  <si>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</si>
  <si>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</si>
  <si>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</si>
  <si>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</si>
  <si>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</si>
  <si>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</si>
  <si>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</si>
  <si>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</si>
  <si>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</si>
  <si>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</si>
  <si>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</si>
  <si>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</si>
  <si>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</si>
  <si>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</si>
  <si>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</si>
  <si>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</si>
  <si>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</si>
  <si>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</si>
  <si>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</si>
  <si>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</si>
  <si>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</si>
  <si>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</si>
  <si>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</si>
  <si>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</si>
  <si>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</si>
  <si>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</si>
  <si>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</si>
  <si>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</si>
  <si>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</si>
  <si>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</si>
  <si>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</si>
  <si>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</si>
  <si>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</si>
  <si>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</si>
  <si>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</si>
  <si>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</si>
  <si>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</si>
  <si>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</si>
  <si>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</si>
  <si>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</si>
  <si>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</si>
  <si>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</si>
  <si>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</si>
  <si>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</si>
  <si>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</si>
  <si>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</si>
  <si>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</si>
  <si>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</si>
  <si>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</si>
  <si>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</si>
  <si>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</si>
  <si>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</si>
  <si>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</si>
  <si>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</si>
  <si>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</si>
  <si>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</si>
  <si>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</si>
  <si>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</si>
  <si>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</si>
  <si>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</si>
  <si>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</si>
  <si>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</si>
  <si>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</si>
  <si>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</si>
  <si>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</si>
  <si>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</si>
  <si>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</si>
  <si>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</si>
  <si>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</si>
  <si>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</si>
  <si>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</si>
  <si>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</si>
  <si>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</si>
  <si>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</si>
  <si>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</si>
  <si>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</si>
  <si>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</si>
  <si>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</si>
  <si>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</si>
  <si>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</si>
  <si>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</si>
  <si>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</si>
  <si>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</si>
  <si>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</si>
  <si>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</si>
  <si>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</si>
  <si>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</si>
  <si>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</si>
  <si>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</si>
  <si>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</si>
  <si>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</si>
  <si>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</si>
  <si>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</si>
  <si>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</si>
  <si>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</si>
  <si>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</si>
  <si>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</si>
  <si>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</si>
  <si>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</si>
  <si>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</si>
  <si>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</si>
  <si>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</si>
  <si>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</si>
  <si>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</si>
  <si>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</si>
  <si>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</si>
  <si>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</si>
  <si>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</si>
  <si>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</si>
  <si>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</si>
  <si>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</si>
  <si>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</si>
  <si>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</si>
  <si>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</si>
  <si>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</si>
  <si>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</si>
  <si>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</si>
  <si>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</si>
  <si>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</si>
  <si>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</si>
  <si>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</si>
  <si>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</si>
  <si>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</si>
  <si>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</si>
  <si>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</si>
  <si>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</si>
  <si>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</si>
  <si>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</si>
  <si>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</si>
  <si>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</si>
  <si>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</si>
  <si>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</si>
  <si>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</si>
  <si>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</si>
  <si>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</si>
  <si>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</si>
  <si>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</si>
  <si>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</si>
  <si>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</si>
  <si>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</si>
  <si>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</si>
  <si>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</si>
  <si>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</si>
  <si>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</si>
  <si>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</si>
  <si>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</si>
  <si>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</si>
  <si>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</si>
  <si>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</si>
  <si>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</si>
  <si>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</si>
  <si>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</si>
  <si>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</si>
  <si>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</si>
  <si>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</si>
  <si>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</si>
  <si>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</si>
  <si>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</si>
  <si>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</si>
  <si>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</si>
  <si>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</si>
  <si>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</si>
  <si>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</si>
  <si>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</si>
  <si>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</si>
  <si>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</si>
  <si>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</si>
  <si>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</si>
  <si>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</si>
  <si>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</si>
  <si>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</si>
  <si>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</si>
  <si>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</si>
  <si>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</si>
  <si>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</si>
  <si>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</si>
  <si>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</si>
  <si>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</si>
  <si>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</si>
  <si>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</si>
  <si>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</si>
  <si>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</si>
  <si>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</si>
  <si>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</si>
  <si>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</si>
  <si>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</si>
  <si>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</si>
  <si>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</si>
  <si>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</si>
  <si>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</si>
  <si>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</si>
  <si>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</si>
  <si>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</si>
  <si>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</si>
  <si>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</si>
  <si>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</si>
  <si>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</si>
  <si>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</si>
  <si>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</si>
  <si>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</si>
  <si>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</si>
  <si>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</si>
  <si>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</si>
  <si>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</si>
  <si>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</si>
  <si>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</si>
  <si>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</si>
  <si>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</si>
  <si>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</si>
  <si>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</si>
  <si>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</si>
  <si>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</si>
  <si>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</si>
  <si>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</si>
  <si>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</si>
  <si>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</si>
  <si>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</si>
  <si>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</si>
  <si>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</si>
  <si>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</si>
  <si>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</si>
  <si>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</si>
  <si>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</si>
  <si>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</si>
  <si>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</si>
  <si>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</si>
  <si>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</si>
  <si>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</si>
  <si>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</si>
  <si>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</si>
  <si>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</si>
  <si>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</si>
  <si>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</si>
  <si>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</si>
  <si>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</si>
  <si>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</si>
  <si>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</si>
  <si>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</si>
  <si>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</si>
  <si>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</si>
  <si>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</si>
  <si>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</si>
  <si>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</si>
  <si>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</si>
  <si>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</si>
  <si>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</si>
  <si>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</si>
  <si>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</si>
  <si>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</si>
  <si>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</si>
  <si>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</si>
  <si>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</si>
  <si>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</si>
  <si>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</si>
  <si>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</si>
  <si>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</si>
  <si>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</si>
  <si>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</si>
  <si>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</si>
  <si>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</si>
  <si>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</si>
  <si>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</si>
  <si>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</si>
  <si>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</si>
  <si>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</si>
  <si>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</si>
  <si>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</si>
  <si>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</si>
  <si>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</si>
  <si>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</si>
  <si>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</si>
  <si>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</si>
  <si>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</si>
  <si>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</si>
  <si>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</si>
  <si>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</si>
  <si>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</si>
  <si>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</si>
  <si>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</si>
  <si>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</si>
  <si>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</si>
  <si>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</si>
  <si>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</si>
  <si>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</si>
  <si>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</si>
  <si>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</si>
  <si>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</si>
  <si>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</si>
  <si>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</si>
  <si>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</si>
  <si>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</si>
  <si>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</si>
  <si>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</si>
  <si>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</si>
  <si>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</si>
  <si>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</si>
  <si>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</si>
  <si>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</si>
  <si>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</si>
  <si>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</si>
  <si>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</si>
  <si>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</si>
  <si>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</si>
  <si>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</si>
  <si>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</si>
  <si>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</si>
  <si>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</si>
  <si>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</si>
  <si>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</si>
  <si>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</si>
  <si>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</si>
  <si>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</si>
  <si>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</si>
  <si>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</si>
  <si>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</si>
  <si>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</si>
  <si>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</si>
  <si>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</si>
  <si>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</si>
  <si>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</si>
  <si>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</si>
  <si>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</si>
  <si>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</si>
  <si>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</si>
  <si>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</si>
  <si>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</si>
  <si>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</si>
  <si>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</si>
  <si>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</si>
  <si>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</si>
  <si>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</si>
  <si>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</si>
  <si>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</si>
  <si>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</si>
  <si>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</si>
  <si>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</si>
  <si>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</si>
  <si>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</si>
  <si>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</si>
  <si>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</si>
  <si>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</si>
  <si>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</si>
  <si>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</si>
  <si>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</si>
  <si>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</si>
  <si>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</si>
  <si>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</si>
  <si>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</si>
  <si>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</si>
  <si>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</si>
  <si>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</si>
  <si>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</si>
  <si>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</si>
  <si>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</si>
  <si>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</si>
  <si>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</si>
  <si>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</si>
  <si>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</si>
  <si>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</si>
  <si>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</si>
  <si>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</si>
  <si>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</si>
  <si>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</si>
  <si>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</si>
  <si>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</si>
  <si>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</si>
  <si>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</si>
  <si>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</si>
  <si>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</si>
  <si>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</si>
  <si>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</si>
  <si>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</si>
  <si>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</si>
  <si>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</si>
  <si>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</si>
  <si>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</si>
  <si>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</si>
  <si>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</si>
  <si>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</si>
  <si>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AU-CorporateAlliance-03/2026</t>
  </si>
  <si>
    <t>MY-EZ Money-03/2026</t>
  </si>
  <si>
    <t>US-GLOBAL ROOTS INC-03/2026</t>
  </si>
  <si>
    <t>SG-Qatar National Bank (Q.P.S.C.)-03/2026</t>
  </si>
  <si>
    <t>US-Stratos Payments, Inc-03/2026</t>
  </si>
  <si>
    <t>SG-youtech-03/2026</t>
  </si>
  <si>
    <t>INV-020426113526</t>
  </si>
  <si>
    <t>INV-030426112139</t>
  </si>
  <si>
    <t>INV-020426173052</t>
  </si>
  <si>
    <t>INV-030426123312</t>
  </si>
  <si>
    <t>INV-080426104349</t>
  </si>
  <si>
    <t>INV-020426180801</t>
  </si>
  <si>
    <t>INV-030426152534</t>
  </si>
  <si>
    <t>INV-030426095657</t>
  </si>
  <si>
    <t>INV-020426170424</t>
  </si>
  <si>
    <t>INV-030426231221</t>
  </si>
  <si>
    <t>INV-010426201156</t>
  </si>
  <si>
    <t>INV-010426152406</t>
  </si>
  <si>
    <t>INV-030426101140</t>
  </si>
  <si>
    <t>INV-020426160801</t>
  </si>
  <si>
    <t>Melanie Leonard</t>
  </si>
  <si>
    <t>Mar</t>
  </si>
  <si>
    <t>Apr</t>
  </si>
  <si>
    <t>Bhavani/Sanat</t>
  </si>
  <si>
    <t>ROECNY PTE. LTD.</t>
  </si>
  <si>
    <t>INV-240426132000</t>
  </si>
  <si>
    <t>Card printing invoice</t>
  </si>
  <si>
    <t>Client has requested for a waiver hence awaiting update from Sikat on this.</t>
  </si>
  <si>
    <t>Tongan Pa’anga</t>
  </si>
  <si>
    <t>EVERWIN REMITTANCE AND EXCHANGE CO LIMITED</t>
  </si>
  <si>
    <t>MeshPay US, Inc</t>
  </si>
  <si>
    <t>RemitAnywhere INC</t>
  </si>
  <si>
    <t>SG-BEXS BANCO DE CAMBIO-04/2026</t>
  </si>
  <si>
    <t>US-CN-Borderless-03-2026</t>
  </si>
  <si>
    <t>AU-CorporateAlliance-04/2026</t>
  </si>
  <si>
    <t>HK-Everpro-04/2026</t>
  </si>
  <si>
    <t>MY-EZ Money-04/2026</t>
  </si>
  <si>
    <t>ID-PT Midtrans-04/2026</t>
  </si>
  <si>
    <t>ID-ptpelita-04/2026</t>
  </si>
  <si>
    <t>SG-Qatar National Bank (Q.P.S.C.)-04/2026</t>
  </si>
  <si>
    <t>INV-040526204049</t>
  </si>
  <si>
    <t>INV-110526145754</t>
  </si>
  <si>
    <t>INV-050526150527</t>
  </si>
  <si>
    <t>INV-040526162158</t>
  </si>
  <si>
    <t>INV-070526124101</t>
  </si>
  <si>
    <t>INV-110526134838</t>
  </si>
  <si>
    <t>INV-040526200003</t>
  </si>
  <si>
    <t>INV-060526163836</t>
  </si>
  <si>
    <t>INV-050526130450</t>
  </si>
  <si>
    <t>INV-040526195142</t>
  </si>
  <si>
    <t>INV-050526163450</t>
  </si>
  <si>
    <t>INV-040526102628</t>
  </si>
  <si>
    <t>INV-050526184408</t>
  </si>
  <si>
    <t>INV-060526134523</t>
  </si>
  <si>
    <t>INV-070526092521</t>
  </si>
  <si>
    <t>Credit Note-Rebate</t>
  </si>
  <si>
    <t>Oct</t>
  </si>
  <si>
    <t>Back Market Japan K.K</t>
  </si>
  <si>
    <t>INV-220526121442</t>
  </si>
  <si>
    <t>INV-270526152527</t>
  </si>
  <si>
    <t>INV-240526220000</t>
  </si>
  <si>
    <t>INV-280526122557</t>
  </si>
  <si>
    <t>INV-290526111409</t>
  </si>
  <si>
    <t>INV-260526102104</t>
  </si>
  <si>
    <t>INV-240526132000</t>
  </si>
  <si>
    <t>Quarterly Scheme Fees</t>
  </si>
  <si>
    <t>Integration Fee</t>
  </si>
  <si>
    <t>Quarterly Scheme Fee-2025</t>
  </si>
  <si>
    <t>bsi group llc.</t>
  </si>
  <si>
    <t>AtoB Canada Ltd.</t>
  </si>
  <si>
    <t>BANFICO LTD</t>
  </si>
  <si>
    <t>Bivo Cash Inc</t>
  </si>
  <si>
    <t>Invest Bank PSC</t>
  </si>
  <si>
    <t>Open Joint Stock Company Unibank</t>
  </si>
  <si>
    <t>SHUN TUNG CENTURY LIMITED</t>
  </si>
  <si>
    <t>The OneGate Capital AG</t>
  </si>
  <si>
    <t>Account Settlement</t>
  </si>
  <si>
    <t>Account settlement</t>
  </si>
  <si>
    <t>SG-BEXS BANCO DE CAMBIO-05/2026</t>
  </si>
  <si>
    <t>US-Bsi Group Llc.-05/2026</t>
  </si>
  <si>
    <t>AU-CorporateAlliance-05/2026</t>
  </si>
  <si>
    <t>HK-Everpro-05/2026</t>
  </si>
  <si>
    <t>SG-Lemonway-05/2026</t>
  </si>
  <si>
    <t>ID-DN-PT FLIPTECH-05-2026</t>
  </si>
  <si>
    <t>ID-PT FLIPTECH-05/2026</t>
  </si>
  <si>
    <t>ID-PT Midtrans-05/2026</t>
  </si>
  <si>
    <t>ID-ptpelita-05/2026</t>
  </si>
  <si>
    <t>SG-Qatar National Bank (Q.P.S.C.)-05/2026</t>
  </si>
  <si>
    <t>US-Qolo-05/2026</t>
  </si>
  <si>
    <t>US-Stratos Payments, Inc-05/2026</t>
  </si>
  <si>
    <t>SG-Zenusbank-05/2026</t>
  </si>
  <si>
    <t>INV-050626105355</t>
  </si>
  <si>
    <t>INV-040626125945</t>
  </si>
  <si>
    <t>INV-060626213209</t>
  </si>
  <si>
    <t>INV-020626151409</t>
  </si>
  <si>
    <t>INV-110626150144</t>
  </si>
  <si>
    <t>INV-010626173440</t>
  </si>
  <si>
    <t>CN-INV-040626101138</t>
  </si>
  <si>
    <t>INV-080626181247</t>
  </si>
  <si>
    <t>INV-040626104650</t>
  </si>
  <si>
    <t>INV-030626161636</t>
  </si>
  <si>
    <t>INV-020626161624</t>
  </si>
  <si>
    <t>INV-030626161519</t>
  </si>
  <si>
    <t>INV-030626165908</t>
  </si>
  <si>
    <t>INV-020626125728</t>
  </si>
  <si>
    <t>INV-010626194231</t>
  </si>
  <si>
    <t>INV-020626150926</t>
  </si>
  <si>
    <t>INV-030626171604</t>
  </si>
  <si>
    <t>INV-050626115054</t>
  </si>
  <si>
    <t>INV-050626142540</t>
  </si>
  <si>
    <t>INV-020626105038</t>
  </si>
  <si>
    <t>INV-080626185319</t>
  </si>
  <si>
    <t>INV-040626125713</t>
  </si>
  <si>
    <t>INV-030626112352</t>
  </si>
  <si>
    <t>INV-030626093803</t>
  </si>
  <si>
    <t>CN-INV-030626132939</t>
  </si>
  <si>
    <t>INV-030626145124</t>
  </si>
  <si>
    <t>CN-INV-170626175259</t>
  </si>
  <si>
    <t>INV-020626175858</t>
  </si>
  <si>
    <t>INV-040626193129</t>
  </si>
  <si>
    <t>INV-020626113157</t>
  </si>
  <si>
    <t>INV-150626185945</t>
  </si>
  <si>
    <t>INV-010626164441</t>
  </si>
  <si>
    <t>INV-040626164211</t>
  </si>
  <si>
    <t>INV-180626165925</t>
  </si>
  <si>
    <t>INV-050626121629</t>
  </si>
  <si>
    <t>INV-080626175004</t>
  </si>
  <si>
    <t>INV-020626190918</t>
  </si>
  <si>
    <t>INV-020626151734</t>
  </si>
  <si>
    <t>INV-040626193255</t>
  </si>
  <si>
    <t>INV-110626174025</t>
  </si>
  <si>
    <t>INV-040626092813</t>
  </si>
  <si>
    <t>INV-170626113407</t>
  </si>
  <si>
    <t>INV-010626172437</t>
  </si>
  <si>
    <t>INV-040626114112</t>
  </si>
  <si>
    <t>Debit note - Incremental FX margin charges</t>
  </si>
  <si>
    <t>Credit Note-Write Off</t>
  </si>
  <si>
    <t>Credit Note-Waived Off</t>
  </si>
  <si>
    <t>Credit Note-Write-Off</t>
  </si>
  <si>
    <t>Pay In Service Integration Fee</t>
  </si>
  <si>
    <t>Visa Scheme fee Revision</t>
  </si>
  <si>
    <t>Jasper</t>
  </si>
  <si>
    <t>Sakshi Shanbhag</t>
  </si>
  <si>
    <t>Tulio Lima</t>
  </si>
  <si>
    <t xml:space="preserve">Mrinal </t>
  </si>
  <si>
    <t>Sep</t>
  </si>
  <si>
    <t>Nov</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</si>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</sst>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91">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0" fontId="2" fillId="0" borderId="0" xfId="0" applyFont="1"/>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65" fontId="0" fillId="0" borderId="1" xfId="1" applyNumberFormat="1" applyFont="1" applyFill="1" applyBorder="1" applyAlignment="1">
      <alignment horizontal="center" vertical="center"/>
    </xf>
    <xf numFmtId="4" fontId="0" fillId="0" borderId="1" xfId="0" applyNumberFormat="1" applyBorder="1" applyAlignment="1">
      <alignment horizontal="center" vertical="center"/>
    </xf>
    <xf numFmtId="165" fontId="2" fillId="0" borderId="0" xfId="0" applyNumberFormat="1" applyFont="1"/>
    <xf numFmtId="14" fontId="0" fillId="0" borderId="0" xfId="0" applyNumberFormat="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6-25T03_49_39.655624735Z.xlsx" TargetMode="External"/><Relationship Id="rId1" Type="http://schemas.openxmlformats.org/officeDocument/2006/relationships/externalLinkPath" Target="file:///C:\Users\HetalJethva\Downloads\ops_invoicing_merged_2026-06-25T03_49_39.655624735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 baltimore aircoil-03/2026</v>
          </cell>
          <cell r="K40" t="str">
            <v>Settled</v>
          </cell>
        </row>
        <row r="41">
          <cell r="J41" t="str">
            <v>AU- baltimore aircoil-04/2026</v>
          </cell>
          <cell r="K41" t="str">
            <v>Settled</v>
          </cell>
        </row>
        <row r="42">
          <cell r="J42" t="str">
            <v>AU- baltimore aircoil-05/2026</v>
          </cell>
          <cell r="K42" t="str">
            <v>Settled</v>
          </cell>
        </row>
        <row r="43">
          <cell r="J43" t="str">
            <v>AU-World Services Online Pty Ltd-11/2022</v>
          </cell>
          <cell r="K43" t="str">
            <v>Settled</v>
          </cell>
        </row>
        <row r="44">
          <cell r="J44" t="str">
            <v>AU-World Services Online Pty Ltd-12/2022</v>
          </cell>
          <cell r="K44" t="str">
            <v>Settled</v>
          </cell>
        </row>
        <row r="45">
          <cell r="J45" t="str">
            <v>AU-World Services Online Pty Ltd-01/2023</v>
          </cell>
          <cell r="K45" t="str">
            <v>Settled</v>
          </cell>
        </row>
        <row r="46">
          <cell r="J46" t="str">
            <v>AU-World Services-02/2023</v>
          </cell>
          <cell r="K46" t="str">
            <v>Settled</v>
          </cell>
        </row>
        <row r="47">
          <cell r="J47" t="str">
            <v>AU-World Services-03/2023</v>
          </cell>
          <cell r="K47" t="str">
            <v>Settled</v>
          </cell>
        </row>
        <row r="48">
          <cell r="J48" t="str">
            <v>AU-World Services-04/2023</v>
          </cell>
          <cell r="K48" t="str">
            <v>Settled</v>
          </cell>
        </row>
        <row r="49">
          <cell r="J49" t="str">
            <v>AU-World Services-05/2023</v>
          </cell>
          <cell r="K49" t="str">
            <v>Settled</v>
          </cell>
        </row>
        <row r="50">
          <cell r="J50" t="str">
            <v>AU-World Services-06/2023</v>
          </cell>
          <cell r="K50" t="str">
            <v>Settled</v>
          </cell>
        </row>
        <row r="51">
          <cell r="J51" t="str">
            <v>AU-World Services-07/2023</v>
          </cell>
          <cell r="K51" t="str">
            <v>Settled</v>
          </cell>
        </row>
        <row r="52">
          <cell r="J52" t="str">
            <v>AU -World Services-08/2023</v>
          </cell>
          <cell r="K52" t="str">
            <v>Settled</v>
          </cell>
        </row>
        <row r="53">
          <cell r="J53" t="str">
            <v>AU-World Services-09/2023</v>
          </cell>
          <cell r="K53" t="str">
            <v>Settled</v>
          </cell>
        </row>
        <row r="54">
          <cell r="J54" t="str">
            <v>AU-World Services-10/2023</v>
          </cell>
          <cell r="K54" t="str">
            <v>Settled</v>
          </cell>
        </row>
        <row r="55">
          <cell r="J55" t="str">
            <v>AU-World Services-11/2023</v>
          </cell>
          <cell r="K55" t="str">
            <v>Settled</v>
          </cell>
        </row>
        <row r="56">
          <cell r="J56" t="str">
            <v>AU-World Services-12/2023</v>
          </cell>
          <cell r="K56" t="str">
            <v>Settled</v>
          </cell>
        </row>
        <row r="57">
          <cell r="J57" t="str">
            <v>AU-World Services-01/2024</v>
          </cell>
          <cell r="K57" t="str">
            <v>Settled</v>
          </cell>
        </row>
        <row r="58">
          <cell r="J58" t="str">
            <v>AU-World Services-02/2024</v>
          </cell>
          <cell r="K58" t="str">
            <v>Settled</v>
          </cell>
        </row>
        <row r="59">
          <cell r="J59" t="str">
            <v>AU-World Services-03/2024</v>
          </cell>
          <cell r="K59" t="str">
            <v>Settled</v>
          </cell>
        </row>
        <row r="60">
          <cell r="J60" t="str">
            <v>AU-World Services-04/2024</v>
          </cell>
          <cell r="K60" t="str">
            <v>Settled</v>
          </cell>
        </row>
        <row r="61">
          <cell r="J61" t="str">
            <v>AU-World Services-05/2024</v>
          </cell>
          <cell r="K61" t="str">
            <v>Settled</v>
          </cell>
        </row>
        <row r="62">
          <cell r="J62" t="str">
            <v>AU-World Services-06/2024</v>
          </cell>
          <cell r="K62" t="str">
            <v>Settled</v>
          </cell>
        </row>
        <row r="63">
          <cell r="J63" t="str">
            <v>AU-World Services-07/2024</v>
          </cell>
          <cell r="K63" t="str">
            <v>Settled</v>
          </cell>
        </row>
        <row r="64">
          <cell r="J64" t="str">
            <v>AU-World Services-08/2024</v>
          </cell>
          <cell r="K64" t="str">
            <v>Settled</v>
          </cell>
        </row>
        <row r="65">
          <cell r="J65" t="str">
            <v>AU-World Services-09/2024</v>
          </cell>
          <cell r="K65" t="str">
            <v>Settled</v>
          </cell>
        </row>
        <row r="66">
          <cell r="J66" t="str">
            <v>AU-World Services-10/2024</v>
          </cell>
          <cell r="K66" t="str">
            <v>Settled</v>
          </cell>
        </row>
        <row r="67">
          <cell r="J67" t="str">
            <v>AU-World Services-11/2024</v>
          </cell>
          <cell r="K67" t="str">
            <v>Settled</v>
          </cell>
        </row>
        <row r="68">
          <cell r="J68" t="str">
            <v>AU-World Services-12/2024</v>
          </cell>
          <cell r="K68" t="str">
            <v>Settled</v>
          </cell>
        </row>
        <row r="69">
          <cell r="J69" t="str">
            <v>AU-World Services-01/2025</v>
          </cell>
          <cell r="K69" t="str">
            <v>Settled</v>
          </cell>
        </row>
        <row r="70">
          <cell r="J70" t="str">
            <v>AU-World Services-02/2025</v>
          </cell>
          <cell r="K70" t="str">
            <v>Settled</v>
          </cell>
        </row>
        <row r="71">
          <cell r="J71" t="str">
            <v>AU-World Services-03/2025</v>
          </cell>
          <cell r="K71" t="str">
            <v>Settled</v>
          </cell>
        </row>
        <row r="72">
          <cell r="J72" t="str">
            <v>AU-World Services-04/2025</v>
          </cell>
          <cell r="K72" t="str">
            <v>Settled</v>
          </cell>
        </row>
        <row r="73">
          <cell r="J73" t="str">
            <v>AU-World Services-05/2025</v>
          </cell>
          <cell r="K73" t="str">
            <v>Settled</v>
          </cell>
        </row>
        <row r="74">
          <cell r="J74" t="str">
            <v>AU-World Services-06/2025</v>
          </cell>
          <cell r="K74" t="str">
            <v>Settled</v>
          </cell>
        </row>
        <row r="75">
          <cell r="J75" t="str">
            <v>AU-World Services-07/2025</v>
          </cell>
          <cell r="K75" t="str">
            <v>Settled</v>
          </cell>
        </row>
        <row r="76">
          <cell r="J76" t="str">
            <v>AU-World Services-08/2025</v>
          </cell>
          <cell r="K76" t="str">
            <v>Settled</v>
          </cell>
        </row>
        <row r="77">
          <cell r="J77" t="str">
            <v>AU-World Services-10/2025</v>
          </cell>
          <cell r="K77" t="str">
            <v>Settled</v>
          </cell>
        </row>
        <row r="78">
          <cell r="J78" t="str">
            <v>AU-World Services-11/2025</v>
          </cell>
          <cell r="K78" t="str">
            <v>Settled</v>
          </cell>
        </row>
        <row r="79">
          <cell r="J79" t="str">
            <v>AU-World Services-12/2025</v>
          </cell>
          <cell r="K79" t="str">
            <v>Settled</v>
          </cell>
        </row>
        <row r="80">
          <cell r="J80" t="str">
            <v>AU-World Services-01/2026</v>
          </cell>
          <cell r="K80" t="str">
            <v>Settled</v>
          </cell>
        </row>
        <row r="81">
          <cell r="J81" t="str">
            <v>AU-World Services-02/2026</v>
          </cell>
          <cell r="K81" t="str">
            <v>Settled</v>
          </cell>
        </row>
        <row r="82">
          <cell r="J82" t="str">
            <v>AU-World Services-03/2026</v>
          </cell>
          <cell r="K82" t="str">
            <v>Settled</v>
          </cell>
        </row>
        <row r="83">
          <cell r="J83" t="str">
            <v>AU-World Services-04/2026</v>
          </cell>
          <cell r="K83" t="str">
            <v>Settled</v>
          </cell>
        </row>
        <row r="84">
          <cell r="J84" t="str">
            <v>AU-World Services-05/2026</v>
          </cell>
          <cell r="K84" t="str">
            <v>Settled</v>
          </cell>
        </row>
        <row r="85">
          <cell r="J85" t="str">
            <v>SG-13370046 CANADA INC-09/2022</v>
          </cell>
          <cell r="K85" t="str">
            <v>Write Off</v>
          </cell>
        </row>
        <row r="86">
          <cell r="J86" t="str">
            <v>SG-13370046 CANADA INC-11/2022</v>
          </cell>
          <cell r="K86" t="str">
            <v>Write Off</v>
          </cell>
        </row>
        <row r="87">
          <cell r="J87" t="str">
            <v>SG-13370046 CANADA INC-01/2023</v>
          </cell>
          <cell r="K87" t="str">
            <v>Write Off</v>
          </cell>
        </row>
        <row r="88">
          <cell r="J88" t="str">
            <v>SG-13370046CANADA-02/2023</v>
          </cell>
          <cell r="K88" t="str">
            <v>Write Off</v>
          </cell>
        </row>
        <row r="89">
          <cell r="J89" t="str">
            <v>SG-13370046CANADA-03/2023</v>
          </cell>
          <cell r="K89" t="str">
            <v>Waived Off</v>
          </cell>
        </row>
        <row r="90">
          <cell r="J90" t="str">
            <v>SG-13370046CANADA-04/2023</v>
          </cell>
          <cell r="K90" t="str">
            <v>Waived Off</v>
          </cell>
        </row>
        <row r="91">
          <cell r="J91" t="str">
            <v>SG-13370046CANADA-05/2023</v>
          </cell>
          <cell r="K91" t="str">
            <v>Waived Off</v>
          </cell>
        </row>
        <row r="92">
          <cell r="J92" t="str">
            <v>SG-13370046CANADA-06/2023</v>
          </cell>
          <cell r="K92" t="str">
            <v>Waived Off</v>
          </cell>
        </row>
        <row r="93">
          <cell r="J93" t="str">
            <v>SG-33 Remittance Company Limited-11/2022</v>
          </cell>
          <cell r="K93" t="str">
            <v>Settled</v>
          </cell>
        </row>
        <row r="94">
          <cell r="J94" t="str">
            <v>SG-33 Remittance Company Limited-12/2022</v>
          </cell>
          <cell r="K94" t="str">
            <v>Settled</v>
          </cell>
        </row>
        <row r="95">
          <cell r="J95" t="str">
            <v>SG-33 Remittance Company Limited-01/2023</v>
          </cell>
          <cell r="K95" t="str">
            <v>Settled</v>
          </cell>
        </row>
        <row r="96">
          <cell r="J96" t="str">
            <v>SG-33Remitt-02/2023</v>
          </cell>
          <cell r="K96" t="str">
            <v>Settled</v>
          </cell>
        </row>
        <row r="97">
          <cell r="J97" t="str">
            <v>SG-33Remitt-03/2023</v>
          </cell>
          <cell r="K97" t="str">
            <v>Settled</v>
          </cell>
        </row>
        <row r="98">
          <cell r="J98" t="str">
            <v>SG-33Remitt-04/2023</v>
          </cell>
          <cell r="K98" t="str">
            <v>Settled</v>
          </cell>
        </row>
        <row r="99">
          <cell r="J99" t="str">
            <v>SG-33Remitt-05/2023</v>
          </cell>
          <cell r="K99" t="str">
            <v>Settled</v>
          </cell>
        </row>
        <row r="100">
          <cell r="J100" t="str">
            <v>SG-33Remitt-06/2023</v>
          </cell>
          <cell r="K100" t="str">
            <v>Settled</v>
          </cell>
        </row>
        <row r="101">
          <cell r="J101" t="str">
            <v>SG-33Remitt-07/2023</v>
          </cell>
          <cell r="K101" t="str">
            <v>Settled</v>
          </cell>
        </row>
        <row r="102">
          <cell r="J102" t="str">
            <v>SG -33Remitt-08/2023</v>
          </cell>
          <cell r="K102" t="str">
            <v>Settled</v>
          </cell>
        </row>
        <row r="103">
          <cell r="J103" t="str">
            <v>SG-33Remitt-09/2023</v>
          </cell>
          <cell r="K103" t="str">
            <v>Settled</v>
          </cell>
        </row>
        <row r="104">
          <cell r="J104" t="str">
            <v>SG-33Remitt-10/2023</v>
          </cell>
          <cell r="K104" t="str">
            <v>Settled</v>
          </cell>
        </row>
        <row r="105">
          <cell r="J105" t="str">
            <v>SG-33Remitt-11/2023</v>
          </cell>
          <cell r="K105" t="str">
            <v>Settled</v>
          </cell>
        </row>
        <row r="106">
          <cell r="J106" t="str">
            <v>SG-33Remitt-12/2023</v>
          </cell>
          <cell r="K106" t="str">
            <v>Settled</v>
          </cell>
        </row>
        <row r="107">
          <cell r="J107" t="str">
            <v>SG-33Remitt-01/2024</v>
          </cell>
          <cell r="K107" t="str">
            <v>Settled</v>
          </cell>
        </row>
        <row r="108">
          <cell r="J108" t="str">
            <v>SG-33Remitt-02/2024</v>
          </cell>
          <cell r="K108" t="str">
            <v>Settled</v>
          </cell>
        </row>
        <row r="109">
          <cell r="J109" t="str">
            <v>SG-33Remitt-03/2024</v>
          </cell>
          <cell r="K109" t="str">
            <v>Settled</v>
          </cell>
        </row>
        <row r="110">
          <cell r="J110" t="str">
            <v>SG-33Remitt-04/2024</v>
          </cell>
          <cell r="K110" t="str">
            <v>Settled</v>
          </cell>
        </row>
        <row r="111">
          <cell r="J111" t="str">
            <v>SG-33Remitt-05/2024</v>
          </cell>
          <cell r="K111" t="str">
            <v>Settled</v>
          </cell>
        </row>
        <row r="112">
          <cell r="J112" t="str">
            <v>SG-33Remitt-06/2024</v>
          </cell>
          <cell r="K112" t="str">
            <v>Settled</v>
          </cell>
        </row>
        <row r="113">
          <cell r="J113" t="str">
            <v>SG-33Remitt-07/2024</v>
          </cell>
          <cell r="K113" t="str">
            <v>Settled</v>
          </cell>
        </row>
        <row r="114">
          <cell r="J114" t="str">
            <v>SG-33Remitt-08/2024</v>
          </cell>
          <cell r="K114" t="str">
            <v>Settled</v>
          </cell>
        </row>
        <row r="115">
          <cell r="J115" t="str">
            <v>SG-33Remitt-09/2024</v>
          </cell>
          <cell r="K115" t="str">
            <v>Settled</v>
          </cell>
        </row>
        <row r="116">
          <cell r="J116" t="str">
            <v>SG-33Remitt-10/2024</v>
          </cell>
          <cell r="K116" t="str">
            <v>Settled</v>
          </cell>
        </row>
        <row r="117">
          <cell r="J117" t="str">
            <v>SG-33Remitt-11/2024</v>
          </cell>
          <cell r="K117" t="str">
            <v>Settled</v>
          </cell>
        </row>
        <row r="118">
          <cell r="J118" t="str">
            <v>SG-33Remitt-12/2024</v>
          </cell>
          <cell r="K118" t="str">
            <v>Settled</v>
          </cell>
        </row>
        <row r="119">
          <cell r="J119" t="str">
            <v>SG-33Remitt-01/2025</v>
          </cell>
          <cell r="K119" t="str">
            <v>Settled</v>
          </cell>
        </row>
        <row r="120">
          <cell r="J120" t="str">
            <v>SG-33Remitt-02/2025</v>
          </cell>
          <cell r="K120" t="str">
            <v>Settled</v>
          </cell>
        </row>
        <row r="121">
          <cell r="J121" t="str">
            <v>SG-33Remitt-03/2025</v>
          </cell>
          <cell r="K121" t="str">
            <v>Settled</v>
          </cell>
        </row>
        <row r="122">
          <cell r="J122" t="str">
            <v>SG-33Remitt-04/2025</v>
          </cell>
          <cell r="K122" t="str">
            <v>Settled</v>
          </cell>
        </row>
        <row r="123">
          <cell r="J123" t="str">
            <v>SG-33Remitt-05/2025</v>
          </cell>
          <cell r="K123" t="str">
            <v>Settled</v>
          </cell>
        </row>
        <row r="124">
          <cell r="J124" t="str">
            <v>SG-33Remitt-06/2025</v>
          </cell>
          <cell r="K124" t="str">
            <v>Settled</v>
          </cell>
        </row>
        <row r="125">
          <cell r="J125" t="str">
            <v>SG-33Remitt-07/2025</v>
          </cell>
          <cell r="K125" t="str">
            <v>Settled</v>
          </cell>
        </row>
        <row r="126">
          <cell r="J126" t="str">
            <v>SG-33Remitt-08/2025</v>
          </cell>
          <cell r="K126" t="str">
            <v>Settled</v>
          </cell>
        </row>
        <row r="127">
          <cell r="J127" t="str">
            <v>SG-33Remitt-09/2025</v>
          </cell>
          <cell r="K127" t="str">
            <v>Settled</v>
          </cell>
        </row>
        <row r="128">
          <cell r="J128" t="str">
            <v>SG-33Remitt-10/2025</v>
          </cell>
          <cell r="K128" t="str">
            <v>Settled</v>
          </cell>
        </row>
        <row r="129">
          <cell r="J129" t="str">
            <v>SG-33Remitt-11/2025</v>
          </cell>
          <cell r="K129" t="str">
            <v>Settled</v>
          </cell>
        </row>
        <row r="130">
          <cell r="J130" t="str">
            <v>SG-33Remitt-12/2025</v>
          </cell>
          <cell r="K130" t="str">
            <v>Settled</v>
          </cell>
        </row>
        <row r="131">
          <cell r="J131" t="str">
            <v>SG-33Remitt-01/2026</v>
          </cell>
          <cell r="K131" t="str">
            <v>Settled</v>
          </cell>
        </row>
        <row r="132">
          <cell r="J132" t="str">
            <v>SG-33Remitt-02/2026</v>
          </cell>
          <cell r="K132" t="str">
            <v>Settled</v>
          </cell>
        </row>
        <row r="133">
          <cell r="J133" t="str">
            <v>SG-33Remitt-03/2026</v>
          </cell>
          <cell r="K133" t="str">
            <v>Settled</v>
          </cell>
        </row>
        <row r="134">
          <cell r="J134" t="str">
            <v>SG-33Remitt-04/2026</v>
          </cell>
          <cell r="K134" t="str">
            <v>Settled</v>
          </cell>
        </row>
        <row r="135">
          <cell r="J135" t="str">
            <v>SG-33Remitt-05/2026</v>
          </cell>
          <cell r="K135" t="str">
            <v>Settled</v>
          </cell>
        </row>
        <row r="136">
          <cell r="J136" t="str">
            <v>US -4400WETech-03/2023</v>
          </cell>
          <cell r="K136" t="str">
            <v>Settled</v>
          </cell>
        </row>
        <row r="137">
          <cell r="J137" t="str">
            <v>US-4400WETech-04/2023</v>
          </cell>
          <cell r="K137" t="str">
            <v>Settled</v>
          </cell>
        </row>
        <row r="138">
          <cell r="J138" t="str">
            <v>US-4400WETech-CR-04/2023</v>
          </cell>
          <cell r="K138" t="str">
            <v>Settled</v>
          </cell>
        </row>
        <row r="139">
          <cell r="J139" t="str">
            <v>US-4400WETech-05/2023</v>
          </cell>
          <cell r="K139" t="str">
            <v>Settled</v>
          </cell>
        </row>
        <row r="140">
          <cell r="J140" t="str">
            <v>US-4400WETech-CR-04/2024</v>
          </cell>
          <cell r="K140" t="str">
            <v>Settled</v>
          </cell>
        </row>
        <row r="141">
          <cell r="J141" t="str">
            <v>US-4400WETech-CR-05/2023</v>
          </cell>
          <cell r="K141" t="str">
            <v>Settled</v>
          </cell>
        </row>
        <row r="142">
          <cell r="J142" t="str">
            <v>US-4400WETech-06/2023</v>
          </cell>
          <cell r="K142" t="str">
            <v>Settled</v>
          </cell>
        </row>
        <row r="143">
          <cell r="J143" t="str">
            <v>US-4400WETech-CR-06/2023</v>
          </cell>
          <cell r="K143" t="str">
            <v>Settled</v>
          </cell>
        </row>
        <row r="144">
          <cell r="J144" t="str">
            <v>US-4400WETech-07/2023</v>
          </cell>
          <cell r="K144" t="str">
            <v>Settled</v>
          </cell>
        </row>
        <row r="145">
          <cell r="J145" t="str">
            <v>US-4400WETech-CR-07/2023</v>
          </cell>
          <cell r="K145" t="str">
            <v>Settled</v>
          </cell>
        </row>
        <row r="146">
          <cell r="J146" t="str">
            <v>US-4400WETech-08/2023</v>
          </cell>
          <cell r="K146" t="str">
            <v>Settled</v>
          </cell>
        </row>
        <row r="147">
          <cell r="J147" t="str">
            <v>US-4400WETech-CR-08/2023</v>
          </cell>
          <cell r="K147" t="str">
            <v>Settled</v>
          </cell>
        </row>
        <row r="148">
          <cell r="J148" t="str">
            <v>US-4400WETech-09/2023</v>
          </cell>
          <cell r="K148" t="str">
            <v>Settled</v>
          </cell>
        </row>
        <row r="149">
          <cell r="J149" t="str">
            <v>US-4400WETech-CR-09/2023</v>
          </cell>
          <cell r="K149" t="str">
            <v>Settled</v>
          </cell>
        </row>
        <row r="150">
          <cell r="J150" t="str">
            <v>US-4400WETech-10/2023</v>
          </cell>
          <cell r="K150" t="str">
            <v>Settled</v>
          </cell>
        </row>
        <row r="151">
          <cell r="J151" t="str">
            <v>US-4400WETech-CR-10/2023</v>
          </cell>
          <cell r="K151" t="str">
            <v>Settled</v>
          </cell>
        </row>
        <row r="152">
          <cell r="J152" t="str">
            <v>US-4400WETech-11/2023</v>
          </cell>
          <cell r="K152" t="str">
            <v>Settled</v>
          </cell>
        </row>
        <row r="153">
          <cell r="J153" t="str">
            <v>US-4400WETech-CR-11/2023</v>
          </cell>
          <cell r="K153" t="str">
            <v>Settled</v>
          </cell>
        </row>
        <row r="154">
          <cell r="J154" t="str">
            <v>US-4400WETech-CR-12/2023</v>
          </cell>
          <cell r="K154" t="str">
            <v>Settled</v>
          </cell>
        </row>
        <row r="155">
          <cell r="J155" t="str">
            <v>US-4400WETech-12/2023</v>
          </cell>
          <cell r="K155" t="str">
            <v>Settled</v>
          </cell>
        </row>
        <row r="156">
          <cell r="J156" t="str">
            <v>US-4400WETech-01/2024</v>
          </cell>
          <cell r="K156" t="str">
            <v>Settled</v>
          </cell>
        </row>
        <row r="157">
          <cell r="J157" t="str">
            <v>US-4400WETech-CR-01/2024</v>
          </cell>
          <cell r="K157" t="str">
            <v>Settled</v>
          </cell>
        </row>
        <row r="158">
          <cell r="J158" t="str">
            <v>US-4400WETech-02/2024</v>
          </cell>
          <cell r="K158" t="str">
            <v>Settled</v>
          </cell>
        </row>
        <row r="159">
          <cell r="J159" t="str">
            <v>US-4400WETech-CR-02/2024</v>
          </cell>
          <cell r="K159" t="str">
            <v>Settled</v>
          </cell>
        </row>
        <row r="160">
          <cell r="J160" t="str">
            <v>US-4400WETech-CR-03/2024</v>
          </cell>
          <cell r="K160" t="str">
            <v>Settled</v>
          </cell>
        </row>
        <row r="161">
          <cell r="J161" t="str">
            <v>US-4400WETech-03/2024</v>
          </cell>
          <cell r="K161" t="str">
            <v>Settled</v>
          </cell>
        </row>
        <row r="162">
          <cell r="J162" t="str">
            <v>US-4400WETech-04/2024</v>
          </cell>
          <cell r="K162" t="str">
            <v>Settled</v>
          </cell>
        </row>
        <row r="163">
          <cell r="J163" t="str">
            <v>US-4400WETech-05/2024</v>
          </cell>
          <cell r="K163" t="str">
            <v>Settled</v>
          </cell>
        </row>
        <row r="164">
          <cell r="J164" t="str">
            <v>US-4400WETech-CR-05/2024</v>
          </cell>
          <cell r="K164" t="str">
            <v>Settled</v>
          </cell>
        </row>
        <row r="165">
          <cell r="J165" t="str">
            <v>US-4400WETech-06/2024</v>
          </cell>
          <cell r="K165" t="str">
            <v>Settled</v>
          </cell>
        </row>
        <row r="166">
          <cell r="J166" t="str">
            <v>US-4400WETech-CR-06/2024</v>
          </cell>
          <cell r="K166" t="str">
            <v>Settled</v>
          </cell>
        </row>
        <row r="167">
          <cell r="J167" t="str">
            <v>US-4400WETech-07/2024</v>
          </cell>
          <cell r="K167" t="str">
            <v>Settled</v>
          </cell>
        </row>
        <row r="168">
          <cell r="J168" t="str">
            <v>US-4400WETech-CR-07/2024</v>
          </cell>
          <cell r="K168" t="str">
            <v>Settled</v>
          </cell>
        </row>
        <row r="169">
          <cell r="J169" t="str">
            <v>US-4400WETech-CR-08/2024</v>
          </cell>
          <cell r="K169" t="str">
            <v>Settled</v>
          </cell>
        </row>
        <row r="170">
          <cell r="J170" t="str">
            <v>US-4400WETech-08/2024</v>
          </cell>
          <cell r="K170" t="str">
            <v>Settled</v>
          </cell>
        </row>
        <row r="171">
          <cell r="J171" t="str">
            <v>US-4400WETech-CR-09/2024</v>
          </cell>
          <cell r="K171" t="str">
            <v>Settled</v>
          </cell>
        </row>
        <row r="172">
          <cell r="J172" t="str">
            <v>US-4400WETech-09/2024</v>
          </cell>
          <cell r="K172" t="str">
            <v>Settled</v>
          </cell>
        </row>
        <row r="173">
          <cell r="J173" t="str">
            <v>US-4400WETech-CR-10/2024</v>
          </cell>
          <cell r="K173" t="str">
            <v>Settled</v>
          </cell>
        </row>
        <row r="174">
          <cell r="J174" t="str">
            <v>US-4400WETech-10/2024</v>
          </cell>
          <cell r="K174" t="str">
            <v>Settled</v>
          </cell>
        </row>
        <row r="175">
          <cell r="J175" t="str">
            <v>US-4400WETech-11/2024</v>
          </cell>
          <cell r="K175" t="str">
            <v>Settled</v>
          </cell>
        </row>
        <row r="176">
          <cell r="J176" t="str">
            <v>US-4400WETech-CR-11/2024</v>
          </cell>
          <cell r="K176" t="str">
            <v>Settled</v>
          </cell>
        </row>
        <row r="177">
          <cell r="J177" t="str">
            <v>US-4400WETech-CR-12/2024</v>
          </cell>
          <cell r="K177" t="str">
            <v>Settled</v>
          </cell>
        </row>
        <row r="178">
          <cell r="J178" t="str">
            <v>US-4400WETech-12/2024</v>
          </cell>
          <cell r="K178" t="str">
            <v>Settled</v>
          </cell>
        </row>
        <row r="179">
          <cell r="J179" t="str">
            <v>US-4400WETech-CR-01/2025</v>
          </cell>
          <cell r="K179" t="str">
            <v>Settled</v>
          </cell>
        </row>
        <row r="180">
          <cell r="J180" t="str">
            <v>US-4400WETech-01/2025</v>
          </cell>
          <cell r="K180" t="str">
            <v>Settled</v>
          </cell>
        </row>
        <row r="181">
          <cell r="J181" t="str">
            <v>US-4400WETech-CR-02/2025</v>
          </cell>
          <cell r="K181" t="str">
            <v>Settled</v>
          </cell>
        </row>
        <row r="182">
          <cell r="J182" t="str">
            <v>US-4400WETech-02/2025</v>
          </cell>
          <cell r="K182" t="str">
            <v>Settled</v>
          </cell>
        </row>
        <row r="183">
          <cell r="J183" t="str">
            <v>US-4400WETech-03/2025</v>
          </cell>
          <cell r="K183" t="str">
            <v>Settled</v>
          </cell>
        </row>
        <row r="184">
          <cell r="J184" t="str">
            <v>US-4400WETech-CR-03/2025</v>
          </cell>
          <cell r="K184" t="str">
            <v>Settled</v>
          </cell>
        </row>
        <row r="185">
          <cell r="J185" t="str">
            <v>US-4400WETech-04/2025</v>
          </cell>
          <cell r="K185" t="str">
            <v>Settled</v>
          </cell>
        </row>
        <row r="186">
          <cell r="J186" t="str">
            <v>US-4400WETech-CR-04/2025</v>
          </cell>
          <cell r="K186" t="str">
            <v>Settled</v>
          </cell>
        </row>
        <row r="187">
          <cell r="J187" t="str">
            <v>US-4400WETech-05/2025</v>
          </cell>
          <cell r="K187" t="str">
            <v>Settled</v>
          </cell>
        </row>
        <row r="188">
          <cell r="J188" t="str">
            <v>US-4400WETech-CR-05/2025</v>
          </cell>
          <cell r="K188" t="str">
            <v>Settled</v>
          </cell>
        </row>
        <row r="189">
          <cell r="J189" t="str">
            <v>US-4400WETech-06/2025</v>
          </cell>
          <cell r="K189" t="str">
            <v>Settled</v>
          </cell>
        </row>
        <row r="190">
          <cell r="J190" t="str">
            <v>US-4400WETech-CR-06/2025</v>
          </cell>
          <cell r="K190" t="str">
            <v>Settled</v>
          </cell>
        </row>
        <row r="191">
          <cell r="J191" t="str">
            <v>US-4400WETech-07/2025</v>
          </cell>
          <cell r="K191" t="str">
            <v>Settled</v>
          </cell>
        </row>
        <row r="192">
          <cell r="J192" t="str">
            <v>US-4400WETech-CR-07/2025</v>
          </cell>
          <cell r="K192" t="str">
            <v>Settled</v>
          </cell>
        </row>
        <row r="193">
          <cell r="J193" t="str">
            <v>US-4400WETech-08/2025</v>
          </cell>
          <cell r="K193" t="str">
            <v>Settled</v>
          </cell>
        </row>
        <row r="194">
          <cell r="J194" t="str">
            <v>US-4400WETech-CR-08/2025</v>
          </cell>
          <cell r="K194" t="str">
            <v>Settled</v>
          </cell>
        </row>
        <row r="195">
          <cell r="J195" t="str">
            <v>US-4400WETech-09/2025</v>
          </cell>
          <cell r="K195" t="str">
            <v>Settled</v>
          </cell>
        </row>
        <row r="196">
          <cell r="J196" t="str">
            <v>US-4400WETech-CR-09/2025</v>
          </cell>
          <cell r="K196" t="str">
            <v>Settled</v>
          </cell>
        </row>
        <row r="197">
          <cell r="J197" t="str">
            <v>US-4400WETech-10/2025</v>
          </cell>
          <cell r="K197" t="str">
            <v>Settled</v>
          </cell>
        </row>
        <row r="198">
          <cell r="J198" t="str">
            <v>US-4400WETech-CR-10/2025</v>
          </cell>
          <cell r="K198" t="str">
            <v>Settled</v>
          </cell>
        </row>
        <row r="199">
          <cell r="J199" t="str">
            <v>US-4400WETech-11/2025</v>
          </cell>
          <cell r="K199" t="str">
            <v>Settled</v>
          </cell>
        </row>
        <row r="200">
          <cell r="J200" t="str">
            <v>US-4400WETech-CR-11/2025</v>
          </cell>
          <cell r="K200" t="str">
            <v>Settled</v>
          </cell>
        </row>
        <row r="201">
          <cell r="J201" t="str">
            <v>US-4400WETech-12/2025</v>
          </cell>
          <cell r="K201" t="str">
            <v>Settled</v>
          </cell>
        </row>
        <row r="202">
          <cell r="J202" t="str">
            <v>US-4400WETech-CR-12/2025</v>
          </cell>
          <cell r="K202" t="str">
            <v>Settled</v>
          </cell>
        </row>
        <row r="203">
          <cell r="J203" t="str">
            <v>US-4400WETech-01/2026</v>
          </cell>
          <cell r="K203" t="str">
            <v>Settled</v>
          </cell>
        </row>
        <row r="204">
          <cell r="J204" t="str">
            <v>US-4400WETech-CR-01/2026</v>
          </cell>
          <cell r="K204" t="str">
            <v>Settled</v>
          </cell>
        </row>
        <row r="205">
          <cell r="J205" t="str">
            <v>US-4400WETech-02/2026</v>
          </cell>
          <cell r="K205" t="str">
            <v>Settled</v>
          </cell>
        </row>
        <row r="206">
          <cell r="J206" t="str">
            <v>US-4400WETech-CR-02/2026</v>
          </cell>
          <cell r="K206" t="str">
            <v>Settled</v>
          </cell>
        </row>
        <row r="207">
          <cell r="J207" t="str">
            <v>US-4400WETech-03/2026</v>
          </cell>
          <cell r="K207" t="str">
            <v>Settled</v>
          </cell>
        </row>
        <row r="208">
          <cell r="J208" t="str">
            <v>US-4400WETech-CR-03/2026</v>
          </cell>
          <cell r="K208" t="str">
            <v>Settled</v>
          </cell>
        </row>
        <row r="209">
          <cell r="J209" t="str">
            <v>US-4400WETech-04/2026</v>
          </cell>
          <cell r="K209" t="str">
            <v>Settled</v>
          </cell>
        </row>
        <row r="210">
          <cell r="J210" t="str">
            <v>US-4400WETech-CR-04/2026</v>
          </cell>
          <cell r="K210" t="str">
            <v>Settled</v>
          </cell>
        </row>
        <row r="211">
          <cell r="J211" t="str">
            <v>US-4400WETech-05/2026</v>
          </cell>
          <cell r="K211" t="str">
            <v>Settled</v>
          </cell>
        </row>
        <row r="212">
          <cell r="J212" t="str">
            <v>US-4400WETech-CR-05/2026</v>
          </cell>
          <cell r="K212" t="str">
            <v>Settled</v>
          </cell>
        </row>
        <row r="213">
          <cell r="J213" t="str">
            <v>SG-6G Digital-11/2024</v>
          </cell>
          <cell r="K213" t="str">
            <v>Settled</v>
          </cell>
        </row>
        <row r="214">
          <cell r="J214" t="str">
            <v>SG-6G Digital-12/2024</v>
          </cell>
          <cell r="K214" t="str">
            <v>Settled</v>
          </cell>
        </row>
        <row r="215">
          <cell r="J215" t="str">
            <v>SG-6G Digital-01/2025</v>
          </cell>
          <cell r="K215" t="str">
            <v>Settled</v>
          </cell>
        </row>
        <row r="216">
          <cell r="J216" t="str">
            <v>SG-6G Digital-02/2025</v>
          </cell>
          <cell r="K216" t="str">
            <v>Settled</v>
          </cell>
        </row>
        <row r="217">
          <cell r="J217" t="str">
            <v>SG-6G Digital-03/2025</v>
          </cell>
          <cell r="K217" t="str">
            <v>Settled</v>
          </cell>
        </row>
        <row r="218">
          <cell r="J218" t="str">
            <v>SG-6G Digital-05/2025</v>
          </cell>
          <cell r="K218" t="str">
            <v>Settled</v>
          </cell>
        </row>
        <row r="219">
          <cell r="J219" t="str">
            <v>SG-6G Digital-06/2025</v>
          </cell>
          <cell r="K219" t="str">
            <v>Settled</v>
          </cell>
        </row>
        <row r="220">
          <cell r="J220" t="str">
            <v>SG-6G Digital-12/2025</v>
          </cell>
          <cell r="K220" t="str">
            <v>Settled</v>
          </cell>
        </row>
        <row r="221">
          <cell r="J221" t="str">
            <v>SG-6G Digital-03/2026</v>
          </cell>
          <cell r="K221" t="str">
            <v>Settled</v>
          </cell>
        </row>
        <row r="222">
          <cell r="J222" t="str">
            <v>SG-6G Digital-04/2026</v>
          </cell>
          <cell r="K222" t="str">
            <v>Settled</v>
          </cell>
        </row>
        <row r="223">
          <cell r="J223" t="str">
            <v>SG-8x studios-11/2023</v>
          </cell>
          <cell r="K223" t="str">
            <v>Settled</v>
          </cell>
        </row>
        <row r="224">
          <cell r="J224" t="str">
            <v>SG-a1 it-11/2023</v>
          </cell>
          <cell r="K224" t="str">
            <v>Settled</v>
          </cell>
        </row>
        <row r="225">
          <cell r="J225" t="str">
            <v>SG-adecot-11/2023</v>
          </cell>
          <cell r="K225" t="str">
            <v>Settled</v>
          </cell>
        </row>
        <row r="226">
          <cell r="J226" t="str">
            <v>SG -aerapass pte. Ltd-09/2021</v>
          </cell>
          <cell r="K226" t="str">
            <v>Waived Off</v>
          </cell>
        </row>
        <row r="227">
          <cell r="J227" t="str">
            <v>SG -aerapass pte. Ltd-02/2022</v>
          </cell>
          <cell r="K227" t="str">
            <v>Settled</v>
          </cell>
        </row>
        <row r="228">
          <cell r="J228" t="str">
            <v>SG-aerapass pte. Ltd-11/2022</v>
          </cell>
          <cell r="K228" t="str">
            <v>Settled</v>
          </cell>
        </row>
        <row r="229">
          <cell r="J229" t="str">
            <v>SG-aerapass pte. Ltd-12/2022</v>
          </cell>
          <cell r="K229" t="str">
            <v>Settled</v>
          </cell>
        </row>
        <row r="230">
          <cell r="J230" t="str">
            <v>SG-aerapass pte. Ltd-01/2023</v>
          </cell>
          <cell r="K230" t="str">
            <v>Settled</v>
          </cell>
        </row>
        <row r="231">
          <cell r="J231" t="str">
            <v>SG-aerapass-02/2023</v>
          </cell>
          <cell r="K231" t="str">
            <v>Settled</v>
          </cell>
        </row>
        <row r="232">
          <cell r="J232" t="str">
            <v>SG-aerapass-03/2023</v>
          </cell>
          <cell r="K232" t="str">
            <v>Settled</v>
          </cell>
        </row>
        <row r="233">
          <cell r="J233" t="str">
            <v>SG-aerapass-04/2023</v>
          </cell>
          <cell r="K233" t="str">
            <v>Settled</v>
          </cell>
        </row>
        <row r="234">
          <cell r="J234" t="str">
            <v>SG-aerapass-05/2023</v>
          </cell>
          <cell r="K234" t="str">
            <v>Settled</v>
          </cell>
        </row>
        <row r="235">
          <cell r="J235" t="str">
            <v>SG-aerapass-06/2023</v>
          </cell>
          <cell r="K235" t="str">
            <v>Settled</v>
          </cell>
        </row>
        <row r="236">
          <cell r="J236" t="str">
            <v>SG-aerapass-07/2023</v>
          </cell>
          <cell r="K236" t="str">
            <v>Settled</v>
          </cell>
        </row>
        <row r="237">
          <cell r="J237" t="str">
            <v>SG -aerapass-08/2023</v>
          </cell>
          <cell r="K237" t="str">
            <v>Settled</v>
          </cell>
        </row>
        <row r="238">
          <cell r="J238" t="str">
            <v>SG-aerapass-09/2023</v>
          </cell>
          <cell r="K238" t="str">
            <v>Settled</v>
          </cell>
        </row>
        <row r="239">
          <cell r="J239" t="str">
            <v>SG-aerapass-10/2023</v>
          </cell>
          <cell r="K239" t="str">
            <v>Settled</v>
          </cell>
        </row>
        <row r="240">
          <cell r="J240" t="str">
            <v>SG-aerapass-11/2023</v>
          </cell>
          <cell r="K240" t="str">
            <v>Settled</v>
          </cell>
        </row>
        <row r="241">
          <cell r="J241" t="str">
            <v>SG-aerapass-12/2023</v>
          </cell>
          <cell r="K241" t="str">
            <v>Settled</v>
          </cell>
        </row>
        <row r="242">
          <cell r="J242" t="str">
            <v>SG-aerapass-01/2024</v>
          </cell>
          <cell r="K242" t="str">
            <v>Settled</v>
          </cell>
        </row>
        <row r="243">
          <cell r="J243" t="str">
            <v>SG-aerapass-03/2024</v>
          </cell>
          <cell r="K243" t="str">
            <v>Settled</v>
          </cell>
        </row>
        <row r="244">
          <cell r="J244" t="str">
            <v>SG-aerapass-02/2024</v>
          </cell>
          <cell r="K244" t="str">
            <v>Settled</v>
          </cell>
        </row>
        <row r="245">
          <cell r="J245" t="str">
            <v>SG-CN-aerapass-03-2024</v>
          </cell>
          <cell r="K245" t="str">
            <v>Settled</v>
          </cell>
        </row>
        <row r="246">
          <cell r="J246" t="str">
            <v>MY-AKBARMONEY-12/2023</v>
          </cell>
          <cell r="K246" t="str">
            <v>Settled</v>
          </cell>
        </row>
        <row r="247">
          <cell r="J247" t="str">
            <v>MY-AKBARMONEY-01/2024</v>
          </cell>
          <cell r="K247" t="str">
            <v>Settled</v>
          </cell>
        </row>
        <row r="248">
          <cell r="J248" t="str">
            <v>MY-AKBARMONEY-02/2024</v>
          </cell>
          <cell r="K248" t="str">
            <v>Settled</v>
          </cell>
        </row>
        <row r="249">
          <cell r="J249" t="str">
            <v>MY-AKBARMONEY-03/2024</v>
          </cell>
          <cell r="K249" t="str">
            <v>Settled</v>
          </cell>
        </row>
        <row r="250">
          <cell r="J250" t="str">
            <v>MY-AKBARMONEY-04/2024</v>
          </cell>
          <cell r="K250" t="str">
            <v>Settled</v>
          </cell>
        </row>
        <row r="251">
          <cell r="J251" t="str">
            <v>MY-AKBARMONEY-05/2024</v>
          </cell>
          <cell r="K251" t="str">
            <v>Settled</v>
          </cell>
        </row>
        <row r="252">
          <cell r="J252" t="str">
            <v>MY-AKBARMONEY-06/2024</v>
          </cell>
          <cell r="K252" t="str">
            <v>Settled</v>
          </cell>
        </row>
        <row r="253">
          <cell r="J253" t="str">
            <v>MY-AKBARMONEY-07/2024</v>
          </cell>
          <cell r="K253" t="str">
            <v>Settled</v>
          </cell>
        </row>
        <row r="254">
          <cell r="J254" t="str">
            <v>MY-AKBARMONEY-09/2024</v>
          </cell>
          <cell r="K254" t="str">
            <v>Settled</v>
          </cell>
        </row>
        <row r="255">
          <cell r="J255" t="str">
            <v>MY-AKBARMONEY-10/2024</v>
          </cell>
          <cell r="K255" t="str">
            <v>Settled</v>
          </cell>
        </row>
        <row r="256">
          <cell r="J256" t="str">
            <v>MY-AKBARMONEY-11/2024</v>
          </cell>
          <cell r="K256" t="str">
            <v>Settled</v>
          </cell>
        </row>
        <row r="257">
          <cell r="J257" t="str">
            <v>MY-CN-AKBARMONEY-07-2025</v>
          </cell>
          <cell r="K257" t="str">
            <v>Settled</v>
          </cell>
        </row>
        <row r="258">
          <cell r="J258" t="str">
            <v>SG -Al Dhahery-08/2023</v>
          </cell>
          <cell r="K258" t="str">
            <v>Settled</v>
          </cell>
        </row>
        <row r="259">
          <cell r="J259" t="str">
            <v>SG-Al Dhahery-11/2023</v>
          </cell>
          <cell r="K259" t="str">
            <v>Settled</v>
          </cell>
        </row>
        <row r="260">
          <cell r="J260" t="str">
            <v>SG-Al Dhahery-12/2023</v>
          </cell>
          <cell r="K260" t="str">
            <v>Settled</v>
          </cell>
        </row>
        <row r="261">
          <cell r="J261" t="str">
            <v>SG-Al Dhahery-01/2024</v>
          </cell>
          <cell r="K261" t="str">
            <v>Settled</v>
          </cell>
        </row>
        <row r="262">
          <cell r="J262" t="str">
            <v>SG-Al Dhahery-02/2024</v>
          </cell>
          <cell r="K262" t="str">
            <v>Settled</v>
          </cell>
        </row>
        <row r="263">
          <cell r="J263" t="str">
            <v>SG-Al Dhahery-03/2024</v>
          </cell>
          <cell r="K263" t="str">
            <v>Net Off</v>
          </cell>
        </row>
        <row r="264">
          <cell r="J264" t="str">
            <v>SG-Al Dhahery-04/2024</v>
          </cell>
          <cell r="K264" t="str">
            <v>Net Off</v>
          </cell>
        </row>
        <row r="265">
          <cell r="J265" t="str">
            <v>SG-Al Dhahery-05/2024</v>
          </cell>
          <cell r="K265" t="str">
            <v>Net Off</v>
          </cell>
        </row>
        <row r="266">
          <cell r="J266" t="str">
            <v>SG-Al Dhahery-06/2024</v>
          </cell>
          <cell r="K266" t="str">
            <v>Net Off</v>
          </cell>
        </row>
        <row r="267">
          <cell r="J267" t="str">
            <v>SG-Al Dhahery-07/2024</v>
          </cell>
          <cell r="K267" t="str">
            <v>Net Off</v>
          </cell>
        </row>
        <row r="268">
          <cell r="J268" t="str">
            <v>SG-CN-Al Dhahery-03-2025</v>
          </cell>
          <cell r="K268" t="str">
            <v>Net Off</v>
          </cell>
        </row>
        <row r="269">
          <cell r="J269" t="str">
            <v>SG-al fardan exchange llc-11/2022</v>
          </cell>
          <cell r="K269" t="str">
            <v>Settled</v>
          </cell>
        </row>
        <row r="270">
          <cell r="J270" t="str">
            <v>SG-al fardan exchange llc-CR-11/2022</v>
          </cell>
          <cell r="K270" t="str">
            <v>Settled</v>
          </cell>
        </row>
        <row r="271">
          <cell r="J271" t="str">
            <v>SG-al fardan exchange llc-12/2022</v>
          </cell>
          <cell r="K271" t="str">
            <v>Settled</v>
          </cell>
        </row>
        <row r="272">
          <cell r="J272" t="str">
            <v>SG-al fardan exchange llc-CR-12/2022</v>
          </cell>
          <cell r="K272" t="str">
            <v>Settled</v>
          </cell>
        </row>
        <row r="273">
          <cell r="J273" t="str">
            <v>SG-al fardan exchange llc-01/2023</v>
          </cell>
          <cell r="K273" t="str">
            <v>Settled</v>
          </cell>
        </row>
        <row r="274">
          <cell r="J274" t="str">
            <v>SG-al fardan exchange llc-CR-01/2023</v>
          </cell>
          <cell r="K274" t="str">
            <v>Settled</v>
          </cell>
        </row>
        <row r="275">
          <cell r="J275" t="str">
            <v>SG-alfardan-02/2023</v>
          </cell>
          <cell r="K275" t="str">
            <v>Settled</v>
          </cell>
        </row>
        <row r="276">
          <cell r="J276" t="str">
            <v>SG-alfardan-CR-02/2023</v>
          </cell>
          <cell r="K276" t="str">
            <v>Settled</v>
          </cell>
        </row>
        <row r="277">
          <cell r="J277" t="str">
            <v>SG-alfardan-03/2023</v>
          </cell>
          <cell r="K277" t="str">
            <v>Settled</v>
          </cell>
        </row>
        <row r="278">
          <cell r="J278" t="str">
            <v>SG-alfardan-CR-03/2023</v>
          </cell>
          <cell r="K278" t="str">
            <v>Settled</v>
          </cell>
        </row>
        <row r="279">
          <cell r="J279" t="str">
            <v>SG-alfardan-04/2023</v>
          </cell>
          <cell r="K279" t="str">
            <v>Settled</v>
          </cell>
        </row>
        <row r="280">
          <cell r="J280" t="str">
            <v>SG-alfardan-CR-04/2023</v>
          </cell>
          <cell r="K280" t="str">
            <v>Settled</v>
          </cell>
        </row>
        <row r="281">
          <cell r="J281" t="str">
            <v>SG-alfardan-05/2023</v>
          </cell>
          <cell r="K281" t="str">
            <v>Settled</v>
          </cell>
        </row>
        <row r="282">
          <cell r="J282" t="str">
            <v>SG-alfardan-CR-05/2023</v>
          </cell>
          <cell r="K282" t="str">
            <v>Settled</v>
          </cell>
        </row>
        <row r="283">
          <cell r="J283" t="str">
            <v>SG-alfardan-06/2023</v>
          </cell>
          <cell r="K283" t="str">
            <v>Settled</v>
          </cell>
        </row>
        <row r="284">
          <cell r="J284" t="str">
            <v>SG-alfardan-07/2023</v>
          </cell>
          <cell r="K284" t="str">
            <v>Settled</v>
          </cell>
        </row>
        <row r="285">
          <cell r="J285" t="str">
            <v>SG -alfardan-08/2023</v>
          </cell>
          <cell r="K285" t="str">
            <v>Settled</v>
          </cell>
        </row>
        <row r="286">
          <cell r="J286" t="str">
            <v>SG-alfardan-09/2023</v>
          </cell>
          <cell r="K286" t="str">
            <v>Settled</v>
          </cell>
        </row>
        <row r="287">
          <cell r="J287" t="str">
            <v>SG-alfardan-10/2023</v>
          </cell>
          <cell r="K287" t="str">
            <v>Settled</v>
          </cell>
        </row>
        <row r="288">
          <cell r="J288" t="str">
            <v>SG-alfardan-11/2023</v>
          </cell>
          <cell r="K288" t="str">
            <v>Settled</v>
          </cell>
        </row>
        <row r="289">
          <cell r="J289" t="str">
            <v>SG-alfardan-12/2023</v>
          </cell>
          <cell r="K289" t="str">
            <v>Settled</v>
          </cell>
        </row>
        <row r="290">
          <cell r="J290" t="str">
            <v>SG-alfardan-01/2024</v>
          </cell>
          <cell r="K290" t="str">
            <v>Settled</v>
          </cell>
        </row>
        <row r="291">
          <cell r="J291" t="str">
            <v>SG-alfardan-02/2024</v>
          </cell>
          <cell r="K291" t="str">
            <v>Settled</v>
          </cell>
        </row>
        <row r="292">
          <cell r="J292" t="str">
            <v>SG-alfardan-03/2024</v>
          </cell>
          <cell r="K292" t="str">
            <v>Settled</v>
          </cell>
        </row>
        <row r="293">
          <cell r="J293" t="str">
            <v>SG-alfardan-04/2024</v>
          </cell>
          <cell r="K293" t="str">
            <v>Settled</v>
          </cell>
        </row>
        <row r="294">
          <cell r="J294" t="str">
            <v>SG-alfardan-05/2024</v>
          </cell>
          <cell r="K294" t="str">
            <v>Settled</v>
          </cell>
        </row>
        <row r="295">
          <cell r="J295" t="str">
            <v>SG-alfardan-06/2024</v>
          </cell>
          <cell r="K295" t="str">
            <v>Settled</v>
          </cell>
        </row>
        <row r="296">
          <cell r="J296" t="str">
            <v>SG-alfardan-07/2024</v>
          </cell>
          <cell r="K296" t="str">
            <v>Settled</v>
          </cell>
        </row>
        <row r="297">
          <cell r="J297" t="str">
            <v>SG-alfardan-08/2024</v>
          </cell>
          <cell r="K297" t="str">
            <v>Settled</v>
          </cell>
        </row>
        <row r="298">
          <cell r="J298" t="str">
            <v>SG-alfardan-09/2024</v>
          </cell>
          <cell r="K298" t="str">
            <v>Settled</v>
          </cell>
        </row>
        <row r="299">
          <cell r="J299" t="str">
            <v>SG-alfardan-10/2024</v>
          </cell>
          <cell r="K299" t="str">
            <v>Settled</v>
          </cell>
        </row>
        <row r="300">
          <cell r="J300" t="str">
            <v>SG-alfardan-11/2024</v>
          </cell>
          <cell r="K300" t="str">
            <v>Settled</v>
          </cell>
        </row>
        <row r="301">
          <cell r="J301" t="str">
            <v>SG-alfardan-12/2024</v>
          </cell>
          <cell r="K301" t="str">
            <v>Settled</v>
          </cell>
        </row>
        <row r="302">
          <cell r="J302" t="str">
            <v>SG-alfardan-01/2025</v>
          </cell>
          <cell r="K302" t="str">
            <v>Settled</v>
          </cell>
        </row>
        <row r="303">
          <cell r="J303" t="str">
            <v>SG-alfardan-02/2025</v>
          </cell>
          <cell r="K303" t="str">
            <v>Settled</v>
          </cell>
        </row>
        <row r="304">
          <cell r="J304" t="str">
            <v>SG-alfardan-03/2025</v>
          </cell>
          <cell r="K304" t="str">
            <v>Settled</v>
          </cell>
        </row>
        <row r="305">
          <cell r="J305" t="str">
            <v>SG-alfardan-04/2025</v>
          </cell>
          <cell r="K305" t="str">
            <v>Settled</v>
          </cell>
        </row>
        <row r="306">
          <cell r="J306" t="str">
            <v>SG-alfardan-05/2025</v>
          </cell>
          <cell r="K306" t="str">
            <v>Settled</v>
          </cell>
        </row>
        <row r="307">
          <cell r="J307" t="str">
            <v>SG-alfardan-06/2025</v>
          </cell>
          <cell r="K307" t="str">
            <v>Settled</v>
          </cell>
        </row>
        <row r="308">
          <cell r="J308" t="str">
            <v>SG-alfardan-07/2025</v>
          </cell>
          <cell r="K308" t="str">
            <v>Settled</v>
          </cell>
        </row>
        <row r="309">
          <cell r="J309" t="str">
            <v>SG-alfardan-08/2025</v>
          </cell>
          <cell r="K309" t="str">
            <v>Settled</v>
          </cell>
        </row>
        <row r="310">
          <cell r="J310" t="str">
            <v>SG-alfardan-09/2025</v>
          </cell>
          <cell r="K310" t="str">
            <v>Settled</v>
          </cell>
        </row>
        <row r="311">
          <cell r="J311" t="str">
            <v>SG-alfardan-10/2025</v>
          </cell>
          <cell r="K311" t="str">
            <v>Settled</v>
          </cell>
        </row>
        <row r="312">
          <cell r="J312" t="str">
            <v>SG-alfardan-11/2025</v>
          </cell>
          <cell r="K312" t="str">
            <v>Settled</v>
          </cell>
        </row>
        <row r="313">
          <cell r="J313" t="str">
            <v>SG-alfardan-12/2025</v>
          </cell>
          <cell r="K313" t="str">
            <v>Settled</v>
          </cell>
        </row>
        <row r="314">
          <cell r="J314" t="str">
            <v>SG-alfardan-01/2026</v>
          </cell>
          <cell r="K314" t="str">
            <v>Settled</v>
          </cell>
        </row>
        <row r="315">
          <cell r="J315" t="str">
            <v>SG-alfardan-02/2026</v>
          </cell>
          <cell r="K315" t="str">
            <v>Settled</v>
          </cell>
        </row>
        <row r="316">
          <cell r="J316" t="str">
            <v>SG-alfardan-03/2026</v>
          </cell>
          <cell r="K316" t="str">
            <v>Settled</v>
          </cell>
        </row>
        <row r="317">
          <cell r="J317" t="str">
            <v>SG-alfardan-04/2026</v>
          </cell>
          <cell r="K317" t="str">
            <v>Settled</v>
          </cell>
        </row>
        <row r="318">
          <cell r="J318" t="str">
            <v>SG-alfardan-05/2026</v>
          </cell>
          <cell r="K318" t="str">
            <v>Settled</v>
          </cell>
        </row>
        <row r="319">
          <cell r="J319" t="str">
            <v>SG-al mulla international exchange company,k.s.c.c.-11/2022</v>
          </cell>
          <cell r="K319" t="str">
            <v>Settled</v>
          </cell>
        </row>
        <row r="320">
          <cell r="J320" t="str">
            <v>SG-al mulla international exchange company,k.s.c.c.-12/2022</v>
          </cell>
          <cell r="K320" t="str">
            <v>Settled</v>
          </cell>
        </row>
        <row r="321">
          <cell r="J321" t="str">
            <v>SG-al mulla international exchange company,k.s.c.c.-01/2023</v>
          </cell>
          <cell r="K321" t="str">
            <v>Settled</v>
          </cell>
        </row>
        <row r="322">
          <cell r="J322" t="str">
            <v>SG-al mulla-02/2023</v>
          </cell>
          <cell r="K322" t="str">
            <v>Settled</v>
          </cell>
        </row>
        <row r="323">
          <cell r="J323" t="str">
            <v>SG-al mulla-03/2023</v>
          </cell>
          <cell r="K323" t="str">
            <v>Settled</v>
          </cell>
        </row>
        <row r="324">
          <cell r="J324" t="str">
            <v>SG-al mulla-04/2023</v>
          </cell>
          <cell r="K324" t="str">
            <v>Settled</v>
          </cell>
        </row>
        <row r="325">
          <cell r="J325" t="str">
            <v>SG-al mulla-05/2023</v>
          </cell>
          <cell r="K325" t="str">
            <v>Settled</v>
          </cell>
        </row>
        <row r="326">
          <cell r="J326" t="str">
            <v>SG-al mulla-06/2023</v>
          </cell>
          <cell r="K326" t="str">
            <v>Settled</v>
          </cell>
        </row>
        <row r="327">
          <cell r="J327" t="str">
            <v>SG-al mulla-07/2023</v>
          </cell>
          <cell r="K327" t="str">
            <v>Settled</v>
          </cell>
        </row>
        <row r="328">
          <cell r="J328" t="str">
            <v>SG -al mulla-08/2023</v>
          </cell>
          <cell r="K328" t="str">
            <v>Settled</v>
          </cell>
        </row>
        <row r="329">
          <cell r="J329" t="str">
            <v>SG-al mulla-09/2023</v>
          </cell>
          <cell r="K329" t="str">
            <v>Settled</v>
          </cell>
        </row>
        <row r="330">
          <cell r="J330" t="str">
            <v>SG-al mulla-10/2023</v>
          </cell>
          <cell r="K330" t="str">
            <v>Settled</v>
          </cell>
        </row>
        <row r="331">
          <cell r="J331" t="str">
            <v>SG-al mulla-11/2023</v>
          </cell>
          <cell r="K331" t="str">
            <v>Settled</v>
          </cell>
        </row>
        <row r="332">
          <cell r="J332" t="str">
            <v>SG-al mulla-12/2023</v>
          </cell>
          <cell r="K332" t="str">
            <v>Settled</v>
          </cell>
        </row>
        <row r="333">
          <cell r="J333" t="str">
            <v>SG-al mulla-01/2024</v>
          </cell>
          <cell r="K333" t="str">
            <v>Settled</v>
          </cell>
        </row>
        <row r="334">
          <cell r="J334" t="str">
            <v>SG-al mulla-02/2024</v>
          </cell>
          <cell r="K334" t="str">
            <v>Settled</v>
          </cell>
        </row>
        <row r="335">
          <cell r="J335" t="str">
            <v>SG-al mulla-03/2024</v>
          </cell>
          <cell r="K335" t="str">
            <v>Settled</v>
          </cell>
        </row>
        <row r="336">
          <cell r="J336" t="str">
            <v>SG-al mulla-04/2024</v>
          </cell>
          <cell r="K336" t="str">
            <v>Settled</v>
          </cell>
        </row>
        <row r="337">
          <cell r="J337" t="str">
            <v>SG-al mulla-05/2024</v>
          </cell>
          <cell r="K337" t="str">
            <v>Settled</v>
          </cell>
        </row>
        <row r="338">
          <cell r="J338" t="str">
            <v>SG-al mulla-06/2024</v>
          </cell>
          <cell r="K338" t="str">
            <v>Settled</v>
          </cell>
        </row>
        <row r="339">
          <cell r="J339" t="str">
            <v>SG-al mulla-07/2024</v>
          </cell>
          <cell r="K339" t="str">
            <v>Settled</v>
          </cell>
        </row>
        <row r="340">
          <cell r="J340" t="str">
            <v>SG-al mulla-08/2024</v>
          </cell>
          <cell r="K340" t="str">
            <v>Settled</v>
          </cell>
        </row>
        <row r="341">
          <cell r="J341" t="str">
            <v>SG-CN-al mulla-08-2024</v>
          </cell>
          <cell r="K341" t="str">
            <v>Settled</v>
          </cell>
        </row>
        <row r="342">
          <cell r="J342" t="str">
            <v>SG-CN-al mulla-09-2024</v>
          </cell>
          <cell r="K342" t="str">
            <v>Settled</v>
          </cell>
        </row>
        <row r="343">
          <cell r="J343" t="str">
            <v>SG-al mulla-09/2024</v>
          </cell>
          <cell r="K343" t="str">
            <v>Settled</v>
          </cell>
        </row>
        <row r="344">
          <cell r="J344" t="str">
            <v>SG-al mulla-10/2024</v>
          </cell>
          <cell r="K344" t="str">
            <v>Settled</v>
          </cell>
        </row>
        <row r="345">
          <cell r="J345" t="str">
            <v>SG-al mulla-11/2024</v>
          </cell>
          <cell r="K345" t="str">
            <v>Settled</v>
          </cell>
        </row>
        <row r="346">
          <cell r="J346" t="str">
            <v>SG-al mulla-12/2024</v>
          </cell>
          <cell r="K346" t="str">
            <v>Settled</v>
          </cell>
        </row>
        <row r="347">
          <cell r="J347" t="str">
            <v>SG-al mulla-01/2025</v>
          </cell>
          <cell r="K347" t="str">
            <v>Settled</v>
          </cell>
        </row>
        <row r="348">
          <cell r="J348" t="str">
            <v>SG-al mulla-02/2025</v>
          </cell>
          <cell r="K348" t="str">
            <v>Settled</v>
          </cell>
        </row>
        <row r="349">
          <cell r="J349" t="str">
            <v>SG-al mulla-03/2025</v>
          </cell>
          <cell r="K349" t="str">
            <v>Settled</v>
          </cell>
        </row>
        <row r="350">
          <cell r="J350" t="str">
            <v>SG-al mulla-04/2025</v>
          </cell>
          <cell r="K350" t="str">
            <v>Settled</v>
          </cell>
        </row>
        <row r="351">
          <cell r="J351" t="str">
            <v>SG-al mulla-05/2025</v>
          </cell>
          <cell r="K351" t="str">
            <v>Settled</v>
          </cell>
        </row>
        <row r="352">
          <cell r="J352" t="str">
            <v>SG-al mulla-06/2025</v>
          </cell>
          <cell r="K352" t="str">
            <v>Settled</v>
          </cell>
        </row>
        <row r="353">
          <cell r="J353" t="str">
            <v>SG-al mulla-07/2025</v>
          </cell>
          <cell r="K353" t="str">
            <v>Settled</v>
          </cell>
        </row>
        <row r="354">
          <cell r="J354" t="str">
            <v>SG-al mulla-08/2025</v>
          </cell>
          <cell r="K354" t="str">
            <v>Settled</v>
          </cell>
        </row>
        <row r="355">
          <cell r="J355" t="str">
            <v>SG-al mulla-09/2025</v>
          </cell>
          <cell r="K355" t="str">
            <v>Settled</v>
          </cell>
        </row>
        <row r="356">
          <cell r="J356" t="str">
            <v>SG-al mulla-10/2025</v>
          </cell>
          <cell r="K356" t="str">
            <v>Settled</v>
          </cell>
        </row>
        <row r="357">
          <cell r="J357" t="str">
            <v>SG-al mulla-11/2025</v>
          </cell>
          <cell r="K357" t="str">
            <v>Settled</v>
          </cell>
        </row>
        <row r="358">
          <cell r="J358" t="str">
            <v>SG-al mulla-12/2025</v>
          </cell>
          <cell r="K358" t="str">
            <v>Settled</v>
          </cell>
        </row>
        <row r="359">
          <cell r="J359" t="str">
            <v>SG-al mulla-01/2026</v>
          </cell>
          <cell r="K359" t="str">
            <v>Settled</v>
          </cell>
        </row>
        <row r="360">
          <cell r="J360" t="str">
            <v>SG-al mulla-02/2026</v>
          </cell>
          <cell r="K360" t="str">
            <v>Settled</v>
          </cell>
        </row>
        <row r="361">
          <cell r="J361" t="str">
            <v>SG-al mulla-03/2026</v>
          </cell>
          <cell r="K361" t="str">
            <v>Settled</v>
          </cell>
        </row>
        <row r="362">
          <cell r="J362" t="str">
            <v>SG-al mulla-04/2026</v>
          </cell>
          <cell r="K362" t="str">
            <v>Settled</v>
          </cell>
        </row>
        <row r="363">
          <cell r="J363" t="str">
            <v>SG-al mulla-05/2026</v>
          </cell>
          <cell r="K363" t="str">
            <v>Settled</v>
          </cell>
        </row>
        <row r="364">
          <cell r="J364" t="str">
            <v>SG-Al Rostamani International Exchange LLC-03/2023</v>
          </cell>
          <cell r="K364" t="str">
            <v>Settled</v>
          </cell>
        </row>
        <row r="365">
          <cell r="J365" t="str">
            <v>SG-Al RostamaniIntExc-04/2023</v>
          </cell>
          <cell r="K365" t="str">
            <v>Settled</v>
          </cell>
        </row>
        <row r="366">
          <cell r="J366" t="str">
            <v>SG-Al Rostamani International Exchange LLC-05/2023</v>
          </cell>
          <cell r="K366" t="str">
            <v>Settled</v>
          </cell>
        </row>
        <row r="367">
          <cell r="J367" t="str">
            <v>SG-Al Rostamani International Exchange LLC-06/2023</v>
          </cell>
          <cell r="K367" t="str">
            <v>Settled</v>
          </cell>
        </row>
        <row r="368">
          <cell r="J368" t="str">
            <v>SG-Al Rostamani International Exchange LLC-07/2023</v>
          </cell>
          <cell r="K368" t="str">
            <v>Settled</v>
          </cell>
        </row>
        <row r="369">
          <cell r="J369" t="str">
            <v>SG -Al Rostamani International Exchange LLC-08/2023</v>
          </cell>
          <cell r="K369" t="str">
            <v>Settled</v>
          </cell>
        </row>
        <row r="370">
          <cell r="J370" t="str">
            <v>SG-Al Rostamani-09/2023</v>
          </cell>
          <cell r="K370" t="str">
            <v>Settled</v>
          </cell>
        </row>
        <row r="371">
          <cell r="J371" t="str">
            <v>SG-Al Rostamani-10/2023</v>
          </cell>
          <cell r="K371" t="str">
            <v>Settled</v>
          </cell>
        </row>
        <row r="372">
          <cell r="J372" t="str">
            <v>SG-Al Rostamani-11/2023</v>
          </cell>
          <cell r="K372" t="str">
            <v>Settled</v>
          </cell>
        </row>
        <row r="373">
          <cell r="J373" t="str">
            <v>SG-Al Rostamani-12/2023</v>
          </cell>
          <cell r="K373" t="str">
            <v>Settled</v>
          </cell>
        </row>
        <row r="374">
          <cell r="J374" t="str">
            <v>SG-Al Rostamani-01/2024</v>
          </cell>
          <cell r="K374" t="str">
            <v>Settled</v>
          </cell>
        </row>
        <row r="375">
          <cell r="J375" t="str">
            <v>SG-Al Rostamani-02/2024</v>
          </cell>
          <cell r="K375" t="str">
            <v>Settled</v>
          </cell>
        </row>
        <row r="376">
          <cell r="J376" t="str">
            <v>SG-Al Rostamani-03/2024</v>
          </cell>
          <cell r="K376" t="str">
            <v>Settled</v>
          </cell>
        </row>
        <row r="377">
          <cell r="J377" t="str">
            <v>SG-Al Rostamani-04/2024</v>
          </cell>
          <cell r="K377" t="str">
            <v>Settled</v>
          </cell>
        </row>
        <row r="378">
          <cell r="J378" t="str">
            <v>SG-Al Rostamani-05/2024</v>
          </cell>
          <cell r="K378" t="str">
            <v>Settled</v>
          </cell>
        </row>
        <row r="379">
          <cell r="J379" t="str">
            <v>SG-Al Rostamani-06/2024</v>
          </cell>
          <cell r="K379" t="str">
            <v>Settled</v>
          </cell>
        </row>
        <row r="380">
          <cell r="J380" t="str">
            <v>SG-Al Rostamani-07/2024</v>
          </cell>
          <cell r="K380" t="str">
            <v>Settled</v>
          </cell>
        </row>
        <row r="381">
          <cell r="J381" t="str">
            <v>SG-Al Rostamani-08/2024</v>
          </cell>
          <cell r="K381" t="str">
            <v>Settled</v>
          </cell>
        </row>
        <row r="382">
          <cell r="J382" t="str">
            <v>SG-Al Rostamani-09/2024</v>
          </cell>
          <cell r="K382" t="str">
            <v>Settled</v>
          </cell>
        </row>
        <row r="383">
          <cell r="J383" t="str">
            <v>SG-Al Rostamani-10/2024</v>
          </cell>
          <cell r="K383" t="str">
            <v>Settled</v>
          </cell>
        </row>
        <row r="384">
          <cell r="J384" t="str">
            <v>SG-Al Rostamani-11/2024</v>
          </cell>
          <cell r="K384" t="str">
            <v>Settled</v>
          </cell>
        </row>
        <row r="385">
          <cell r="J385" t="str">
            <v>SG-Al Rostamani-12/2024</v>
          </cell>
          <cell r="K385" t="str">
            <v>Settled</v>
          </cell>
        </row>
        <row r="386">
          <cell r="J386" t="str">
            <v>SG-Al Rostamani-01/2025</v>
          </cell>
          <cell r="K386" t="str">
            <v>Settled</v>
          </cell>
        </row>
        <row r="387">
          <cell r="J387" t="str">
            <v>SG-Al Rostamani-02/2025</v>
          </cell>
          <cell r="K387" t="str">
            <v>Settled</v>
          </cell>
        </row>
        <row r="388">
          <cell r="J388" t="str">
            <v>SG-Al Rostamani-03/2025</v>
          </cell>
          <cell r="K388" t="str">
            <v>Settled</v>
          </cell>
        </row>
        <row r="389">
          <cell r="J389" t="str">
            <v>SG-Al Rostamani-04/2025</v>
          </cell>
          <cell r="K389" t="str">
            <v>Settled</v>
          </cell>
        </row>
        <row r="390">
          <cell r="J390" t="str">
            <v>SG-Al Rostamani-05/2025</v>
          </cell>
          <cell r="K390" t="str">
            <v>Settled</v>
          </cell>
        </row>
        <row r="391">
          <cell r="J391" t="str">
            <v>SG-Al Rostamani-06/2025</v>
          </cell>
          <cell r="K391" t="str">
            <v>Settled</v>
          </cell>
        </row>
        <row r="392">
          <cell r="J392" t="str">
            <v>SG-Al Rostamani-07/2025</v>
          </cell>
          <cell r="K392" t="str">
            <v>Settled</v>
          </cell>
        </row>
        <row r="393">
          <cell r="J393" t="str">
            <v>SG-Al Rostamani-08/2025</v>
          </cell>
          <cell r="K393" t="str">
            <v>Settled</v>
          </cell>
        </row>
        <row r="394">
          <cell r="J394" t="str">
            <v>SG-Al Rostamani-09/2025</v>
          </cell>
          <cell r="K394" t="str">
            <v>Settled</v>
          </cell>
        </row>
        <row r="395">
          <cell r="J395" t="str">
            <v>SG-Al Rostamani-10/2025</v>
          </cell>
          <cell r="K395" t="str">
            <v>Settled</v>
          </cell>
        </row>
        <row r="396">
          <cell r="J396" t="str">
            <v>SG-Al Rostamani-11/2025</v>
          </cell>
          <cell r="K396" t="str">
            <v>Settled</v>
          </cell>
        </row>
        <row r="397">
          <cell r="J397" t="str">
            <v>SG-Al Rostamani-12/2025</v>
          </cell>
          <cell r="K397" t="str">
            <v>Settled</v>
          </cell>
        </row>
        <row r="398">
          <cell r="J398" t="str">
            <v>SG-Al Rostamani-01/2026</v>
          </cell>
          <cell r="K398" t="str">
            <v>Settled</v>
          </cell>
        </row>
        <row r="399">
          <cell r="J399" t="str">
            <v>SG-Al Rostamani-02/2026</v>
          </cell>
          <cell r="K399" t="str">
            <v>Settled</v>
          </cell>
        </row>
        <row r="400">
          <cell r="J400" t="str">
            <v>SG-Al Rostamani-03/2026</v>
          </cell>
          <cell r="K400" t="str">
            <v>Settled</v>
          </cell>
        </row>
        <row r="401">
          <cell r="J401" t="str">
            <v>SG-Al Rostamani-04/2026</v>
          </cell>
          <cell r="K401" t="str">
            <v>Settled</v>
          </cell>
        </row>
        <row r="402">
          <cell r="J402" t="str">
            <v>SG-Al Rostamani-05/2026</v>
          </cell>
          <cell r="K402" t="str">
            <v>Settled</v>
          </cell>
        </row>
        <row r="403">
          <cell r="J403" t="str">
            <v>SG-AD-Alawnehex-08-2025</v>
          </cell>
          <cell r="K403" t="str">
            <v>Settled</v>
          </cell>
        </row>
        <row r="404">
          <cell r="J404" t="str">
            <v>SG-CN-Alawnehex-08-2025</v>
          </cell>
          <cell r="K404" t="str">
            <v>Settled</v>
          </cell>
        </row>
        <row r="405">
          <cell r="J405" t="str">
            <v>SG-Alawneh exchange llc-12/2022</v>
          </cell>
          <cell r="K405" t="str">
            <v>Settled</v>
          </cell>
        </row>
        <row r="406">
          <cell r="J406" t="str">
            <v>SG-Alawneh exchange llc-01/2023</v>
          </cell>
          <cell r="K406" t="str">
            <v>Settled</v>
          </cell>
        </row>
        <row r="407">
          <cell r="J407" t="str">
            <v>SG-Alawnehex-02/2023</v>
          </cell>
          <cell r="K407" t="str">
            <v>Settled</v>
          </cell>
        </row>
        <row r="408">
          <cell r="J408" t="str">
            <v>SG-Alawnehex-03/2023</v>
          </cell>
          <cell r="K408" t="str">
            <v>Settled</v>
          </cell>
        </row>
        <row r="409">
          <cell r="J409" t="str">
            <v>SG-Alawnehex-04/2023</v>
          </cell>
          <cell r="K409" t="str">
            <v>Settled</v>
          </cell>
        </row>
        <row r="410">
          <cell r="J410" t="str">
            <v>SG-Alawnehex-05/2023</v>
          </cell>
          <cell r="K410" t="str">
            <v>Settled</v>
          </cell>
        </row>
        <row r="411">
          <cell r="J411" t="str">
            <v>SG-Alawnehex-06/2023</v>
          </cell>
          <cell r="K411" t="str">
            <v>Settled</v>
          </cell>
        </row>
        <row r="412">
          <cell r="J412" t="str">
            <v>SG-Alawnehex-07/2023</v>
          </cell>
          <cell r="K412" t="str">
            <v>Settled</v>
          </cell>
        </row>
        <row r="413">
          <cell r="J413" t="str">
            <v>SG -Alawnehex-CR-08/2023</v>
          </cell>
          <cell r="K413" t="str">
            <v>Settled</v>
          </cell>
        </row>
        <row r="414">
          <cell r="J414" t="str">
            <v>SG -Alawnehex-08/2023</v>
          </cell>
          <cell r="K414" t="str">
            <v>Settled</v>
          </cell>
        </row>
        <row r="415">
          <cell r="J415" t="str">
            <v>SG-Alawnehex-09/2023</v>
          </cell>
          <cell r="K415" t="str">
            <v>Settled</v>
          </cell>
        </row>
        <row r="416">
          <cell r="J416" t="str">
            <v>SG-Alawnehex-10/2023</v>
          </cell>
          <cell r="K416" t="str">
            <v>Settled</v>
          </cell>
        </row>
        <row r="417">
          <cell r="J417" t="str">
            <v>SG-Alawnehex-11/2023</v>
          </cell>
          <cell r="K417" t="str">
            <v>Settled</v>
          </cell>
        </row>
        <row r="418">
          <cell r="J418" t="str">
            <v>SG-Alawnehex-12/2023</v>
          </cell>
          <cell r="K418" t="str">
            <v>Settled</v>
          </cell>
        </row>
        <row r="419">
          <cell r="J419" t="str">
            <v>SG-Alawnehex-01/2024</v>
          </cell>
          <cell r="K419" t="str">
            <v>Settled</v>
          </cell>
        </row>
        <row r="420">
          <cell r="J420" t="str">
            <v>SG-Alawnehex-02/2024</v>
          </cell>
          <cell r="K420" t="str">
            <v>Settled</v>
          </cell>
        </row>
        <row r="421">
          <cell r="J421" t="str">
            <v>SG-Alawnehex-03/2024</v>
          </cell>
          <cell r="K421" t="str">
            <v>Settled</v>
          </cell>
        </row>
        <row r="422">
          <cell r="J422" t="str">
            <v>SG-Alawnehex-04/2024</v>
          </cell>
          <cell r="K422" t="str">
            <v>Settled</v>
          </cell>
        </row>
        <row r="423">
          <cell r="J423" t="str">
            <v>SG-Alawnehex-05/2024</v>
          </cell>
          <cell r="K423" t="str">
            <v>Settled</v>
          </cell>
        </row>
        <row r="424">
          <cell r="J424" t="str">
            <v>SG-Alawnehex-06/2024</v>
          </cell>
          <cell r="K424" t="str">
            <v>Settled</v>
          </cell>
        </row>
        <row r="425">
          <cell r="J425" t="str">
            <v>SG-Alawnehex-07/2024</v>
          </cell>
          <cell r="K425" t="str">
            <v>Settled</v>
          </cell>
        </row>
        <row r="426">
          <cell r="J426" t="str">
            <v>SG-Alawnehex-08/2024</v>
          </cell>
          <cell r="K426" t="str">
            <v>Settled</v>
          </cell>
        </row>
        <row r="427">
          <cell r="J427" t="str">
            <v>SG-Alawnehex-09/2024</v>
          </cell>
          <cell r="K427" t="str">
            <v>Settled</v>
          </cell>
        </row>
        <row r="428">
          <cell r="J428" t="str">
            <v>SG-Alawnehex-10/2024</v>
          </cell>
          <cell r="K428" t="str">
            <v>Settled</v>
          </cell>
        </row>
        <row r="429">
          <cell r="J429" t="str">
            <v>SG-Alawnehex-11/2024</v>
          </cell>
          <cell r="K429" t="str">
            <v>Settled</v>
          </cell>
        </row>
        <row r="430">
          <cell r="J430" t="str">
            <v>SG-Alawnehex-12/2024</v>
          </cell>
          <cell r="K430" t="str">
            <v>Settled</v>
          </cell>
        </row>
        <row r="431">
          <cell r="J431" t="str">
            <v>SG-Alawnehex-01/2025</v>
          </cell>
          <cell r="K431" t="str">
            <v>Settled</v>
          </cell>
        </row>
        <row r="432">
          <cell r="J432" t="str">
            <v>SG-Alawnehex-02/2025</v>
          </cell>
          <cell r="K432" t="str">
            <v>Settled</v>
          </cell>
        </row>
        <row r="433">
          <cell r="J433" t="str">
            <v>SG-Alawnehex-03/2025</v>
          </cell>
          <cell r="K433" t="str">
            <v>Settled</v>
          </cell>
        </row>
        <row r="434">
          <cell r="J434" t="str">
            <v>SG-Alawnehex-04/2025</v>
          </cell>
          <cell r="K434" t="str">
            <v>Settled</v>
          </cell>
        </row>
        <row r="435">
          <cell r="J435" t="str">
            <v>SG-Alawnehex-05/2025</v>
          </cell>
          <cell r="K435" t="str">
            <v>Settled</v>
          </cell>
        </row>
        <row r="436">
          <cell r="J436" t="str">
            <v>SG-Alawnehex-06/2025</v>
          </cell>
          <cell r="K436" t="str">
            <v>Settled</v>
          </cell>
        </row>
        <row r="437">
          <cell r="J437" t="str">
            <v>SG-Alawnehex-07/2025</v>
          </cell>
          <cell r="K437" t="str">
            <v>Settled</v>
          </cell>
        </row>
        <row r="438">
          <cell r="J438" t="str">
            <v>SG-Alawnehex-08/2025</v>
          </cell>
          <cell r="K438" t="str">
            <v>Settled</v>
          </cell>
        </row>
        <row r="439">
          <cell r="J439" t="str">
            <v>SG-Alawnehex-09/2025</v>
          </cell>
          <cell r="K439" t="str">
            <v>Settled</v>
          </cell>
        </row>
        <row r="440">
          <cell r="J440" t="str">
            <v>SG-Alawnehex-10/2025</v>
          </cell>
          <cell r="K440" t="str">
            <v>Settled</v>
          </cell>
        </row>
        <row r="441">
          <cell r="J441" t="str">
            <v>SG-CN-Alawnehex-09/2025</v>
          </cell>
          <cell r="K441" t="str">
            <v>Settled</v>
          </cell>
        </row>
        <row r="442">
          <cell r="J442" t="str">
            <v>SG-Alawnehex-11/2025</v>
          </cell>
          <cell r="K442" t="str">
            <v>Settled</v>
          </cell>
        </row>
        <row r="443">
          <cell r="J443" t="str">
            <v>SG-Alawnehex-12/2025</v>
          </cell>
          <cell r="K443" t="str">
            <v>Settled</v>
          </cell>
        </row>
        <row r="444">
          <cell r="J444" t="str">
            <v>SG-Alawnehex-01/2026</v>
          </cell>
          <cell r="K444" t="str">
            <v>Settled</v>
          </cell>
        </row>
        <row r="445">
          <cell r="J445" t="str">
            <v>SG-Alawnehex-02/2026</v>
          </cell>
          <cell r="K445" t="str">
            <v>Settled</v>
          </cell>
        </row>
        <row r="446">
          <cell r="J446" t="str">
            <v>SG-Alawnehex-03/2026</v>
          </cell>
          <cell r="K446" t="str">
            <v>Settled</v>
          </cell>
        </row>
        <row r="447">
          <cell r="J447" t="str">
            <v>SG-Alawnehex-04/2026</v>
          </cell>
          <cell r="K447" t="str">
            <v>Settled</v>
          </cell>
        </row>
        <row r="448">
          <cell r="J448" t="str">
            <v>SG-Alawnehex-05/2026</v>
          </cell>
          <cell r="K448" t="str">
            <v>Settled</v>
          </cell>
        </row>
        <row r="449">
          <cell r="J449" t="str">
            <v>SG-alchemy agps solutions ltd-11/2022</v>
          </cell>
          <cell r="K449" t="str">
            <v>Settled</v>
          </cell>
        </row>
        <row r="450">
          <cell r="J450" t="str">
            <v>SG-alchemy agps solutions ltd-12/2022</v>
          </cell>
          <cell r="K450" t="str">
            <v>Settled</v>
          </cell>
        </row>
        <row r="451">
          <cell r="J451" t="str">
            <v>SG-alchemy agps solutions ltd-01/2023</v>
          </cell>
          <cell r="K451" t="str">
            <v>Settled</v>
          </cell>
        </row>
        <row r="452">
          <cell r="J452" t="str">
            <v>SG-alchemy-02/2023</v>
          </cell>
          <cell r="K452" t="str">
            <v>Settled</v>
          </cell>
        </row>
        <row r="453">
          <cell r="J453" t="str">
            <v>SG-alchemy-03/2023</v>
          </cell>
          <cell r="K453" t="str">
            <v>Settled</v>
          </cell>
        </row>
        <row r="454">
          <cell r="J454" t="str">
            <v>SG-alchemy-04/2023</v>
          </cell>
          <cell r="K454" t="str">
            <v>Settled</v>
          </cell>
        </row>
        <row r="455">
          <cell r="J455" t="str">
            <v>SG-alchemy-05/2023</v>
          </cell>
          <cell r="K455" t="str">
            <v>Settled</v>
          </cell>
        </row>
        <row r="456">
          <cell r="J456" t="str">
            <v>SG-alchemy-06/2023</v>
          </cell>
          <cell r="K456" t="str">
            <v>Settled</v>
          </cell>
        </row>
        <row r="457">
          <cell r="J457" t="str">
            <v>SG-alchemy-07/2023</v>
          </cell>
          <cell r="K457" t="str">
            <v>Settled</v>
          </cell>
        </row>
        <row r="458">
          <cell r="J458" t="str">
            <v>SG -alchemy-08/2023</v>
          </cell>
          <cell r="K458" t="str">
            <v>Settled</v>
          </cell>
        </row>
        <row r="459">
          <cell r="J459" t="str">
            <v>SG-alchemy-09/2023</v>
          </cell>
          <cell r="K459" t="str">
            <v>Settled</v>
          </cell>
        </row>
        <row r="460">
          <cell r="J460" t="str">
            <v>SG-alchemy-10/2023</v>
          </cell>
          <cell r="K460" t="str">
            <v>Settled</v>
          </cell>
        </row>
        <row r="461">
          <cell r="J461" t="str">
            <v>SG-alchemy-11/2023</v>
          </cell>
          <cell r="K461" t="str">
            <v>Settled</v>
          </cell>
        </row>
        <row r="462">
          <cell r="J462" t="str">
            <v>SG-alchemy-12/2023</v>
          </cell>
          <cell r="K462" t="str">
            <v>Settled</v>
          </cell>
        </row>
        <row r="463">
          <cell r="J463" t="str">
            <v>SG-alchemy-01/2024</v>
          </cell>
          <cell r="K463" t="str">
            <v>Settled</v>
          </cell>
        </row>
        <row r="464">
          <cell r="J464" t="str">
            <v>SG-alchemy-02/2024</v>
          </cell>
          <cell r="K464" t="str">
            <v>Settled</v>
          </cell>
        </row>
        <row r="465">
          <cell r="J465" t="str">
            <v>SG-alchemy-03/2024</v>
          </cell>
          <cell r="K465" t="str">
            <v>Settled</v>
          </cell>
        </row>
        <row r="466">
          <cell r="J466" t="str">
            <v>SG-alchemy-04/2024</v>
          </cell>
          <cell r="K466" t="str">
            <v>Settled</v>
          </cell>
        </row>
        <row r="467">
          <cell r="J467" t="str">
            <v>SG-alchemy-05/2024</v>
          </cell>
          <cell r="K467" t="str">
            <v>Settled</v>
          </cell>
        </row>
        <row r="468">
          <cell r="J468" t="str">
            <v>SG-alchemy-06/2024</v>
          </cell>
          <cell r="K468" t="str">
            <v>Settled</v>
          </cell>
        </row>
        <row r="469">
          <cell r="J469" t="str">
            <v>SG-alchemy-07/2024</v>
          </cell>
          <cell r="K469" t="str">
            <v>Settled</v>
          </cell>
        </row>
        <row r="470">
          <cell r="J470" t="str">
            <v>SG-alchemy-08/2024</v>
          </cell>
          <cell r="K470" t="str">
            <v>Net Off</v>
          </cell>
        </row>
        <row r="471">
          <cell r="J471" t="str">
            <v>SG-alchemy-09/2024</v>
          </cell>
          <cell r="K471" t="str">
            <v>Settled</v>
          </cell>
        </row>
        <row r="472">
          <cell r="J472" t="str">
            <v>SG-CN-alchemy-09-2024</v>
          </cell>
          <cell r="K472" t="str">
            <v>Settled</v>
          </cell>
        </row>
        <row r="473">
          <cell r="J473" t="str">
            <v>SG-CN-alchemy-08-2024</v>
          </cell>
          <cell r="K473" t="str">
            <v>Net Off</v>
          </cell>
        </row>
        <row r="474">
          <cell r="J474" t="str">
            <v>SG-Aleta-06/2023</v>
          </cell>
          <cell r="K474" t="str">
            <v>Waived Off</v>
          </cell>
        </row>
        <row r="475">
          <cell r="J475" t="str">
            <v>SG-ALFARDAN, QATAR-12/2023</v>
          </cell>
          <cell r="K475" t="str">
            <v>Settled</v>
          </cell>
        </row>
        <row r="476">
          <cell r="J476" t="str">
            <v>SG-ALFARDAN, QATAR-01/2024</v>
          </cell>
          <cell r="K476" t="str">
            <v>Settled</v>
          </cell>
        </row>
        <row r="477">
          <cell r="J477" t="str">
            <v>SG-ALFARDAN, QATAR-02/2024</v>
          </cell>
          <cell r="K477" t="str">
            <v>Settled</v>
          </cell>
        </row>
        <row r="478">
          <cell r="J478" t="str">
            <v>SG-ALFARDAN, QATAR-03/2024</v>
          </cell>
          <cell r="K478" t="str">
            <v>Settled</v>
          </cell>
        </row>
        <row r="479">
          <cell r="J479" t="str">
            <v>SG-ALFARDAN, QATAR-04/2024</v>
          </cell>
          <cell r="K479" t="str">
            <v>Settled</v>
          </cell>
        </row>
        <row r="480">
          <cell r="J480" t="str">
            <v>SG-ALFARDAN, QATAR-05/2024</v>
          </cell>
          <cell r="K480" t="str">
            <v>Settled</v>
          </cell>
        </row>
        <row r="481">
          <cell r="J481" t="str">
            <v>SG-ALFARDAN, QATAR-06/2024</v>
          </cell>
          <cell r="K481" t="str">
            <v>Settled</v>
          </cell>
        </row>
        <row r="482">
          <cell r="J482" t="str">
            <v>SG-ALFARDAN, QATAR-07/2024</v>
          </cell>
          <cell r="K482" t="str">
            <v>Settled</v>
          </cell>
        </row>
        <row r="483">
          <cell r="J483" t="str">
            <v>SG-ALFARDAN, QATAR-08/2024</v>
          </cell>
          <cell r="K483" t="str">
            <v>Settled</v>
          </cell>
        </row>
        <row r="484">
          <cell r="J484" t="str">
            <v>SG-ALFARDAN, QATAR-09/2024</v>
          </cell>
          <cell r="K484" t="str">
            <v>Settled</v>
          </cell>
        </row>
        <row r="485">
          <cell r="J485" t="str">
            <v>SG-ALFARDAN, QATAR-10/2024</v>
          </cell>
          <cell r="K485" t="str">
            <v>Settled</v>
          </cell>
        </row>
        <row r="486">
          <cell r="J486" t="str">
            <v>SG-ALFARDAN, QATAR-11/2024</v>
          </cell>
          <cell r="K486" t="str">
            <v>Settled</v>
          </cell>
        </row>
        <row r="487">
          <cell r="J487" t="str">
            <v>SG-ALFARDAN, QATAR-12/2024</v>
          </cell>
          <cell r="K487" t="str">
            <v>Settled</v>
          </cell>
        </row>
        <row r="488">
          <cell r="J488" t="str">
            <v>SG-ALFARDAN, QATAR-01/2025</v>
          </cell>
          <cell r="K488" t="str">
            <v>Settled</v>
          </cell>
        </row>
        <row r="489">
          <cell r="J489" t="str">
            <v>SG-ALFARDAN, QATAR-02/2025</v>
          </cell>
          <cell r="K489" t="str">
            <v>Settled</v>
          </cell>
        </row>
        <row r="490">
          <cell r="J490" t="str">
            <v>SG-ALFARDAN, QATAR-03/2025</v>
          </cell>
          <cell r="K490" t="str">
            <v>Settled</v>
          </cell>
        </row>
        <row r="491">
          <cell r="J491" t="str">
            <v>SG-ALFARDAN, QATAR-04/2025</v>
          </cell>
          <cell r="K491" t="str">
            <v>Settled</v>
          </cell>
        </row>
        <row r="492">
          <cell r="J492" t="str">
            <v>SG-ALFARDAN, QATAR-05/2025</v>
          </cell>
          <cell r="K492" t="str">
            <v>Settled</v>
          </cell>
        </row>
        <row r="493">
          <cell r="J493" t="str">
            <v>SG-ALFARDAN, QATAR-06/2025</v>
          </cell>
          <cell r="K493" t="str">
            <v>Settled</v>
          </cell>
        </row>
        <row r="494">
          <cell r="J494" t="str">
            <v>SG-ALFARDAN, QATAR-07/2025</v>
          </cell>
          <cell r="K494" t="str">
            <v>Settled</v>
          </cell>
        </row>
        <row r="495">
          <cell r="J495" t="str">
            <v>SG-ALFARDAN, QATAR-08/2025</v>
          </cell>
          <cell r="K495" t="str">
            <v>Settled</v>
          </cell>
        </row>
        <row r="496">
          <cell r="J496" t="str">
            <v>SG-ALFARDAN, QATAR-09/2025</v>
          </cell>
          <cell r="K496" t="str">
            <v>Settled</v>
          </cell>
        </row>
        <row r="497">
          <cell r="J497" t="str">
            <v>SG-ALFARDAN, QATAR-10/2025</v>
          </cell>
          <cell r="K497" t="str">
            <v>Settled</v>
          </cell>
        </row>
        <row r="498">
          <cell r="J498" t="str">
            <v>SG-ALFARDAN, QATAR-11/2025</v>
          </cell>
          <cell r="K498" t="str">
            <v>Settled</v>
          </cell>
        </row>
        <row r="499">
          <cell r="J499" t="str">
            <v>SG-ALFARDAN, QATAR-12/2025</v>
          </cell>
          <cell r="K499" t="str">
            <v>Settled</v>
          </cell>
        </row>
        <row r="500">
          <cell r="J500" t="str">
            <v>SG-ALFARDAN, QATAR-01/2026</v>
          </cell>
          <cell r="K500" t="str">
            <v>Settled</v>
          </cell>
        </row>
        <row r="501">
          <cell r="J501" t="str">
            <v>SG-ALFARDAN, QATAR-02/2026</v>
          </cell>
          <cell r="K501" t="str">
            <v>Settled</v>
          </cell>
        </row>
        <row r="502">
          <cell r="J502" t="str">
            <v>SG-ALFARDAN, QATAR-03/2026</v>
          </cell>
          <cell r="K502" t="str">
            <v>Settled</v>
          </cell>
        </row>
        <row r="503">
          <cell r="J503" t="str">
            <v>SG-ALFARDAN, QATAR-04/2026</v>
          </cell>
          <cell r="K503" t="str">
            <v>Settled</v>
          </cell>
        </row>
        <row r="504">
          <cell r="J504" t="str">
            <v>SG-ALFARDAN, QATAR-05/2026</v>
          </cell>
          <cell r="K504" t="str">
            <v>Settled</v>
          </cell>
        </row>
        <row r="505">
          <cell r="J505" t="str">
            <v>SG -AlquimiaDigital-11/2023</v>
          </cell>
          <cell r="K505" t="str">
            <v>Settled</v>
          </cell>
        </row>
        <row r="506">
          <cell r="J506" t="str">
            <v>SG-amicus-11/2023</v>
          </cell>
          <cell r="K506" t="str">
            <v>Settled</v>
          </cell>
        </row>
        <row r="507">
          <cell r="J507" t="str">
            <v>SG-Ample Transfer-11/2022</v>
          </cell>
          <cell r="K507" t="str">
            <v>Settled</v>
          </cell>
        </row>
        <row r="508">
          <cell r="J508" t="str">
            <v>SG-Ample Transfer-CR-11/2022</v>
          </cell>
          <cell r="K508" t="str">
            <v>Settled</v>
          </cell>
        </row>
        <row r="509">
          <cell r="J509" t="str">
            <v>SG-Ample Transfer-12/2022</v>
          </cell>
          <cell r="K509" t="str">
            <v>Settled</v>
          </cell>
        </row>
        <row r="510">
          <cell r="J510" t="str">
            <v>SG-Ample Transfer-CR-12/2022</v>
          </cell>
          <cell r="K510" t="str">
            <v>Settled</v>
          </cell>
        </row>
        <row r="511">
          <cell r="J511" t="str">
            <v>SG-Ample Transfer-01/2023</v>
          </cell>
          <cell r="K511" t="str">
            <v>Settled</v>
          </cell>
        </row>
        <row r="512">
          <cell r="J512" t="str">
            <v>SG-Ample Transfer-CR-01/2023</v>
          </cell>
          <cell r="K512" t="str">
            <v>Settled</v>
          </cell>
        </row>
        <row r="513">
          <cell r="J513" t="str">
            <v>SG-Ample Transfer-02/2023</v>
          </cell>
          <cell r="K513" t="str">
            <v>Settled</v>
          </cell>
        </row>
        <row r="514">
          <cell r="J514" t="str">
            <v>SG-Ample Transfer-CR-02/2023</v>
          </cell>
          <cell r="K514" t="str">
            <v>Settled</v>
          </cell>
        </row>
        <row r="515">
          <cell r="J515" t="str">
            <v>SG-Ample Transfer-03/2023</v>
          </cell>
          <cell r="K515" t="str">
            <v>Settled</v>
          </cell>
        </row>
        <row r="516">
          <cell r="J516" t="str">
            <v>SG-Ample Transfer-CR-03/2023</v>
          </cell>
          <cell r="K516" t="str">
            <v>Settled</v>
          </cell>
        </row>
        <row r="517">
          <cell r="J517" t="str">
            <v>SG-ample Transfer-04/2023</v>
          </cell>
          <cell r="K517" t="str">
            <v>Settled</v>
          </cell>
        </row>
        <row r="518">
          <cell r="J518" t="str">
            <v>SG-ample Transfer-CR-04/2023</v>
          </cell>
          <cell r="K518" t="str">
            <v>Settled</v>
          </cell>
        </row>
        <row r="519">
          <cell r="J519" t="str">
            <v>SG-ample Transfer-05/2023</v>
          </cell>
          <cell r="K519" t="str">
            <v>Settled</v>
          </cell>
        </row>
        <row r="520">
          <cell r="J520" t="str">
            <v>SG -ample Transfer-CR-05/2023</v>
          </cell>
          <cell r="K520" t="str">
            <v>Settled</v>
          </cell>
        </row>
        <row r="521">
          <cell r="J521" t="str">
            <v>SG-ample Transfer-06/2023</v>
          </cell>
          <cell r="K521" t="str">
            <v>Settled</v>
          </cell>
        </row>
        <row r="522">
          <cell r="J522" t="str">
            <v>SG-ample Transfer-CR-06/2023</v>
          </cell>
          <cell r="K522" t="str">
            <v>Settled</v>
          </cell>
        </row>
        <row r="523">
          <cell r="J523" t="str">
            <v>SG-ample Transfer-07/2023</v>
          </cell>
          <cell r="K523" t="str">
            <v>Settled</v>
          </cell>
        </row>
        <row r="524">
          <cell r="J524" t="str">
            <v>SG-ample Transfer-CR-07/2023</v>
          </cell>
          <cell r="K524" t="str">
            <v>Settled</v>
          </cell>
        </row>
        <row r="525">
          <cell r="J525" t="str">
            <v>SG -ample Transfer-08/2023</v>
          </cell>
          <cell r="K525" t="str">
            <v>Settled</v>
          </cell>
        </row>
        <row r="526">
          <cell r="J526" t="str">
            <v>SG -ample Transfer-CR-08/2023</v>
          </cell>
          <cell r="K526" t="str">
            <v>Settled</v>
          </cell>
        </row>
        <row r="527">
          <cell r="J527" t="str">
            <v>SG-ample Transfer-09/2023</v>
          </cell>
          <cell r="K527" t="str">
            <v>Settled</v>
          </cell>
        </row>
        <row r="528">
          <cell r="J528" t="str">
            <v>SG-ample Transfer-CR-09/2023</v>
          </cell>
          <cell r="K528" t="str">
            <v>Settled</v>
          </cell>
        </row>
        <row r="529">
          <cell r="J529" t="str">
            <v>SG-ample Transfer-10/2023</v>
          </cell>
          <cell r="K529" t="str">
            <v>Settled</v>
          </cell>
        </row>
        <row r="530">
          <cell r="J530" t="str">
            <v>SG-ample Transfer-CR-10/2023</v>
          </cell>
          <cell r="K530" t="str">
            <v>Settled</v>
          </cell>
        </row>
        <row r="531">
          <cell r="J531" t="str">
            <v>SG-ample Transfer-11/2023</v>
          </cell>
          <cell r="K531" t="str">
            <v>Settled</v>
          </cell>
        </row>
        <row r="532">
          <cell r="J532" t="str">
            <v>SG-ample Transfer-CR-11/2023</v>
          </cell>
          <cell r="K532" t="str">
            <v>Settled</v>
          </cell>
        </row>
        <row r="533">
          <cell r="J533" t="str">
            <v>SG-ample Transfer-12/2023</v>
          </cell>
          <cell r="K533" t="str">
            <v>Settled</v>
          </cell>
        </row>
        <row r="534">
          <cell r="J534" t="str">
            <v>SG-ample Transfer-CR-12/2023</v>
          </cell>
          <cell r="K534" t="str">
            <v>Settled</v>
          </cell>
        </row>
        <row r="535">
          <cell r="J535" t="str">
            <v>SG-ample Transfer-01/2024</v>
          </cell>
          <cell r="K535" t="str">
            <v>Settled</v>
          </cell>
        </row>
        <row r="536">
          <cell r="J536" t="str">
            <v>SG-ample Transfer-CR-01/2024</v>
          </cell>
          <cell r="K536" t="str">
            <v>Settled</v>
          </cell>
        </row>
        <row r="537">
          <cell r="J537" t="str">
            <v>SG-ample Transfer-02/2024</v>
          </cell>
          <cell r="K537" t="str">
            <v>Settled</v>
          </cell>
        </row>
        <row r="538">
          <cell r="J538" t="str">
            <v>SG-ample Transfer-CR-02/2024</v>
          </cell>
          <cell r="K538" t="str">
            <v>Settled</v>
          </cell>
        </row>
        <row r="539">
          <cell r="J539" t="str">
            <v>SG-ample Transfer-03/2024</v>
          </cell>
          <cell r="K539" t="str">
            <v>Settled</v>
          </cell>
        </row>
        <row r="540">
          <cell r="J540" t="str">
            <v>SG-Ample Transfer-CR-03/2024</v>
          </cell>
          <cell r="K540" t="str">
            <v>Settled</v>
          </cell>
        </row>
        <row r="541">
          <cell r="J541" t="str">
            <v>SG-ample Transfer-04/2024</v>
          </cell>
          <cell r="K541" t="str">
            <v>Settled</v>
          </cell>
        </row>
        <row r="542">
          <cell r="J542" t="str">
            <v>SG-ample Transfer-CR-04/2024</v>
          </cell>
          <cell r="K542" t="str">
            <v>Settled</v>
          </cell>
        </row>
        <row r="543">
          <cell r="J543" t="str">
            <v>SG-ample Transfer-05/2024</v>
          </cell>
          <cell r="K543" t="str">
            <v>Settled</v>
          </cell>
        </row>
        <row r="544">
          <cell r="J544" t="str">
            <v>SG-ample Transfer-CR-05/2024</v>
          </cell>
          <cell r="K544" t="str">
            <v>Settled</v>
          </cell>
        </row>
        <row r="545">
          <cell r="J545" t="str">
            <v>SG-ample Transfer-06/2024</v>
          </cell>
          <cell r="K545" t="str">
            <v>Settled</v>
          </cell>
        </row>
        <row r="546">
          <cell r="J546" t="str">
            <v>SG-ample Transfer-CR-06/2024</v>
          </cell>
          <cell r="K546" t="str">
            <v>Settled</v>
          </cell>
        </row>
        <row r="547">
          <cell r="J547" t="str">
            <v>SG-ample Transfer-07/2024</v>
          </cell>
          <cell r="K547" t="str">
            <v>Settled</v>
          </cell>
        </row>
        <row r="548">
          <cell r="J548" t="str">
            <v>SG-ample Transfer-CR-07/2024</v>
          </cell>
          <cell r="K548" t="str">
            <v>Settled</v>
          </cell>
        </row>
        <row r="549">
          <cell r="J549" t="str">
            <v>SG-ample Transfer-CR-08/2024</v>
          </cell>
          <cell r="K549" t="str">
            <v>Settled</v>
          </cell>
        </row>
        <row r="550">
          <cell r="J550" t="str">
            <v>SG-ample Transfer-08/2024</v>
          </cell>
          <cell r="K550" t="str">
            <v>Settled</v>
          </cell>
        </row>
        <row r="551">
          <cell r="J551" t="str">
            <v>SG-ample Transfer-09/2024</v>
          </cell>
          <cell r="K551" t="str">
            <v>Settled</v>
          </cell>
        </row>
        <row r="552">
          <cell r="J552" t="str">
            <v>SG-ample Transfer-CR-09/2024</v>
          </cell>
          <cell r="K552" t="str">
            <v>Settled</v>
          </cell>
        </row>
        <row r="553">
          <cell r="J553" t="str">
            <v>SG-ample Transfer-10/2024</v>
          </cell>
          <cell r="K553" t="str">
            <v>Settled</v>
          </cell>
        </row>
        <row r="554">
          <cell r="J554" t="str">
            <v>SG-ample Transfer-CR-10/2024</v>
          </cell>
          <cell r="K554" t="str">
            <v>Settled</v>
          </cell>
        </row>
        <row r="555">
          <cell r="J555" t="str">
            <v>SG-ample Transfer-11/2024</v>
          </cell>
          <cell r="K555" t="str">
            <v>Settled</v>
          </cell>
        </row>
        <row r="556">
          <cell r="J556" t="str">
            <v>SG-ample Transfer-CR-11/2024</v>
          </cell>
          <cell r="K556" t="str">
            <v>Settled</v>
          </cell>
        </row>
        <row r="557">
          <cell r="J557" t="str">
            <v>SG-ample Transfer-12/2024</v>
          </cell>
          <cell r="K557" t="str">
            <v>Settled</v>
          </cell>
        </row>
        <row r="558">
          <cell r="J558" t="str">
            <v>SG-ample Transfer-CR-12/2024</v>
          </cell>
          <cell r="K558" t="str">
            <v>Settled</v>
          </cell>
        </row>
        <row r="559">
          <cell r="J559" t="str">
            <v>SG-ample Transfer-01/2025</v>
          </cell>
          <cell r="K559" t="str">
            <v>Settled</v>
          </cell>
        </row>
        <row r="560">
          <cell r="J560" t="str">
            <v>SG-ample Transfer-CR-01/2025</v>
          </cell>
          <cell r="K560" t="str">
            <v>Settled</v>
          </cell>
        </row>
        <row r="561">
          <cell r="J561" t="str">
            <v>SG-ample Transfer-02/2025</v>
          </cell>
          <cell r="K561" t="str">
            <v>Settled</v>
          </cell>
        </row>
        <row r="562">
          <cell r="J562" t="str">
            <v>SG-ample Transfer-CR-02/2025</v>
          </cell>
          <cell r="K562" t="str">
            <v>Settled</v>
          </cell>
        </row>
        <row r="563">
          <cell r="J563" t="str">
            <v>SG-ample Transfer-03/2025</v>
          </cell>
          <cell r="K563" t="str">
            <v>Settled</v>
          </cell>
        </row>
        <row r="564">
          <cell r="J564" t="str">
            <v>SG-ample Transfer-CR-03/2025</v>
          </cell>
          <cell r="K564" t="str">
            <v>Settled</v>
          </cell>
        </row>
        <row r="565">
          <cell r="J565" t="str">
            <v>SG-ample Transfer-CR-04/2025</v>
          </cell>
          <cell r="K565" t="str">
            <v>Settled</v>
          </cell>
        </row>
        <row r="566">
          <cell r="J566" t="str">
            <v>SG-ample Transfer-04/2025</v>
          </cell>
          <cell r="K566" t="str">
            <v>Settled</v>
          </cell>
        </row>
        <row r="567">
          <cell r="J567" t="str">
            <v>SG-ample Transfer-05/2025</v>
          </cell>
          <cell r="K567" t="str">
            <v>Settled</v>
          </cell>
        </row>
        <row r="568">
          <cell r="J568" t="str">
            <v>SG-ample Transfer-CR-05/2025</v>
          </cell>
          <cell r="K568" t="str">
            <v>Settled</v>
          </cell>
        </row>
        <row r="569">
          <cell r="J569" t="str">
            <v>SG-ample Transfer-06/2025</v>
          </cell>
          <cell r="K569" t="str">
            <v>Settled</v>
          </cell>
        </row>
        <row r="570">
          <cell r="J570" t="str">
            <v>SG-ample Transfer-CR-06/2025</v>
          </cell>
          <cell r="K570" t="str">
            <v>Settled</v>
          </cell>
        </row>
        <row r="571">
          <cell r="J571" t="str">
            <v>SG-ample Transfer-07/2025</v>
          </cell>
          <cell r="K571" t="str">
            <v>Settled</v>
          </cell>
        </row>
        <row r="572">
          <cell r="J572" t="str">
            <v>SG-ample Transfer-CR-07/2025</v>
          </cell>
          <cell r="K572" t="str">
            <v>Settled</v>
          </cell>
        </row>
        <row r="573">
          <cell r="J573" t="str">
            <v>SG-ample Transfer-08/2025</v>
          </cell>
          <cell r="K573" t="str">
            <v>Settled</v>
          </cell>
        </row>
        <row r="574">
          <cell r="J574" t="str">
            <v>SG-ample Transfer-CR-08/2025</v>
          </cell>
          <cell r="K574" t="str">
            <v>Settled</v>
          </cell>
        </row>
        <row r="575">
          <cell r="J575" t="str">
            <v>SG-ample Transfer-09/2025</v>
          </cell>
          <cell r="K575" t="str">
            <v>Settled</v>
          </cell>
        </row>
        <row r="576">
          <cell r="J576" t="str">
            <v>SG-ample Transfer-CR-09/2025</v>
          </cell>
          <cell r="K576" t="str">
            <v>Settled</v>
          </cell>
        </row>
        <row r="577">
          <cell r="J577" t="str">
            <v>SG-ample Transfer-10/2025</v>
          </cell>
          <cell r="K577" t="str">
            <v>Settled</v>
          </cell>
        </row>
        <row r="578">
          <cell r="J578" t="str">
            <v>SG-ample Transfer-CR-10/2025</v>
          </cell>
          <cell r="K578" t="str">
            <v>Settled</v>
          </cell>
        </row>
        <row r="579">
          <cell r="J579" t="str">
            <v>SG-ample Transfer-11/2025</v>
          </cell>
          <cell r="K579" t="str">
            <v>Settled</v>
          </cell>
        </row>
        <row r="580">
          <cell r="J580" t="str">
            <v>SG-ample Transfer-CR-11/2025</v>
          </cell>
          <cell r="K580" t="str">
            <v>Settled</v>
          </cell>
        </row>
        <row r="581">
          <cell r="J581" t="str">
            <v>SG-ample Transfer-12/2025</v>
          </cell>
          <cell r="K581" t="str">
            <v>Settled</v>
          </cell>
        </row>
        <row r="582">
          <cell r="J582" t="str">
            <v>SG-ample Transfer-CR-12/2025</v>
          </cell>
          <cell r="K582" t="str">
            <v>Settled</v>
          </cell>
        </row>
        <row r="583">
          <cell r="J583" t="str">
            <v>SG-ample Transfer-01/2026</v>
          </cell>
          <cell r="K583" t="str">
            <v>Settled</v>
          </cell>
        </row>
        <row r="584">
          <cell r="J584" t="str">
            <v>SG-ample Transfer-CR-01/2026</v>
          </cell>
          <cell r="K584" t="str">
            <v>Settled</v>
          </cell>
        </row>
        <row r="585">
          <cell r="J585" t="str">
            <v>SG-ample Transfer-02/2026</v>
          </cell>
          <cell r="K585" t="str">
            <v>Settled</v>
          </cell>
        </row>
        <row r="586">
          <cell r="J586" t="str">
            <v>SG-ample Transfer-CR-02/2026</v>
          </cell>
          <cell r="K586" t="str">
            <v>Settled</v>
          </cell>
        </row>
        <row r="587">
          <cell r="J587" t="str">
            <v>SG-ample Transfer-03/2026</v>
          </cell>
          <cell r="K587" t="str">
            <v>Settled</v>
          </cell>
        </row>
        <row r="588">
          <cell r="J588" t="str">
            <v>SG-ample Transfer-CR-03/2026</v>
          </cell>
          <cell r="K588" t="str">
            <v>Settled</v>
          </cell>
        </row>
        <row r="589">
          <cell r="J589" t="str">
            <v>SG-ample Transfer-04/2026</v>
          </cell>
          <cell r="K589" t="str">
            <v>Settled</v>
          </cell>
        </row>
        <row r="590">
          <cell r="J590" t="str">
            <v>SG-ample Transfer-CR-04/2026</v>
          </cell>
          <cell r="K590" t="str">
            <v>Settled</v>
          </cell>
        </row>
        <row r="591">
          <cell r="J591" t="str">
            <v>SG-ample Transfer-05/2026</v>
          </cell>
          <cell r="K591" t="str">
            <v>Settled</v>
          </cell>
        </row>
        <row r="592">
          <cell r="J592" t="str">
            <v>SG-ample Transfer-CR-05/2026</v>
          </cell>
          <cell r="K592" t="str">
            <v>Settled</v>
          </cell>
        </row>
        <row r="593">
          <cell r="J593" t="str">
            <v>SG -aprirange-08/2023</v>
          </cell>
          <cell r="K593" t="str">
            <v>Settled</v>
          </cell>
        </row>
        <row r="594">
          <cell r="J594" t="str">
            <v>SG-aprirange-09/2023</v>
          </cell>
          <cell r="K594" t="str">
            <v>Settled</v>
          </cell>
        </row>
        <row r="595">
          <cell r="J595" t="str">
            <v>SG-aprirange-10/2023</v>
          </cell>
          <cell r="K595" t="str">
            <v>Settled</v>
          </cell>
        </row>
        <row r="596">
          <cell r="J596" t="str">
            <v>SG-aprirange-11/2023</v>
          </cell>
          <cell r="K596" t="str">
            <v>Settled</v>
          </cell>
        </row>
        <row r="597">
          <cell r="J597" t="str">
            <v>US-ARCHIE TECHNOLOGIES, INC-12/2022</v>
          </cell>
          <cell r="K597" t="str">
            <v>Waived Off</v>
          </cell>
        </row>
        <row r="598">
          <cell r="J598" t="str">
            <v>US-ARCHIE TECHNOLOGIES, INC-01/2023</v>
          </cell>
          <cell r="K598" t="str">
            <v>Waived Off</v>
          </cell>
        </row>
        <row r="599">
          <cell r="J599" t="str">
            <v>SG -asia automation (singapore) pte ltd-10/2023</v>
          </cell>
          <cell r="K599" t="str">
            <v>Reversed</v>
          </cell>
        </row>
        <row r="600">
          <cell r="J600" t="str">
            <v>SG-sui co-11/2023</v>
          </cell>
          <cell r="K600" t="str">
            <v>Settled</v>
          </cell>
        </row>
        <row r="601">
          <cell r="J601" t="str">
            <v>SG-AVACALINK-09/2023</v>
          </cell>
          <cell r="K601" t="str">
            <v>Settled</v>
          </cell>
        </row>
        <row r="602">
          <cell r="J602" t="str">
            <v>SG-AVACALINK-10/2023</v>
          </cell>
          <cell r="K602" t="str">
            <v>Settled</v>
          </cell>
        </row>
        <row r="603">
          <cell r="J603" t="str">
            <v>SG-AVACALINK-11/2023</v>
          </cell>
          <cell r="K603" t="str">
            <v>Settled</v>
          </cell>
        </row>
        <row r="604">
          <cell r="J604" t="str">
            <v>SG-AYP Staffing-09/2023</v>
          </cell>
          <cell r="K604" t="str">
            <v>Settled</v>
          </cell>
        </row>
        <row r="605">
          <cell r="J605" t="str">
            <v>SG-AYP Staffing-10/2023</v>
          </cell>
          <cell r="K605" t="str">
            <v>Settled</v>
          </cell>
        </row>
        <row r="606">
          <cell r="J606" t="str">
            <v>SG-AYP Staffing-11/2023</v>
          </cell>
          <cell r="K606" t="str">
            <v>Settled</v>
          </cell>
        </row>
        <row r="607">
          <cell r="J607" t="str">
            <v>SG-AYP Staffing-12/2023</v>
          </cell>
          <cell r="K607" t="str">
            <v>Settled</v>
          </cell>
        </row>
        <row r="608">
          <cell r="J608" t="str">
            <v>SG-AYP Staffing-01/2024</v>
          </cell>
          <cell r="K608" t="str">
            <v>Settled</v>
          </cell>
        </row>
        <row r="609">
          <cell r="J609" t="str">
            <v>SG-AYP Staffing-02/2024</v>
          </cell>
          <cell r="K609" t="str">
            <v>Settled</v>
          </cell>
        </row>
        <row r="610">
          <cell r="J610" t="str">
            <v>SG-AYP Staffing-03/2024</v>
          </cell>
          <cell r="K610" t="str">
            <v>Settled</v>
          </cell>
        </row>
        <row r="611">
          <cell r="J611" t="str">
            <v>SG-AYP Staffing-04/2024</v>
          </cell>
          <cell r="K611" t="str">
            <v>Settled</v>
          </cell>
        </row>
        <row r="612">
          <cell r="J612" t="str">
            <v>SG-AYP Staffing-05/2024</v>
          </cell>
          <cell r="K612" t="str">
            <v>Settled</v>
          </cell>
        </row>
        <row r="613">
          <cell r="J613" t="str">
            <v>SG-AYP Staffing-06/2024</v>
          </cell>
          <cell r="K613" t="str">
            <v>Settled</v>
          </cell>
        </row>
        <row r="614">
          <cell r="J614" t="str">
            <v>SG-AYP Staffing-07/2024</v>
          </cell>
          <cell r="K614" t="str">
            <v>Settled</v>
          </cell>
        </row>
        <row r="615">
          <cell r="J615" t="str">
            <v>SG-AYP Staffing-08/2024</v>
          </cell>
          <cell r="K615" t="str">
            <v>Settled</v>
          </cell>
        </row>
        <row r="616">
          <cell r="J616" t="str">
            <v>SG-AYP Staffing-09/2024</v>
          </cell>
          <cell r="K616" t="str">
            <v>Settled</v>
          </cell>
        </row>
        <row r="617">
          <cell r="J617" t="str">
            <v>SG-AYP Staffing-10/2024</v>
          </cell>
          <cell r="K617" t="str">
            <v>Settled</v>
          </cell>
        </row>
        <row r="618">
          <cell r="J618" t="str">
            <v>SG-AYP Staffing-11/2024</v>
          </cell>
          <cell r="K618" t="str">
            <v>Settled</v>
          </cell>
        </row>
        <row r="619">
          <cell r="J619" t="str">
            <v>SG-AYP Staffing-12/2024</v>
          </cell>
          <cell r="K619" t="str">
            <v>Settled</v>
          </cell>
        </row>
        <row r="620">
          <cell r="J620" t="str">
            <v>SG-AYP Staffing-01/2025</v>
          </cell>
          <cell r="K620" t="str">
            <v>Settled</v>
          </cell>
        </row>
        <row r="621">
          <cell r="J621" t="str">
            <v>SG-AYP Staffing-02/2025</v>
          </cell>
          <cell r="K621" t="str">
            <v>Settled</v>
          </cell>
        </row>
        <row r="622">
          <cell r="J622" t="str">
            <v>SG-AYP Staffing-03/2025</v>
          </cell>
          <cell r="K622" t="str">
            <v>Settled</v>
          </cell>
        </row>
        <row r="623">
          <cell r="J623" t="str">
            <v>SG-AYP Staffing-04/2025</v>
          </cell>
          <cell r="K623" t="str">
            <v>Settled</v>
          </cell>
        </row>
        <row r="624">
          <cell r="J624" t="str">
            <v>SG-AYP Staffing-05/2025</v>
          </cell>
          <cell r="K624" t="str">
            <v>Settled</v>
          </cell>
        </row>
        <row r="625">
          <cell r="J625" t="str">
            <v>SG-AYP Staffing-06/2025</v>
          </cell>
          <cell r="K625" t="str">
            <v>Settled</v>
          </cell>
        </row>
        <row r="626">
          <cell r="J626" t="str">
            <v>SG-AYP Staffing-07/2025</v>
          </cell>
          <cell r="K626" t="str">
            <v>Settled</v>
          </cell>
        </row>
        <row r="627">
          <cell r="J627" t="str">
            <v>SG-AYP Staffing-08/2025</v>
          </cell>
          <cell r="K627" t="str">
            <v>Settled</v>
          </cell>
        </row>
        <row r="628">
          <cell r="J628" t="str">
            <v>SG-AYP Staffing-09/2025</v>
          </cell>
          <cell r="K628" t="str">
            <v>Settled</v>
          </cell>
        </row>
        <row r="629">
          <cell r="J629" t="str">
            <v>SG-AYP Staffing-10/2025</v>
          </cell>
          <cell r="K629" t="str">
            <v>Settled</v>
          </cell>
        </row>
        <row r="630">
          <cell r="J630" t="str">
            <v>SG-AYP Staffing-11/2025</v>
          </cell>
          <cell r="K630" t="str">
            <v>Settled</v>
          </cell>
        </row>
        <row r="631">
          <cell r="J631" t="str">
            <v>SG-AYP Staffing-12/2025</v>
          </cell>
          <cell r="K631" t="str">
            <v>Settled</v>
          </cell>
        </row>
        <row r="632">
          <cell r="J632" t="str">
            <v>SG-AYP Staffing-01/2026</v>
          </cell>
          <cell r="K632" t="str">
            <v>Settled</v>
          </cell>
        </row>
        <row r="633">
          <cell r="J633" t="str">
            <v>SG-AYP Staffing-02/2026</v>
          </cell>
          <cell r="K633" t="str">
            <v>Settled</v>
          </cell>
        </row>
        <row r="634">
          <cell r="J634" t="str">
            <v>SG-AYP Staffing-03/2026</v>
          </cell>
          <cell r="K634" t="str">
            <v>Settled</v>
          </cell>
        </row>
        <row r="635">
          <cell r="J635" t="str">
            <v>SG-AYP Staffing-04/2026</v>
          </cell>
          <cell r="K635" t="str">
            <v>Settled</v>
          </cell>
        </row>
        <row r="636">
          <cell r="J636" t="str">
            <v>SG-AYP Staffing-05/2026</v>
          </cell>
          <cell r="K636" t="str">
            <v>Settled</v>
          </cell>
        </row>
        <row r="637">
          <cell r="J637" t="str">
            <v>UK-Azimo-12/2023</v>
          </cell>
          <cell r="K637" t="str">
            <v>Settled</v>
          </cell>
        </row>
        <row r="638">
          <cell r="J638" t="str">
            <v>UK-Azimo-01/2024</v>
          </cell>
          <cell r="K638" t="str">
            <v>Settled</v>
          </cell>
        </row>
        <row r="639">
          <cell r="J639" t="str">
            <v>UK-Azimo-02/2024</v>
          </cell>
          <cell r="K639" t="str">
            <v>Settled</v>
          </cell>
        </row>
        <row r="640">
          <cell r="J640" t="str">
            <v>UK-Azimo-03/2024</v>
          </cell>
          <cell r="K640" t="str">
            <v>Settled</v>
          </cell>
        </row>
        <row r="641">
          <cell r="J641" t="str">
            <v>UK-Azimo-04/2024</v>
          </cell>
          <cell r="K641" t="str">
            <v>Settled</v>
          </cell>
        </row>
        <row r="642">
          <cell r="J642" t="str">
            <v>UK-Azimo-05/2024</v>
          </cell>
          <cell r="K642" t="str">
            <v>Settled</v>
          </cell>
        </row>
        <row r="643">
          <cell r="J643" t="str">
            <v>SG-B And T Corretora Da Cambio Ltda-11/2022</v>
          </cell>
          <cell r="K643" t="str">
            <v>Settled</v>
          </cell>
        </row>
        <row r="644">
          <cell r="J644" t="str">
            <v>SG-B And T Corretora Da Cambio Ltda-12/2022</v>
          </cell>
          <cell r="K644" t="str">
            <v>Settled</v>
          </cell>
        </row>
        <row r="645">
          <cell r="J645" t="str">
            <v>SG-B And T Corretora Da Cambio Ltda-01/2023</v>
          </cell>
          <cell r="K645" t="str">
            <v>Settled</v>
          </cell>
        </row>
        <row r="646">
          <cell r="J646" t="str">
            <v>SG-BAndTCorretora-02/2023</v>
          </cell>
          <cell r="K646" t="str">
            <v>Settled</v>
          </cell>
        </row>
        <row r="647">
          <cell r="J647" t="str">
            <v>SG-BAndTCorretora-03/2023</v>
          </cell>
          <cell r="K647" t="str">
            <v>Settled</v>
          </cell>
        </row>
        <row r="648">
          <cell r="J648" t="str">
            <v>SG-BAndTCorretora-04/2023</v>
          </cell>
          <cell r="K648" t="str">
            <v>Settled</v>
          </cell>
        </row>
        <row r="649">
          <cell r="J649" t="str">
            <v>SG-BAndTCorretora-05/2023</v>
          </cell>
          <cell r="K649" t="str">
            <v>Settled</v>
          </cell>
        </row>
        <row r="650">
          <cell r="J650" t="str">
            <v>SG-BAndTCorretora-06/2023</v>
          </cell>
          <cell r="K650" t="str">
            <v>Settled</v>
          </cell>
        </row>
        <row r="651">
          <cell r="J651" t="str">
            <v>SG-BAndTCorretora-07/2023</v>
          </cell>
          <cell r="K651" t="str">
            <v>Settled</v>
          </cell>
        </row>
        <row r="652">
          <cell r="J652" t="str">
            <v>SG -BAndTCorretora-08/2023</v>
          </cell>
          <cell r="K652" t="str">
            <v>Settled</v>
          </cell>
        </row>
        <row r="653">
          <cell r="J653" t="str">
            <v>SG-BAndTCorretora-09/2023</v>
          </cell>
          <cell r="K653" t="str">
            <v>Settled</v>
          </cell>
        </row>
        <row r="654">
          <cell r="J654" t="str">
            <v>SG-BAndTCorretora-10/2023</v>
          </cell>
          <cell r="K654" t="str">
            <v>Settled</v>
          </cell>
        </row>
        <row r="655">
          <cell r="J655" t="str">
            <v>SG-BAndTCorretora-11/2023</v>
          </cell>
          <cell r="K655" t="str">
            <v>Settled</v>
          </cell>
        </row>
        <row r="656">
          <cell r="J656" t="str">
            <v>SG-BAndTCorretora-12/2023</v>
          </cell>
          <cell r="K656" t="str">
            <v>Settled</v>
          </cell>
        </row>
        <row r="657">
          <cell r="J657" t="str">
            <v>SG-BAndTCorretora-01/2024</v>
          </cell>
          <cell r="K657" t="str">
            <v>Settled</v>
          </cell>
        </row>
        <row r="658">
          <cell r="J658" t="str">
            <v>SG-BAndTCorretora-02/2024</v>
          </cell>
          <cell r="K658" t="str">
            <v>Settled</v>
          </cell>
        </row>
        <row r="659">
          <cell r="J659" t="str">
            <v>SG-BAndTCorretora-03/2024</v>
          </cell>
          <cell r="K659" t="str">
            <v>Settled</v>
          </cell>
        </row>
        <row r="660">
          <cell r="J660" t="str">
            <v>SG-BAndTCorretora-04/2024</v>
          </cell>
          <cell r="K660" t="str">
            <v>Settled</v>
          </cell>
        </row>
        <row r="661">
          <cell r="J661" t="str">
            <v>SG-BAndTCorretora-05/2024</v>
          </cell>
          <cell r="K661" t="str">
            <v>Settled</v>
          </cell>
        </row>
        <row r="662">
          <cell r="J662" t="str">
            <v>SG-BAndTCorretora-06/2024</v>
          </cell>
          <cell r="K662" t="str">
            <v>Settled</v>
          </cell>
        </row>
        <row r="663">
          <cell r="J663" t="str">
            <v>SG-BAndTCorretora-07/2024</v>
          </cell>
          <cell r="K663" t="str">
            <v>Settled</v>
          </cell>
        </row>
        <row r="664">
          <cell r="J664" t="str">
            <v>SG-BAndTCorretora-08/2024</v>
          </cell>
          <cell r="K664" t="str">
            <v>Settled</v>
          </cell>
        </row>
        <row r="665">
          <cell r="J665" t="str">
            <v>SG-BAndTCorretora-09/2024</v>
          </cell>
          <cell r="K665" t="str">
            <v>Settled</v>
          </cell>
        </row>
        <row r="666">
          <cell r="J666" t="str">
            <v>SG-BAndTCorretora-10/2024</v>
          </cell>
          <cell r="K666" t="str">
            <v>Settled</v>
          </cell>
        </row>
        <row r="667">
          <cell r="J667" t="str">
            <v>SG-BAndTCorretora-11/2024</v>
          </cell>
          <cell r="K667" t="str">
            <v>Settled</v>
          </cell>
        </row>
        <row r="668">
          <cell r="J668" t="str">
            <v>SG-BAndTCorretora-12/2024</v>
          </cell>
          <cell r="K668" t="str">
            <v>Settled</v>
          </cell>
        </row>
        <row r="669">
          <cell r="J669" t="str">
            <v>SG-BAndTCorretora-01/2025</v>
          </cell>
          <cell r="K669" t="str">
            <v>Settled</v>
          </cell>
        </row>
        <row r="670">
          <cell r="J670" t="str">
            <v>SG-BAndTCorretora-02/2025</v>
          </cell>
          <cell r="K670" t="str">
            <v>Settled</v>
          </cell>
        </row>
        <row r="671">
          <cell r="J671" t="str">
            <v>SG-BAndTCorretora-03/2025</v>
          </cell>
          <cell r="K671" t="str">
            <v>Settled</v>
          </cell>
        </row>
        <row r="672">
          <cell r="J672" t="str">
            <v>SG-BAndTCorretora-04/2025</v>
          </cell>
          <cell r="K672" t="str">
            <v>Settled</v>
          </cell>
        </row>
        <row r="673">
          <cell r="J673" t="str">
            <v>SG-BAndTCorretora-05/2025</v>
          </cell>
          <cell r="K673" t="str">
            <v>Settled</v>
          </cell>
        </row>
        <row r="674">
          <cell r="J674" t="str">
            <v>SG-BAndTCorretora-06/2025</v>
          </cell>
          <cell r="K674" t="str">
            <v>Settled</v>
          </cell>
        </row>
        <row r="675">
          <cell r="J675" t="str">
            <v>SG-BAndTCorretora-07/2025</v>
          </cell>
          <cell r="K675" t="str">
            <v>Settled</v>
          </cell>
        </row>
        <row r="676">
          <cell r="J676" t="str">
            <v>SG-BAndTCorretora-08/2025</v>
          </cell>
          <cell r="K676" t="str">
            <v>Settled</v>
          </cell>
        </row>
        <row r="677">
          <cell r="J677" t="str">
            <v>SG-BAndTCorretora-09/2025</v>
          </cell>
          <cell r="K677" t="str">
            <v>Settled</v>
          </cell>
        </row>
        <row r="678">
          <cell r="J678" t="str">
            <v>SG-BAndTCorretora-10/2025</v>
          </cell>
          <cell r="K678" t="str">
            <v>Settled</v>
          </cell>
        </row>
        <row r="679">
          <cell r="J679" t="str">
            <v>SG-BAndTCorretora-11/2025</v>
          </cell>
          <cell r="K679" t="str">
            <v>Settled</v>
          </cell>
        </row>
        <row r="680">
          <cell r="J680" t="str">
            <v>SG-BAndTCorretora-12/2025</v>
          </cell>
          <cell r="K680" t="str">
            <v>Settled</v>
          </cell>
        </row>
        <row r="681">
          <cell r="J681" t="str">
            <v>SG-BAndTCorretora-01/2026</v>
          </cell>
          <cell r="K681" t="str">
            <v>Settled</v>
          </cell>
        </row>
        <row r="682">
          <cell r="J682" t="str">
            <v>SG-BAndTCorretora-02/2026</v>
          </cell>
          <cell r="K682" t="str">
            <v>Settled</v>
          </cell>
        </row>
        <row r="683">
          <cell r="J683" t="str">
            <v>SG-BAndTCorretora-03/2026</v>
          </cell>
          <cell r="K683" t="str">
            <v>Settled</v>
          </cell>
        </row>
        <row r="684">
          <cell r="J684" t="str">
            <v>SG-BAndTCorretora-04/2026</v>
          </cell>
          <cell r="K684" t="str">
            <v>Settled</v>
          </cell>
        </row>
        <row r="685">
          <cell r="J685" t="str">
            <v>SG-BAndTCorretora-05/2026</v>
          </cell>
          <cell r="K685" t="str">
            <v>Settled</v>
          </cell>
        </row>
        <row r="686">
          <cell r="J686" t="str">
            <v>US-AD-BAAS Corporation-09-2024</v>
          </cell>
          <cell r="K686" t="str">
            <v>Settled</v>
          </cell>
        </row>
        <row r="687">
          <cell r="J687" t="str">
            <v>US-BAAS Corporation-01/2025</v>
          </cell>
          <cell r="K687" t="str">
            <v>Net Off</v>
          </cell>
        </row>
        <row r="688">
          <cell r="J688" t="str">
            <v>US-BAAS Corporation-02/2025</v>
          </cell>
          <cell r="K688" t="str">
            <v>Net Off</v>
          </cell>
        </row>
        <row r="689">
          <cell r="J689" t="str">
            <v>US-CN-BAAS Corporation-01-2025</v>
          </cell>
          <cell r="K689" t="str">
            <v>Net Off</v>
          </cell>
        </row>
        <row r="690">
          <cell r="J690" t="str">
            <v>US-CN-BAAS Corporation-02-2025</v>
          </cell>
          <cell r="K690" t="str">
            <v>Net Off</v>
          </cell>
        </row>
        <row r="691">
          <cell r="J691" t="str">
            <v>SG-Banco Hipotecario-11/2022</v>
          </cell>
          <cell r="K691" t="str">
            <v>Settled</v>
          </cell>
        </row>
        <row r="692">
          <cell r="J692" t="str">
            <v>SG-Banco Hipotecario-12/2022</v>
          </cell>
          <cell r="K692" t="str">
            <v>Settled</v>
          </cell>
        </row>
        <row r="693">
          <cell r="J693" t="str">
            <v>SG-Banco Hipotecario-01/2023</v>
          </cell>
          <cell r="K693" t="str">
            <v>Settled</v>
          </cell>
        </row>
        <row r="694">
          <cell r="J694" t="str">
            <v>SG-BancoHipotecario-02/2023</v>
          </cell>
          <cell r="K694" t="str">
            <v>Settled</v>
          </cell>
        </row>
        <row r="695">
          <cell r="J695" t="str">
            <v>SG-BancoHipotecario-03/2023</v>
          </cell>
          <cell r="K695" t="str">
            <v>Settled</v>
          </cell>
        </row>
        <row r="696">
          <cell r="J696" t="str">
            <v>SG-BancoHipotecario-04/2023</v>
          </cell>
          <cell r="K696" t="str">
            <v>Settled</v>
          </cell>
        </row>
        <row r="697">
          <cell r="J697" t="str">
            <v>SG-BancoHipotecario-05/2023</v>
          </cell>
          <cell r="K697" t="str">
            <v>Settled</v>
          </cell>
        </row>
        <row r="698">
          <cell r="J698" t="str">
            <v>SG-BancoHipotecario-06/2023</v>
          </cell>
          <cell r="K698" t="str">
            <v>Settled</v>
          </cell>
        </row>
        <row r="699">
          <cell r="J699" t="str">
            <v>SG-BancoHipotecario-07/2023</v>
          </cell>
          <cell r="K699" t="str">
            <v>Settled</v>
          </cell>
        </row>
        <row r="700">
          <cell r="J700" t="str">
            <v>SG -BancoHipotecario-08/2023</v>
          </cell>
          <cell r="K700" t="str">
            <v>Settled</v>
          </cell>
        </row>
        <row r="701">
          <cell r="J701" t="str">
            <v>SG-BancoHipotecario-09/2023</v>
          </cell>
          <cell r="K701" t="str">
            <v>Settled</v>
          </cell>
        </row>
        <row r="702">
          <cell r="J702" t="str">
            <v>SG-BancoHipotecario-10/2023</v>
          </cell>
          <cell r="K702" t="str">
            <v>Settled</v>
          </cell>
        </row>
        <row r="703">
          <cell r="J703" t="str">
            <v>SG-BancoHipotecario-11/2023</v>
          </cell>
          <cell r="K703" t="str">
            <v>Settled</v>
          </cell>
        </row>
        <row r="704">
          <cell r="J704" t="str">
            <v>SG-BancoHipotecario-12/2023</v>
          </cell>
          <cell r="K704" t="str">
            <v>Settled</v>
          </cell>
        </row>
        <row r="705">
          <cell r="J705" t="str">
            <v>SG-BancoHipotecario-01/2024</v>
          </cell>
          <cell r="K705" t="str">
            <v>Settled</v>
          </cell>
        </row>
        <row r="706">
          <cell r="J706" t="str">
            <v>SG-BancoHipotecario-02/2024</v>
          </cell>
          <cell r="K706" t="str">
            <v>Settled</v>
          </cell>
        </row>
        <row r="707">
          <cell r="J707" t="str">
            <v>SG-BancoHipotecario-03/2024</v>
          </cell>
          <cell r="K707" t="str">
            <v>Settled</v>
          </cell>
        </row>
        <row r="708">
          <cell r="J708" t="str">
            <v>SG-BancoHipotecario-04/2024</v>
          </cell>
          <cell r="K708" t="str">
            <v>Settled</v>
          </cell>
        </row>
        <row r="709">
          <cell r="J709" t="str">
            <v>SG-BancoHipotecario-05/2024</v>
          </cell>
          <cell r="K709" t="str">
            <v>Settled</v>
          </cell>
        </row>
        <row r="710">
          <cell r="J710" t="str">
            <v>SG-BancoHipotecario-06/2024</v>
          </cell>
          <cell r="K710" t="str">
            <v>Settled</v>
          </cell>
        </row>
        <row r="711">
          <cell r="J711" t="str">
            <v>SG-BancoHipotecario-07/2024</v>
          </cell>
          <cell r="K711" t="str">
            <v>Settled</v>
          </cell>
        </row>
        <row r="712">
          <cell r="J712" t="str">
            <v>SG-BancoHipotecario-08/2024</v>
          </cell>
          <cell r="K712" t="str">
            <v>Settled</v>
          </cell>
        </row>
        <row r="713">
          <cell r="J713" t="str">
            <v>SG-BancoHipotecario-09/2024</v>
          </cell>
          <cell r="K713" t="str">
            <v>Settled</v>
          </cell>
        </row>
        <row r="714">
          <cell r="J714" t="str">
            <v>SG-BancoHipotecario-10/2024</v>
          </cell>
          <cell r="K714" t="str">
            <v>Settled</v>
          </cell>
        </row>
        <row r="715">
          <cell r="J715" t="str">
            <v>SG-BancoHipotecario-11/2024</v>
          </cell>
          <cell r="K715" t="str">
            <v>Settled</v>
          </cell>
        </row>
        <row r="716">
          <cell r="J716" t="str">
            <v>SG-BancoHipotecario-12/2024</v>
          </cell>
          <cell r="K716" t="str">
            <v>Settled</v>
          </cell>
        </row>
        <row r="717">
          <cell r="J717" t="str">
            <v>SG-BancoHipotecario-01/2025</v>
          </cell>
          <cell r="K717" t="str">
            <v>Settled</v>
          </cell>
        </row>
        <row r="718">
          <cell r="J718" t="str">
            <v>SG-BancoHipotecario-02/2025</v>
          </cell>
          <cell r="K718" t="str">
            <v>Settled</v>
          </cell>
        </row>
        <row r="719">
          <cell r="J719" t="str">
            <v>SG-BancoHipotecario-03/2025</v>
          </cell>
          <cell r="K719" t="str">
            <v>Settled</v>
          </cell>
        </row>
        <row r="720">
          <cell r="J720" t="str">
            <v>SG-BancoHipotecario-04/2025</v>
          </cell>
          <cell r="K720" t="str">
            <v>Settled</v>
          </cell>
        </row>
        <row r="721">
          <cell r="J721" t="str">
            <v>SG-BancoHipotecario-05/2025</v>
          </cell>
          <cell r="K721" t="str">
            <v>Settled</v>
          </cell>
        </row>
        <row r="722">
          <cell r="J722" t="str">
            <v>SG-BancoHipotecario-06/2025</v>
          </cell>
          <cell r="K722" t="str">
            <v>Settled</v>
          </cell>
        </row>
        <row r="723">
          <cell r="J723" t="str">
            <v>SG-BancoHipotecario-07/2025</v>
          </cell>
          <cell r="K723" t="str">
            <v>Settled</v>
          </cell>
        </row>
        <row r="724">
          <cell r="J724" t="str">
            <v>SG-BancoHipotecario-08/2025</v>
          </cell>
          <cell r="K724" t="str">
            <v>Settled</v>
          </cell>
        </row>
        <row r="725">
          <cell r="J725" t="str">
            <v>SG-BancoHipotecario-09/2025</v>
          </cell>
          <cell r="K725" t="str">
            <v>Settled</v>
          </cell>
        </row>
        <row r="726">
          <cell r="J726" t="str">
            <v>SG-BancoHipotecario-10/2025</v>
          </cell>
          <cell r="K726" t="str">
            <v>Settled</v>
          </cell>
        </row>
        <row r="727">
          <cell r="J727" t="str">
            <v>SG-BancoHipotecario-11/2025</v>
          </cell>
          <cell r="K727" t="str">
            <v>Settled</v>
          </cell>
        </row>
        <row r="728">
          <cell r="J728" t="str">
            <v>SG-BancoHipotecario-12/2025</v>
          </cell>
          <cell r="K728" t="str">
            <v>Settled</v>
          </cell>
        </row>
        <row r="729">
          <cell r="J729" t="str">
            <v>SG-BancoHipotecario-01/2026</v>
          </cell>
          <cell r="K729" t="str">
            <v>Settled</v>
          </cell>
        </row>
        <row r="730">
          <cell r="J730" t="str">
            <v>SG-BancoHipotecario-02/2026</v>
          </cell>
          <cell r="K730" t="str">
            <v>Settled</v>
          </cell>
        </row>
        <row r="731">
          <cell r="J731" t="str">
            <v>SG-BancoHipotecario-03/2026</v>
          </cell>
          <cell r="K731" t="str">
            <v>Settled</v>
          </cell>
        </row>
        <row r="732">
          <cell r="J732" t="str">
            <v>SG-BancoHipotecario-04/2026</v>
          </cell>
          <cell r="K732" t="str">
            <v>Settled</v>
          </cell>
        </row>
        <row r="733">
          <cell r="J733" t="str">
            <v>SG-BancoHipotecario-05/2026</v>
          </cell>
          <cell r="K733" t="str">
            <v>Settled</v>
          </cell>
        </row>
        <row r="734">
          <cell r="J734" t="str">
            <v>SG-Banco Ourinvest S.A.-04/2023</v>
          </cell>
          <cell r="K734" t="str">
            <v>Settled</v>
          </cell>
        </row>
        <row r="735">
          <cell r="J735" t="str">
            <v>SG-Banco Ourinvest S.A.-05/2023</v>
          </cell>
          <cell r="K735" t="str">
            <v>Settled</v>
          </cell>
        </row>
        <row r="736">
          <cell r="J736" t="str">
            <v>SG-Banco Ourinvest S.A.-06/2023</v>
          </cell>
          <cell r="K736" t="str">
            <v>Settled</v>
          </cell>
        </row>
        <row r="737">
          <cell r="J737" t="str">
            <v>SG-Banco Ourinvest S.A.-07/2023</v>
          </cell>
          <cell r="K737" t="str">
            <v>Settled</v>
          </cell>
        </row>
        <row r="738">
          <cell r="J738" t="str">
            <v>SG -Banco Ourinvest S.A.-08/2023</v>
          </cell>
          <cell r="K738" t="str">
            <v>Settled</v>
          </cell>
        </row>
        <row r="739">
          <cell r="J739" t="str">
            <v>SG-Banco Ourinvest-09/2023</v>
          </cell>
          <cell r="K739" t="str">
            <v>Settled</v>
          </cell>
        </row>
        <row r="740">
          <cell r="J740" t="str">
            <v>SG-Banco Ourinvest-10/2023</v>
          </cell>
          <cell r="K740" t="str">
            <v>Settled</v>
          </cell>
        </row>
        <row r="741">
          <cell r="J741" t="str">
            <v>SG-Banco Ourinvest S.A.-11/2023</v>
          </cell>
          <cell r="K741" t="str">
            <v>Settled</v>
          </cell>
        </row>
        <row r="742">
          <cell r="J742" t="str">
            <v>SG-Banco Ourinvest-12/2023</v>
          </cell>
          <cell r="K742" t="str">
            <v>Settled</v>
          </cell>
        </row>
        <row r="743">
          <cell r="J743" t="str">
            <v>SG-Banco Ourinvest S.A.-01/2024</v>
          </cell>
          <cell r="K743" t="str">
            <v>Settled</v>
          </cell>
        </row>
        <row r="744">
          <cell r="J744" t="str">
            <v>SG-Banco Ourinvest S.A.-02/2024</v>
          </cell>
          <cell r="K744" t="str">
            <v>Settled</v>
          </cell>
        </row>
        <row r="745">
          <cell r="J745" t="str">
            <v>SG-Banco Ourinvest S.A.-03/2024</v>
          </cell>
          <cell r="K745" t="str">
            <v>Settled</v>
          </cell>
        </row>
        <row r="746">
          <cell r="J746" t="str">
            <v>SG-Banco Ourinvest S.A.-04/2024</v>
          </cell>
          <cell r="K746" t="str">
            <v>Settled</v>
          </cell>
        </row>
        <row r="747">
          <cell r="J747" t="str">
            <v>SG-Banco Ourinvest S.A.-05/2024</v>
          </cell>
          <cell r="K747" t="str">
            <v>Settled</v>
          </cell>
        </row>
        <row r="748">
          <cell r="J748" t="str">
            <v>SG-Banco Ourinvest S.A.-06/2024</v>
          </cell>
          <cell r="K748" t="str">
            <v>Settled</v>
          </cell>
        </row>
        <row r="749">
          <cell r="J749" t="str">
            <v>SG-Banco Ourinvest S.A.-07/2024</v>
          </cell>
          <cell r="K749" t="str">
            <v>Settled</v>
          </cell>
        </row>
        <row r="750">
          <cell r="J750" t="str">
            <v>SG-Banco Ourinvest S.A.-08/2024</v>
          </cell>
          <cell r="K750" t="str">
            <v>Settled</v>
          </cell>
        </row>
        <row r="751">
          <cell r="J751" t="str">
            <v>SG-Banco Ourinvest S.A.-09/2024</v>
          </cell>
          <cell r="K751" t="str">
            <v>Settled</v>
          </cell>
        </row>
        <row r="752">
          <cell r="J752" t="str">
            <v>SG-Banco Ourinvest S.A.-10/2024</v>
          </cell>
          <cell r="K752" t="str">
            <v>Settled</v>
          </cell>
        </row>
        <row r="753">
          <cell r="J753" t="str">
            <v>SG-Banco Ourinvest S.A.-11/2024</v>
          </cell>
          <cell r="K753" t="str">
            <v>Settled</v>
          </cell>
        </row>
        <row r="754">
          <cell r="J754" t="str">
            <v>SG-Banco Ourinvest S.A.-12/2024</v>
          </cell>
          <cell r="K754" t="str">
            <v>Settled</v>
          </cell>
        </row>
        <row r="755">
          <cell r="J755" t="str">
            <v>SG-Banco Ourinvest S.A.-01/2025</v>
          </cell>
          <cell r="K755" t="str">
            <v>Settled</v>
          </cell>
        </row>
        <row r="756">
          <cell r="J756" t="str">
            <v>SG-Banco Ourinvest S.A.-02/2025</v>
          </cell>
          <cell r="K756" t="str">
            <v>Settled</v>
          </cell>
        </row>
        <row r="757">
          <cell r="J757" t="str">
            <v>SG-Banco Ourinvest S.A.-03/2025</v>
          </cell>
          <cell r="K757" t="str">
            <v>Settled</v>
          </cell>
        </row>
        <row r="758">
          <cell r="J758" t="str">
            <v>SG-Banco Ourinvest S.A.-04/2025</v>
          </cell>
          <cell r="K758" t="str">
            <v>Settled</v>
          </cell>
        </row>
        <row r="759">
          <cell r="J759" t="str">
            <v>SG-Beetech-11/2022</v>
          </cell>
          <cell r="K759" t="str">
            <v>Settled</v>
          </cell>
        </row>
        <row r="760">
          <cell r="J760" t="str">
            <v>SG-Beetech-12/2022</v>
          </cell>
          <cell r="K760" t="str">
            <v>Settled</v>
          </cell>
        </row>
        <row r="761">
          <cell r="J761" t="str">
            <v>SG-Beetech-01/2023</v>
          </cell>
          <cell r="K761" t="str">
            <v>Settled</v>
          </cell>
        </row>
        <row r="762">
          <cell r="J762" t="str">
            <v>SG-Beetech-02/2023</v>
          </cell>
          <cell r="K762" t="str">
            <v>Settled</v>
          </cell>
        </row>
        <row r="763">
          <cell r="J763" t="str">
            <v>SG-Beetech-03/2023</v>
          </cell>
          <cell r="K763" t="str">
            <v>Settled</v>
          </cell>
        </row>
        <row r="764">
          <cell r="J764" t="str">
            <v>SG-Beetech-04/2023</v>
          </cell>
          <cell r="K764" t="str">
            <v>Settled</v>
          </cell>
        </row>
        <row r="765">
          <cell r="J765" t="str">
            <v>SG-Beetech-05/2023</v>
          </cell>
          <cell r="K765" t="str">
            <v>Settled</v>
          </cell>
        </row>
        <row r="766">
          <cell r="J766" t="str">
            <v>SG-Beetech-06/2023</v>
          </cell>
          <cell r="K766" t="str">
            <v>Settled</v>
          </cell>
        </row>
        <row r="767">
          <cell r="J767" t="str">
            <v>SG-Banco Topazio-07/2023</v>
          </cell>
          <cell r="K767" t="str">
            <v>Settled</v>
          </cell>
        </row>
        <row r="768">
          <cell r="J768" t="str">
            <v>SG -Banco Topazio-08/2023</v>
          </cell>
          <cell r="K768" t="str">
            <v>Settled</v>
          </cell>
        </row>
        <row r="769">
          <cell r="J769" t="str">
            <v>SG-Banco Topazio-09/2023</v>
          </cell>
          <cell r="K769" t="str">
            <v>Settled</v>
          </cell>
        </row>
        <row r="770">
          <cell r="J770" t="str">
            <v>SG-Banco Topazio-10/2023</v>
          </cell>
          <cell r="K770" t="str">
            <v>Settled</v>
          </cell>
        </row>
        <row r="771">
          <cell r="J771" t="str">
            <v>SG-Banco Topazio-11/2023</v>
          </cell>
          <cell r="K771" t="str">
            <v>Settled</v>
          </cell>
        </row>
        <row r="772">
          <cell r="J772" t="str">
            <v>SG-Banco Topazio-12/2023</v>
          </cell>
          <cell r="K772" t="str">
            <v>Settled</v>
          </cell>
        </row>
        <row r="773">
          <cell r="J773" t="str">
            <v>SG-Banco Topazio-01/2024</v>
          </cell>
          <cell r="K773" t="str">
            <v>Settled</v>
          </cell>
        </row>
        <row r="774">
          <cell r="J774" t="str">
            <v>SG-Banco Topazio-02/2024</v>
          </cell>
          <cell r="K774" t="str">
            <v>Settled</v>
          </cell>
        </row>
        <row r="775">
          <cell r="J775" t="str">
            <v>SG-Banco Topazio-03/2024</v>
          </cell>
          <cell r="K775" t="str">
            <v>Settled</v>
          </cell>
        </row>
        <row r="776">
          <cell r="J776" t="str">
            <v>SG-Banco Topazio-04/2024</v>
          </cell>
          <cell r="K776" t="str">
            <v>Settled</v>
          </cell>
        </row>
        <row r="777">
          <cell r="J777" t="str">
            <v>SG-Banco Topazio-05/2024</v>
          </cell>
          <cell r="K777" t="str">
            <v>Settled</v>
          </cell>
        </row>
        <row r="778">
          <cell r="J778" t="str">
            <v>SG-Banco Topazio-06/2024</v>
          </cell>
          <cell r="K778" t="str">
            <v>Settled</v>
          </cell>
        </row>
        <row r="779">
          <cell r="J779" t="str">
            <v>SG-Banco Topazio-07/2024</v>
          </cell>
          <cell r="K779" t="str">
            <v>Settled</v>
          </cell>
        </row>
        <row r="780">
          <cell r="J780" t="str">
            <v>SG-Banco Topazio-08/2024</v>
          </cell>
          <cell r="K780" t="str">
            <v>Settled</v>
          </cell>
        </row>
        <row r="781">
          <cell r="J781" t="str">
            <v>SG-Banco Topazio-09/2024</v>
          </cell>
          <cell r="K781" t="str">
            <v>Settled</v>
          </cell>
        </row>
        <row r="782">
          <cell r="J782" t="str">
            <v>SG-Banco Topazio-10/2024</v>
          </cell>
          <cell r="K782" t="str">
            <v>Settled</v>
          </cell>
        </row>
        <row r="783">
          <cell r="J783" t="str">
            <v>SG-Banco Topazio-11/2024</v>
          </cell>
          <cell r="K783" t="str">
            <v>Settled</v>
          </cell>
        </row>
        <row r="784">
          <cell r="J784" t="str">
            <v>SG-Banco Topazio-12/2024</v>
          </cell>
          <cell r="K784" t="str">
            <v>Settled</v>
          </cell>
        </row>
        <row r="785">
          <cell r="J785" t="str">
            <v>SG-Banco Topazio-01/2025</v>
          </cell>
          <cell r="K785" t="str">
            <v>Settled</v>
          </cell>
        </row>
        <row r="786">
          <cell r="J786" t="str">
            <v>SG-Banco Topazio-02/2025</v>
          </cell>
          <cell r="K786" t="str">
            <v>Settled</v>
          </cell>
        </row>
        <row r="787">
          <cell r="J787" t="str">
            <v>SG-Banco Topazio-03/2025</v>
          </cell>
          <cell r="K787" t="str">
            <v>Settled</v>
          </cell>
        </row>
        <row r="788">
          <cell r="J788" t="str">
            <v>SG-Banco Topazio-04/2025</v>
          </cell>
          <cell r="K788" t="str">
            <v>Settled</v>
          </cell>
        </row>
        <row r="789">
          <cell r="J789" t="str">
            <v>SG-Banco Topazio-05/2025</v>
          </cell>
          <cell r="K789" t="str">
            <v>Settled</v>
          </cell>
        </row>
        <row r="790">
          <cell r="J790" t="str">
            <v>SG-Banco Topazio-06/2025</v>
          </cell>
          <cell r="K790" t="str">
            <v>Settled</v>
          </cell>
        </row>
        <row r="791">
          <cell r="J791" t="str">
            <v>SG-Banco Topazio-07/2025</v>
          </cell>
          <cell r="K791" t="str">
            <v>Settled</v>
          </cell>
        </row>
        <row r="792">
          <cell r="J792" t="str">
            <v>SG-Banco Topazio-08/2025</v>
          </cell>
          <cell r="K792" t="str">
            <v>Settled</v>
          </cell>
        </row>
        <row r="793">
          <cell r="J793" t="str">
            <v>SG-Banco Topazio-09/2025</v>
          </cell>
          <cell r="K793" t="str">
            <v>Settled</v>
          </cell>
        </row>
        <row r="794">
          <cell r="J794" t="str">
            <v>SG-Banco Topazio-10/2025</v>
          </cell>
          <cell r="K794" t="str">
            <v>Settled</v>
          </cell>
        </row>
        <row r="795">
          <cell r="J795" t="str">
            <v>SG-Banco Topazio-11/2025</v>
          </cell>
          <cell r="K795" t="str">
            <v>Settled</v>
          </cell>
        </row>
        <row r="796">
          <cell r="J796" t="str">
            <v>SG-Banco Topazio-12/2025</v>
          </cell>
          <cell r="K796" t="str">
            <v>Settled</v>
          </cell>
        </row>
        <row r="797">
          <cell r="J797" t="str">
            <v>SG-Banco Topazio-01/2026</v>
          </cell>
          <cell r="K797" t="str">
            <v>Settled</v>
          </cell>
        </row>
        <row r="798">
          <cell r="J798" t="str">
            <v>SG-Banco Topazio-02/2026</v>
          </cell>
          <cell r="K798" t="str">
            <v>Settled</v>
          </cell>
        </row>
        <row r="799">
          <cell r="J799" t="str">
            <v>SG-Banco Topazio-03/2026</v>
          </cell>
          <cell r="K799" t="str">
            <v>Settled</v>
          </cell>
        </row>
        <row r="800">
          <cell r="J800" t="str">
            <v>SG-Banco Topazio-04/2026</v>
          </cell>
          <cell r="K800" t="str">
            <v>Settled</v>
          </cell>
        </row>
        <row r="801">
          <cell r="J801" t="str">
            <v>SG-Banco Topazio-05/2026</v>
          </cell>
          <cell r="K801" t="str">
            <v>Settled</v>
          </cell>
        </row>
        <row r="802">
          <cell r="J802" t="str">
            <v>SG-band of broz-06/2023</v>
          </cell>
          <cell r="K802" t="str">
            <v>Settled</v>
          </cell>
        </row>
        <row r="803">
          <cell r="J803" t="str">
            <v>SG-band of broz-07/2023</v>
          </cell>
          <cell r="K803" t="str">
            <v>Settled</v>
          </cell>
        </row>
        <row r="804">
          <cell r="J804" t="str">
            <v>SG -band of broz-08/2023</v>
          </cell>
          <cell r="K804" t="str">
            <v>Settled</v>
          </cell>
        </row>
        <row r="805">
          <cell r="J805" t="str">
            <v>SG-band of broz-09/2023</v>
          </cell>
          <cell r="K805" t="str">
            <v>Settled</v>
          </cell>
        </row>
        <row r="806">
          <cell r="J806" t="str">
            <v>SG-band of broz-10/2023</v>
          </cell>
          <cell r="K806" t="str">
            <v>Settled</v>
          </cell>
        </row>
        <row r="807">
          <cell r="J807" t="str">
            <v>SG-band of broz-11/2023</v>
          </cell>
          <cell r="K807" t="str">
            <v>Settled</v>
          </cell>
        </row>
        <row r="808">
          <cell r="J808" t="str">
            <v>SG-band of broz-12/2023</v>
          </cell>
          <cell r="K808" t="str">
            <v>Settled</v>
          </cell>
        </row>
        <row r="809">
          <cell r="J809" t="str">
            <v>SG-band of broz-01/2024</v>
          </cell>
          <cell r="K809" t="str">
            <v>Settled</v>
          </cell>
        </row>
        <row r="810">
          <cell r="J810" t="str">
            <v>SG-CN-band of broz-01-2024</v>
          </cell>
          <cell r="K810" t="str">
            <v>Settled</v>
          </cell>
        </row>
        <row r="811">
          <cell r="J811" t="str">
            <v>SG -band of broz-03/2022</v>
          </cell>
          <cell r="K811" t="str">
            <v>Settled</v>
          </cell>
        </row>
        <row r="812">
          <cell r="J812" t="str">
            <v>SG -band of broz-06/2022</v>
          </cell>
          <cell r="K812" t="str">
            <v>Settled</v>
          </cell>
        </row>
        <row r="813">
          <cell r="J813" t="str">
            <v>SG-band of broz-08/2022</v>
          </cell>
          <cell r="K813" t="str">
            <v>Settled</v>
          </cell>
        </row>
        <row r="814">
          <cell r="J814" t="str">
            <v>SG-band of broz-09/2022</v>
          </cell>
          <cell r="K814" t="str">
            <v>Settled</v>
          </cell>
        </row>
        <row r="815">
          <cell r="J815" t="str">
            <v>SG-band of broz-10/2022</v>
          </cell>
          <cell r="K815" t="str">
            <v>Settled</v>
          </cell>
        </row>
        <row r="816">
          <cell r="J816" t="str">
            <v>SG-band of broz-11/2022</v>
          </cell>
          <cell r="K816" t="str">
            <v>Settled</v>
          </cell>
        </row>
        <row r="817">
          <cell r="J817" t="str">
            <v>SG-band of broz-12/2022</v>
          </cell>
          <cell r="K817" t="str">
            <v>Settled</v>
          </cell>
        </row>
        <row r="818">
          <cell r="J818" t="str">
            <v>SG-band of broz-01/2023</v>
          </cell>
          <cell r="K818" t="str">
            <v>Settled</v>
          </cell>
        </row>
        <row r="819">
          <cell r="J819" t="str">
            <v>SG-band of broz-02/2023</v>
          </cell>
          <cell r="K819" t="str">
            <v>Settled</v>
          </cell>
        </row>
        <row r="820">
          <cell r="J820" t="str">
            <v>SG-band of broz-05/2023</v>
          </cell>
          <cell r="K820" t="str">
            <v>Settled</v>
          </cell>
        </row>
        <row r="821">
          <cell r="J821" t="str">
            <v>SG-Bank of ayudhya public company-12/2022</v>
          </cell>
          <cell r="K821" t="str">
            <v>Settled</v>
          </cell>
        </row>
        <row r="822">
          <cell r="J822" t="str">
            <v>SG-Bank of ayudhya public company-01/2023</v>
          </cell>
          <cell r="K822" t="str">
            <v>Settled</v>
          </cell>
        </row>
        <row r="823">
          <cell r="J823" t="str">
            <v>SG-Bankofayudhya-02/2023</v>
          </cell>
          <cell r="K823" t="str">
            <v>Settled</v>
          </cell>
        </row>
        <row r="824">
          <cell r="J824" t="str">
            <v>SG-Bankofayudhya-03/2023</v>
          </cell>
          <cell r="K824" t="str">
            <v>Settled</v>
          </cell>
        </row>
        <row r="825">
          <cell r="J825" t="str">
            <v>SG-Bankofayudhya-04/2023</v>
          </cell>
          <cell r="K825" t="str">
            <v>Settled</v>
          </cell>
        </row>
        <row r="826">
          <cell r="J826" t="str">
            <v>SG-Bankofayudhya-05/2023</v>
          </cell>
          <cell r="K826" t="str">
            <v>Settled</v>
          </cell>
        </row>
        <row r="827">
          <cell r="J827" t="str">
            <v>SG-Bankofayudhya-06/2023</v>
          </cell>
          <cell r="K827" t="str">
            <v>Settled</v>
          </cell>
        </row>
        <row r="828">
          <cell r="J828" t="str">
            <v>SG-Bankofayudhya-07/2023</v>
          </cell>
          <cell r="K828" t="str">
            <v>Settled</v>
          </cell>
        </row>
        <row r="829">
          <cell r="J829" t="str">
            <v>SG -Bankofayudhya-08/2023</v>
          </cell>
          <cell r="K829" t="str">
            <v>Settled</v>
          </cell>
        </row>
        <row r="830">
          <cell r="J830" t="str">
            <v>SG-Bankofayudhya-09/2023</v>
          </cell>
          <cell r="K830" t="str">
            <v>Settled</v>
          </cell>
        </row>
        <row r="831">
          <cell r="J831" t="str">
            <v>SG-Bankofayudhya-10/2023</v>
          </cell>
          <cell r="K831" t="str">
            <v>Settled</v>
          </cell>
        </row>
        <row r="832">
          <cell r="J832" t="str">
            <v>SG-Bankofayudhya-11/2023</v>
          </cell>
          <cell r="K832" t="str">
            <v>Settled</v>
          </cell>
        </row>
        <row r="833">
          <cell r="J833" t="str">
            <v>SG-Bankofayudhya-12/2023</v>
          </cell>
          <cell r="K833" t="str">
            <v>Settled</v>
          </cell>
        </row>
        <row r="834">
          <cell r="J834" t="str">
            <v>SG-Bankofayudhya-01/2024</v>
          </cell>
          <cell r="K834" t="str">
            <v>Settled</v>
          </cell>
        </row>
        <row r="835">
          <cell r="J835" t="str">
            <v>SG-Bankofayudhya-02/2024</v>
          </cell>
          <cell r="K835" t="str">
            <v>Settled</v>
          </cell>
        </row>
        <row r="836">
          <cell r="J836" t="str">
            <v>SG-Bankofayudhya-03/2024</v>
          </cell>
          <cell r="K836" t="str">
            <v>Settled</v>
          </cell>
        </row>
        <row r="837">
          <cell r="J837" t="str">
            <v>SG-Bankofayudhya-04/2024</v>
          </cell>
          <cell r="K837" t="str">
            <v>Settled</v>
          </cell>
        </row>
        <row r="838">
          <cell r="J838" t="str">
            <v>SG-Bankofayudhya-05/2024</v>
          </cell>
          <cell r="K838" t="str">
            <v>Settled</v>
          </cell>
        </row>
        <row r="839">
          <cell r="J839" t="str">
            <v>SG-Bankofayudhya-06/2024</v>
          </cell>
          <cell r="K839" t="str">
            <v>Settled</v>
          </cell>
        </row>
        <row r="840">
          <cell r="J840" t="str">
            <v>SG-Bankofayudhya-07/2024</v>
          </cell>
          <cell r="K840" t="str">
            <v>Settled</v>
          </cell>
        </row>
        <row r="841">
          <cell r="J841" t="str">
            <v>SG-Bankofayudhya-08/2024</v>
          </cell>
          <cell r="K841" t="str">
            <v>Settled</v>
          </cell>
        </row>
        <row r="842">
          <cell r="J842" t="str">
            <v>SG-Bankofayudhya-09/2024</v>
          </cell>
          <cell r="K842" t="str">
            <v>Settled</v>
          </cell>
        </row>
        <row r="843">
          <cell r="J843" t="str">
            <v>SG-Bankofayudhya-10/2024</v>
          </cell>
          <cell r="K843" t="str">
            <v>Settled</v>
          </cell>
        </row>
        <row r="844">
          <cell r="J844" t="str">
            <v>SG-Bankofayudhya-11/2024</v>
          </cell>
          <cell r="K844" t="str">
            <v>Settled</v>
          </cell>
        </row>
        <row r="845">
          <cell r="J845" t="str">
            <v>SG-Bankofayudhya-12/2024</v>
          </cell>
          <cell r="K845" t="str">
            <v>Settled</v>
          </cell>
        </row>
        <row r="846">
          <cell r="J846" t="str">
            <v>SG-Bankofayudhya-01/2025</v>
          </cell>
          <cell r="K846" t="str">
            <v>Settled</v>
          </cell>
        </row>
        <row r="847">
          <cell r="J847" t="str">
            <v>SG-Bankofayudhya-02/2025</v>
          </cell>
          <cell r="K847" t="str">
            <v>Settled</v>
          </cell>
        </row>
        <row r="848">
          <cell r="J848" t="str">
            <v>SG-Bankofayudhya-03/2025</v>
          </cell>
          <cell r="K848" t="str">
            <v>Settled</v>
          </cell>
        </row>
        <row r="849">
          <cell r="J849" t="str">
            <v>SG-Bankofayudhya-04/2025</v>
          </cell>
          <cell r="K849" t="str">
            <v>Settled</v>
          </cell>
        </row>
        <row r="850">
          <cell r="J850" t="str">
            <v>SG-Bankofayudhya-05/2025</v>
          </cell>
          <cell r="K850" t="str">
            <v>Settled</v>
          </cell>
        </row>
        <row r="851">
          <cell r="J851" t="str">
            <v>SG-Bankofayudhya-06/2025</v>
          </cell>
          <cell r="K851" t="str">
            <v>Settled</v>
          </cell>
        </row>
        <row r="852">
          <cell r="J852" t="str">
            <v>SG-Bankofayudhya-07/2025</v>
          </cell>
          <cell r="K852" t="str">
            <v>Settled</v>
          </cell>
        </row>
        <row r="853">
          <cell r="J853" t="str">
            <v>SG-Bank Topazio-11/2022</v>
          </cell>
          <cell r="K853" t="str">
            <v>Settled</v>
          </cell>
        </row>
        <row r="854">
          <cell r="J854" t="str">
            <v>SG-Bank Topazio-12/2022</v>
          </cell>
          <cell r="K854" t="str">
            <v>Settled</v>
          </cell>
        </row>
        <row r="855">
          <cell r="J855" t="str">
            <v>SG-Bank Topazio-01/2023</v>
          </cell>
          <cell r="K855" t="str">
            <v>Settled</v>
          </cell>
        </row>
        <row r="856">
          <cell r="J856" t="str">
            <v>SG-BEXS BANCO DE CAMBIO-07/2024</v>
          </cell>
          <cell r="K856" t="str">
            <v>Settled</v>
          </cell>
        </row>
        <row r="857">
          <cell r="J857" t="str">
            <v>SG-BEXS BANCO DE CAMBIO-08/2024</v>
          </cell>
          <cell r="K857" t="str">
            <v>Settled</v>
          </cell>
        </row>
        <row r="858">
          <cell r="J858" t="str">
            <v>SG-BEXS BANCO DE CAMBIO-09/2024</v>
          </cell>
          <cell r="K858" t="str">
            <v>Settled</v>
          </cell>
        </row>
        <row r="859">
          <cell r="J859" t="str">
            <v>SG-BEXS BANCO DE CAMBIO-10/2024</v>
          </cell>
          <cell r="K859" t="str">
            <v>Settled</v>
          </cell>
        </row>
        <row r="860">
          <cell r="J860" t="str">
            <v>SG-BEXS BANCO DE CAMBIO-11/2024</v>
          </cell>
          <cell r="K860" t="str">
            <v>Settled</v>
          </cell>
        </row>
        <row r="861">
          <cell r="J861" t="str">
            <v>SG-BEXS BANCO DE CAMBIO-12/2024</v>
          </cell>
          <cell r="K861" t="str">
            <v>Settled</v>
          </cell>
        </row>
        <row r="862">
          <cell r="J862" t="str">
            <v>SG-BEXS BANCO DE CAMBIO-01/2025</v>
          </cell>
          <cell r="K862" t="str">
            <v>Settled</v>
          </cell>
        </row>
        <row r="863">
          <cell r="J863" t="str">
            <v>SG-BEXS BANCO DE CAMBIO-02/2025</v>
          </cell>
          <cell r="K863" t="str">
            <v>Settled</v>
          </cell>
        </row>
        <row r="864">
          <cell r="J864" t="str">
            <v>SG-BEXS BANCO DE CAMBIO-03/2025</v>
          </cell>
          <cell r="K864" t="str">
            <v>Settled</v>
          </cell>
        </row>
        <row r="865">
          <cell r="J865" t="str">
            <v>SG-BEXS BANCO DE CAMBIO-04/2025</v>
          </cell>
          <cell r="K865" t="str">
            <v>Settled</v>
          </cell>
        </row>
        <row r="866">
          <cell r="J866" t="str">
            <v>SG-BEXS BANCO DE CAMBIO-05/2025</v>
          </cell>
          <cell r="K866" t="str">
            <v>Settled</v>
          </cell>
        </row>
        <row r="867">
          <cell r="J867" t="str">
            <v>SG-BEXS BANCO DE CAMBIO-06/2025</v>
          </cell>
          <cell r="K867" t="str">
            <v>Settled</v>
          </cell>
        </row>
        <row r="868">
          <cell r="J868" t="str">
            <v>SG-BEXS BANCO DE CAMBIO-07/2025</v>
          </cell>
          <cell r="K868" t="str">
            <v>Settled</v>
          </cell>
        </row>
        <row r="869">
          <cell r="J869" t="str">
            <v>SG-AD-BEXS BANCO DE CAMBIO-08-2025</v>
          </cell>
          <cell r="K869" t="str">
            <v>Settled</v>
          </cell>
        </row>
        <row r="870">
          <cell r="J870" t="str">
            <v>SG-BEXS BANCO DE CAMBIO-08/2025</v>
          </cell>
          <cell r="K870" t="str">
            <v>Settled</v>
          </cell>
        </row>
        <row r="871">
          <cell r="J871" t="str">
            <v>SG-BEXS BANCO DE CAMBIO-09/2025</v>
          </cell>
          <cell r="K871" t="str">
            <v>Settled</v>
          </cell>
        </row>
        <row r="872">
          <cell r="J872" t="str">
            <v>SG-BEXS BANCO DE CAMBIO-10/2025</v>
          </cell>
          <cell r="K872" t="str">
            <v>Settled</v>
          </cell>
        </row>
        <row r="873">
          <cell r="J873" t="str">
            <v>SG-BEXS BANCO DE CAMBIO-11/2025</v>
          </cell>
          <cell r="K873" t="str">
            <v>Settled</v>
          </cell>
        </row>
        <row r="874">
          <cell r="J874" t="str">
            <v>SG-BEXS BANCO DE CAMBIO-12/2025</v>
          </cell>
          <cell r="K874" t="str">
            <v>Settled</v>
          </cell>
        </row>
        <row r="875">
          <cell r="J875" t="str">
            <v>SG-BEXS BANCO DE CAMBIO-01/2026</v>
          </cell>
          <cell r="K875" t="str">
            <v>Settled</v>
          </cell>
        </row>
        <row r="876">
          <cell r="J876" t="str">
            <v>SG-BEXS BANCO DE CAMBIO-02/2026</v>
          </cell>
          <cell r="K876" t="str">
            <v>Settled</v>
          </cell>
        </row>
        <row r="877">
          <cell r="J877" t="str">
            <v>SG-BEXS BANCO DE CAMBIO-03/2026</v>
          </cell>
          <cell r="K877" t="str">
            <v>Settled</v>
          </cell>
        </row>
        <row r="878">
          <cell r="J878" t="str">
            <v>SG-BEXS BANCO DE CAMBIO-04/2026</v>
          </cell>
          <cell r="K878" t="str">
            <v>Overdue</v>
          </cell>
        </row>
        <row r="879">
          <cell r="J879" t="str">
            <v>SG-BEXS BANCO DE CAMBIO-05/2026</v>
          </cell>
          <cell r="K879" t="str">
            <v>Overdue</v>
          </cell>
        </row>
        <row r="880">
          <cell r="J880" t="str">
            <v>SG- big crunch digital pte ltd-12/2022</v>
          </cell>
          <cell r="K880" t="str">
            <v>Reversed</v>
          </cell>
        </row>
        <row r="881">
          <cell r="J881" t="str">
            <v>SG-Bigo Technology Pte Ltd-11/2022</v>
          </cell>
          <cell r="K881" t="str">
            <v>Settled</v>
          </cell>
        </row>
        <row r="882">
          <cell r="J882" t="str">
            <v>SG-Bigo Technology Pte Ltd-12/2022</v>
          </cell>
          <cell r="K882" t="str">
            <v>Settled</v>
          </cell>
        </row>
        <row r="883">
          <cell r="J883" t="str">
            <v>SG-Bigo Technology Pte Ltd-01/2023</v>
          </cell>
          <cell r="K883" t="str">
            <v>Settled</v>
          </cell>
        </row>
        <row r="884">
          <cell r="J884" t="str">
            <v>SG-BigoTechnology-02/2023</v>
          </cell>
          <cell r="K884" t="str">
            <v>Settled</v>
          </cell>
        </row>
        <row r="885">
          <cell r="J885" t="str">
            <v>SG-BigoTechnology-03/2023</v>
          </cell>
          <cell r="K885" t="str">
            <v>Settled</v>
          </cell>
        </row>
        <row r="886">
          <cell r="J886" t="str">
            <v>SG-BigoTechnology-04/2023</v>
          </cell>
          <cell r="K886" t="str">
            <v>Settled</v>
          </cell>
        </row>
        <row r="887">
          <cell r="J887" t="str">
            <v>SG-BigoTechnology-05/2023</v>
          </cell>
          <cell r="K887" t="str">
            <v>Settled</v>
          </cell>
        </row>
        <row r="888">
          <cell r="J888" t="str">
            <v>SG-BigoTechnology-06/2023</v>
          </cell>
          <cell r="K888" t="str">
            <v>Settled</v>
          </cell>
        </row>
        <row r="889">
          <cell r="J889" t="str">
            <v>SG-BigoTechnology-07/2023</v>
          </cell>
          <cell r="K889" t="str">
            <v>Settled</v>
          </cell>
        </row>
        <row r="890">
          <cell r="J890" t="str">
            <v>SG -BigoTechnology-08/2023</v>
          </cell>
          <cell r="K890" t="str">
            <v>Settled</v>
          </cell>
        </row>
        <row r="891">
          <cell r="J891" t="str">
            <v>SG -BigoTechnology-CR-08/2023</v>
          </cell>
          <cell r="K891" t="str">
            <v>Settled</v>
          </cell>
        </row>
        <row r="892">
          <cell r="J892" t="str">
            <v>SG-BigoTechnology-09/2023</v>
          </cell>
          <cell r="K892" t="str">
            <v>Settled</v>
          </cell>
        </row>
        <row r="893">
          <cell r="J893" t="str">
            <v>SG-BigoTechnology-10/2023</v>
          </cell>
          <cell r="K893" t="str">
            <v>Settled</v>
          </cell>
        </row>
        <row r="894">
          <cell r="J894" t="str">
            <v>SG-BigoTechnology-11/2023</v>
          </cell>
          <cell r="K894" t="str">
            <v>Settled</v>
          </cell>
        </row>
        <row r="895">
          <cell r="J895" t="str">
            <v>SG -BigoTechnology-CR-12/2023</v>
          </cell>
          <cell r="K895" t="str">
            <v>Settled</v>
          </cell>
        </row>
        <row r="896">
          <cell r="J896" t="str">
            <v>SG-BigoTechnology-12/2023</v>
          </cell>
          <cell r="K896" t="str">
            <v>Settled</v>
          </cell>
        </row>
        <row r="897">
          <cell r="J897" t="str">
            <v>SG-BigoTechnology-01/2024</v>
          </cell>
          <cell r="K897" t="str">
            <v>Settled</v>
          </cell>
        </row>
        <row r="898">
          <cell r="J898" t="str">
            <v>SG-BigoTechnology-02/2024</v>
          </cell>
          <cell r="K898" t="str">
            <v>Settled</v>
          </cell>
        </row>
        <row r="899">
          <cell r="J899" t="str">
            <v>SG-BigoTechnology-03/2024</v>
          </cell>
          <cell r="K899" t="str">
            <v>Settled</v>
          </cell>
        </row>
        <row r="900">
          <cell r="J900" t="str">
            <v>SG-BigoTechnology-04/2024</v>
          </cell>
          <cell r="K900" t="str">
            <v>Settled</v>
          </cell>
        </row>
        <row r="901">
          <cell r="J901" t="str">
            <v>SG-BigoTechnology-05/2024</v>
          </cell>
          <cell r="K901" t="str">
            <v>Settled</v>
          </cell>
        </row>
        <row r="902">
          <cell r="J902" t="str">
            <v>SG-BigoTechnology-06/2024</v>
          </cell>
          <cell r="K902" t="str">
            <v>Settled</v>
          </cell>
        </row>
        <row r="903">
          <cell r="J903" t="str">
            <v>SG-BigoTechnology-07/2024</v>
          </cell>
          <cell r="K903" t="str">
            <v>Settled</v>
          </cell>
        </row>
        <row r="904">
          <cell r="J904" t="str">
            <v>SG-BigoTechnology-08/2024</v>
          </cell>
          <cell r="K904" t="str">
            <v>Settled</v>
          </cell>
        </row>
        <row r="905">
          <cell r="J905" t="str">
            <v>SG-BigoTechnology-09/2024</v>
          </cell>
          <cell r="K905" t="str">
            <v>Settled</v>
          </cell>
        </row>
        <row r="906">
          <cell r="J906" t="str">
            <v>SG-BigoTechnology-10/2024</v>
          </cell>
          <cell r="K906" t="str">
            <v>Settled</v>
          </cell>
        </row>
        <row r="907">
          <cell r="J907" t="str">
            <v>SG-BigoTechnology-11/2024</v>
          </cell>
          <cell r="K907" t="str">
            <v>Settled</v>
          </cell>
        </row>
        <row r="908">
          <cell r="J908" t="str">
            <v>SG-BigoTechnology-12/2024</v>
          </cell>
          <cell r="K908" t="str">
            <v>Settled</v>
          </cell>
        </row>
        <row r="909">
          <cell r="J909" t="str">
            <v>SG-BigoTechnology-01/2025</v>
          </cell>
          <cell r="K909" t="str">
            <v>Settled</v>
          </cell>
        </row>
        <row r="910">
          <cell r="J910" t="str">
            <v>SG-BigoTechnology-02/2025</v>
          </cell>
          <cell r="K910" t="str">
            <v>Settled</v>
          </cell>
        </row>
        <row r="911">
          <cell r="J911" t="str">
            <v>SG-BigoTechnology-03/2025</v>
          </cell>
          <cell r="K911" t="str">
            <v>Settled</v>
          </cell>
        </row>
        <row r="912">
          <cell r="J912" t="str">
            <v>SG-BigoTechnology-04/2025</v>
          </cell>
          <cell r="K912" t="str">
            <v>Settled</v>
          </cell>
        </row>
        <row r="913">
          <cell r="J913" t="str">
            <v>SG-BigoTechnology-05/2025</v>
          </cell>
          <cell r="K913" t="str">
            <v>Settled</v>
          </cell>
        </row>
        <row r="914">
          <cell r="J914" t="str">
            <v>SG-BigoTechnology-06/2025</v>
          </cell>
          <cell r="K914" t="str">
            <v>Settled</v>
          </cell>
        </row>
        <row r="915">
          <cell r="J915" t="str">
            <v>SG-BigoTechnology-07/2025</v>
          </cell>
          <cell r="K915" t="str">
            <v>Settled</v>
          </cell>
        </row>
        <row r="916">
          <cell r="J916" t="str">
            <v>SG-BigoTechnology-08/2025</v>
          </cell>
          <cell r="K916" t="str">
            <v>Settled</v>
          </cell>
        </row>
        <row r="917">
          <cell r="J917" t="str">
            <v>SG-BigoTechnology-09/2025</v>
          </cell>
          <cell r="K917" t="str">
            <v>Settled</v>
          </cell>
        </row>
        <row r="918">
          <cell r="J918" t="str">
            <v>SG-BigoTechnology-10/2025</v>
          </cell>
          <cell r="K918" t="str">
            <v>Settled</v>
          </cell>
        </row>
        <row r="919">
          <cell r="J919" t="str">
            <v>SG-BigoTechnology-11/2025</v>
          </cell>
          <cell r="K919" t="str">
            <v>Settled</v>
          </cell>
        </row>
        <row r="920">
          <cell r="J920" t="str">
            <v>SG-BigoTechnology-12/2025</v>
          </cell>
          <cell r="K920" t="str">
            <v>Settled</v>
          </cell>
        </row>
        <row r="921">
          <cell r="J921" t="str">
            <v>SG-BigoTechnology-01/2026</v>
          </cell>
          <cell r="K921" t="str">
            <v>Settled</v>
          </cell>
        </row>
        <row r="922">
          <cell r="J922" t="str">
            <v>SG-BigoTechnology-02/2026</v>
          </cell>
          <cell r="K922" t="str">
            <v>Settled</v>
          </cell>
        </row>
        <row r="923">
          <cell r="J923" t="str">
            <v>SG-BigoTechnology-03/2026</v>
          </cell>
          <cell r="K923" t="str">
            <v>Settled</v>
          </cell>
        </row>
        <row r="924">
          <cell r="J924" t="str">
            <v>SG-BigoTechnology-04/2026</v>
          </cell>
          <cell r="K924" t="str">
            <v>Settled</v>
          </cell>
        </row>
        <row r="925">
          <cell r="J925" t="str">
            <v>SG-BigoTechnology-05/2026</v>
          </cell>
          <cell r="K925" t="str">
            <v>Settled</v>
          </cell>
        </row>
        <row r="926">
          <cell r="J926" t="str">
            <v>SG-Boltzemo Financial Services Inc.-12/2022</v>
          </cell>
          <cell r="K926" t="str">
            <v>Settled</v>
          </cell>
        </row>
        <row r="927">
          <cell r="J927" t="str">
            <v>SG-Boltzemo Financial Services Inc.-01/2023</v>
          </cell>
          <cell r="K927" t="str">
            <v>Settled</v>
          </cell>
        </row>
        <row r="928">
          <cell r="J928" t="str">
            <v>SG-Boltzemo-02/2023</v>
          </cell>
          <cell r="K928" t="str">
            <v>Settled</v>
          </cell>
        </row>
        <row r="929">
          <cell r="J929" t="str">
            <v>SG-Boltzemo-03/2023</v>
          </cell>
          <cell r="K929" t="str">
            <v>Settled</v>
          </cell>
        </row>
        <row r="930">
          <cell r="J930" t="str">
            <v>SG-Boltzemo-04/2023</v>
          </cell>
          <cell r="K930" t="str">
            <v>Settled</v>
          </cell>
        </row>
        <row r="931">
          <cell r="J931" t="str">
            <v>SG-Boltzemo-05/2023</v>
          </cell>
          <cell r="K931" t="str">
            <v>Settled</v>
          </cell>
        </row>
        <row r="932">
          <cell r="J932" t="str">
            <v>SG-Boltzemo-06/2023</v>
          </cell>
          <cell r="K932" t="str">
            <v>Settled</v>
          </cell>
        </row>
        <row r="933">
          <cell r="J933" t="str">
            <v>SG-Boltzemo-07/2023</v>
          </cell>
          <cell r="K933" t="str">
            <v>Waived Off</v>
          </cell>
        </row>
        <row r="934">
          <cell r="J934" t="str">
            <v>SG -Boltzemo-08/2023</v>
          </cell>
          <cell r="K934" t="str">
            <v>Waived Off</v>
          </cell>
        </row>
        <row r="935">
          <cell r="J935" t="str">
            <v>SG-Boltzemo-09/2023</v>
          </cell>
          <cell r="K935" t="str">
            <v>Waived Off</v>
          </cell>
        </row>
        <row r="936">
          <cell r="J936" t="str">
            <v>CA -borderless-client-1-04/2022</v>
          </cell>
          <cell r="K936" t="str">
            <v>Settled</v>
          </cell>
        </row>
        <row r="937">
          <cell r="J937" t="str">
            <v>CA-borderless-12/2022</v>
          </cell>
          <cell r="K937" t="str">
            <v>Settled</v>
          </cell>
        </row>
        <row r="938">
          <cell r="J938" t="str">
            <v>CA-borderless-CR-12/2022</v>
          </cell>
          <cell r="K938" t="str">
            <v>Settled</v>
          </cell>
        </row>
        <row r="939">
          <cell r="J939" t="str">
            <v>CA-borderless-01/2023</v>
          </cell>
          <cell r="K939" t="str">
            <v>Settled</v>
          </cell>
        </row>
        <row r="940">
          <cell r="J940" t="str">
            <v>CA-borderless-CR-01/2023</v>
          </cell>
          <cell r="K940" t="str">
            <v>Settled</v>
          </cell>
        </row>
        <row r="941">
          <cell r="J941" t="str">
            <v>CA-borderless-11/2022</v>
          </cell>
          <cell r="K941" t="str">
            <v>Settled</v>
          </cell>
        </row>
        <row r="942">
          <cell r="J942" t="str">
            <v>CA-borderless-CR-11/2022</v>
          </cell>
          <cell r="K942" t="str">
            <v>Settled</v>
          </cell>
        </row>
        <row r="943">
          <cell r="J943" t="str">
            <v>CA-borderless-02/2023</v>
          </cell>
          <cell r="K943" t="str">
            <v>Settled</v>
          </cell>
        </row>
        <row r="944">
          <cell r="J944" t="str">
            <v>CA-borderless-03/2023</v>
          </cell>
          <cell r="K944" t="str">
            <v>Settled</v>
          </cell>
        </row>
        <row r="945">
          <cell r="J945" t="str">
            <v>CA-borderless-CR-02/2023</v>
          </cell>
          <cell r="K945" t="str">
            <v>Settled</v>
          </cell>
        </row>
        <row r="946">
          <cell r="J946" t="str">
            <v>CA-borderless-CR-03/2023</v>
          </cell>
          <cell r="K946" t="str">
            <v>Settled</v>
          </cell>
        </row>
        <row r="947">
          <cell r="J947" t="str">
            <v>CA-borderless-04/2023</v>
          </cell>
          <cell r="K947" t="str">
            <v>Settled</v>
          </cell>
        </row>
        <row r="948">
          <cell r="J948" t="str">
            <v>CA-borderless-CR-04/2023</v>
          </cell>
          <cell r="K948" t="str">
            <v>Settled</v>
          </cell>
        </row>
        <row r="949">
          <cell r="J949" t="str">
            <v>CA-borderless-05/2023</v>
          </cell>
          <cell r="K949" t="str">
            <v>Settled</v>
          </cell>
        </row>
        <row r="950">
          <cell r="J950" t="str">
            <v>CA-borderless-CR-05/2023</v>
          </cell>
          <cell r="K950" t="str">
            <v>Settled</v>
          </cell>
        </row>
        <row r="951">
          <cell r="J951" t="str">
            <v>CA-Borderless-06/2023</v>
          </cell>
          <cell r="K951" t="str">
            <v>Settled</v>
          </cell>
        </row>
        <row r="952">
          <cell r="J952" t="str">
            <v>CA-borderless-CR-06/2023</v>
          </cell>
          <cell r="K952" t="str">
            <v>Settled</v>
          </cell>
        </row>
        <row r="953">
          <cell r="J953" t="str">
            <v>CA-Borderless-07/2023</v>
          </cell>
          <cell r="K953" t="str">
            <v>Settled</v>
          </cell>
        </row>
        <row r="954">
          <cell r="J954" t="str">
            <v>CA-Borderless-CR-07/2023</v>
          </cell>
          <cell r="K954" t="str">
            <v>Settled</v>
          </cell>
        </row>
        <row r="955">
          <cell r="J955" t="str">
            <v>CA -Borderless-08/2023</v>
          </cell>
          <cell r="K955" t="str">
            <v>Settled</v>
          </cell>
        </row>
        <row r="956">
          <cell r="J956" t="str">
            <v>CA -Borderless-CR-08/2023</v>
          </cell>
          <cell r="K956" t="str">
            <v>Settled</v>
          </cell>
        </row>
        <row r="957">
          <cell r="J957" t="str">
            <v>CA -Borderless-09/2023</v>
          </cell>
          <cell r="K957" t="str">
            <v>Settled</v>
          </cell>
        </row>
        <row r="958">
          <cell r="J958" t="str">
            <v>CA -Borderless-CR-09/2023</v>
          </cell>
          <cell r="K958" t="str">
            <v>Settled</v>
          </cell>
        </row>
        <row r="959">
          <cell r="J959" t="str">
            <v>CA -Borderless-CR-10/2023</v>
          </cell>
          <cell r="K959" t="str">
            <v>Settled</v>
          </cell>
        </row>
        <row r="960">
          <cell r="J960" t="str">
            <v>CA-Borderless-10/2023</v>
          </cell>
          <cell r="K960" t="str">
            <v>Settled</v>
          </cell>
        </row>
        <row r="961">
          <cell r="J961" t="str">
            <v>US-Borderless-11/2023</v>
          </cell>
          <cell r="K961" t="str">
            <v>Settled</v>
          </cell>
        </row>
        <row r="962">
          <cell r="J962" t="str">
            <v>US-Borderless-CR-11/2023</v>
          </cell>
          <cell r="K962" t="str">
            <v>Settled</v>
          </cell>
        </row>
        <row r="963">
          <cell r="J963" t="str">
            <v>US-Borderless-12/2023</v>
          </cell>
          <cell r="K963" t="str">
            <v>Settled</v>
          </cell>
        </row>
        <row r="964">
          <cell r="J964" t="str">
            <v>US-Borderless-CR-12/2023</v>
          </cell>
          <cell r="K964" t="str">
            <v>Settled</v>
          </cell>
        </row>
        <row r="965">
          <cell r="J965" t="str">
            <v>US-Borderless-01/2024</v>
          </cell>
          <cell r="K965" t="str">
            <v>Settled</v>
          </cell>
        </row>
        <row r="966">
          <cell r="J966" t="str">
            <v>US-Borderless-CR-01/2024</v>
          </cell>
          <cell r="K966" t="str">
            <v>Settled</v>
          </cell>
        </row>
        <row r="967">
          <cell r="J967" t="str">
            <v>US-Borderless-02/2024</v>
          </cell>
          <cell r="K967" t="str">
            <v>Settled</v>
          </cell>
        </row>
        <row r="968">
          <cell r="J968" t="str">
            <v>US-Borderless-CR-02/2024</v>
          </cell>
          <cell r="K968" t="str">
            <v>Settled</v>
          </cell>
        </row>
        <row r="969">
          <cell r="J969" t="str">
            <v>CA-borderless-04-12/2022</v>
          </cell>
          <cell r="K969" t="str">
            <v>Settled</v>
          </cell>
        </row>
        <row r="970">
          <cell r="J970" t="str">
            <v>CA-borderless-CR-04-12/2022</v>
          </cell>
          <cell r="K970" t="str">
            <v>Settled</v>
          </cell>
        </row>
        <row r="971">
          <cell r="J971" t="str">
            <v>TAX</v>
          </cell>
          <cell r="K971" t="str">
            <v>Settled</v>
          </cell>
        </row>
        <row r="972">
          <cell r="J972" t="str">
            <v>US-Borderless-03/2024</v>
          </cell>
          <cell r="K972" t="str">
            <v>Settled</v>
          </cell>
        </row>
        <row r="973">
          <cell r="J973" t="str">
            <v>US-Borderless-CR-04/2024</v>
          </cell>
          <cell r="K973" t="str">
            <v>Settled</v>
          </cell>
        </row>
        <row r="974">
          <cell r="J974" t="str">
            <v>US-Borderless-04/2024</v>
          </cell>
          <cell r="K974" t="str">
            <v>Settled</v>
          </cell>
        </row>
        <row r="975">
          <cell r="J975" t="str">
            <v>CA-borderless-CR-01-12/2023</v>
          </cell>
          <cell r="K975" t="str">
            <v>Settled</v>
          </cell>
        </row>
        <row r="976">
          <cell r="J976" t="str">
            <v>CA-borderless-01-12/2023</v>
          </cell>
          <cell r="K976" t="str">
            <v>Settled</v>
          </cell>
        </row>
        <row r="977">
          <cell r="J977" t="str">
            <v>CN-CA-borderless-01-04/2024</v>
          </cell>
          <cell r="K977" t="str">
            <v>Settled</v>
          </cell>
        </row>
        <row r="978">
          <cell r="J978" t="str">
            <v>CN-CA-borderless-01-12/2023</v>
          </cell>
          <cell r="K978" t="str">
            <v>Settled</v>
          </cell>
        </row>
        <row r="979">
          <cell r="J979" t="str">
            <v>CN-CA-borderless-04-12/2022</v>
          </cell>
          <cell r="K979" t="str">
            <v>Settled</v>
          </cell>
        </row>
        <row r="980">
          <cell r="J980" t="str">
            <v>CA-borderless-01-04/2024</v>
          </cell>
          <cell r="K980" t="str">
            <v>Settled</v>
          </cell>
        </row>
        <row r="981">
          <cell r="J981" t="str">
            <v>CA-borderless-CR-01-04/2024</v>
          </cell>
          <cell r="K981" t="str">
            <v>Settled</v>
          </cell>
        </row>
        <row r="982">
          <cell r="J982" t="str">
            <v>US-Borderless-05/2024</v>
          </cell>
          <cell r="K982" t="str">
            <v>Settled</v>
          </cell>
        </row>
        <row r="983">
          <cell r="J983" t="str">
            <v>US-Borderless-CR-05/2024</v>
          </cell>
          <cell r="K983" t="str">
            <v>Settled</v>
          </cell>
        </row>
        <row r="984">
          <cell r="J984" t="str">
            <v>US-Borderless-06/2024</v>
          </cell>
          <cell r="K984" t="str">
            <v>Settled</v>
          </cell>
        </row>
        <row r="985">
          <cell r="J985" t="str">
            <v>US-Borderless-CR-06/2024</v>
          </cell>
          <cell r="K985" t="str">
            <v>Settled</v>
          </cell>
        </row>
        <row r="986">
          <cell r="J986" t="str">
            <v>US-Borderless-07/2024</v>
          </cell>
          <cell r="K986" t="str">
            <v>Settled</v>
          </cell>
        </row>
        <row r="987">
          <cell r="J987" t="str">
            <v>US-Borderless-CR-07/2024</v>
          </cell>
          <cell r="K987" t="str">
            <v>Settled</v>
          </cell>
        </row>
        <row r="988">
          <cell r="J988" t="str">
            <v>US-Borderless-08/2024</v>
          </cell>
          <cell r="K988" t="str">
            <v>Settled</v>
          </cell>
        </row>
        <row r="989">
          <cell r="J989" t="str">
            <v>US-Borderless-CR-08/2024</v>
          </cell>
          <cell r="K989" t="str">
            <v>Settled</v>
          </cell>
        </row>
        <row r="990">
          <cell r="J990" t="str">
            <v>US-Borderless-09/2024</v>
          </cell>
          <cell r="K990" t="str">
            <v>Settled</v>
          </cell>
        </row>
        <row r="991">
          <cell r="J991" t="str">
            <v>US-Borderless-CR-09/2024</v>
          </cell>
          <cell r="K991" t="str">
            <v>Settled</v>
          </cell>
        </row>
        <row r="992">
          <cell r="J992" t="str">
            <v>US-Borderless-10/2024</v>
          </cell>
          <cell r="K992" t="str">
            <v>Settled</v>
          </cell>
        </row>
        <row r="993">
          <cell r="J993" t="str">
            <v>US-Borderless-CR-10/2024</v>
          </cell>
          <cell r="K993" t="str">
            <v>Settled</v>
          </cell>
        </row>
        <row r="994">
          <cell r="J994" t="str">
            <v>US-Borderless-11/2024</v>
          </cell>
          <cell r="K994" t="str">
            <v>Settled</v>
          </cell>
        </row>
        <row r="995">
          <cell r="J995" t="str">
            <v>US-Borderless-CR-11/2024</v>
          </cell>
          <cell r="K995" t="str">
            <v>Settled</v>
          </cell>
        </row>
        <row r="996">
          <cell r="J996" t="str">
            <v>US-Borderless-12/2024</v>
          </cell>
          <cell r="K996" t="str">
            <v>Settled</v>
          </cell>
        </row>
        <row r="997">
          <cell r="J997" t="str">
            <v>US-Borderless-CR-12/2024</v>
          </cell>
          <cell r="K997" t="str">
            <v>Settled</v>
          </cell>
        </row>
        <row r="998">
          <cell r="J998" t="str">
            <v>US-Borderless-01/2025</v>
          </cell>
          <cell r="K998" t="str">
            <v>Settled</v>
          </cell>
        </row>
        <row r="999">
          <cell r="J999" t="str">
            <v>US-Borderless-CR-01/2025</v>
          </cell>
          <cell r="K999" t="str">
            <v>Settled</v>
          </cell>
        </row>
        <row r="1000">
          <cell r="J1000" t="str">
            <v>US-Borderless-02/2025</v>
          </cell>
          <cell r="K1000" t="str">
            <v>Settled</v>
          </cell>
        </row>
        <row r="1001">
          <cell r="J1001" t="str">
            <v>US-Borderless-CR-02/2025</v>
          </cell>
          <cell r="K1001" t="str">
            <v>Settled</v>
          </cell>
        </row>
        <row r="1002">
          <cell r="J1002" t="str">
            <v>US-Borderless-CR-10/2025</v>
          </cell>
          <cell r="K1002" t="str">
            <v>Settled</v>
          </cell>
        </row>
        <row r="1003">
          <cell r="J1003" t="str">
            <v>US-CN-Borderless-12-2025</v>
          </cell>
          <cell r="K1003" t="str">
            <v>Settled</v>
          </cell>
        </row>
        <row r="1004">
          <cell r="J1004" t="str">
            <v>US-Borderless-CR-12-1/2025</v>
          </cell>
          <cell r="K1004" t="str">
            <v>Settled</v>
          </cell>
        </row>
        <row r="1005">
          <cell r="J1005" t="str">
            <v>US-Borderless-CR-12-2/2025</v>
          </cell>
          <cell r="K1005" t="str">
            <v>Settled</v>
          </cell>
        </row>
        <row r="1006">
          <cell r="J1006" t="str">
            <v>US-CN-Borderless-01-2026</v>
          </cell>
          <cell r="K1006" t="str">
            <v>Settled</v>
          </cell>
        </row>
        <row r="1007">
          <cell r="J1007" t="str">
            <v>US-CN-Borderless-02-2026</v>
          </cell>
          <cell r="K1007" t="str">
            <v>Settled</v>
          </cell>
        </row>
        <row r="1008">
          <cell r="J1008" t="str">
            <v>US-CN-Borderless-02-1-2026</v>
          </cell>
          <cell r="K1008" t="str">
            <v>Settled</v>
          </cell>
        </row>
        <row r="1009">
          <cell r="J1009" t="str">
            <v>US-CN-Borderless-03-2026</v>
          </cell>
          <cell r="K1009" t="str">
            <v>Settled</v>
          </cell>
        </row>
        <row r="1010">
          <cell r="J1010" t="str">
            <v>US-CN-Borderless-04-2026</v>
          </cell>
          <cell r="K1010" t="str">
            <v>Settled</v>
          </cell>
        </row>
        <row r="1011">
          <cell r="J1011" t="str">
            <v>US-CN-Borderless-05-2026</v>
          </cell>
          <cell r="K1011" t="str">
            <v>Settled</v>
          </cell>
        </row>
        <row r="1012">
          <cell r="J1012" t="str">
            <v>EU-Brandevise Consulting SRL-01/2023</v>
          </cell>
          <cell r="K1012" t="str">
            <v>Settled</v>
          </cell>
        </row>
        <row r="1013">
          <cell r="J1013" t="str">
            <v>EU-Brandevise-02/2023</v>
          </cell>
          <cell r="K1013" t="str">
            <v>Settled</v>
          </cell>
        </row>
        <row r="1014">
          <cell r="J1014" t="str">
            <v>EU-Brandevise-03/2023</v>
          </cell>
          <cell r="K1014" t="str">
            <v>Settled</v>
          </cell>
        </row>
        <row r="1015">
          <cell r="J1015" t="str">
            <v>EU-Brandevise-04/2023</v>
          </cell>
          <cell r="K1015" t="str">
            <v>Settled</v>
          </cell>
        </row>
        <row r="1016">
          <cell r="J1016" t="str">
            <v>EU-Brandevise-05/2023</v>
          </cell>
          <cell r="K1016" t="str">
            <v>Settled</v>
          </cell>
        </row>
        <row r="1017">
          <cell r="J1017" t="str">
            <v>EU-Brandevise-06/2023</v>
          </cell>
          <cell r="K1017" t="str">
            <v>Settled</v>
          </cell>
        </row>
        <row r="1018">
          <cell r="J1018" t="str">
            <v>EU-Brandevise-07/2023</v>
          </cell>
          <cell r="K1018" t="str">
            <v>Settled</v>
          </cell>
        </row>
        <row r="1019">
          <cell r="J1019" t="str">
            <v>EU -Brandevise-08/2023</v>
          </cell>
          <cell r="K1019" t="str">
            <v>Settled</v>
          </cell>
        </row>
        <row r="1020">
          <cell r="J1020" t="str">
            <v>EU-Brandevise-09/2023</v>
          </cell>
          <cell r="K1020" t="str">
            <v>Settled</v>
          </cell>
        </row>
        <row r="1021">
          <cell r="J1021" t="str">
            <v>EU-Brandevise-10/2023</v>
          </cell>
          <cell r="K1021" t="str">
            <v>Settled</v>
          </cell>
        </row>
        <row r="1022">
          <cell r="J1022" t="str">
            <v>EU-Brandevise-11/2023</v>
          </cell>
          <cell r="K1022" t="str">
            <v>Settled</v>
          </cell>
        </row>
        <row r="1023">
          <cell r="J1023" t="str">
            <v>EU-Brandevise-12/2023</v>
          </cell>
          <cell r="K1023" t="str">
            <v>Settled</v>
          </cell>
        </row>
        <row r="1024">
          <cell r="J1024" t="str">
            <v>EU-Brandevise-01/2024</v>
          </cell>
          <cell r="K1024" t="str">
            <v>Settled</v>
          </cell>
        </row>
        <row r="1025">
          <cell r="J1025" t="str">
            <v>EU-Brandevise-02/2024</v>
          </cell>
          <cell r="K1025" t="str">
            <v>Settled</v>
          </cell>
        </row>
        <row r="1026">
          <cell r="J1026" t="str">
            <v>EU-Brandevise Consulting SRL-11/2022</v>
          </cell>
          <cell r="K1026" t="str">
            <v>Settled</v>
          </cell>
        </row>
        <row r="1027">
          <cell r="J1027" t="str">
            <v>EU-Brandevise Consulting SRL-12/2022</v>
          </cell>
          <cell r="K1027" t="str">
            <v>Settled</v>
          </cell>
        </row>
        <row r="1028">
          <cell r="J1028" t="str">
            <v>SG-Msbb money ltd-11/2022</v>
          </cell>
          <cell r="K1028" t="str">
            <v>Settled</v>
          </cell>
        </row>
        <row r="1029">
          <cell r="J1029" t="str">
            <v>SG-Msbb money ltd-12/2022</v>
          </cell>
          <cell r="K1029" t="str">
            <v>Settled</v>
          </cell>
        </row>
        <row r="1030">
          <cell r="J1030" t="str">
            <v>SG-Msbb money ltd-01/2023</v>
          </cell>
          <cell r="K1030" t="str">
            <v>Settled</v>
          </cell>
        </row>
        <row r="1031">
          <cell r="J1031" t="str">
            <v>SG-BRAZA UK-02/2023</v>
          </cell>
          <cell r="K1031" t="str">
            <v>Settled</v>
          </cell>
        </row>
        <row r="1032">
          <cell r="J1032" t="str">
            <v>SG-BRAZA UK-03/2023</v>
          </cell>
          <cell r="K1032" t="str">
            <v>Settled</v>
          </cell>
        </row>
        <row r="1033">
          <cell r="J1033" t="str">
            <v>SG-BRAZA UK LTD-04/2023</v>
          </cell>
          <cell r="K1033" t="str">
            <v>Settled</v>
          </cell>
        </row>
        <row r="1034">
          <cell r="J1034" t="str">
            <v>SG-BRAZA UK LTD-05/2023</v>
          </cell>
          <cell r="K1034" t="str">
            <v>Settled</v>
          </cell>
        </row>
        <row r="1035">
          <cell r="J1035" t="str">
            <v>SG-BRAZA UK LTD-06/2023</v>
          </cell>
          <cell r="K1035" t="str">
            <v>Settled</v>
          </cell>
        </row>
        <row r="1036">
          <cell r="J1036" t="str">
            <v>SG-BRAZA UK LTD-07/2023</v>
          </cell>
          <cell r="K1036" t="str">
            <v>Settled</v>
          </cell>
        </row>
        <row r="1037">
          <cell r="J1037" t="str">
            <v>SG -BRAZA UK LTD-08/2023</v>
          </cell>
          <cell r="K1037" t="str">
            <v>Settled</v>
          </cell>
        </row>
        <row r="1038">
          <cell r="J1038" t="str">
            <v>SG-BRAZA UK LTD-09/2023</v>
          </cell>
          <cell r="K1038" t="str">
            <v>Settled</v>
          </cell>
        </row>
        <row r="1039">
          <cell r="J1039" t="str">
            <v>SG-BRAZA UK LTD-10/2023</v>
          </cell>
          <cell r="K1039" t="str">
            <v>Settled</v>
          </cell>
        </row>
        <row r="1040">
          <cell r="J1040" t="str">
            <v>SG-BRAZA UK LTD-11/2023</v>
          </cell>
          <cell r="K1040" t="str">
            <v>Settled</v>
          </cell>
        </row>
        <row r="1041">
          <cell r="J1041" t="str">
            <v>SG-BRAZA UK LTD-12/2023</v>
          </cell>
          <cell r="K1041" t="str">
            <v>Settled</v>
          </cell>
        </row>
        <row r="1042">
          <cell r="J1042" t="str">
            <v>SG-BRAZA UK LTD-01/2024</v>
          </cell>
          <cell r="K1042" t="str">
            <v>Settled</v>
          </cell>
        </row>
        <row r="1043">
          <cell r="J1043" t="str">
            <v>SG-BRAZA UK LTD-02/2024</v>
          </cell>
          <cell r="K1043" t="str">
            <v>Settled</v>
          </cell>
        </row>
        <row r="1044">
          <cell r="J1044" t="str">
            <v>SG-BRAZA UK LTD-03/2024</v>
          </cell>
          <cell r="K1044" t="str">
            <v>Settled</v>
          </cell>
        </row>
        <row r="1045">
          <cell r="J1045" t="str">
            <v>SG-BRAZA UK LTD-04/2024</v>
          </cell>
          <cell r="K1045" t="str">
            <v>Settled</v>
          </cell>
        </row>
        <row r="1046">
          <cell r="J1046" t="str">
            <v>SG-BRAZA UK LTD-05/2024</v>
          </cell>
          <cell r="K1046" t="str">
            <v>Settled</v>
          </cell>
        </row>
        <row r="1047">
          <cell r="J1047" t="str">
            <v>SG-BRAZA UK LTD-06/2024</v>
          </cell>
          <cell r="K1047" t="str">
            <v>Settled</v>
          </cell>
        </row>
        <row r="1048">
          <cell r="J1048" t="str">
            <v>SG-BRAZA UK LTD-07/2024</v>
          </cell>
          <cell r="K1048" t="str">
            <v>Settled</v>
          </cell>
        </row>
        <row r="1049">
          <cell r="J1049" t="str">
            <v>SG-BRAZA UK LTD-08/2024</v>
          </cell>
          <cell r="K1049" t="str">
            <v>Settled</v>
          </cell>
        </row>
        <row r="1050">
          <cell r="J1050" t="str">
            <v>SG-BRAZA UK LTD-09/2024</v>
          </cell>
          <cell r="K1050" t="str">
            <v>Settled</v>
          </cell>
        </row>
        <row r="1051">
          <cell r="J1051" t="str">
            <v>SG-BRAZA UK LTD-10/2024</v>
          </cell>
          <cell r="K1051" t="str">
            <v>Settled</v>
          </cell>
        </row>
        <row r="1052">
          <cell r="J1052" t="str">
            <v>SG-BRAZA UK LTD-11/2024</v>
          </cell>
          <cell r="K1052" t="str">
            <v>Settled</v>
          </cell>
        </row>
        <row r="1053">
          <cell r="J1053" t="str">
            <v>SG-BRAZA UK LTD-12/2024</v>
          </cell>
          <cell r="K1053" t="str">
            <v>Settled</v>
          </cell>
        </row>
        <row r="1054">
          <cell r="J1054" t="str">
            <v>SG-BRAZA UK LTD-01/2025</v>
          </cell>
          <cell r="K1054" t="str">
            <v>Settled</v>
          </cell>
        </row>
        <row r="1055">
          <cell r="J1055" t="str">
            <v>SG-BRAZA UK LTD-02/2025</v>
          </cell>
          <cell r="K1055" t="str">
            <v>Settled</v>
          </cell>
        </row>
        <row r="1056">
          <cell r="J1056" t="str">
            <v>SG-BRAZA UK LTD-03/2025</v>
          </cell>
          <cell r="K1056" t="str">
            <v>Settled</v>
          </cell>
        </row>
        <row r="1057">
          <cell r="J1057" t="str">
            <v>SG-BRAZA UK LTD-04/2025</v>
          </cell>
          <cell r="K1057" t="str">
            <v>Settled</v>
          </cell>
        </row>
        <row r="1058">
          <cell r="J1058" t="str">
            <v>SG-BRAZA UK LTD-05/2025</v>
          </cell>
          <cell r="K1058" t="str">
            <v>Settled</v>
          </cell>
        </row>
        <row r="1059">
          <cell r="J1059" t="str">
            <v>SG-BRAZA UK LTD-06/2025</v>
          </cell>
          <cell r="K1059" t="str">
            <v>Settled</v>
          </cell>
        </row>
        <row r="1060">
          <cell r="J1060" t="str">
            <v>SG-BRAZA UK LTD-07/2025</v>
          </cell>
          <cell r="K1060" t="str">
            <v>Settled</v>
          </cell>
        </row>
        <row r="1061">
          <cell r="J1061" t="str">
            <v>SG-BRAZA UK LTD-08/2025</v>
          </cell>
          <cell r="K1061" t="str">
            <v>Settled</v>
          </cell>
        </row>
        <row r="1062">
          <cell r="J1062" t="str">
            <v>SG-BRAZA UK LTD-09/2025</v>
          </cell>
          <cell r="K1062" t="str">
            <v>Settled</v>
          </cell>
        </row>
        <row r="1063">
          <cell r="J1063" t="str">
            <v>SG-BRAZA UK LTD-10/2025</v>
          </cell>
          <cell r="K1063" t="str">
            <v>Settled</v>
          </cell>
        </row>
        <row r="1064">
          <cell r="J1064" t="str">
            <v>SG-BRAZA UK LTD-11/2025</v>
          </cell>
          <cell r="K1064" t="str">
            <v>Settled</v>
          </cell>
        </row>
        <row r="1065">
          <cell r="J1065" t="str">
            <v>SG-BRAZA UK LTD-12/2025</v>
          </cell>
          <cell r="K1065" t="str">
            <v>Settled</v>
          </cell>
        </row>
        <row r="1066">
          <cell r="J1066" t="str">
            <v>SG-BRAZA UK LTD-01/2026</v>
          </cell>
          <cell r="K1066" t="str">
            <v>Settled</v>
          </cell>
        </row>
        <row r="1067">
          <cell r="J1067" t="str">
            <v>SG-BRAZA UK LTD-02/2026</v>
          </cell>
          <cell r="K1067" t="str">
            <v>Settled</v>
          </cell>
        </row>
        <row r="1068">
          <cell r="J1068" t="str">
            <v>SG-BRAZA UK LTD-03/2026</v>
          </cell>
          <cell r="K1068" t="str">
            <v>Settled</v>
          </cell>
        </row>
        <row r="1069">
          <cell r="J1069" t="str">
            <v>SG-BRAZA UK LTD-04/2026</v>
          </cell>
          <cell r="K1069" t="str">
            <v>Settled</v>
          </cell>
        </row>
        <row r="1070">
          <cell r="J1070" t="str">
            <v>SG-BRAZA UK LTD-05/2026</v>
          </cell>
          <cell r="K1070" t="str">
            <v>Settled</v>
          </cell>
        </row>
        <row r="1071">
          <cell r="J1071" t="str">
            <v>SG -Bridge Commodities-01/2022</v>
          </cell>
          <cell r="K1071" t="str">
            <v>Settled</v>
          </cell>
        </row>
        <row r="1072">
          <cell r="J1072" t="str">
            <v>SG -Bridge Commodities-02/2022</v>
          </cell>
          <cell r="K1072" t="str">
            <v>Settled</v>
          </cell>
        </row>
        <row r="1073">
          <cell r="J1073" t="str">
            <v>SG -Bridge Commodities-03/2022</v>
          </cell>
          <cell r="K1073" t="str">
            <v>Settled</v>
          </cell>
        </row>
        <row r="1074">
          <cell r="J1074" t="str">
            <v>SG -Bridge Commodities-04/2022</v>
          </cell>
          <cell r="K1074" t="str">
            <v>Settled</v>
          </cell>
        </row>
        <row r="1075">
          <cell r="J1075" t="str">
            <v>SG -Bridge Commodities-05/2022</v>
          </cell>
          <cell r="K1075" t="str">
            <v>Settled</v>
          </cell>
        </row>
        <row r="1076">
          <cell r="J1076" t="str">
            <v>SG-BRQ LINK Payment-07/2023</v>
          </cell>
          <cell r="K1076" t="str">
            <v>Settled</v>
          </cell>
        </row>
        <row r="1077">
          <cell r="J1077" t="str">
            <v>SG -BRQ LINK Payment-01/2023</v>
          </cell>
          <cell r="K1077" t="str">
            <v>Settled</v>
          </cell>
        </row>
        <row r="1078">
          <cell r="J1078" t="str">
            <v>SG-BRQ LINK Payment-06/2023</v>
          </cell>
          <cell r="K1078" t="str">
            <v>Settled</v>
          </cell>
        </row>
        <row r="1079">
          <cell r="J1079" t="str">
            <v>SG-BRQ LINK Payment-01/2024_R</v>
          </cell>
          <cell r="K1079" t="str">
            <v>Settled</v>
          </cell>
        </row>
        <row r="1080">
          <cell r="J1080" t="str">
            <v>SG-BRQ LINK Payment-02/2024</v>
          </cell>
          <cell r="K1080" t="str">
            <v>Settled</v>
          </cell>
        </row>
        <row r="1081">
          <cell r="J1081" t="str">
            <v>SG-BRQ LINK Payment-03/2024</v>
          </cell>
          <cell r="K1081" t="str">
            <v>Settled</v>
          </cell>
        </row>
        <row r="1082">
          <cell r="J1082" t="str">
            <v>SG-BRQ LINK Payment-04/2024</v>
          </cell>
          <cell r="K1082" t="str">
            <v>Settled</v>
          </cell>
        </row>
        <row r="1083">
          <cell r="J1083" t="str">
            <v>SG-BRQ LINK Payment-05/2024</v>
          </cell>
          <cell r="K1083" t="str">
            <v>Settled</v>
          </cell>
        </row>
        <row r="1084">
          <cell r="J1084" t="str">
            <v>SG-BRQ LINK Payment-06/2024</v>
          </cell>
          <cell r="K1084" t="str">
            <v>Settled</v>
          </cell>
        </row>
        <row r="1085">
          <cell r="J1085" t="str">
            <v>SG-BRQ LINK Payment-07/2024</v>
          </cell>
          <cell r="K1085" t="str">
            <v>Settled</v>
          </cell>
        </row>
        <row r="1086">
          <cell r="J1086" t="str">
            <v>SG-BRQ LINK Payment-08/2024</v>
          </cell>
          <cell r="K1086" t="str">
            <v>Settled</v>
          </cell>
        </row>
        <row r="1087">
          <cell r="J1087" t="str">
            <v>SG-BRQ LINK Payment-09/2024</v>
          </cell>
          <cell r="K1087" t="str">
            <v>Net Off</v>
          </cell>
        </row>
        <row r="1088">
          <cell r="J1088" t="str">
            <v>SG-BRQ LINK Payment-10/2024</v>
          </cell>
          <cell r="K1088" t="str">
            <v>Net Off</v>
          </cell>
        </row>
        <row r="1089">
          <cell r="J1089" t="str">
            <v>SG-CN-BRQ LINK Payment-09-2024</v>
          </cell>
          <cell r="K1089" t="str">
            <v>Net Off</v>
          </cell>
        </row>
        <row r="1090">
          <cell r="J1090" t="str">
            <v>SG-CN-BRQ LINK Payment-10-2024</v>
          </cell>
          <cell r="K1090" t="str">
            <v>Net Off</v>
          </cell>
        </row>
        <row r="1091">
          <cell r="J1091" t="str">
            <v>US-Bsi Group Llc.-11/2022</v>
          </cell>
          <cell r="K1091" t="str">
            <v>Settled</v>
          </cell>
        </row>
        <row r="1092">
          <cell r="J1092" t="str">
            <v>US-Bsi Group Llc.-12/2022</v>
          </cell>
          <cell r="K1092" t="str">
            <v>Settled</v>
          </cell>
        </row>
        <row r="1093">
          <cell r="J1093" t="str">
            <v>US-Bsi Group Llc.-01/2023</v>
          </cell>
          <cell r="K1093" t="str">
            <v>Settled</v>
          </cell>
        </row>
        <row r="1094">
          <cell r="J1094" t="str">
            <v>US-Bsi Group Llc.-02/2023</v>
          </cell>
          <cell r="K1094" t="str">
            <v>Settled</v>
          </cell>
        </row>
        <row r="1095">
          <cell r="J1095" t="str">
            <v>US-Bsi Group Llc.-03/2023</v>
          </cell>
          <cell r="K1095" t="str">
            <v>Settled</v>
          </cell>
        </row>
        <row r="1096">
          <cell r="J1096" t="str">
            <v>US-Bsi Group Llc.-04/2023</v>
          </cell>
          <cell r="K1096" t="str">
            <v>Settled</v>
          </cell>
        </row>
        <row r="1097">
          <cell r="J1097" t="str">
            <v>US-Bsi Group Llc.-05/2023</v>
          </cell>
          <cell r="K1097" t="str">
            <v>Settled</v>
          </cell>
        </row>
        <row r="1098">
          <cell r="J1098" t="str">
            <v>US-Bsi Group Llc.-06/2023</v>
          </cell>
          <cell r="K1098" t="str">
            <v>Settled</v>
          </cell>
        </row>
        <row r="1099">
          <cell r="J1099" t="str">
            <v>US-Bsi Group Llc.-07/2023</v>
          </cell>
          <cell r="K1099" t="str">
            <v>Settled</v>
          </cell>
        </row>
        <row r="1100">
          <cell r="J1100" t="str">
            <v>US -Bsi Group Llc.-08/2023</v>
          </cell>
          <cell r="K1100" t="str">
            <v>Settled</v>
          </cell>
        </row>
        <row r="1101">
          <cell r="J1101" t="str">
            <v>US-Bsi Group Llc.-09/2023</v>
          </cell>
          <cell r="K1101" t="str">
            <v>Settled</v>
          </cell>
        </row>
        <row r="1102">
          <cell r="J1102" t="str">
            <v>US-Bsi Group Llc.-10/2023</v>
          </cell>
          <cell r="K1102" t="str">
            <v>Settled</v>
          </cell>
        </row>
        <row r="1103">
          <cell r="J1103" t="str">
            <v>US-Bsi Group Llc.-11/2023</v>
          </cell>
          <cell r="K1103" t="str">
            <v>Settled</v>
          </cell>
        </row>
        <row r="1104">
          <cell r="J1104" t="str">
            <v>US-Bsi Group Llc.-12/2023</v>
          </cell>
          <cell r="K1104" t="str">
            <v>Settled</v>
          </cell>
        </row>
        <row r="1105">
          <cell r="J1105" t="str">
            <v>US-Bsi Group Llc.-01/2024</v>
          </cell>
          <cell r="K1105" t="str">
            <v>Settled</v>
          </cell>
        </row>
        <row r="1106">
          <cell r="J1106" t="str">
            <v>US-Bsi Group Llc.-02/2024</v>
          </cell>
          <cell r="K1106" t="str">
            <v>Settled</v>
          </cell>
        </row>
        <row r="1107">
          <cell r="J1107" t="str">
            <v>US-Bsi Group Llc.-03/2024</v>
          </cell>
          <cell r="K1107" t="str">
            <v>Settled</v>
          </cell>
        </row>
        <row r="1108">
          <cell r="J1108" t="str">
            <v>US-Bsi Group Llc.-04/2024</v>
          </cell>
          <cell r="K1108" t="str">
            <v>Settled</v>
          </cell>
        </row>
        <row r="1109">
          <cell r="J1109" t="str">
            <v>US-Bsi Group Llc.-05/2024</v>
          </cell>
          <cell r="K1109" t="str">
            <v>Settled</v>
          </cell>
        </row>
        <row r="1110">
          <cell r="J1110" t="str">
            <v>US-Bsi Group Llc.-06/2024</v>
          </cell>
          <cell r="K1110" t="str">
            <v>Settled</v>
          </cell>
        </row>
        <row r="1111">
          <cell r="J1111" t="str">
            <v>US-Bsi Group Llc.-07/2024</v>
          </cell>
          <cell r="K1111" t="str">
            <v>Settled</v>
          </cell>
        </row>
        <row r="1112">
          <cell r="J1112" t="str">
            <v>US-Bsi Group Llc.-08/2024</v>
          </cell>
          <cell r="K1112" t="str">
            <v>Settled</v>
          </cell>
        </row>
        <row r="1113">
          <cell r="J1113" t="str">
            <v>US-Bsi Group Llc.-09/2024</v>
          </cell>
          <cell r="K1113" t="str">
            <v>Settled</v>
          </cell>
        </row>
        <row r="1114">
          <cell r="J1114" t="str">
            <v>US-Bsi Group Llc.-10/2024</v>
          </cell>
          <cell r="K1114" t="str">
            <v>Settled</v>
          </cell>
        </row>
        <row r="1115">
          <cell r="J1115" t="str">
            <v>US-Bsi Group Llc.-11/2024</v>
          </cell>
          <cell r="K1115" t="str">
            <v>Settled</v>
          </cell>
        </row>
        <row r="1116">
          <cell r="J1116" t="str">
            <v>US-Bsi Group Llc.-12/2024</v>
          </cell>
          <cell r="K1116" t="str">
            <v>Settled</v>
          </cell>
        </row>
        <row r="1117">
          <cell r="J1117" t="str">
            <v>US-Bsi Group Llc.-01/2025</v>
          </cell>
          <cell r="K1117" t="str">
            <v>Settled</v>
          </cell>
        </row>
        <row r="1118">
          <cell r="J1118" t="str">
            <v>US-Bsi Group Llc.-02/2025</v>
          </cell>
          <cell r="K1118" t="str">
            <v>Settled</v>
          </cell>
        </row>
        <row r="1119">
          <cell r="J1119" t="str">
            <v>US-Bsi Group Llc.-03/2025</v>
          </cell>
          <cell r="K1119" t="str">
            <v>Settled</v>
          </cell>
        </row>
        <row r="1120">
          <cell r="J1120" t="str">
            <v>US-Bsi Group Llc.-04/2025</v>
          </cell>
          <cell r="K1120" t="str">
            <v>Settled</v>
          </cell>
        </row>
        <row r="1121">
          <cell r="J1121" t="str">
            <v>US-Bsi Group Llc.-05/2025</v>
          </cell>
          <cell r="K1121" t="str">
            <v>Settled</v>
          </cell>
        </row>
        <row r="1122">
          <cell r="J1122" t="str">
            <v>US-Bsi Group Llc.-06/2025</v>
          </cell>
          <cell r="K1122" t="str">
            <v>Settled</v>
          </cell>
        </row>
        <row r="1123">
          <cell r="J1123" t="str">
            <v>US-Bsi Group Llc.-07/2025</v>
          </cell>
          <cell r="K1123" t="str">
            <v>Settled</v>
          </cell>
        </row>
        <row r="1124">
          <cell r="J1124" t="str">
            <v>US-Bsi Group Llc.-08/2025</v>
          </cell>
          <cell r="K1124" t="str">
            <v>Settled</v>
          </cell>
        </row>
        <row r="1125">
          <cell r="J1125" t="str">
            <v>US-Bsi Group Llc.-09/2025</v>
          </cell>
          <cell r="K1125" t="str">
            <v>Settled</v>
          </cell>
        </row>
        <row r="1126">
          <cell r="J1126" t="str">
            <v>US-Bsi Group Llc.-10/2025</v>
          </cell>
          <cell r="K1126" t="str">
            <v>Settled</v>
          </cell>
        </row>
        <row r="1127">
          <cell r="J1127" t="str">
            <v>US-Bsi Group Llc.-11/2025</v>
          </cell>
          <cell r="K1127" t="str">
            <v>Settled</v>
          </cell>
        </row>
        <row r="1128">
          <cell r="J1128" t="str">
            <v>US-Bsi Group Llc.-12/2025</v>
          </cell>
          <cell r="K1128" t="str">
            <v>Settled</v>
          </cell>
        </row>
        <row r="1129">
          <cell r="J1129" t="str">
            <v>US-Bsi Group Llc.-01/2026</v>
          </cell>
          <cell r="K1129" t="str">
            <v>Settled</v>
          </cell>
        </row>
        <row r="1130">
          <cell r="J1130" t="str">
            <v>US-Bsi Group Llc.-02/2026</v>
          </cell>
          <cell r="K1130" t="str">
            <v>Settled</v>
          </cell>
        </row>
        <row r="1131">
          <cell r="J1131" t="str">
            <v>US-Bsi Group Llc.-03/2026</v>
          </cell>
          <cell r="K1131" t="str">
            <v>Settled</v>
          </cell>
        </row>
        <row r="1132">
          <cell r="J1132" t="str">
            <v>US-Bsi Group Llc.-04/2026</v>
          </cell>
          <cell r="K1132" t="str">
            <v>Settled</v>
          </cell>
        </row>
        <row r="1133">
          <cell r="J1133" t="str">
            <v>US-Bsi Group Llc.-05/2026</v>
          </cell>
          <cell r="K1133" t="str">
            <v>Force Settlement</v>
          </cell>
        </row>
        <row r="1134">
          <cell r="J1134" t="str">
            <v>SG-bucketmylist-02/2023</v>
          </cell>
          <cell r="K1134" t="str">
            <v>Settled</v>
          </cell>
        </row>
        <row r="1135">
          <cell r="J1135" t="str">
            <v>SG-bucketmylist-03/2023</v>
          </cell>
          <cell r="K1135" t="str">
            <v>Settled</v>
          </cell>
        </row>
        <row r="1136">
          <cell r="J1136" t="str">
            <v>SG-bucketmylist-05/2023</v>
          </cell>
          <cell r="K1136" t="str">
            <v>Settled</v>
          </cell>
        </row>
        <row r="1137">
          <cell r="J1137" t="str">
            <v>SG-bucketmylist-06/2023</v>
          </cell>
          <cell r="K1137" t="str">
            <v>Settled</v>
          </cell>
        </row>
        <row r="1138">
          <cell r="J1138" t="str">
            <v>SG-bucketmylist-07/2023</v>
          </cell>
          <cell r="K1138" t="str">
            <v>Settled</v>
          </cell>
        </row>
        <row r="1139">
          <cell r="J1139" t="str">
            <v>SG -bucketmylist-08/2023</v>
          </cell>
          <cell r="K1139" t="str">
            <v>Settled</v>
          </cell>
        </row>
        <row r="1140">
          <cell r="J1140" t="str">
            <v>SG-bucketmylist-09/2023</v>
          </cell>
          <cell r="K1140" t="str">
            <v>Settled</v>
          </cell>
        </row>
        <row r="1141">
          <cell r="J1141" t="str">
            <v>SG-bucketmylist-10/2023</v>
          </cell>
          <cell r="K1141" t="str">
            <v>Settled</v>
          </cell>
        </row>
        <row r="1142">
          <cell r="J1142" t="str">
            <v>SG-bucketmylist-11/2023</v>
          </cell>
          <cell r="K1142" t="str">
            <v>Settled</v>
          </cell>
        </row>
        <row r="1143">
          <cell r="J1143" t="str">
            <v>UK-Ryftpay-07/2024</v>
          </cell>
          <cell r="K1143" t="str">
            <v>Settled</v>
          </cell>
        </row>
        <row r="1144">
          <cell r="J1144" t="str">
            <v>UK-CN-Ryftpay-07-2024</v>
          </cell>
          <cell r="K1144" t="str">
            <v>Settled</v>
          </cell>
        </row>
        <row r="1145">
          <cell r="J1145" t="str">
            <v>US-cascade financial-10/2022</v>
          </cell>
          <cell r="K1145" t="str">
            <v>Waived Off</v>
          </cell>
        </row>
        <row r="1146">
          <cell r="J1146" t="str">
            <v>US-cascade financial technology corp-11/2022</v>
          </cell>
          <cell r="K1146" t="str">
            <v>Settled</v>
          </cell>
        </row>
        <row r="1147">
          <cell r="J1147" t="str">
            <v>SG-CFG GLOBAL LIMITED-11/2022</v>
          </cell>
          <cell r="K1147" t="str">
            <v>Settled</v>
          </cell>
        </row>
        <row r="1148">
          <cell r="J1148" t="str">
            <v>SG-CFG GLOBAL LIMITED-12/2022</v>
          </cell>
          <cell r="K1148" t="str">
            <v>Settled</v>
          </cell>
        </row>
        <row r="1149">
          <cell r="J1149" t="str">
            <v>SG-CFG-02/2025</v>
          </cell>
          <cell r="K1149" t="str">
            <v>Settled</v>
          </cell>
        </row>
        <row r="1150">
          <cell r="J1150" t="str">
            <v>SG-cheng wei co. ltd-12/2022</v>
          </cell>
          <cell r="K1150" t="str">
            <v>Settled</v>
          </cell>
        </row>
        <row r="1151">
          <cell r="J1151" t="str">
            <v>SG-cheng wei co. ltd-01/2023</v>
          </cell>
          <cell r="K1151" t="str">
            <v>Settled</v>
          </cell>
        </row>
        <row r="1152">
          <cell r="J1152" t="str">
            <v>SG-cheng wei co. ltd-10/2022</v>
          </cell>
          <cell r="K1152" t="str">
            <v>Settled</v>
          </cell>
        </row>
        <row r="1153">
          <cell r="J1153" t="str">
            <v>SG-cheng wei co. ltd-11/2022</v>
          </cell>
          <cell r="K1153" t="str">
            <v>Settled</v>
          </cell>
        </row>
        <row r="1154">
          <cell r="J1154" t="str">
            <v>SG-chengweico-02/2023</v>
          </cell>
          <cell r="K1154" t="str">
            <v>Settled</v>
          </cell>
        </row>
        <row r="1155">
          <cell r="J1155" t="str">
            <v>SG-chengweico-03/2023</v>
          </cell>
          <cell r="K1155" t="str">
            <v>Settled</v>
          </cell>
        </row>
        <row r="1156">
          <cell r="J1156" t="str">
            <v>SG-chengweico-04/2023</v>
          </cell>
          <cell r="K1156" t="str">
            <v>Settled</v>
          </cell>
        </row>
        <row r="1157">
          <cell r="J1157" t="str">
            <v>SG-chengweico-05/2023</v>
          </cell>
          <cell r="K1157" t="str">
            <v>Settled</v>
          </cell>
        </row>
        <row r="1158">
          <cell r="J1158" t="str">
            <v>SG-chengweico-06/2023</v>
          </cell>
          <cell r="K1158" t="str">
            <v>Settled</v>
          </cell>
        </row>
        <row r="1159">
          <cell r="J1159" t="str">
            <v>SG-CimbSpeedsend-11/2023</v>
          </cell>
          <cell r="K1159" t="str">
            <v>Settled</v>
          </cell>
        </row>
        <row r="1160">
          <cell r="J1160" t="str">
            <v>SG-CN-CimbSpeedsend-11-2023</v>
          </cell>
          <cell r="K1160" t="str">
            <v>Settled</v>
          </cell>
        </row>
        <row r="1161">
          <cell r="J1161" t="str">
            <v>SG-Cimb Speedsend-11/2022</v>
          </cell>
          <cell r="K1161" t="str">
            <v>Settled</v>
          </cell>
        </row>
        <row r="1162">
          <cell r="J1162" t="str">
            <v>SG-Cimb Speedsend-12/2022</v>
          </cell>
          <cell r="K1162" t="str">
            <v>Settled</v>
          </cell>
        </row>
        <row r="1163">
          <cell r="J1163" t="str">
            <v>SG-Cimb Speedsend-01/2023</v>
          </cell>
          <cell r="K1163" t="str">
            <v>Settled</v>
          </cell>
        </row>
        <row r="1164">
          <cell r="J1164" t="str">
            <v>SG-CimbSpeedsend-02/2023</v>
          </cell>
          <cell r="K1164" t="str">
            <v>Settled</v>
          </cell>
        </row>
        <row r="1165">
          <cell r="J1165" t="str">
            <v>SG-CimbSpeedsend-03/2023</v>
          </cell>
          <cell r="K1165" t="str">
            <v>Settled</v>
          </cell>
        </row>
        <row r="1166">
          <cell r="J1166" t="str">
            <v>SG-CimbSpeedsend-04/2023</v>
          </cell>
          <cell r="K1166" t="str">
            <v>Settled</v>
          </cell>
        </row>
        <row r="1167">
          <cell r="J1167" t="str">
            <v>SG-CimbSpeedsend-05/2023</v>
          </cell>
          <cell r="K1167" t="str">
            <v>Settled</v>
          </cell>
        </row>
        <row r="1168">
          <cell r="J1168" t="str">
            <v>SG-CimbSpeedsend-06/2023</v>
          </cell>
          <cell r="K1168" t="str">
            <v>Settled</v>
          </cell>
        </row>
        <row r="1169">
          <cell r="J1169" t="str">
            <v>SG-CimbSpeedsend-07/2023</v>
          </cell>
          <cell r="K1169" t="str">
            <v>Settled</v>
          </cell>
        </row>
        <row r="1170">
          <cell r="J1170" t="str">
            <v>SG -CimbSpeedsend-08/2023</v>
          </cell>
          <cell r="K1170" t="str">
            <v>Settled</v>
          </cell>
        </row>
        <row r="1171">
          <cell r="J1171" t="str">
            <v>SG-CimbSpeedsend-09/2023</v>
          </cell>
          <cell r="K1171" t="str">
            <v>Settled</v>
          </cell>
        </row>
        <row r="1172">
          <cell r="J1172" t="str">
            <v>SG-CimbSpeedsend-10/2023</v>
          </cell>
          <cell r="K1172" t="str">
            <v>Settled</v>
          </cell>
        </row>
        <row r="1173">
          <cell r="J1173" t="str">
            <v>SG-CimbSpeedsend-11/2023</v>
          </cell>
          <cell r="K1173" t="str">
            <v>Settled</v>
          </cell>
        </row>
        <row r="1174">
          <cell r="J1174" t="str">
            <v>SG-CimbSpeedsend-01/2024</v>
          </cell>
          <cell r="K1174" t="str">
            <v>Settled</v>
          </cell>
        </row>
        <row r="1175">
          <cell r="J1175" t="str">
            <v>SG-CimbSpeedsend-02/2024</v>
          </cell>
          <cell r="K1175" t="str">
            <v>Settled</v>
          </cell>
        </row>
        <row r="1176">
          <cell r="J1176" t="str">
            <v>SG-CimbSpeedsend-03/2024</v>
          </cell>
          <cell r="K1176" t="str">
            <v>Settled</v>
          </cell>
        </row>
        <row r="1177">
          <cell r="J1177" t="str">
            <v>SG-CimbSpeedsend-12/2023</v>
          </cell>
          <cell r="K1177" t="str">
            <v>Settled</v>
          </cell>
        </row>
        <row r="1178">
          <cell r="J1178" t="str">
            <v>SG-CimbSpeedsend-04/2024</v>
          </cell>
          <cell r="K1178" t="str">
            <v>Settled</v>
          </cell>
        </row>
        <row r="1179">
          <cell r="J1179" t="str">
            <v>SG-CimbSpeedsend-05/2024</v>
          </cell>
          <cell r="K1179" t="str">
            <v>Settled</v>
          </cell>
        </row>
        <row r="1180">
          <cell r="J1180" t="str">
            <v>SG-CimbSpeedsend-06/2024</v>
          </cell>
          <cell r="K1180" t="str">
            <v>Settled</v>
          </cell>
        </row>
        <row r="1181">
          <cell r="J1181" t="str">
            <v>SG-CimbSpeedsend-07/2024</v>
          </cell>
          <cell r="K1181" t="str">
            <v>Settled</v>
          </cell>
        </row>
        <row r="1182">
          <cell r="J1182" t="str">
            <v>SG-CimbSpeedsend-08/2024</v>
          </cell>
          <cell r="K1182" t="str">
            <v>Settled</v>
          </cell>
        </row>
        <row r="1183">
          <cell r="J1183" t="str">
            <v>SG-CimbSpeedsend-09/2024</v>
          </cell>
          <cell r="K1183" t="str">
            <v>Settled</v>
          </cell>
        </row>
        <row r="1184">
          <cell r="J1184" t="str">
            <v>SG-CimbSpeedsend-10/2024</v>
          </cell>
          <cell r="K1184" t="str">
            <v>Settled</v>
          </cell>
        </row>
        <row r="1185">
          <cell r="J1185" t="str">
            <v>SG-CimbSpeedsend-11/2024</v>
          </cell>
          <cell r="K1185" t="str">
            <v>Settled</v>
          </cell>
        </row>
        <row r="1186">
          <cell r="J1186" t="str">
            <v>SG-CimbSpeedsend-12/2024</v>
          </cell>
          <cell r="K1186" t="str">
            <v>Settled</v>
          </cell>
        </row>
        <row r="1187">
          <cell r="J1187" t="str">
            <v>SG-CimbSpeedsend-01/2025</v>
          </cell>
          <cell r="K1187" t="str">
            <v>Settled</v>
          </cell>
        </row>
        <row r="1188">
          <cell r="J1188" t="str">
            <v>SG-CimbSpeedsend-02/2025</v>
          </cell>
          <cell r="K1188" t="str">
            <v>Settled</v>
          </cell>
        </row>
        <row r="1189">
          <cell r="J1189" t="str">
            <v>SG-CimbSpeedsend-03/2025</v>
          </cell>
          <cell r="K1189" t="str">
            <v>Settled</v>
          </cell>
        </row>
        <row r="1190">
          <cell r="J1190" t="str">
            <v>SG-CimbSpeedsend-04/2025</v>
          </cell>
          <cell r="K1190" t="str">
            <v>Settled</v>
          </cell>
        </row>
        <row r="1191">
          <cell r="J1191" t="str">
            <v>SG-CimbSpeedsend-05/2025</v>
          </cell>
          <cell r="K1191" t="str">
            <v>Settled</v>
          </cell>
        </row>
        <row r="1192">
          <cell r="J1192" t="str">
            <v>SG-CN-CimbSpeedsend-05-2025</v>
          </cell>
          <cell r="K1192" t="str">
            <v>Settled</v>
          </cell>
        </row>
        <row r="1193">
          <cell r="J1193" t="str">
            <v>SG-CimbSpeedsend-06/2025</v>
          </cell>
          <cell r="K1193" t="str">
            <v>Settled</v>
          </cell>
        </row>
        <row r="1194">
          <cell r="J1194" t="str">
            <v>SG-CimbSpeedsend-07/2025</v>
          </cell>
          <cell r="K1194" t="str">
            <v>Settled</v>
          </cell>
        </row>
        <row r="1195">
          <cell r="J1195" t="str">
            <v>SG-CimbSpeedsend-08/2025</v>
          </cell>
          <cell r="K1195" t="str">
            <v>Settled</v>
          </cell>
        </row>
        <row r="1196">
          <cell r="J1196" t="str">
            <v>SG-CimbSpeedsend-09/2025</v>
          </cell>
          <cell r="K1196" t="str">
            <v>Settled</v>
          </cell>
        </row>
        <row r="1197">
          <cell r="J1197" t="str">
            <v>SG-CimbSpeedsend-10/2025</v>
          </cell>
          <cell r="K1197" t="str">
            <v>Settled</v>
          </cell>
        </row>
        <row r="1198">
          <cell r="J1198" t="str">
            <v>SG-CimbSpeedsend-11/2025</v>
          </cell>
          <cell r="K1198" t="str">
            <v>Settled</v>
          </cell>
        </row>
        <row r="1199">
          <cell r="J1199" t="str">
            <v>SG-CimbSpeedsend-12/2025</v>
          </cell>
          <cell r="K1199" t="str">
            <v>Settled</v>
          </cell>
        </row>
        <row r="1200">
          <cell r="J1200" t="str">
            <v>SG-CimbSpeedsend-01/2026</v>
          </cell>
          <cell r="K1200" t="str">
            <v>Settled</v>
          </cell>
        </row>
        <row r="1201">
          <cell r="J1201" t="str">
            <v>SG-CimbSpeedsend-02/2026</v>
          </cell>
          <cell r="K1201" t="str">
            <v>Settled</v>
          </cell>
        </row>
        <row r="1202">
          <cell r="J1202" t="str">
            <v>SG-CimbSpeedsend-03/2026</v>
          </cell>
          <cell r="K1202" t="str">
            <v>Settled</v>
          </cell>
        </row>
        <row r="1203">
          <cell r="J1203" t="str">
            <v>SG-CimbSpeedsend-04/2026</v>
          </cell>
          <cell r="K1203" t="str">
            <v>Settled</v>
          </cell>
        </row>
        <row r="1204">
          <cell r="J1204" t="str">
            <v>SG-CimbSpeedsend-05/2026</v>
          </cell>
          <cell r="K1204" t="str">
            <v>Settled</v>
          </cell>
        </row>
        <row r="1205">
          <cell r="J1205" t="str">
            <v>SG-Cimb Speedsend-EUR-01/2024</v>
          </cell>
          <cell r="K1205" t="str">
            <v>Settled</v>
          </cell>
        </row>
        <row r="1206">
          <cell r="J1206" t="str">
            <v>SG-Cimb Speedsend-EUR-02/2024</v>
          </cell>
          <cell r="K1206" t="str">
            <v>Settled</v>
          </cell>
        </row>
        <row r="1207">
          <cell r="J1207" t="str">
            <v>SG-Cimb Speedsend-EUR-03/2024</v>
          </cell>
          <cell r="K1207" t="str">
            <v>Settled</v>
          </cell>
        </row>
        <row r="1208">
          <cell r="J1208" t="str">
            <v>SG-Cimb Speedsend-EUR-12/2023</v>
          </cell>
          <cell r="K1208" t="str">
            <v>Settled</v>
          </cell>
        </row>
        <row r="1209">
          <cell r="J1209" t="str">
            <v>SG-Cimb Speedsend-EUR-04/2024</v>
          </cell>
          <cell r="K1209" t="str">
            <v>Settled</v>
          </cell>
        </row>
        <row r="1210">
          <cell r="J1210" t="str">
            <v>SG-Cimb Speedsend-EUR-05/2024</v>
          </cell>
          <cell r="K1210" t="str">
            <v>Settled</v>
          </cell>
        </row>
        <row r="1211">
          <cell r="J1211" t="str">
            <v>SG-Cimb Speedsend-EUR-06/2024</v>
          </cell>
          <cell r="K1211" t="str">
            <v>Settled</v>
          </cell>
        </row>
        <row r="1212">
          <cell r="J1212" t="str">
            <v>SG-Cimb Speedsend-EUR-07/2024</v>
          </cell>
          <cell r="K1212" t="str">
            <v>Settled</v>
          </cell>
        </row>
        <row r="1213">
          <cell r="J1213" t="str">
            <v>SG-Cimb Speedsend-EUR-08/2024</v>
          </cell>
          <cell r="K1213" t="str">
            <v>Settled</v>
          </cell>
        </row>
        <row r="1214">
          <cell r="J1214" t="str">
            <v>SG-Cimb Speedsend-EUR-09/2024</v>
          </cell>
          <cell r="K1214" t="str">
            <v>Settled</v>
          </cell>
        </row>
        <row r="1215">
          <cell r="J1215" t="str">
            <v>SG-Cimb Speedsend-EUR-10/2024</v>
          </cell>
          <cell r="K1215" t="str">
            <v>Settled</v>
          </cell>
        </row>
        <row r="1216">
          <cell r="J1216" t="str">
            <v>SG-Cimb Speedsend-EUR-11/2024</v>
          </cell>
          <cell r="K1216" t="str">
            <v>Settled</v>
          </cell>
        </row>
        <row r="1217">
          <cell r="J1217" t="str">
            <v>SG-Cimb Speedsend-EUR-12/2024</v>
          </cell>
          <cell r="K1217" t="str">
            <v>Settled</v>
          </cell>
        </row>
        <row r="1218">
          <cell r="J1218" t="str">
            <v>SG-Cimb Speedsend-EUR-01/2025</v>
          </cell>
          <cell r="K1218" t="str">
            <v>Settled</v>
          </cell>
        </row>
        <row r="1219">
          <cell r="J1219" t="str">
            <v>SG-Cimb Speedsend-EUR-02/2025</v>
          </cell>
          <cell r="K1219" t="str">
            <v>Settled</v>
          </cell>
        </row>
        <row r="1220">
          <cell r="J1220" t="str">
            <v>SG-Cimb Speedsend-EUR-03/2025</v>
          </cell>
          <cell r="K1220" t="str">
            <v>Settled</v>
          </cell>
        </row>
        <row r="1221">
          <cell r="J1221" t="str">
            <v>SG-Cimb Speedsend-EUR-04/2025</v>
          </cell>
          <cell r="K1221" t="str">
            <v>Settled</v>
          </cell>
        </row>
        <row r="1222">
          <cell r="J1222" t="str">
            <v>SG-Cimb Speedsend-EUR-05/2025</v>
          </cell>
          <cell r="K1222" t="str">
            <v>Settled</v>
          </cell>
        </row>
        <row r="1223">
          <cell r="J1223" t="str">
            <v>SG-Cimb Speedsend-EUR-06/2025</v>
          </cell>
          <cell r="K1223" t="str">
            <v>Settled</v>
          </cell>
        </row>
        <row r="1224">
          <cell r="J1224" t="str">
            <v>SG-Cimb Speedsend-EUR-07/2025</v>
          </cell>
          <cell r="K1224" t="str">
            <v>Settled</v>
          </cell>
        </row>
        <row r="1225">
          <cell r="J1225" t="str">
            <v>SG-Cimb Speedsend-EUR-08/2025</v>
          </cell>
          <cell r="K1225" t="str">
            <v>Settled</v>
          </cell>
        </row>
        <row r="1226">
          <cell r="J1226" t="str">
            <v>SG-Cimb Speedsend-EUR-09/2025</v>
          </cell>
          <cell r="K1226" t="str">
            <v>Settled</v>
          </cell>
        </row>
        <row r="1227">
          <cell r="J1227" t="str">
            <v>SG-Cimb Speedsend-EUR-10/2025</v>
          </cell>
          <cell r="K1227" t="str">
            <v>Settled</v>
          </cell>
        </row>
        <row r="1228">
          <cell r="J1228" t="str">
            <v>SG-Cimb Speedsend-EUR-11/2025</v>
          </cell>
          <cell r="K1228" t="str">
            <v>Settled</v>
          </cell>
        </row>
        <row r="1229">
          <cell r="J1229" t="str">
            <v>SG-Cimb Speedsend-EUR-12/2025</v>
          </cell>
          <cell r="K1229" t="str">
            <v>Settled</v>
          </cell>
        </row>
        <row r="1230">
          <cell r="J1230" t="str">
            <v>SG-Cimb Speedsend-EUR-01/2026</v>
          </cell>
          <cell r="K1230" t="str">
            <v>Settled</v>
          </cell>
        </row>
        <row r="1231">
          <cell r="J1231" t="str">
            <v>SG-Cimb Speedsend-EUR-02/2026</v>
          </cell>
          <cell r="K1231" t="str">
            <v>Settled</v>
          </cell>
        </row>
        <row r="1232">
          <cell r="J1232" t="str">
            <v>SG-Cimb Speedsend-EUR-03/2026</v>
          </cell>
          <cell r="K1232" t="str">
            <v>Settled</v>
          </cell>
        </row>
        <row r="1233">
          <cell r="J1233" t="str">
            <v>SG-Cimb Speedsend-EUR-04/2026</v>
          </cell>
          <cell r="K1233" t="str">
            <v>Settled</v>
          </cell>
        </row>
        <row r="1234">
          <cell r="J1234" t="str">
            <v>SG-Cimb Speedsend-EUR-05/2026</v>
          </cell>
          <cell r="K1234" t="str">
            <v>Settled</v>
          </cell>
        </row>
        <row r="1235">
          <cell r="J1235" t="str">
            <v>SG-Cimb Speedsend-EUR-11/2023</v>
          </cell>
          <cell r="K1235" t="str">
            <v>Settled</v>
          </cell>
        </row>
        <row r="1236">
          <cell r="J1236" t="str">
            <v>SG-Cimb Speedsend-GBP-01/2024</v>
          </cell>
          <cell r="K1236" t="str">
            <v>Settled</v>
          </cell>
        </row>
        <row r="1237">
          <cell r="J1237" t="str">
            <v>SG-Cimb Speedsend-GBP-02/2024</v>
          </cell>
          <cell r="K1237" t="str">
            <v>Settled</v>
          </cell>
        </row>
        <row r="1238">
          <cell r="J1238" t="str">
            <v>SG-Cimb Speedsend-GBP-03/2024</v>
          </cell>
          <cell r="K1238" t="str">
            <v>Settled</v>
          </cell>
        </row>
        <row r="1239">
          <cell r="J1239" t="str">
            <v>SG-Cimb Speedsend-GBP-12/2023</v>
          </cell>
          <cell r="K1239" t="str">
            <v>Settled</v>
          </cell>
        </row>
        <row r="1240">
          <cell r="J1240" t="str">
            <v>SG-Cimb Speedsend-GBP-04/2024</v>
          </cell>
          <cell r="K1240" t="str">
            <v>Settled</v>
          </cell>
        </row>
        <row r="1241">
          <cell r="J1241" t="str">
            <v>SG-Cimb Speedsend-GBP-05/2024</v>
          </cell>
          <cell r="K1241" t="str">
            <v>Settled</v>
          </cell>
        </row>
        <row r="1242">
          <cell r="J1242" t="str">
            <v>SG-Cimb Speedsend-GBP-06/2024</v>
          </cell>
          <cell r="K1242" t="str">
            <v>Settled</v>
          </cell>
        </row>
        <row r="1243">
          <cell r="J1243" t="str">
            <v>SG-Cimb Speedsend-GBP-07/2024</v>
          </cell>
          <cell r="K1243" t="str">
            <v>Settled</v>
          </cell>
        </row>
        <row r="1244">
          <cell r="J1244" t="str">
            <v>SG-Cimb Speedsend-GBP-08/2024</v>
          </cell>
          <cell r="K1244" t="str">
            <v>Settled</v>
          </cell>
        </row>
        <row r="1245">
          <cell r="J1245" t="str">
            <v>SG-Cimb Speedsend-GBP-09/2024</v>
          </cell>
          <cell r="K1245" t="str">
            <v>Settled</v>
          </cell>
        </row>
        <row r="1246">
          <cell r="J1246" t="str">
            <v>SG-Cimb Speedsend-GBP-10/2024</v>
          </cell>
          <cell r="K1246" t="str">
            <v>Settled</v>
          </cell>
        </row>
        <row r="1247">
          <cell r="J1247" t="str">
            <v>SG-Cimb Speedsend-GBP-11/2024</v>
          </cell>
          <cell r="K1247" t="str">
            <v>Settled</v>
          </cell>
        </row>
        <row r="1248">
          <cell r="J1248" t="str">
            <v>SG-Cimb Speedsend-GBP-12/2024</v>
          </cell>
          <cell r="K1248" t="str">
            <v>Settled</v>
          </cell>
        </row>
        <row r="1249">
          <cell r="J1249" t="str">
            <v>SG-Cimb Speedsend-GBP-01/2025</v>
          </cell>
          <cell r="K1249" t="str">
            <v>Settled</v>
          </cell>
        </row>
        <row r="1250">
          <cell r="J1250" t="str">
            <v>SG-Cimb Speedsend-GBP-02/2025</v>
          </cell>
          <cell r="K1250" t="str">
            <v>Settled</v>
          </cell>
        </row>
        <row r="1251">
          <cell r="J1251" t="str">
            <v>SG-Cimb Speedsend-GBP-03/2025</v>
          </cell>
          <cell r="K1251" t="str">
            <v>Settled</v>
          </cell>
        </row>
        <row r="1252">
          <cell r="J1252" t="str">
            <v>SG-Cimb Speedsend-GBP-04/2025</v>
          </cell>
          <cell r="K1252" t="str">
            <v>Settled</v>
          </cell>
        </row>
        <row r="1253">
          <cell r="J1253" t="str">
            <v>SG-Cimb Speedsend-GBP-05/2025</v>
          </cell>
          <cell r="K1253" t="str">
            <v>Settled</v>
          </cell>
        </row>
        <row r="1254">
          <cell r="J1254" t="str">
            <v>SG-Cimb Speedsend-GBP-06/2025</v>
          </cell>
          <cell r="K1254" t="str">
            <v>Settled</v>
          </cell>
        </row>
        <row r="1255">
          <cell r="J1255" t="str">
            <v>SG-Cimb Speedsend-GBP-07/2025</v>
          </cell>
          <cell r="K1255" t="str">
            <v>Settled</v>
          </cell>
        </row>
        <row r="1256">
          <cell r="J1256" t="str">
            <v>SG-Cimb Speedsend-GBP-08/2025</v>
          </cell>
          <cell r="K1256" t="str">
            <v>Settled</v>
          </cell>
        </row>
        <row r="1257">
          <cell r="J1257" t="str">
            <v>SG-Cimb Speedsend-GBP-09/2025</v>
          </cell>
          <cell r="K1257" t="str">
            <v>Settled</v>
          </cell>
        </row>
        <row r="1258">
          <cell r="J1258" t="str">
            <v>SG-Cimb Speedsend-GBP-10/2025</v>
          </cell>
          <cell r="K1258" t="str">
            <v>Settled</v>
          </cell>
        </row>
        <row r="1259">
          <cell r="J1259" t="str">
            <v>SG-Cimb Speedsend-GBP-11/2025</v>
          </cell>
          <cell r="K1259" t="str">
            <v>Settled</v>
          </cell>
        </row>
        <row r="1260">
          <cell r="J1260" t="str">
            <v>SG-Cimb Speedsend-GBP-12/2025</v>
          </cell>
          <cell r="K1260" t="str">
            <v>Settled</v>
          </cell>
        </row>
        <row r="1261">
          <cell r="J1261" t="str">
            <v>SG-Cimb Speedsend-GBP-01/2026</v>
          </cell>
          <cell r="K1261" t="str">
            <v>Settled</v>
          </cell>
        </row>
        <row r="1262">
          <cell r="J1262" t="str">
            <v>SG-Cimb Speedsend-GBP-02/2026</v>
          </cell>
          <cell r="K1262" t="str">
            <v>Settled</v>
          </cell>
        </row>
        <row r="1263">
          <cell r="J1263" t="str">
            <v>SG-Cimb Speedsend-GBP-03/2026</v>
          </cell>
          <cell r="K1263" t="str">
            <v>Settled</v>
          </cell>
        </row>
        <row r="1264">
          <cell r="J1264" t="str">
            <v>SG-Cimb Speedsend-GBP-04/2026</v>
          </cell>
          <cell r="K1264" t="str">
            <v>Settled</v>
          </cell>
        </row>
        <row r="1265">
          <cell r="J1265" t="str">
            <v>SG-Cimb Speedsend-GBP-05/2026</v>
          </cell>
          <cell r="K1265" t="str">
            <v>Settled</v>
          </cell>
        </row>
        <row r="1266">
          <cell r="J1266" t="str">
            <v>SG-CimbSpeedsend-09/2023</v>
          </cell>
          <cell r="K1266" t="str">
            <v>Settled</v>
          </cell>
        </row>
        <row r="1267">
          <cell r="J1267" t="str">
            <v>SG-CimbSpeedsend-10/2023</v>
          </cell>
          <cell r="K1267" t="str">
            <v>Settled</v>
          </cell>
        </row>
        <row r="1268">
          <cell r="J1268" t="str">
            <v>SG-CimbSGD-SGD-11/2023</v>
          </cell>
          <cell r="K1268" t="str">
            <v>Settled</v>
          </cell>
        </row>
        <row r="1269">
          <cell r="J1269" t="str">
            <v>SG-CimbSpeedsend-SGD-01/2024</v>
          </cell>
          <cell r="K1269" t="str">
            <v>Settled</v>
          </cell>
        </row>
        <row r="1270">
          <cell r="J1270" t="str">
            <v>SG-CimbSpeedsend-SGD-02/2024</v>
          </cell>
          <cell r="K1270" t="str">
            <v>Settled</v>
          </cell>
        </row>
        <row r="1271">
          <cell r="J1271" t="str">
            <v>SG-CimbSpeedsend-SGD-03/2024</v>
          </cell>
          <cell r="K1271" t="str">
            <v>Settled</v>
          </cell>
        </row>
        <row r="1272">
          <cell r="J1272" t="str">
            <v>SG-CimbSpeedsend-SGD-12/2023</v>
          </cell>
          <cell r="K1272" t="str">
            <v>Settled</v>
          </cell>
        </row>
        <row r="1273">
          <cell r="J1273" t="str">
            <v>SG-CimbSpeedsend-SGD-04/2024</v>
          </cell>
          <cell r="K1273" t="str">
            <v>Settled</v>
          </cell>
        </row>
        <row r="1274">
          <cell r="J1274" t="str">
            <v>SG-CimbSpeedsend-SGD-05/2024</v>
          </cell>
          <cell r="K1274" t="str">
            <v>Settled</v>
          </cell>
        </row>
        <row r="1275">
          <cell r="J1275" t="str">
            <v>SG-CimbSpeedsend-SGD-06/2024</v>
          </cell>
          <cell r="K1275" t="str">
            <v>Settled</v>
          </cell>
        </row>
        <row r="1276">
          <cell r="J1276" t="str">
            <v>SG-CimbSpeedsend-SGD-07/2024</v>
          </cell>
          <cell r="K1276" t="str">
            <v>Settled</v>
          </cell>
        </row>
        <row r="1277">
          <cell r="J1277" t="str">
            <v>SG-CimbSpeedsend-SGD-08/2024</v>
          </cell>
          <cell r="K1277" t="str">
            <v>Settled</v>
          </cell>
        </row>
        <row r="1278">
          <cell r="J1278" t="str">
            <v>SG-CimbSpeedsend-SGD-09/2024</v>
          </cell>
          <cell r="K1278" t="str">
            <v>Settled</v>
          </cell>
        </row>
        <row r="1279">
          <cell r="J1279" t="str">
            <v>SG-CimbSpeedsend-SGD-10/2024</v>
          </cell>
          <cell r="K1279" t="str">
            <v>Settled</v>
          </cell>
        </row>
        <row r="1280">
          <cell r="J1280" t="str">
            <v>SG-CimbSpeedsend-SGD-11/2024</v>
          </cell>
          <cell r="K1280" t="str">
            <v>Settled</v>
          </cell>
        </row>
        <row r="1281">
          <cell r="J1281" t="str">
            <v>SG-CimbSpeedsend-SGD-12/2024</v>
          </cell>
          <cell r="K1281" t="str">
            <v>Settled</v>
          </cell>
        </row>
        <row r="1282">
          <cell r="J1282" t="str">
            <v>SG-CimbSpeedsend-SGD-01/2025</v>
          </cell>
          <cell r="K1282" t="str">
            <v>Settled</v>
          </cell>
        </row>
        <row r="1283">
          <cell r="J1283" t="str">
            <v>SG-CimbSpeedsend-SGD-02/2025</v>
          </cell>
          <cell r="K1283" t="str">
            <v>Settled</v>
          </cell>
        </row>
        <row r="1284">
          <cell r="J1284" t="str">
            <v>SG-CimbSpeedsend-SGD-03/2025</v>
          </cell>
          <cell r="K1284" t="str">
            <v>Settled</v>
          </cell>
        </row>
        <row r="1285">
          <cell r="J1285" t="str">
            <v>SG-CimbSpeedsend-SGD-04/2025</v>
          </cell>
          <cell r="K1285" t="str">
            <v>Settled</v>
          </cell>
        </row>
        <row r="1286">
          <cell r="J1286" t="str">
            <v>SG-CimbSpeedsend-SGD-05/2025</v>
          </cell>
          <cell r="K1286" t="str">
            <v>Settled</v>
          </cell>
        </row>
        <row r="1287">
          <cell r="J1287" t="str">
            <v>SG-CimbSpeedsend-SGD-06/2025</v>
          </cell>
          <cell r="K1287" t="str">
            <v>Settled</v>
          </cell>
        </row>
        <row r="1288">
          <cell r="J1288" t="str">
            <v>SG-CimbSpeedsend-SGD-07/2025</v>
          </cell>
          <cell r="K1288" t="str">
            <v>Settled</v>
          </cell>
        </row>
        <row r="1289">
          <cell r="J1289" t="str">
            <v>SG-CimbSpeedsend-SGD-08/2025</v>
          </cell>
          <cell r="K1289" t="str">
            <v>Settled</v>
          </cell>
        </row>
        <row r="1290">
          <cell r="J1290" t="str">
            <v>SG-CimbSpeedsend-SGD-09/2025</v>
          </cell>
          <cell r="K1290" t="str">
            <v>Settled</v>
          </cell>
        </row>
        <row r="1291">
          <cell r="J1291" t="str">
            <v>SG-CimbSpeedsend-SGD-10/2025</v>
          </cell>
          <cell r="K1291" t="str">
            <v>Settled</v>
          </cell>
        </row>
        <row r="1292">
          <cell r="J1292" t="str">
            <v>SG-CimbSpeedsend-SGD-11/2025</v>
          </cell>
          <cell r="K1292" t="str">
            <v>Settled</v>
          </cell>
        </row>
        <row r="1293">
          <cell r="J1293" t="str">
            <v>SG-CimbSpeedsend-SGD-12/2025</v>
          </cell>
          <cell r="K1293" t="str">
            <v>Settled</v>
          </cell>
        </row>
        <row r="1294">
          <cell r="J1294" t="str">
            <v>SG-CimbSpeedsend-SGD-01/2026</v>
          </cell>
          <cell r="K1294" t="str">
            <v>Settled</v>
          </cell>
        </row>
        <row r="1295">
          <cell r="J1295" t="str">
            <v>SG-CimbSpeedsend-SGD-02/2026</v>
          </cell>
          <cell r="K1295" t="str">
            <v>Settled</v>
          </cell>
        </row>
        <row r="1296">
          <cell r="J1296" t="str">
            <v>SG-CimbSpeedsend-SGD-03/2026</v>
          </cell>
          <cell r="K1296" t="str">
            <v>Settled</v>
          </cell>
        </row>
        <row r="1297">
          <cell r="J1297" t="str">
            <v>SG-CimbSpeedsend-SGD-04/2026</v>
          </cell>
          <cell r="K1297" t="str">
            <v>Settled</v>
          </cell>
        </row>
        <row r="1298">
          <cell r="J1298" t="str">
            <v>SG-CimbSpeedsend-SGD-05/2026</v>
          </cell>
          <cell r="K1298" t="str">
            <v>Settled</v>
          </cell>
        </row>
        <row r="1299">
          <cell r="J1299" t="str">
            <v>HK-city foreign exchange limited-11/2022</v>
          </cell>
          <cell r="K1299" t="str">
            <v>Settled</v>
          </cell>
        </row>
        <row r="1300">
          <cell r="J1300" t="str">
            <v>HK-city foreign exchange limited-12/2022</v>
          </cell>
          <cell r="K1300" t="str">
            <v>Settled</v>
          </cell>
        </row>
        <row r="1301">
          <cell r="J1301" t="str">
            <v>HK-city foreign exchange limited-01/2023</v>
          </cell>
          <cell r="K1301" t="str">
            <v>Settled</v>
          </cell>
        </row>
        <row r="1302">
          <cell r="J1302" t="str">
            <v>HK-cityforeign-02/2023</v>
          </cell>
          <cell r="K1302" t="str">
            <v>Settled</v>
          </cell>
        </row>
        <row r="1303">
          <cell r="J1303" t="str">
            <v>HK-cityforeign-04/2023</v>
          </cell>
          <cell r="K1303" t="str">
            <v>Settled</v>
          </cell>
        </row>
        <row r="1304">
          <cell r="J1304" t="str">
            <v>HK-cityforeign-03/2023</v>
          </cell>
          <cell r="K1304" t="str">
            <v>Settled</v>
          </cell>
        </row>
        <row r="1305">
          <cell r="J1305" t="str">
            <v>HK-cityforeign-05/2023</v>
          </cell>
          <cell r="K1305" t="str">
            <v>Settled</v>
          </cell>
        </row>
        <row r="1306">
          <cell r="J1306" t="str">
            <v>HK-cityforeign-06/2023</v>
          </cell>
          <cell r="K1306" t="str">
            <v>Settled</v>
          </cell>
        </row>
        <row r="1307">
          <cell r="J1307" t="str">
            <v>HK-cityforeign-07/2023</v>
          </cell>
          <cell r="K1307" t="str">
            <v>Settled</v>
          </cell>
        </row>
        <row r="1308">
          <cell r="J1308" t="str">
            <v>HK -cityforeign-08/2023</v>
          </cell>
          <cell r="K1308" t="str">
            <v>Settled</v>
          </cell>
        </row>
        <row r="1309">
          <cell r="J1309" t="str">
            <v>HK -cityforeign-08/2023</v>
          </cell>
          <cell r="K1309" t="str">
            <v>Settled</v>
          </cell>
        </row>
        <row r="1310">
          <cell r="J1310" t="str">
            <v>HK-cityforeign-09/2023</v>
          </cell>
          <cell r="K1310" t="str">
            <v>Settled</v>
          </cell>
        </row>
        <row r="1311">
          <cell r="J1311" t="str">
            <v>HK-cityforeign-10/2023</v>
          </cell>
          <cell r="K1311" t="str">
            <v>Settled</v>
          </cell>
        </row>
        <row r="1312">
          <cell r="J1312" t="str">
            <v>HK-cityforeign-11/2023</v>
          </cell>
          <cell r="K1312" t="str">
            <v>Settled</v>
          </cell>
        </row>
        <row r="1313">
          <cell r="J1313" t="str">
            <v>HK-cityforeign-12/2023</v>
          </cell>
          <cell r="K1313" t="str">
            <v>Settled</v>
          </cell>
        </row>
        <row r="1314">
          <cell r="J1314" t="str">
            <v>HK-cityforeign-01/2024</v>
          </cell>
          <cell r="K1314" t="str">
            <v>Settled</v>
          </cell>
        </row>
        <row r="1315">
          <cell r="J1315" t="str">
            <v>HK-cityforeign-02/2024</v>
          </cell>
          <cell r="K1315" t="str">
            <v>Settled</v>
          </cell>
        </row>
        <row r="1316">
          <cell r="J1316" t="str">
            <v>HK-cityforeign-03/2024</v>
          </cell>
          <cell r="K1316" t="str">
            <v>Settled</v>
          </cell>
        </row>
        <row r="1317">
          <cell r="J1317" t="str">
            <v>HK-cityforeign-04/2024</v>
          </cell>
          <cell r="K1317" t="str">
            <v>Settled</v>
          </cell>
        </row>
        <row r="1318">
          <cell r="J1318" t="str">
            <v>HK-cityforeign-05/2024</v>
          </cell>
          <cell r="K1318" t="str">
            <v>Settled</v>
          </cell>
        </row>
        <row r="1319">
          <cell r="J1319" t="str">
            <v>HK-cityforeign-06/2024</v>
          </cell>
          <cell r="K1319" t="str">
            <v>Settled</v>
          </cell>
        </row>
        <row r="1320">
          <cell r="J1320" t="str">
            <v>HK-cityforeign-07/2024</v>
          </cell>
          <cell r="K1320" t="str">
            <v>Settled</v>
          </cell>
        </row>
        <row r="1321">
          <cell r="J1321" t="str">
            <v>HK-cityforeign-08/2024</v>
          </cell>
          <cell r="K1321" t="str">
            <v>Settled</v>
          </cell>
        </row>
        <row r="1322">
          <cell r="J1322" t="str">
            <v>HK-cityforeign-09/2024</v>
          </cell>
          <cell r="K1322" t="str">
            <v>Settled</v>
          </cell>
        </row>
        <row r="1323">
          <cell r="J1323" t="str">
            <v>HK-cityforeign-10/2024</v>
          </cell>
          <cell r="K1323" t="str">
            <v>Settled</v>
          </cell>
        </row>
        <row r="1324">
          <cell r="J1324" t="str">
            <v>HK-cityforeign-11/2024</v>
          </cell>
          <cell r="K1324" t="str">
            <v>Settled</v>
          </cell>
        </row>
        <row r="1325">
          <cell r="J1325" t="str">
            <v>HK-cityforeign-12/2024</v>
          </cell>
          <cell r="K1325" t="str">
            <v>Settled</v>
          </cell>
        </row>
        <row r="1326">
          <cell r="J1326" t="str">
            <v>HK-cityforeign-01/2025</v>
          </cell>
          <cell r="K1326" t="str">
            <v>Settled</v>
          </cell>
        </row>
        <row r="1327">
          <cell r="J1327" t="str">
            <v>HK-cityforeign-02/2025</v>
          </cell>
          <cell r="K1327" t="str">
            <v>Settled</v>
          </cell>
        </row>
        <row r="1328">
          <cell r="J1328" t="str">
            <v>HK-cityforeign-03/2025</v>
          </cell>
          <cell r="K1328" t="str">
            <v>Settled</v>
          </cell>
        </row>
        <row r="1329">
          <cell r="J1329" t="str">
            <v>HK-cityforeign-04/2025</v>
          </cell>
          <cell r="K1329" t="str">
            <v>Settled</v>
          </cell>
        </row>
        <row r="1330">
          <cell r="J1330" t="str">
            <v>HK-cityforeign-05/2025</v>
          </cell>
          <cell r="K1330" t="str">
            <v>Settled</v>
          </cell>
        </row>
        <row r="1331">
          <cell r="J1331" t="str">
            <v>HK-cityforeign-06/2025</v>
          </cell>
          <cell r="K1331" t="str">
            <v>Settled</v>
          </cell>
        </row>
        <row r="1332">
          <cell r="J1332" t="str">
            <v>HK-cityforeign-07/2025</v>
          </cell>
          <cell r="K1332" t="str">
            <v>Settled</v>
          </cell>
        </row>
        <row r="1333">
          <cell r="J1333" t="str">
            <v>HK-cityforeign-08/2025</v>
          </cell>
          <cell r="K1333" t="str">
            <v>Settled</v>
          </cell>
        </row>
        <row r="1334">
          <cell r="J1334" t="str">
            <v>HK-cityforeign-09/2025</v>
          </cell>
          <cell r="K1334" t="str">
            <v>Settled</v>
          </cell>
        </row>
        <row r="1335">
          <cell r="J1335" t="str">
            <v>HK-cityforeign-10/2025</v>
          </cell>
          <cell r="K1335" t="str">
            <v>Settled</v>
          </cell>
        </row>
        <row r="1336">
          <cell r="J1336" t="str">
            <v>HK-cityforeign-11/2025</v>
          </cell>
          <cell r="K1336" t="str">
            <v>Settled</v>
          </cell>
        </row>
        <row r="1337">
          <cell r="J1337" t="str">
            <v>HK-cityforeign-12/2025</v>
          </cell>
          <cell r="K1337" t="str">
            <v>Settled</v>
          </cell>
        </row>
        <row r="1338">
          <cell r="J1338" t="str">
            <v>HK-cityforeign-01/2026</v>
          </cell>
          <cell r="K1338" t="str">
            <v>Settled</v>
          </cell>
        </row>
        <row r="1339">
          <cell r="J1339" t="str">
            <v>HK-cityforeign-02/2026</v>
          </cell>
          <cell r="K1339" t="str">
            <v>Settled</v>
          </cell>
        </row>
        <row r="1340">
          <cell r="J1340" t="str">
            <v>HK-cityforeign-03/2026</v>
          </cell>
          <cell r="K1340" t="str">
            <v>Settled</v>
          </cell>
        </row>
        <row r="1341">
          <cell r="J1341" t="str">
            <v>HK-cityforeign-04/2026</v>
          </cell>
          <cell r="K1341" t="str">
            <v>Settled</v>
          </cell>
        </row>
        <row r="1342">
          <cell r="J1342" t="str">
            <v>HK-cityforeign-05/2026</v>
          </cell>
          <cell r="K1342" t="str">
            <v>Settled</v>
          </cell>
        </row>
        <row r="1343">
          <cell r="J1343" t="str">
            <v>HK -clash arts hk ltd-01/2022</v>
          </cell>
          <cell r="K1343" t="str">
            <v>Waived Off</v>
          </cell>
        </row>
        <row r="1344">
          <cell r="J1344" t="str">
            <v>HK -clash arts hk ltd-02/2022</v>
          </cell>
          <cell r="K1344" t="str">
            <v>Waived Off</v>
          </cell>
        </row>
        <row r="1345">
          <cell r="J1345" t="str">
            <v>HK-clash arts hk ltd-11/2022</v>
          </cell>
          <cell r="K1345" t="str">
            <v>Settled</v>
          </cell>
        </row>
        <row r="1346">
          <cell r="J1346" t="str">
            <v>HK-clash arts hk ltd-12/2022</v>
          </cell>
          <cell r="K1346" t="str">
            <v>Settled</v>
          </cell>
        </row>
        <row r="1347">
          <cell r="J1347" t="str">
            <v>HK-clash arts hk ltd-01/2023</v>
          </cell>
          <cell r="K1347" t="str">
            <v>Settled</v>
          </cell>
        </row>
        <row r="1348">
          <cell r="J1348" t="str">
            <v>HK-clash arts-02/2023</v>
          </cell>
          <cell r="K1348" t="str">
            <v>Settled</v>
          </cell>
        </row>
        <row r="1349">
          <cell r="J1349" t="str">
            <v>HK-clash arts-03/2023</v>
          </cell>
          <cell r="K1349" t="str">
            <v>Settled</v>
          </cell>
        </row>
        <row r="1350">
          <cell r="J1350" t="str">
            <v>HK-clash arts-04/2023</v>
          </cell>
          <cell r="K1350" t="str">
            <v>Settled</v>
          </cell>
        </row>
        <row r="1351">
          <cell r="J1351" t="str">
            <v>HK-clash arts-05/2023</v>
          </cell>
          <cell r="K1351" t="str">
            <v>Settled</v>
          </cell>
        </row>
        <row r="1352">
          <cell r="J1352" t="str">
            <v>HK-clash arts-06/2023</v>
          </cell>
          <cell r="K1352" t="str">
            <v>Settled</v>
          </cell>
        </row>
        <row r="1353">
          <cell r="J1353" t="str">
            <v>SG-clear aligners pte ltd-04/2023</v>
          </cell>
          <cell r="K1353" t="str">
            <v>Settled</v>
          </cell>
        </row>
        <row r="1354">
          <cell r="J1354" t="str">
            <v>SG-clear aligners pte ltd-05/2023</v>
          </cell>
          <cell r="K1354" t="str">
            <v>Settled</v>
          </cell>
        </row>
        <row r="1355">
          <cell r="J1355" t="str">
            <v>SG-clear aligners pte ltd-06/2023</v>
          </cell>
          <cell r="K1355" t="str">
            <v>Settled</v>
          </cell>
        </row>
        <row r="1356">
          <cell r="J1356" t="str">
            <v>AU -clear marketing solutions pty ltd-03/2022</v>
          </cell>
          <cell r="K1356" t="str">
            <v>Waived Off</v>
          </cell>
        </row>
        <row r="1357">
          <cell r="J1357" t="str">
            <v>SG-Cobblestone Energy-05/2023</v>
          </cell>
          <cell r="K1357" t="str">
            <v>Settled</v>
          </cell>
        </row>
        <row r="1358">
          <cell r="J1358" t="str">
            <v>SG-Cobblestone Energy-06/2023</v>
          </cell>
          <cell r="K1358" t="str">
            <v>Settled</v>
          </cell>
        </row>
        <row r="1359">
          <cell r="J1359" t="str">
            <v>SG-Coda Payments-03/2024</v>
          </cell>
          <cell r="K1359" t="str">
            <v>Settled</v>
          </cell>
        </row>
        <row r="1360">
          <cell r="J1360" t="str">
            <v>SG-Coda Payments-CR-03/2024</v>
          </cell>
          <cell r="K1360" t="str">
            <v>Settled</v>
          </cell>
        </row>
        <row r="1361">
          <cell r="J1361" t="str">
            <v>SG-Coda Payments-04/2024</v>
          </cell>
          <cell r="K1361" t="str">
            <v>Settled</v>
          </cell>
        </row>
        <row r="1362">
          <cell r="J1362" t="str">
            <v>SG-Coda Payments-CR-04/2024</v>
          </cell>
          <cell r="K1362" t="str">
            <v>Settled</v>
          </cell>
        </row>
        <row r="1363">
          <cell r="J1363" t="str">
            <v>SG-Coda Payments-11/2022</v>
          </cell>
          <cell r="K1363" t="str">
            <v>Settled</v>
          </cell>
        </row>
        <row r="1364">
          <cell r="J1364" t="str">
            <v>SG-Coda Payments-12/2022</v>
          </cell>
          <cell r="K1364" t="str">
            <v>Settled</v>
          </cell>
        </row>
        <row r="1365">
          <cell r="J1365" t="str">
            <v>SG-Coda Payments-01/2023</v>
          </cell>
          <cell r="K1365" t="str">
            <v>Settled</v>
          </cell>
        </row>
        <row r="1366">
          <cell r="J1366" t="str">
            <v>SG-Coda Payments-02/2023</v>
          </cell>
          <cell r="K1366" t="str">
            <v>Settled</v>
          </cell>
        </row>
        <row r="1367">
          <cell r="J1367" t="str">
            <v>SG-Coda Payments-03/2023</v>
          </cell>
          <cell r="K1367" t="str">
            <v>Settled</v>
          </cell>
        </row>
        <row r="1368">
          <cell r="J1368" t="str">
            <v>SG-Coda Payments-04/2023</v>
          </cell>
          <cell r="K1368" t="str">
            <v>Settled</v>
          </cell>
        </row>
        <row r="1369">
          <cell r="J1369" t="str">
            <v>SG-Coda Payments-05/2023</v>
          </cell>
          <cell r="K1369" t="str">
            <v>Settled</v>
          </cell>
        </row>
        <row r="1370">
          <cell r="J1370" t="str">
            <v>SG-Coda Payments-06/2023</v>
          </cell>
          <cell r="K1370" t="str">
            <v>Settled</v>
          </cell>
        </row>
        <row r="1371">
          <cell r="J1371" t="str">
            <v>SG-Coda Payments-07/2023</v>
          </cell>
          <cell r="K1371" t="str">
            <v>Settled</v>
          </cell>
        </row>
        <row r="1372">
          <cell r="J1372" t="str">
            <v>SG -Coda Payments-08/2023</v>
          </cell>
          <cell r="K1372" t="str">
            <v>Settled</v>
          </cell>
        </row>
        <row r="1373">
          <cell r="J1373" t="str">
            <v>SG-Coda Payments-09/2023</v>
          </cell>
          <cell r="K1373" t="str">
            <v>Settled</v>
          </cell>
        </row>
        <row r="1374">
          <cell r="J1374" t="str">
            <v>SG-Coda Payments-10/2023</v>
          </cell>
          <cell r="K1374" t="str">
            <v>Settled</v>
          </cell>
        </row>
        <row r="1375">
          <cell r="J1375" t="str">
            <v>SG-Coda Payments-11/2023</v>
          </cell>
          <cell r="K1375" t="str">
            <v>Settled</v>
          </cell>
        </row>
        <row r="1376">
          <cell r="J1376" t="str">
            <v>SG-Coda Payments-12/2023</v>
          </cell>
          <cell r="K1376" t="str">
            <v>Settled</v>
          </cell>
        </row>
        <row r="1377">
          <cell r="J1377" t="str">
            <v>SG-Coda Payments-01/2024</v>
          </cell>
          <cell r="K1377" t="str">
            <v>Settled</v>
          </cell>
        </row>
        <row r="1378">
          <cell r="J1378" t="str">
            <v>SG-Coda Payments-CR-01/2024</v>
          </cell>
          <cell r="K1378" t="str">
            <v>Settled</v>
          </cell>
        </row>
        <row r="1379">
          <cell r="J1379" t="str">
            <v>SG-Coda Payments-02/2024</v>
          </cell>
          <cell r="K1379" t="str">
            <v>Settled</v>
          </cell>
        </row>
        <row r="1380">
          <cell r="J1380" t="str">
            <v>SG-Coda Payments-CR-02/2024</v>
          </cell>
          <cell r="K1380" t="str">
            <v>Settled</v>
          </cell>
        </row>
        <row r="1381">
          <cell r="J1381" t="str">
            <v>MY-coda aplikasi-11/2023</v>
          </cell>
          <cell r="K1381" t="str">
            <v>Settled</v>
          </cell>
        </row>
        <row r="1382">
          <cell r="J1382" t="str">
            <v>MY-coda aplikasi-01/2024</v>
          </cell>
          <cell r="K1382" t="str">
            <v>Settled</v>
          </cell>
        </row>
        <row r="1383">
          <cell r="J1383" t="str">
            <v>MY-coda aplikasi-02/2024</v>
          </cell>
          <cell r="K1383" t="str">
            <v>Settled</v>
          </cell>
        </row>
        <row r="1384">
          <cell r="J1384" t="str">
            <v>MY-coda aplikasi-03/2024</v>
          </cell>
          <cell r="K1384" t="str">
            <v>Settled</v>
          </cell>
        </row>
        <row r="1385">
          <cell r="J1385" t="str">
            <v>MY-coda aplikasi-11/2023</v>
          </cell>
          <cell r="K1385" t="str">
            <v>Reversed</v>
          </cell>
        </row>
        <row r="1386">
          <cell r="J1386" t="str">
            <v>AU-Cohortgo-11/2022</v>
          </cell>
          <cell r="K1386" t="str">
            <v>Settled</v>
          </cell>
        </row>
        <row r="1387">
          <cell r="J1387" t="str">
            <v>AU-Cohortgo-12/2022</v>
          </cell>
          <cell r="K1387" t="str">
            <v>Settled</v>
          </cell>
        </row>
        <row r="1388">
          <cell r="J1388" t="str">
            <v>AU-Cohortgo-01/2023</v>
          </cell>
          <cell r="K1388" t="str">
            <v>Settled</v>
          </cell>
        </row>
        <row r="1389">
          <cell r="J1389" t="str">
            <v>AU-Cohortgo-02/2023</v>
          </cell>
          <cell r="K1389" t="str">
            <v>Settled</v>
          </cell>
        </row>
        <row r="1390">
          <cell r="J1390" t="str">
            <v>AU-Cohortgo-03/2023</v>
          </cell>
          <cell r="K1390" t="str">
            <v>Settled</v>
          </cell>
        </row>
        <row r="1391">
          <cell r="J1391" t="str">
            <v>AU-Cohortgo-04/2023</v>
          </cell>
          <cell r="K1391" t="str">
            <v>Settled</v>
          </cell>
        </row>
        <row r="1392">
          <cell r="J1392" t="str">
            <v>AU-Cohortgo-05/2023</v>
          </cell>
          <cell r="K1392" t="str">
            <v>Settled</v>
          </cell>
        </row>
        <row r="1393">
          <cell r="J1393" t="str">
            <v>AU-Cohortgo-06/2023</v>
          </cell>
          <cell r="K1393" t="str">
            <v>Settled</v>
          </cell>
        </row>
        <row r="1394">
          <cell r="J1394" t="str">
            <v>AU-Cohortgo-07/2023</v>
          </cell>
          <cell r="K1394" t="str">
            <v>Settled</v>
          </cell>
        </row>
        <row r="1395">
          <cell r="J1395" t="str">
            <v>AU -Cohortgo-08/2023</v>
          </cell>
          <cell r="K1395" t="str">
            <v>Settled</v>
          </cell>
        </row>
        <row r="1396">
          <cell r="J1396" t="str">
            <v>AU-Cohortgo-09/2023</v>
          </cell>
          <cell r="K1396" t="str">
            <v>Settled</v>
          </cell>
        </row>
        <row r="1397">
          <cell r="J1397" t="str">
            <v>AU-Cohortgo-10/2023</v>
          </cell>
          <cell r="K1397" t="str">
            <v>Settled</v>
          </cell>
        </row>
        <row r="1398">
          <cell r="J1398" t="str">
            <v>AU-Cohortgo-11/2023</v>
          </cell>
          <cell r="K1398" t="str">
            <v>Settled</v>
          </cell>
        </row>
        <row r="1399">
          <cell r="J1399" t="str">
            <v>AU-Cohortgo-12/2023</v>
          </cell>
          <cell r="K1399" t="str">
            <v>Settled</v>
          </cell>
        </row>
        <row r="1400">
          <cell r="J1400" t="str">
            <v>AU-Cohortgo-01/2024</v>
          </cell>
          <cell r="K1400" t="str">
            <v>Settled</v>
          </cell>
        </row>
        <row r="1401">
          <cell r="J1401" t="str">
            <v>AU-Cohortgo-02/2024</v>
          </cell>
          <cell r="K1401" t="str">
            <v>Settled</v>
          </cell>
        </row>
        <row r="1402">
          <cell r="J1402" t="str">
            <v>AU-Cohortgo-03/2024</v>
          </cell>
          <cell r="K1402" t="str">
            <v>Settled</v>
          </cell>
        </row>
        <row r="1403">
          <cell r="J1403" t="str">
            <v>AU-Cohortgo-04/2024</v>
          </cell>
          <cell r="K1403" t="str">
            <v>Settled</v>
          </cell>
        </row>
        <row r="1404">
          <cell r="J1404" t="str">
            <v>AU-Cohortgo-05/2024</v>
          </cell>
          <cell r="K1404" t="str">
            <v>Settled</v>
          </cell>
        </row>
        <row r="1405">
          <cell r="J1405" t="str">
            <v>AU-Cohortgo-06/2024</v>
          </cell>
          <cell r="K1405" t="str">
            <v>Settled</v>
          </cell>
        </row>
        <row r="1406">
          <cell r="J1406" t="str">
            <v>AU-Cohortgo-07/2024</v>
          </cell>
          <cell r="K1406" t="str">
            <v>Settled</v>
          </cell>
        </row>
        <row r="1407">
          <cell r="J1407" t="str">
            <v>AU-Cohortgo-08/2024</v>
          </cell>
          <cell r="K1407" t="str">
            <v>Settled</v>
          </cell>
        </row>
        <row r="1408">
          <cell r="J1408" t="str">
            <v>AU-Cohortgo-09/2024</v>
          </cell>
          <cell r="K1408" t="str">
            <v>Settled</v>
          </cell>
        </row>
        <row r="1409">
          <cell r="J1409" t="str">
            <v>AU-Cohortgo-10/2024</v>
          </cell>
          <cell r="K1409" t="str">
            <v>Settled</v>
          </cell>
        </row>
        <row r="1410">
          <cell r="J1410" t="str">
            <v>AU-Cohortgo-11/2024</v>
          </cell>
          <cell r="K1410" t="str">
            <v>Settled</v>
          </cell>
        </row>
        <row r="1411">
          <cell r="J1411" t="str">
            <v>AU-Cohortgo-12/2024</v>
          </cell>
          <cell r="K1411" t="str">
            <v>Settled</v>
          </cell>
        </row>
        <row r="1412">
          <cell r="J1412" t="str">
            <v>AU-Cohortgo-01/2025</v>
          </cell>
          <cell r="K1412" t="str">
            <v>Settled</v>
          </cell>
        </row>
        <row r="1413">
          <cell r="J1413" t="str">
            <v>AU-Cohortgo-02/2025</v>
          </cell>
          <cell r="K1413" t="str">
            <v>Settled</v>
          </cell>
        </row>
        <row r="1414">
          <cell r="J1414" t="str">
            <v>AU-Cohortgo-03/2025</v>
          </cell>
          <cell r="K1414" t="str">
            <v>Settled</v>
          </cell>
        </row>
        <row r="1415">
          <cell r="J1415" t="str">
            <v>AU-Cohortgo-04/2025</v>
          </cell>
          <cell r="K1415" t="str">
            <v>Settled</v>
          </cell>
        </row>
        <row r="1416">
          <cell r="J1416" t="str">
            <v>AU-Cohortgo-05/2025</v>
          </cell>
          <cell r="K1416" t="str">
            <v>Settled</v>
          </cell>
        </row>
        <row r="1417">
          <cell r="J1417" t="str">
            <v>AU-Cohortgo-06/2025</v>
          </cell>
          <cell r="K1417" t="str">
            <v>Settled</v>
          </cell>
        </row>
        <row r="1418">
          <cell r="J1418" t="str">
            <v>AU-Cohortgo-07/2025</v>
          </cell>
          <cell r="K1418" t="str">
            <v>Settled</v>
          </cell>
        </row>
        <row r="1419">
          <cell r="J1419" t="str">
            <v>AU-Cohortgo-08/2025</v>
          </cell>
          <cell r="K1419" t="str">
            <v>Settled</v>
          </cell>
        </row>
        <row r="1420">
          <cell r="J1420" t="str">
            <v>AU-Cohortgo-09/2025</v>
          </cell>
          <cell r="K1420" t="str">
            <v>Settled</v>
          </cell>
        </row>
        <row r="1421">
          <cell r="J1421" t="str">
            <v>AU-Cohortgo-10/2025</v>
          </cell>
          <cell r="K1421" t="str">
            <v>Settled</v>
          </cell>
        </row>
        <row r="1422">
          <cell r="J1422" t="str">
            <v>AU-Cohortgo-11/2025</v>
          </cell>
          <cell r="K1422" t="str">
            <v>Settled</v>
          </cell>
        </row>
        <row r="1423">
          <cell r="J1423" t="str">
            <v>AU-Cohortgo-12/2025</v>
          </cell>
          <cell r="K1423" t="str">
            <v>Settled</v>
          </cell>
        </row>
        <row r="1424">
          <cell r="J1424" t="str">
            <v>AU-Cohortgo-01/2026</v>
          </cell>
          <cell r="K1424" t="str">
            <v>Settled</v>
          </cell>
        </row>
        <row r="1425">
          <cell r="J1425" t="str">
            <v>AU-Cohortgo-02/2026</v>
          </cell>
          <cell r="K1425" t="str">
            <v>Settled</v>
          </cell>
        </row>
        <row r="1426">
          <cell r="J1426" t="str">
            <v>AU-Cohortgo-03/2026</v>
          </cell>
          <cell r="K1426" t="str">
            <v>Settled</v>
          </cell>
        </row>
        <row r="1427">
          <cell r="J1427" t="str">
            <v>AU-Cohortgo-04/2026</v>
          </cell>
          <cell r="K1427" t="str">
            <v>Settled</v>
          </cell>
        </row>
        <row r="1428">
          <cell r="J1428" t="str">
            <v>AU-Cohortgo-05/2026</v>
          </cell>
          <cell r="K1428" t="str">
            <v>Settled</v>
          </cell>
        </row>
        <row r="1429">
          <cell r="J1429" t="str">
            <v>AU -CorporateAlliance-09/2023</v>
          </cell>
          <cell r="K1429" t="str">
            <v>Settled</v>
          </cell>
        </row>
        <row r="1430">
          <cell r="J1430" t="str">
            <v>AU-CorporateAlliance-02/2026</v>
          </cell>
          <cell r="K1430" t="str">
            <v>Overdue</v>
          </cell>
        </row>
        <row r="1431">
          <cell r="J1431" t="str">
            <v>AU-CorporateAlliance-03/2026</v>
          </cell>
          <cell r="K1431" t="str">
            <v>Overdue</v>
          </cell>
        </row>
        <row r="1432">
          <cell r="J1432" t="str">
            <v>AU-CorporateAlliance-04/2026</v>
          </cell>
          <cell r="K1432" t="str">
            <v>Overdue</v>
          </cell>
        </row>
        <row r="1433">
          <cell r="J1433" t="str">
            <v>AU-CorporateAlliance-05/2026</v>
          </cell>
          <cell r="K1433" t="str">
            <v>Overdue</v>
          </cell>
        </row>
        <row r="1434">
          <cell r="J1434" t="str">
            <v>AU-CorporateAlliance-09/2023</v>
          </cell>
          <cell r="K1434" t="str">
            <v>Settled</v>
          </cell>
        </row>
        <row r="1435">
          <cell r="J1435" t="str">
            <v>AU-CorporateAlliance-10/2023</v>
          </cell>
          <cell r="K1435" t="str">
            <v>Settled</v>
          </cell>
        </row>
        <row r="1436">
          <cell r="J1436" t="str">
            <v>AU-CorporateAlliance-11/2023</v>
          </cell>
          <cell r="K1436" t="str">
            <v>Settled</v>
          </cell>
        </row>
        <row r="1437">
          <cell r="J1437" t="str">
            <v>AU-CorporateAlliance-12/2023</v>
          </cell>
          <cell r="K1437" t="str">
            <v>Settled</v>
          </cell>
        </row>
        <row r="1438">
          <cell r="J1438" t="str">
            <v>AU-CorporateAlliance-01/2024</v>
          </cell>
          <cell r="K1438" t="str">
            <v>Settled</v>
          </cell>
        </row>
        <row r="1439">
          <cell r="J1439" t="str">
            <v>AU-CorporateAlliance-02/2024</v>
          </cell>
          <cell r="K1439" t="str">
            <v>Settled</v>
          </cell>
        </row>
        <row r="1440">
          <cell r="J1440" t="str">
            <v>AU-CorporateAlliance-03/2024</v>
          </cell>
          <cell r="K1440" t="str">
            <v>Settled</v>
          </cell>
        </row>
        <row r="1441">
          <cell r="J1441" t="str">
            <v>AU-CorporateAlliance-04/2024</v>
          </cell>
          <cell r="K1441" t="str">
            <v>Settled</v>
          </cell>
        </row>
        <row r="1442">
          <cell r="J1442" t="str">
            <v>AU-CorporateAlliance-05/2024</v>
          </cell>
          <cell r="K1442" t="str">
            <v>Settled</v>
          </cell>
        </row>
        <row r="1443">
          <cell r="J1443" t="str">
            <v>AU-CorporateAlliance-06/2024</v>
          </cell>
          <cell r="K1443" t="str">
            <v>Settled</v>
          </cell>
        </row>
        <row r="1444">
          <cell r="J1444" t="str">
            <v>AU-CorporateAlliance-07/2024</v>
          </cell>
          <cell r="K1444" t="str">
            <v>Settled</v>
          </cell>
        </row>
        <row r="1445">
          <cell r="J1445" t="str">
            <v>AU-CorporateAlliance-08/2024</v>
          </cell>
          <cell r="K1445" t="str">
            <v>Settled</v>
          </cell>
        </row>
        <row r="1446">
          <cell r="J1446" t="str">
            <v>AU-CorporateAlliance-09/2024</v>
          </cell>
          <cell r="K1446" t="str">
            <v>Settled</v>
          </cell>
        </row>
        <row r="1447">
          <cell r="J1447" t="str">
            <v>AU-CorporateAlliance-10/2024</v>
          </cell>
          <cell r="K1447" t="str">
            <v>Settled</v>
          </cell>
        </row>
        <row r="1448">
          <cell r="J1448" t="str">
            <v>AU-CorporateAlliance-11/2024</v>
          </cell>
          <cell r="K1448" t="str">
            <v>Settled</v>
          </cell>
        </row>
        <row r="1449">
          <cell r="J1449" t="str">
            <v>AU-CorporateAlliance-12/2024</v>
          </cell>
          <cell r="K1449" t="str">
            <v>Settled</v>
          </cell>
        </row>
        <row r="1450">
          <cell r="J1450" t="str">
            <v>AU-CorporateAlliance-01/2025</v>
          </cell>
          <cell r="K1450" t="str">
            <v>Settled</v>
          </cell>
        </row>
        <row r="1451">
          <cell r="J1451" t="str">
            <v>AU-CorporateAlliance-02/2025</v>
          </cell>
          <cell r="K1451" t="str">
            <v>Settled</v>
          </cell>
        </row>
        <row r="1452">
          <cell r="J1452" t="str">
            <v>AU-CorporateAlliance-03/2025</v>
          </cell>
          <cell r="K1452" t="str">
            <v>Settled</v>
          </cell>
        </row>
        <row r="1453">
          <cell r="J1453" t="str">
            <v>AU-CorporateAlliance-04/2025</v>
          </cell>
          <cell r="K1453" t="str">
            <v>Settled</v>
          </cell>
        </row>
        <row r="1454">
          <cell r="J1454" t="str">
            <v>AU-CorporateAlliance-05/2025</v>
          </cell>
          <cell r="K1454" t="str">
            <v>Settled</v>
          </cell>
        </row>
        <row r="1455">
          <cell r="J1455" t="str">
            <v>AU-CorporateAlliance-06/2025</v>
          </cell>
          <cell r="K1455" t="str">
            <v>Settled</v>
          </cell>
        </row>
        <row r="1456">
          <cell r="J1456" t="str">
            <v>AU-CorporateAlliance-07/2025</v>
          </cell>
          <cell r="K1456" t="str">
            <v>Settled</v>
          </cell>
        </row>
        <row r="1457">
          <cell r="J1457" t="str">
            <v>AU-CorporateAlliance-08/2025</v>
          </cell>
          <cell r="K1457" t="str">
            <v>Settled</v>
          </cell>
        </row>
        <row r="1458">
          <cell r="J1458" t="str">
            <v>AU-CorporateAlliance-09/2025</v>
          </cell>
          <cell r="K1458" t="str">
            <v>Settled</v>
          </cell>
        </row>
        <row r="1459">
          <cell r="J1459" t="str">
            <v>AU-CorporateAlliance-10/2025</v>
          </cell>
          <cell r="K1459" t="str">
            <v>Settled</v>
          </cell>
        </row>
        <row r="1460">
          <cell r="J1460" t="str">
            <v>AU-CorporateAlliance-11/2025</v>
          </cell>
          <cell r="K1460" t="str">
            <v>Settled</v>
          </cell>
        </row>
        <row r="1461">
          <cell r="J1461" t="str">
            <v>AU-CorporateAlliance-12/2025</v>
          </cell>
          <cell r="K1461" t="str">
            <v>Settled</v>
          </cell>
        </row>
        <row r="1462">
          <cell r="J1462" t="str">
            <v>AU-CorporateAlliance-01/2026</v>
          </cell>
          <cell r="K1462" t="str">
            <v>Settled</v>
          </cell>
        </row>
        <row r="1463">
          <cell r="J1463" t="str">
            <v>US-Currency Bird-11/2022</v>
          </cell>
          <cell r="K1463" t="str">
            <v>Settled</v>
          </cell>
        </row>
        <row r="1464">
          <cell r="J1464" t="str">
            <v>US-Currency Bird-12/2022</v>
          </cell>
          <cell r="K1464" t="str">
            <v>Settled</v>
          </cell>
        </row>
        <row r="1465">
          <cell r="J1465" t="str">
            <v>US-Currency Bird-01/2023</v>
          </cell>
          <cell r="K1465" t="str">
            <v>Settled</v>
          </cell>
        </row>
        <row r="1466">
          <cell r="J1466" t="str">
            <v>US-CurrencyBird-02/2023</v>
          </cell>
          <cell r="K1466" t="str">
            <v>Settled</v>
          </cell>
        </row>
        <row r="1467">
          <cell r="J1467" t="str">
            <v>US-CurrencyBird-03/2023</v>
          </cell>
          <cell r="K1467" t="str">
            <v>Settled</v>
          </cell>
        </row>
        <row r="1468">
          <cell r="J1468" t="str">
            <v>US-CurrencyBird-04/2023</v>
          </cell>
          <cell r="K1468" t="str">
            <v>Settled</v>
          </cell>
        </row>
        <row r="1469">
          <cell r="J1469" t="str">
            <v>US-CurrencyBird-05/2023</v>
          </cell>
          <cell r="K1469" t="str">
            <v>Settled</v>
          </cell>
        </row>
        <row r="1470">
          <cell r="J1470" t="str">
            <v>US-CurrencyBird-06/2023</v>
          </cell>
          <cell r="K1470" t="str">
            <v>Settled</v>
          </cell>
        </row>
        <row r="1471">
          <cell r="J1471" t="str">
            <v>US-CurrencyBird-07/2023</v>
          </cell>
          <cell r="K1471" t="str">
            <v>Settled</v>
          </cell>
        </row>
        <row r="1472">
          <cell r="J1472" t="str">
            <v>US -CurrencyBird-08/2023</v>
          </cell>
          <cell r="K1472" t="str">
            <v>Settled</v>
          </cell>
        </row>
        <row r="1473">
          <cell r="J1473" t="str">
            <v>US-CurrencyBird-09/2023</v>
          </cell>
          <cell r="K1473" t="str">
            <v>Settled</v>
          </cell>
        </row>
        <row r="1474">
          <cell r="J1474" t="str">
            <v>US-CurrencyBird-10/2023</v>
          </cell>
          <cell r="K1474" t="str">
            <v>Settled</v>
          </cell>
        </row>
        <row r="1475">
          <cell r="J1475" t="str">
            <v>US-CurrencyBird-11/2023</v>
          </cell>
          <cell r="K1475" t="str">
            <v>Settled</v>
          </cell>
        </row>
        <row r="1476">
          <cell r="J1476" t="str">
            <v>US-CurrencyBird-12/2023</v>
          </cell>
          <cell r="K1476" t="str">
            <v>Settled</v>
          </cell>
        </row>
        <row r="1477">
          <cell r="J1477" t="str">
            <v>US-CurrencyBird-01/2024</v>
          </cell>
          <cell r="K1477" t="str">
            <v>Settled</v>
          </cell>
        </row>
        <row r="1478">
          <cell r="J1478" t="str">
            <v>US-CurrencyBird-02/2024</v>
          </cell>
          <cell r="K1478" t="str">
            <v>Settled</v>
          </cell>
        </row>
        <row r="1479">
          <cell r="J1479" t="str">
            <v>US-CurrencyBird-03/2024</v>
          </cell>
          <cell r="K1479" t="str">
            <v>Settled</v>
          </cell>
        </row>
        <row r="1480">
          <cell r="J1480" t="str">
            <v>US-CurrencyBird-04/2024</v>
          </cell>
          <cell r="K1480" t="str">
            <v>Settled</v>
          </cell>
        </row>
        <row r="1481">
          <cell r="J1481" t="str">
            <v>US-CurrencyBird-05/2024</v>
          </cell>
          <cell r="K1481" t="str">
            <v>Settled</v>
          </cell>
        </row>
        <row r="1482">
          <cell r="J1482" t="str">
            <v>US-CurrencyBird-06/2024</v>
          </cell>
          <cell r="K1482" t="str">
            <v>Settled</v>
          </cell>
        </row>
        <row r="1483">
          <cell r="J1483" t="str">
            <v>US-CurrencyBird-07/2024</v>
          </cell>
          <cell r="K1483" t="str">
            <v>Settled</v>
          </cell>
        </row>
        <row r="1484">
          <cell r="J1484" t="str">
            <v>US-CurrencyBird-08/2024</v>
          </cell>
          <cell r="K1484" t="str">
            <v>Settled</v>
          </cell>
        </row>
        <row r="1485">
          <cell r="J1485" t="str">
            <v>US-CurrencyBird-09/2024</v>
          </cell>
          <cell r="K1485" t="str">
            <v>Settled</v>
          </cell>
        </row>
        <row r="1486">
          <cell r="J1486" t="str">
            <v>US-CurrencyBird-10/2024</v>
          </cell>
          <cell r="K1486" t="str">
            <v>Settled</v>
          </cell>
        </row>
        <row r="1487">
          <cell r="J1487" t="str">
            <v>US-CurrencyBird-11/2024</v>
          </cell>
          <cell r="K1487" t="str">
            <v>Settled</v>
          </cell>
        </row>
        <row r="1488">
          <cell r="J1488" t="str">
            <v>US-CurrencyBird-12/2024</v>
          </cell>
          <cell r="K1488" t="str">
            <v>Settled</v>
          </cell>
        </row>
        <row r="1489">
          <cell r="J1489" t="str">
            <v>US-CurrencyBird-01/2025</v>
          </cell>
          <cell r="K1489" t="str">
            <v>Settled</v>
          </cell>
        </row>
        <row r="1490">
          <cell r="J1490" t="str">
            <v>US-CurrencyBird-02/2025</v>
          </cell>
          <cell r="K1490" t="str">
            <v>Settled</v>
          </cell>
        </row>
        <row r="1491">
          <cell r="J1491" t="str">
            <v>US-CurrencyBird-03/2025</v>
          </cell>
          <cell r="K1491" t="str">
            <v>Settled</v>
          </cell>
        </row>
        <row r="1492">
          <cell r="J1492" t="str">
            <v>US-CurrencyBird-04/2025</v>
          </cell>
          <cell r="K1492" t="str">
            <v>Settled</v>
          </cell>
        </row>
        <row r="1493">
          <cell r="J1493" t="str">
            <v>US-CurrencyBird-05/2025</v>
          </cell>
          <cell r="K1493" t="str">
            <v>Settled</v>
          </cell>
        </row>
        <row r="1494">
          <cell r="J1494" t="str">
            <v>US-CurrencyBird-06/2025</v>
          </cell>
          <cell r="K1494" t="str">
            <v>Settled</v>
          </cell>
        </row>
        <row r="1495">
          <cell r="J1495" t="str">
            <v>US-CurrencyBird-07/2025</v>
          </cell>
          <cell r="K1495" t="str">
            <v>Settled</v>
          </cell>
        </row>
        <row r="1496">
          <cell r="J1496" t="str">
            <v>US-CurrencyBird-08/2025</v>
          </cell>
          <cell r="K1496" t="str">
            <v>Settled</v>
          </cell>
        </row>
        <row r="1497">
          <cell r="J1497" t="str">
            <v>US-CurrencyBird-09/2025</v>
          </cell>
          <cell r="K1497" t="str">
            <v>Settled</v>
          </cell>
        </row>
        <row r="1498">
          <cell r="J1498" t="str">
            <v>US-CurrencyBird-10/2025</v>
          </cell>
          <cell r="K1498" t="str">
            <v>Settled</v>
          </cell>
        </row>
        <row r="1499">
          <cell r="J1499" t="str">
            <v>US-CurrencyBird-11/2025</v>
          </cell>
          <cell r="K1499" t="str">
            <v>Settled</v>
          </cell>
        </row>
        <row r="1500">
          <cell r="J1500" t="str">
            <v>US-CurrencyBird-12/2025</v>
          </cell>
          <cell r="K1500" t="str">
            <v>Settled</v>
          </cell>
        </row>
        <row r="1501">
          <cell r="J1501" t="str">
            <v>US-CurrencyBird-01/2026</v>
          </cell>
          <cell r="K1501" t="str">
            <v>Settled</v>
          </cell>
        </row>
        <row r="1502">
          <cell r="J1502" t="str">
            <v>US-CurrencyBird-02/2026</v>
          </cell>
          <cell r="K1502" t="str">
            <v>Settled</v>
          </cell>
        </row>
        <row r="1503">
          <cell r="J1503" t="str">
            <v>US-CurrencyBird-03/2026</v>
          </cell>
          <cell r="K1503" t="str">
            <v>Settled</v>
          </cell>
        </row>
        <row r="1504">
          <cell r="J1504" t="str">
            <v>US-CurrencyBird-04/2026</v>
          </cell>
          <cell r="K1504" t="str">
            <v>Settled</v>
          </cell>
        </row>
        <row r="1505">
          <cell r="J1505" t="str">
            <v>US-CurrencyBird-05/2026</v>
          </cell>
          <cell r="K1505" t="str">
            <v>Settled</v>
          </cell>
        </row>
        <row r="1506">
          <cell r="J1506" t="str">
            <v>AU-Currency Exchange-05/2023</v>
          </cell>
          <cell r="K1506" t="str">
            <v>Settled</v>
          </cell>
        </row>
        <row r="1507">
          <cell r="J1507" t="str">
            <v>AU-Currency Exchange-06/2023</v>
          </cell>
          <cell r="K1507" t="str">
            <v>Settled</v>
          </cell>
        </row>
        <row r="1508">
          <cell r="J1508" t="str">
            <v>AU-Currency Exchange-07/2023</v>
          </cell>
          <cell r="K1508" t="str">
            <v>Settled</v>
          </cell>
        </row>
        <row r="1509">
          <cell r="J1509" t="str">
            <v>AU -Currency Exchange-08/2023</v>
          </cell>
          <cell r="K1509" t="str">
            <v>Settled</v>
          </cell>
        </row>
        <row r="1510">
          <cell r="J1510" t="str">
            <v>AU-CurrencyExchange-09/2023</v>
          </cell>
          <cell r="K1510" t="str">
            <v>Settled</v>
          </cell>
        </row>
        <row r="1511">
          <cell r="J1511" t="str">
            <v>AU-Currency Exchange-10/2023</v>
          </cell>
          <cell r="K1511" t="str">
            <v>Settled</v>
          </cell>
        </row>
        <row r="1512">
          <cell r="J1512" t="str">
            <v>AU-Currency Exchange-11/2023</v>
          </cell>
          <cell r="K1512" t="str">
            <v>Settled</v>
          </cell>
        </row>
        <row r="1513">
          <cell r="J1513" t="str">
            <v>AU-Currency Exchange-12/2023</v>
          </cell>
          <cell r="K1513" t="str">
            <v>Settled</v>
          </cell>
        </row>
        <row r="1514">
          <cell r="J1514" t="str">
            <v>AU-Currency Exchange-01/2024</v>
          </cell>
          <cell r="K1514" t="str">
            <v>Settled</v>
          </cell>
        </row>
        <row r="1515">
          <cell r="J1515" t="str">
            <v>AU-Currency Exchange-02/2024</v>
          </cell>
          <cell r="K1515" t="str">
            <v>Settled</v>
          </cell>
        </row>
        <row r="1516">
          <cell r="J1516" t="str">
            <v>AU-Currency Exchange-03/2024</v>
          </cell>
          <cell r="K1516" t="str">
            <v>Settled</v>
          </cell>
        </row>
        <row r="1517">
          <cell r="J1517" t="str">
            <v>AU-Currency Exchange-04/2024</v>
          </cell>
          <cell r="K1517" t="str">
            <v>Settled</v>
          </cell>
        </row>
        <row r="1518">
          <cell r="J1518" t="str">
            <v>AU-Currency Exchange-05/2024</v>
          </cell>
          <cell r="K1518" t="str">
            <v>Settled</v>
          </cell>
        </row>
        <row r="1519">
          <cell r="J1519" t="str">
            <v>AU-Currency Exchange-06/2024</v>
          </cell>
          <cell r="K1519" t="str">
            <v>Settled</v>
          </cell>
        </row>
        <row r="1520">
          <cell r="J1520" t="str">
            <v>AU-Currency Exchange-07/2024</v>
          </cell>
          <cell r="K1520" t="str">
            <v>Settled</v>
          </cell>
        </row>
        <row r="1521">
          <cell r="J1521" t="str">
            <v>AU-Currency Exchange-09/2024</v>
          </cell>
          <cell r="K1521" t="str">
            <v>Settled</v>
          </cell>
        </row>
        <row r="1522">
          <cell r="J1522" t="str">
            <v>AU-Currency Exchange-10/2024</v>
          </cell>
          <cell r="K1522" t="str">
            <v>Settled</v>
          </cell>
        </row>
        <row r="1523">
          <cell r="J1523" t="str">
            <v>AU-Currency Exchange-11/2024</v>
          </cell>
          <cell r="K1523" t="str">
            <v>Settled</v>
          </cell>
        </row>
        <row r="1524">
          <cell r="J1524" t="str">
            <v>AU-Currency Exchange-12/2024</v>
          </cell>
          <cell r="K1524" t="str">
            <v>Settled</v>
          </cell>
        </row>
        <row r="1525">
          <cell r="J1525" t="str">
            <v>AU-Currency Exchange-01/2025</v>
          </cell>
          <cell r="K1525" t="str">
            <v>Settled</v>
          </cell>
        </row>
        <row r="1526">
          <cell r="J1526" t="str">
            <v>AU-Currency Exchange-02/2025</v>
          </cell>
          <cell r="K1526" t="str">
            <v>Settled</v>
          </cell>
        </row>
        <row r="1527">
          <cell r="J1527" t="str">
            <v>AU-Currency Exchange-03/2025</v>
          </cell>
          <cell r="K1527" t="str">
            <v>Settled</v>
          </cell>
        </row>
        <row r="1528">
          <cell r="J1528" t="str">
            <v>AU-Currency Exchange-04/2025</v>
          </cell>
          <cell r="K1528" t="str">
            <v>Settled</v>
          </cell>
        </row>
        <row r="1529">
          <cell r="J1529" t="str">
            <v>AU-Currency Exchange-05/2025</v>
          </cell>
          <cell r="K1529" t="str">
            <v>Settled</v>
          </cell>
        </row>
        <row r="1530">
          <cell r="J1530" t="str">
            <v>AU-Currency Exchange-06/2025</v>
          </cell>
          <cell r="K1530" t="str">
            <v>Settled</v>
          </cell>
        </row>
        <row r="1531">
          <cell r="J1531" t="str">
            <v>AU-Currency Exchange-07/2025</v>
          </cell>
          <cell r="K1531" t="str">
            <v>Settled</v>
          </cell>
        </row>
        <row r="1532">
          <cell r="J1532" t="str">
            <v>AU-Currency Exchange-08/2025</v>
          </cell>
          <cell r="K1532" t="str">
            <v>Settled</v>
          </cell>
        </row>
        <row r="1533">
          <cell r="J1533" t="str">
            <v>AU-Currency Exchange-09/2025</v>
          </cell>
          <cell r="K1533" t="str">
            <v>Settled</v>
          </cell>
        </row>
        <row r="1534">
          <cell r="J1534" t="str">
            <v>AU-Currency Exchange-10/2025</v>
          </cell>
          <cell r="K1534" t="str">
            <v>Settled</v>
          </cell>
        </row>
        <row r="1535">
          <cell r="J1535" t="str">
            <v>AU-Currency Exchange-11/2025</v>
          </cell>
          <cell r="K1535" t="str">
            <v>Settled</v>
          </cell>
        </row>
        <row r="1536">
          <cell r="J1536" t="str">
            <v>AU-Currency Exchange-12/2025</v>
          </cell>
          <cell r="K1536" t="str">
            <v>Settled</v>
          </cell>
        </row>
        <row r="1537">
          <cell r="J1537" t="str">
            <v>AU-Currency Exchange-01/2026</v>
          </cell>
          <cell r="K1537" t="str">
            <v>Settled</v>
          </cell>
        </row>
        <row r="1538">
          <cell r="J1538" t="str">
            <v>AU-Currency Exchange-02/2026</v>
          </cell>
          <cell r="K1538" t="str">
            <v>Settled</v>
          </cell>
        </row>
        <row r="1539">
          <cell r="J1539" t="str">
            <v>AU-Currency Exchange-03/2026</v>
          </cell>
          <cell r="K1539" t="str">
            <v>Settled</v>
          </cell>
        </row>
        <row r="1540">
          <cell r="J1540" t="str">
            <v>AU-Currency Exchange-04/2026</v>
          </cell>
          <cell r="K1540" t="str">
            <v>Settled</v>
          </cell>
        </row>
        <row r="1541">
          <cell r="J1541" t="str">
            <v>AU-Currency Exchange-05/2026</v>
          </cell>
          <cell r="K1541" t="str">
            <v>Settled</v>
          </cell>
        </row>
        <row r="1542">
          <cell r="J1542" t="str">
            <v>SG-DAFFODIL-11/2023</v>
          </cell>
          <cell r="K1542" t="str">
            <v>Settled</v>
          </cell>
        </row>
        <row r="1543">
          <cell r="J1543" t="str">
            <v>SG-CN-DAFFODIL-11-2023</v>
          </cell>
          <cell r="K1543" t="str">
            <v>Settled</v>
          </cell>
        </row>
        <row r="1544">
          <cell r="J1544" t="str">
            <v>SG-DAFFODIL-10/2023</v>
          </cell>
          <cell r="K1544" t="str">
            <v>Settled</v>
          </cell>
        </row>
        <row r="1545">
          <cell r="J1545" t="str">
            <v>HK-Deemoney-12/2022</v>
          </cell>
          <cell r="K1545" t="str">
            <v>Settled</v>
          </cell>
        </row>
        <row r="1546">
          <cell r="J1546" t="str">
            <v>HK-Deemoney-01/2023</v>
          </cell>
          <cell r="K1546" t="str">
            <v>Settled</v>
          </cell>
        </row>
        <row r="1547">
          <cell r="J1547" t="str">
            <v>HK-Deemoney-02/2023</v>
          </cell>
          <cell r="K1547" t="str">
            <v>Settled</v>
          </cell>
        </row>
        <row r="1548">
          <cell r="J1548" t="str">
            <v>HK-Deemoney-03/2023</v>
          </cell>
          <cell r="K1548" t="str">
            <v>Settled</v>
          </cell>
        </row>
        <row r="1549">
          <cell r="J1549" t="str">
            <v>HK-deemoney-04/2023</v>
          </cell>
          <cell r="K1549" t="str">
            <v>Settled</v>
          </cell>
        </row>
        <row r="1550">
          <cell r="J1550" t="str">
            <v>SG-DESFRAN-09/2023</v>
          </cell>
          <cell r="K1550" t="str">
            <v>Settled</v>
          </cell>
        </row>
        <row r="1551">
          <cell r="J1551" t="str">
            <v>SG-DESFRAN-10/2023</v>
          </cell>
          <cell r="K1551" t="str">
            <v>Settled</v>
          </cell>
        </row>
        <row r="1552">
          <cell r="J1552" t="str">
            <v>SG-digital company spa-11/2022</v>
          </cell>
          <cell r="K1552" t="str">
            <v>Settled</v>
          </cell>
        </row>
        <row r="1553">
          <cell r="J1553" t="str">
            <v>SG-digital company spa-12/2022</v>
          </cell>
          <cell r="K1553" t="str">
            <v>Settled</v>
          </cell>
        </row>
        <row r="1554">
          <cell r="J1554" t="str">
            <v>SG-digital company spa-01/2023</v>
          </cell>
          <cell r="K1554" t="str">
            <v>Settled</v>
          </cell>
        </row>
        <row r="1555">
          <cell r="J1555" t="str">
            <v>SG-digitalcompany-02/2023</v>
          </cell>
          <cell r="K1555" t="str">
            <v>Settled</v>
          </cell>
        </row>
        <row r="1556">
          <cell r="J1556" t="str">
            <v>SG-digitalcompany-03/2023</v>
          </cell>
          <cell r="K1556" t="str">
            <v>Settled</v>
          </cell>
        </row>
        <row r="1557">
          <cell r="J1557" t="str">
            <v>SG-digitalcompany-04/2023</v>
          </cell>
          <cell r="K1557" t="str">
            <v>Settled</v>
          </cell>
        </row>
        <row r="1558">
          <cell r="J1558" t="str">
            <v>SG-digitalcompany-05/2023</v>
          </cell>
          <cell r="K1558" t="str">
            <v>Settled</v>
          </cell>
        </row>
        <row r="1559">
          <cell r="J1559" t="str">
            <v>SG-digitalcompany-06/2023</v>
          </cell>
          <cell r="K1559" t="str">
            <v>Settled</v>
          </cell>
        </row>
        <row r="1560">
          <cell r="J1560" t="str">
            <v>SG-digitalcompany-07/2023</v>
          </cell>
          <cell r="K1560" t="str">
            <v>Settled</v>
          </cell>
        </row>
        <row r="1561">
          <cell r="J1561" t="str">
            <v>SG -digitalcompany-08/2023</v>
          </cell>
          <cell r="K1561" t="str">
            <v>Settled</v>
          </cell>
        </row>
        <row r="1562">
          <cell r="J1562" t="str">
            <v>SG-digitalcompany-09/2023</v>
          </cell>
          <cell r="K1562" t="str">
            <v>Settled</v>
          </cell>
        </row>
        <row r="1563">
          <cell r="J1563" t="str">
            <v>SG-digitalcompany-10/2023</v>
          </cell>
          <cell r="K1563" t="str">
            <v>Settled</v>
          </cell>
        </row>
        <row r="1564">
          <cell r="J1564" t="str">
            <v>SG-digitalcompany-12/2023</v>
          </cell>
          <cell r="K1564" t="str">
            <v>Settled</v>
          </cell>
        </row>
        <row r="1565">
          <cell r="J1565" t="str">
            <v>SG-digitalcompany-01/2024</v>
          </cell>
          <cell r="K1565" t="str">
            <v>Settled</v>
          </cell>
        </row>
        <row r="1566">
          <cell r="J1566" t="str">
            <v>SG-digitalcompany-03/2024</v>
          </cell>
          <cell r="K1566" t="str">
            <v>Settled</v>
          </cell>
        </row>
        <row r="1567">
          <cell r="J1567" t="str">
            <v>SG-digitalcompany-05/2024</v>
          </cell>
          <cell r="K1567" t="str">
            <v>Settled</v>
          </cell>
        </row>
        <row r="1568">
          <cell r="J1568" t="str">
            <v>SG-digitalcompany-07/2024</v>
          </cell>
          <cell r="K1568" t="str">
            <v>Settled</v>
          </cell>
        </row>
        <row r="1569">
          <cell r="J1569" t="str">
            <v>SG-digitalcompany-08/2024</v>
          </cell>
          <cell r="K1569" t="str">
            <v>Settled</v>
          </cell>
        </row>
        <row r="1570">
          <cell r="J1570" t="str">
            <v>SG-digitalcompany-09/2024</v>
          </cell>
          <cell r="K1570" t="str">
            <v>Settled</v>
          </cell>
        </row>
        <row r="1571">
          <cell r="J1571" t="str">
            <v>SG-digitalcompany-12/2024</v>
          </cell>
          <cell r="K1571" t="str">
            <v>Settled</v>
          </cell>
        </row>
        <row r="1572">
          <cell r="J1572" t="str">
            <v>SG-digital services sg five pte. ltd-11/2022</v>
          </cell>
          <cell r="K1572" t="str">
            <v>Settled</v>
          </cell>
        </row>
        <row r="1573">
          <cell r="J1573" t="str">
            <v>SG-digital services sg five pte. ltd-12/2022</v>
          </cell>
          <cell r="K1573" t="str">
            <v>Settled</v>
          </cell>
        </row>
        <row r="1574">
          <cell r="J1574" t="str">
            <v>SG-digital services-01/2023</v>
          </cell>
          <cell r="K1574" t="str">
            <v>Settled</v>
          </cell>
        </row>
        <row r="1575">
          <cell r="J1575" t="str">
            <v>SG-digital services-02/2023</v>
          </cell>
          <cell r="K1575" t="str">
            <v>Settled</v>
          </cell>
        </row>
        <row r="1576">
          <cell r="J1576" t="str">
            <v>SG-digital services-03/2023</v>
          </cell>
          <cell r="K1576" t="str">
            <v>Settled</v>
          </cell>
        </row>
        <row r="1577">
          <cell r="J1577" t="str">
            <v>SG-digital services-04/2023</v>
          </cell>
          <cell r="K1577" t="str">
            <v>Settled</v>
          </cell>
        </row>
        <row r="1578">
          <cell r="J1578" t="str">
            <v>SG-digital services-05/2023</v>
          </cell>
          <cell r="K1578" t="str">
            <v>Settled</v>
          </cell>
        </row>
        <row r="1579">
          <cell r="J1579" t="str">
            <v>SG-digital services-06/2023</v>
          </cell>
          <cell r="K1579" t="str">
            <v>Settled</v>
          </cell>
        </row>
        <row r="1580">
          <cell r="J1580" t="str">
            <v>SG-digital services-07/2023</v>
          </cell>
          <cell r="K1580" t="str">
            <v>Settled</v>
          </cell>
        </row>
        <row r="1581">
          <cell r="J1581" t="str">
            <v>SG -digital services-08/2023</v>
          </cell>
          <cell r="K1581" t="str">
            <v>Settled</v>
          </cell>
        </row>
        <row r="1582">
          <cell r="J1582" t="str">
            <v>SG-digital services-09/2023</v>
          </cell>
          <cell r="K1582" t="str">
            <v>Settled</v>
          </cell>
        </row>
        <row r="1583">
          <cell r="J1583" t="str">
            <v>SG-digital services-10/2023</v>
          </cell>
          <cell r="K1583" t="str">
            <v>Settled</v>
          </cell>
        </row>
        <row r="1584">
          <cell r="J1584" t="str">
            <v>SG-digital services-11/2023</v>
          </cell>
          <cell r="K1584" t="str">
            <v>Settled</v>
          </cell>
        </row>
        <row r="1585">
          <cell r="J1585" t="str">
            <v>SG-Dol Technology Pte Ltd-11/2022</v>
          </cell>
          <cell r="K1585" t="str">
            <v>Settled</v>
          </cell>
        </row>
        <row r="1586">
          <cell r="J1586" t="str">
            <v>SG-Dol Technology Pte Ltd-12/2022</v>
          </cell>
          <cell r="K1586" t="str">
            <v>Settled</v>
          </cell>
        </row>
        <row r="1587">
          <cell r="J1587" t="str">
            <v>SG-Dol Technology Pte Ltd-01/2023</v>
          </cell>
          <cell r="K1587" t="str">
            <v>Settled</v>
          </cell>
        </row>
        <row r="1588">
          <cell r="J1588" t="str">
            <v>SG-DolTech-02/2023</v>
          </cell>
          <cell r="K1588" t="str">
            <v>Settled</v>
          </cell>
        </row>
        <row r="1589">
          <cell r="J1589" t="str">
            <v>SG-DolTech-03/2023</v>
          </cell>
          <cell r="K1589" t="str">
            <v>Settled</v>
          </cell>
        </row>
        <row r="1590">
          <cell r="J1590" t="str">
            <v>SG-DolTech-04/2023</v>
          </cell>
          <cell r="K1590" t="str">
            <v>Settled</v>
          </cell>
        </row>
        <row r="1591">
          <cell r="J1591" t="str">
            <v>SG-DolTech-05/2023</v>
          </cell>
          <cell r="K1591" t="str">
            <v>Settled</v>
          </cell>
        </row>
        <row r="1592">
          <cell r="J1592" t="str">
            <v>SG-DolTech-06/2023</v>
          </cell>
          <cell r="K1592" t="str">
            <v>Settled</v>
          </cell>
        </row>
        <row r="1593">
          <cell r="J1593" t="str">
            <v>SG-DolTech-10/2023</v>
          </cell>
          <cell r="K1593" t="str">
            <v>Settled</v>
          </cell>
        </row>
        <row r="1594">
          <cell r="J1594" t="str">
            <v>SG-E9 Pay-11/2022</v>
          </cell>
          <cell r="K1594" t="str">
            <v>Settled</v>
          </cell>
        </row>
        <row r="1595">
          <cell r="J1595" t="str">
            <v>SG-E9 Pay-12/2022</v>
          </cell>
          <cell r="K1595" t="str">
            <v>Settled</v>
          </cell>
        </row>
        <row r="1596">
          <cell r="J1596" t="str">
            <v>SG-E9 Pay-01/2023</v>
          </cell>
          <cell r="K1596" t="str">
            <v>Settled</v>
          </cell>
        </row>
        <row r="1597">
          <cell r="J1597" t="str">
            <v>SG-E9 Pay-02/2023</v>
          </cell>
          <cell r="K1597" t="str">
            <v>Settled</v>
          </cell>
        </row>
        <row r="1598">
          <cell r="J1598" t="str">
            <v>SG-E9 Pay-03/2023</v>
          </cell>
          <cell r="K1598" t="str">
            <v>Settled</v>
          </cell>
        </row>
        <row r="1599">
          <cell r="J1599" t="str">
            <v>SG-E9 Pay-04/2023</v>
          </cell>
          <cell r="K1599" t="str">
            <v>Settled</v>
          </cell>
        </row>
        <row r="1600">
          <cell r="J1600" t="str">
            <v>SG-E9 Pay-05/2023</v>
          </cell>
          <cell r="K1600" t="str">
            <v>Settled</v>
          </cell>
        </row>
        <row r="1601">
          <cell r="J1601" t="str">
            <v>SG-E9 Pay-06/2023</v>
          </cell>
          <cell r="K1601" t="str">
            <v>Settled</v>
          </cell>
        </row>
        <row r="1602">
          <cell r="J1602" t="str">
            <v>SG-E9 Pay-07/2023</v>
          </cell>
          <cell r="K1602" t="str">
            <v>Settled</v>
          </cell>
        </row>
        <row r="1603">
          <cell r="J1603" t="str">
            <v>SG -E9 Pay-08/2023</v>
          </cell>
          <cell r="K1603" t="str">
            <v>Settled</v>
          </cell>
        </row>
        <row r="1604">
          <cell r="J1604" t="str">
            <v>SG-E9 Pay-09/2023</v>
          </cell>
          <cell r="K1604" t="str">
            <v>Settled</v>
          </cell>
        </row>
        <row r="1605">
          <cell r="J1605" t="str">
            <v>SG-E9 Pay-10/2023</v>
          </cell>
          <cell r="K1605" t="str">
            <v>Settled</v>
          </cell>
        </row>
        <row r="1606">
          <cell r="J1606" t="str">
            <v>SG-E9 Pay-11/2023</v>
          </cell>
          <cell r="K1606" t="str">
            <v>Settled</v>
          </cell>
        </row>
        <row r="1607">
          <cell r="J1607" t="str">
            <v>SG-E9 Pay-12/2023</v>
          </cell>
          <cell r="K1607" t="str">
            <v>Settled</v>
          </cell>
        </row>
        <row r="1608">
          <cell r="J1608" t="str">
            <v>SG-E9 Pay-01/2024</v>
          </cell>
          <cell r="K1608" t="str">
            <v>Settled</v>
          </cell>
        </row>
        <row r="1609">
          <cell r="J1609" t="str">
            <v>SG-E9 Pay-02/2024</v>
          </cell>
          <cell r="K1609" t="str">
            <v>Settled</v>
          </cell>
        </row>
        <row r="1610">
          <cell r="J1610" t="str">
            <v>SG-E9 Pay-03/2024</v>
          </cell>
          <cell r="K1610" t="str">
            <v>Settled</v>
          </cell>
        </row>
        <row r="1611">
          <cell r="J1611" t="str">
            <v>SG-E9 Pay-04/2024</v>
          </cell>
          <cell r="K1611" t="str">
            <v>Settled</v>
          </cell>
        </row>
        <row r="1612">
          <cell r="J1612" t="str">
            <v>SG-E9 Pay-05/2024</v>
          </cell>
          <cell r="K1612" t="str">
            <v>Settled</v>
          </cell>
        </row>
        <row r="1613">
          <cell r="J1613" t="str">
            <v>SG-E9 Pay-06/2024</v>
          </cell>
          <cell r="K1613" t="str">
            <v>Settled</v>
          </cell>
        </row>
        <row r="1614">
          <cell r="J1614" t="str">
            <v>SG-E9 Pay-07/2024</v>
          </cell>
          <cell r="K1614" t="str">
            <v>Settled</v>
          </cell>
        </row>
        <row r="1615">
          <cell r="J1615" t="str">
            <v>SG-E9 Pay-08/2024</v>
          </cell>
          <cell r="K1615" t="str">
            <v>Settled</v>
          </cell>
        </row>
        <row r="1616">
          <cell r="J1616" t="str">
            <v>SG-E9 Pay-09/2024</v>
          </cell>
          <cell r="K1616" t="str">
            <v>Settled</v>
          </cell>
        </row>
        <row r="1617">
          <cell r="J1617" t="str">
            <v>SG-E9 Pay-10/2024</v>
          </cell>
          <cell r="K1617" t="str">
            <v>Settled</v>
          </cell>
        </row>
        <row r="1618">
          <cell r="J1618" t="str">
            <v>SG-E9 Pay-11/2024</v>
          </cell>
          <cell r="K1618" t="str">
            <v>Settled</v>
          </cell>
        </row>
        <row r="1619">
          <cell r="J1619" t="str">
            <v>SG-E9 Pay-12/2024</v>
          </cell>
          <cell r="K1619" t="str">
            <v>Settled</v>
          </cell>
        </row>
        <row r="1620">
          <cell r="J1620" t="str">
            <v>SG-E9 Pay-01/2025</v>
          </cell>
          <cell r="K1620" t="str">
            <v>Settled</v>
          </cell>
        </row>
        <row r="1621">
          <cell r="J1621" t="str">
            <v>SG-E9 Pay-02/2025</v>
          </cell>
          <cell r="K1621" t="str">
            <v>Settled</v>
          </cell>
        </row>
        <row r="1622">
          <cell r="J1622" t="str">
            <v>SG-E9 Pay-03/2025</v>
          </cell>
          <cell r="K1622" t="str">
            <v>Settled</v>
          </cell>
        </row>
        <row r="1623">
          <cell r="J1623" t="str">
            <v>SG-E9 Pay-04/2025</v>
          </cell>
          <cell r="K1623" t="str">
            <v>Settled</v>
          </cell>
        </row>
        <row r="1624">
          <cell r="J1624" t="str">
            <v>SG-E9 Pay-05/2025</v>
          </cell>
          <cell r="K1624" t="str">
            <v>Settled</v>
          </cell>
        </row>
        <row r="1625">
          <cell r="J1625" t="str">
            <v>SG-E9 Pay-06/2025</v>
          </cell>
          <cell r="K1625" t="str">
            <v>Settled</v>
          </cell>
        </row>
        <row r="1626">
          <cell r="J1626" t="str">
            <v>SG-E9 Pay-07/2025</v>
          </cell>
          <cell r="K1626" t="str">
            <v>Settled</v>
          </cell>
        </row>
        <row r="1627">
          <cell r="J1627" t="str">
            <v>SG-E9 Pay-08/2025</v>
          </cell>
          <cell r="K1627" t="str">
            <v>Settled</v>
          </cell>
        </row>
        <row r="1628">
          <cell r="J1628" t="str">
            <v>SG-E9 Pay-09/2025</v>
          </cell>
          <cell r="K1628" t="str">
            <v>Settled</v>
          </cell>
        </row>
        <row r="1629">
          <cell r="J1629" t="str">
            <v>SG-E9 Pay-10/2025</v>
          </cell>
          <cell r="K1629" t="str">
            <v>Settled</v>
          </cell>
        </row>
        <row r="1630">
          <cell r="J1630" t="str">
            <v>SG-E9 Pay-11/2025</v>
          </cell>
          <cell r="K1630" t="str">
            <v>Settled</v>
          </cell>
        </row>
        <row r="1631">
          <cell r="J1631" t="str">
            <v>SG-E9 Pay-12/2025</v>
          </cell>
          <cell r="K1631" t="str">
            <v>Settled</v>
          </cell>
        </row>
        <row r="1632">
          <cell r="J1632" t="str">
            <v>SG-E9 Pay-01/2026</v>
          </cell>
          <cell r="K1632" t="str">
            <v>Settled</v>
          </cell>
        </row>
        <row r="1633">
          <cell r="J1633" t="str">
            <v>SG-E9 Pay-02/2026</v>
          </cell>
          <cell r="K1633" t="str">
            <v>Settled</v>
          </cell>
        </row>
        <row r="1634">
          <cell r="J1634" t="str">
            <v>SG-E9 Pay-03/2026</v>
          </cell>
          <cell r="K1634" t="str">
            <v>Settled</v>
          </cell>
        </row>
        <row r="1635">
          <cell r="J1635" t="str">
            <v>SG-E9 Pay-04/2026</v>
          </cell>
          <cell r="K1635" t="str">
            <v>Settled</v>
          </cell>
        </row>
        <row r="1636">
          <cell r="J1636" t="str">
            <v>SG-E9 Pay-05/2026</v>
          </cell>
          <cell r="K1636" t="str">
            <v>Settled</v>
          </cell>
        </row>
        <row r="1637">
          <cell r="J1637" t="str">
            <v>SG-ebury mass payments-11/2022</v>
          </cell>
          <cell r="K1637" t="str">
            <v>Settled</v>
          </cell>
        </row>
        <row r="1638">
          <cell r="J1638" t="str">
            <v>SG-ebury mass payments-12/2022</v>
          </cell>
          <cell r="K1638" t="str">
            <v>Settled</v>
          </cell>
        </row>
        <row r="1639">
          <cell r="J1639" t="str">
            <v>SG-ebury mass payments-01/2023</v>
          </cell>
          <cell r="K1639" t="str">
            <v>Settled</v>
          </cell>
        </row>
        <row r="1640">
          <cell r="J1640" t="str">
            <v>SG-eburymass-02/2023</v>
          </cell>
          <cell r="K1640" t="str">
            <v>Settled</v>
          </cell>
        </row>
        <row r="1641">
          <cell r="J1641" t="str">
            <v>SG-eburymass-03/2023</v>
          </cell>
          <cell r="K1641" t="str">
            <v>Settled</v>
          </cell>
        </row>
        <row r="1642">
          <cell r="J1642" t="str">
            <v>SG-eburymass-04/2023</v>
          </cell>
          <cell r="K1642" t="str">
            <v>Settled</v>
          </cell>
        </row>
        <row r="1643">
          <cell r="J1643" t="str">
            <v>SG-eburymass-05/2023</v>
          </cell>
          <cell r="K1643" t="str">
            <v>Settled</v>
          </cell>
        </row>
        <row r="1644">
          <cell r="J1644" t="str">
            <v>SG-eburymass-06/2023</v>
          </cell>
          <cell r="K1644" t="str">
            <v>Settled</v>
          </cell>
        </row>
        <row r="1645">
          <cell r="J1645" t="str">
            <v>SG-eburymass-07/2023</v>
          </cell>
          <cell r="K1645" t="str">
            <v>Settled</v>
          </cell>
        </row>
        <row r="1646">
          <cell r="J1646" t="str">
            <v>SG -eburymass-08/2023</v>
          </cell>
          <cell r="K1646" t="str">
            <v>Settled</v>
          </cell>
        </row>
        <row r="1647">
          <cell r="J1647" t="str">
            <v>SG-eburymass-09/2023</v>
          </cell>
          <cell r="K1647" t="str">
            <v>Settled</v>
          </cell>
        </row>
        <row r="1648">
          <cell r="J1648" t="str">
            <v>SG-eburymass-10/2023</v>
          </cell>
          <cell r="K1648" t="str">
            <v>Settled</v>
          </cell>
        </row>
        <row r="1649">
          <cell r="J1649" t="str">
            <v>SG-eburymass-11/2023</v>
          </cell>
          <cell r="K1649" t="str">
            <v>Settled</v>
          </cell>
        </row>
        <row r="1650">
          <cell r="J1650" t="str">
            <v>SG -eburymass-CR-11/2023</v>
          </cell>
          <cell r="K1650" t="str">
            <v>Settled</v>
          </cell>
        </row>
        <row r="1651">
          <cell r="J1651" t="str">
            <v>SG -eburymass-CR-11/2023</v>
          </cell>
          <cell r="K1651" t="str">
            <v>Settled</v>
          </cell>
        </row>
        <row r="1652">
          <cell r="J1652" t="str">
            <v>SG-eburymass-12/2023</v>
          </cell>
          <cell r="K1652" t="str">
            <v>Settled</v>
          </cell>
        </row>
        <row r="1653">
          <cell r="J1653" t="str">
            <v>SG -eburymass-CR-12/2023</v>
          </cell>
          <cell r="K1653" t="str">
            <v>Settled</v>
          </cell>
        </row>
        <row r="1654">
          <cell r="J1654" t="str">
            <v>SG-eburymass-01/2024</v>
          </cell>
          <cell r="K1654" t="str">
            <v>Settled</v>
          </cell>
        </row>
        <row r="1655">
          <cell r="J1655" t="str">
            <v>SG-eburymass-02/2024</v>
          </cell>
          <cell r="K1655" t="str">
            <v>Settled</v>
          </cell>
        </row>
        <row r="1656">
          <cell r="J1656" t="str">
            <v>SG-eburymass-03/2024</v>
          </cell>
          <cell r="K1656" t="str">
            <v>Settled</v>
          </cell>
        </row>
        <row r="1657">
          <cell r="J1657" t="str">
            <v>SG-eburymass-04/2024</v>
          </cell>
          <cell r="K1657" t="str">
            <v>Settled</v>
          </cell>
        </row>
        <row r="1658">
          <cell r="J1658" t="str">
            <v>SG-eburymass-05/2024</v>
          </cell>
          <cell r="K1658" t="str">
            <v>Settled</v>
          </cell>
        </row>
        <row r="1659">
          <cell r="J1659" t="str">
            <v>SG-eburymass-06/2024</v>
          </cell>
          <cell r="K1659" t="str">
            <v>Settled</v>
          </cell>
        </row>
        <row r="1660">
          <cell r="J1660" t="str">
            <v>SG-eburymass-07/2024</v>
          </cell>
          <cell r="K1660" t="str">
            <v>Settled</v>
          </cell>
        </row>
        <row r="1661">
          <cell r="J1661" t="str">
            <v>SG-eburymass-08/2024</v>
          </cell>
          <cell r="K1661" t="str">
            <v>Settled</v>
          </cell>
        </row>
        <row r="1662">
          <cell r="J1662" t="str">
            <v>SG-eburymass-09/2024</v>
          </cell>
          <cell r="K1662" t="str">
            <v>Settled</v>
          </cell>
        </row>
        <row r="1663">
          <cell r="J1663" t="str">
            <v>SG-eburymass-10/2024</v>
          </cell>
          <cell r="K1663" t="str">
            <v>Settled</v>
          </cell>
        </row>
        <row r="1664">
          <cell r="J1664" t="str">
            <v>SG-eburymass-11/2024</v>
          </cell>
          <cell r="K1664" t="str">
            <v>Settled</v>
          </cell>
        </row>
        <row r="1665">
          <cell r="J1665" t="str">
            <v>SG-eburymass-12/2024</v>
          </cell>
          <cell r="K1665" t="str">
            <v>Settled</v>
          </cell>
        </row>
        <row r="1666">
          <cell r="J1666" t="str">
            <v>SG-eburymass-01/2025</v>
          </cell>
          <cell r="K1666" t="str">
            <v>Settled</v>
          </cell>
        </row>
        <row r="1667">
          <cell r="J1667" t="str">
            <v>SG-eburymass-02/2025</v>
          </cell>
          <cell r="K1667" t="str">
            <v>Settled</v>
          </cell>
        </row>
        <row r="1668">
          <cell r="J1668" t="str">
            <v>SG-eburymass-03/2025</v>
          </cell>
          <cell r="K1668" t="str">
            <v>Settled</v>
          </cell>
        </row>
        <row r="1669">
          <cell r="J1669" t="str">
            <v>SG-eburymass-04/2025</v>
          </cell>
          <cell r="K1669" t="str">
            <v>Settled</v>
          </cell>
        </row>
        <row r="1670">
          <cell r="J1670" t="str">
            <v>SG-eburymass-05/2025</v>
          </cell>
          <cell r="K1670" t="str">
            <v>Settled</v>
          </cell>
        </row>
        <row r="1671">
          <cell r="J1671" t="str">
            <v>SG-eburymass-06/2025</v>
          </cell>
          <cell r="K1671" t="str">
            <v>Settled</v>
          </cell>
        </row>
        <row r="1672">
          <cell r="J1672" t="str">
            <v>SG-eburymass-07/2025</v>
          </cell>
          <cell r="K1672" t="str">
            <v>Settled</v>
          </cell>
        </row>
        <row r="1673">
          <cell r="J1673" t="str">
            <v>SG-eburymass-08/2025</v>
          </cell>
          <cell r="K1673" t="str">
            <v>Settled</v>
          </cell>
        </row>
        <row r="1674">
          <cell r="J1674" t="str">
            <v>SG-eburymass-09/2025</v>
          </cell>
          <cell r="K1674" t="str">
            <v>Settled</v>
          </cell>
        </row>
        <row r="1675">
          <cell r="J1675" t="str">
            <v>SG-eburymass-10/2025</v>
          </cell>
          <cell r="K1675" t="str">
            <v>Settled</v>
          </cell>
        </row>
        <row r="1676">
          <cell r="J1676" t="str">
            <v>SG-eburymass-11/2025</v>
          </cell>
          <cell r="K1676" t="str">
            <v>Settled</v>
          </cell>
        </row>
        <row r="1677">
          <cell r="J1677" t="str">
            <v>SG-eburymass-12/2025</v>
          </cell>
          <cell r="K1677" t="str">
            <v>Settled</v>
          </cell>
        </row>
        <row r="1678">
          <cell r="J1678" t="str">
            <v>SG-eburymass-01/2026</v>
          </cell>
          <cell r="K1678" t="str">
            <v>Settled</v>
          </cell>
        </row>
        <row r="1679">
          <cell r="J1679" t="str">
            <v>SG-eburymass-02/2026</v>
          </cell>
          <cell r="K1679" t="str">
            <v>Settled</v>
          </cell>
        </row>
        <row r="1680">
          <cell r="J1680" t="str">
            <v>SG-eburymass-03/2026</v>
          </cell>
          <cell r="K1680" t="str">
            <v>Settled</v>
          </cell>
        </row>
        <row r="1681">
          <cell r="J1681" t="str">
            <v>SG-eburymass-04/2026</v>
          </cell>
          <cell r="K1681" t="str">
            <v>Settled</v>
          </cell>
        </row>
        <row r="1682">
          <cell r="J1682" t="str">
            <v>SG-eburymass-05/2026</v>
          </cell>
          <cell r="K1682" t="str">
            <v>Settled</v>
          </cell>
        </row>
        <row r="1683">
          <cell r="J1683" t="str">
            <v>SG-Ebury Partners UK Limited-11/2022</v>
          </cell>
          <cell r="K1683" t="str">
            <v>Settled</v>
          </cell>
        </row>
        <row r="1684">
          <cell r="J1684" t="str">
            <v>SG-Ebury Partners UK Limited-12/2022</v>
          </cell>
          <cell r="K1684" t="str">
            <v>Settled</v>
          </cell>
        </row>
        <row r="1685">
          <cell r="J1685" t="str">
            <v>SG-Ebury Partners UK Limited-01/2023</v>
          </cell>
          <cell r="K1685" t="str">
            <v>Settled</v>
          </cell>
        </row>
        <row r="1686">
          <cell r="J1686" t="str">
            <v>SG-EburyPartUKLtd-02/2023</v>
          </cell>
          <cell r="K1686" t="str">
            <v>Settled</v>
          </cell>
        </row>
        <row r="1687">
          <cell r="J1687" t="str">
            <v>SG-EburyPartUKLtd-03/2023</v>
          </cell>
          <cell r="K1687" t="str">
            <v>Settled</v>
          </cell>
        </row>
        <row r="1688">
          <cell r="J1688" t="str">
            <v>SG-EburyPartUKLtd-04/2023</v>
          </cell>
          <cell r="K1688" t="str">
            <v>Settled</v>
          </cell>
        </row>
        <row r="1689">
          <cell r="J1689" t="str">
            <v>SG-EburyPartUKLtd-05/2023</v>
          </cell>
          <cell r="K1689" t="str">
            <v>Settled</v>
          </cell>
        </row>
        <row r="1690">
          <cell r="J1690" t="str">
            <v>SG-EburyPartUKLtd-06/2023</v>
          </cell>
          <cell r="K1690" t="str">
            <v>Settled</v>
          </cell>
        </row>
        <row r="1691">
          <cell r="J1691" t="str">
            <v>SG-EburyPartUKLtd-07/2023</v>
          </cell>
          <cell r="K1691" t="str">
            <v>Settled</v>
          </cell>
        </row>
        <row r="1692">
          <cell r="J1692" t="str">
            <v>SG -EburyPartUKLtd-08/2023</v>
          </cell>
          <cell r="K1692" t="str">
            <v>Settled</v>
          </cell>
        </row>
        <row r="1693">
          <cell r="J1693" t="str">
            <v>SG-EburyPartUKLtd-09/2023</v>
          </cell>
          <cell r="K1693" t="str">
            <v>Settled</v>
          </cell>
        </row>
        <row r="1694">
          <cell r="J1694" t="str">
            <v>SG-EburyPartUKLtd-10/2023</v>
          </cell>
          <cell r="K1694" t="str">
            <v>Settled</v>
          </cell>
        </row>
        <row r="1695">
          <cell r="J1695" t="str">
            <v>SG-EburyPartUKLtd-11/2023</v>
          </cell>
          <cell r="K1695" t="str">
            <v>Settled</v>
          </cell>
        </row>
        <row r="1696">
          <cell r="J1696" t="str">
            <v>SG-EburyPartUKLtd-12/2023</v>
          </cell>
          <cell r="K1696" t="str">
            <v>Settled</v>
          </cell>
        </row>
        <row r="1697">
          <cell r="J1697" t="str">
            <v>SG-EburyPartUKLtd-01/2024</v>
          </cell>
          <cell r="K1697" t="str">
            <v>Settled</v>
          </cell>
        </row>
        <row r="1698">
          <cell r="J1698" t="str">
            <v>SG-EburyPartUKLtd-02/2024</v>
          </cell>
          <cell r="K1698" t="str">
            <v>Settled</v>
          </cell>
        </row>
        <row r="1699">
          <cell r="J1699" t="str">
            <v>SG-EburyPartUKLtd-03/2024</v>
          </cell>
          <cell r="K1699" t="str">
            <v>Settled</v>
          </cell>
        </row>
        <row r="1700">
          <cell r="J1700" t="str">
            <v>SG-EburyPartUKLtd-04/2024</v>
          </cell>
          <cell r="K1700" t="str">
            <v>Settled</v>
          </cell>
        </row>
        <row r="1701">
          <cell r="J1701" t="str">
            <v>SG-EburyPartUKLtd-05/2024</v>
          </cell>
          <cell r="K1701" t="str">
            <v>Settled</v>
          </cell>
        </row>
        <row r="1702">
          <cell r="J1702" t="str">
            <v>SG-EburyPartUKLtd-06/2024</v>
          </cell>
          <cell r="K1702" t="str">
            <v>Settled</v>
          </cell>
        </row>
        <row r="1703">
          <cell r="J1703" t="str">
            <v>SG-CN-EburyPartUKLtd-07-2024</v>
          </cell>
          <cell r="K1703" t="str">
            <v>Settled</v>
          </cell>
        </row>
        <row r="1704">
          <cell r="J1704" t="str">
            <v>SG-EburyPartUKLtd-07/2024</v>
          </cell>
          <cell r="K1704" t="str">
            <v>Settled</v>
          </cell>
        </row>
        <row r="1705">
          <cell r="J1705" t="str">
            <v>SG-CN-EburyPartUKLtd-06-2024</v>
          </cell>
          <cell r="K1705" t="str">
            <v>Settled</v>
          </cell>
        </row>
        <row r="1706">
          <cell r="J1706" t="str">
            <v>SG-CN-EburyPartUKLtd-08-2024</v>
          </cell>
          <cell r="K1706" t="str">
            <v>Settled</v>
          </cell>
        </row>
        <row r="1707">
          <cell r="J1707" t="str">
            <v>SG-EburyPartUKLtd-08/2024</v>
          </cell>
          <cell r="K1707" t="str">
            <v>Settled</v>
          </cell>
        </row>
        <row r="1708">
          <cell r="J1708" t="str">
            <v>SG-CN-EburyPartUKLtd-09-2024</v>
          </cell>
          <cell r="K1708" t="str">
            <v>Settled</v>
          </cell>
        </row>
        <row r="1709">
          <cell r="J1709" t="str">
            <v>SG-DN-EburyPartUKLtd-09-2024</v>
          </cell>
          <cell r="K1709" t="str">
            <v>Settled</v>
          </cell>
        </row>
        <row r="1710">
          <cell r="J1710" t="str">
            <v>SG-EburyPartUKLtd-09/2024</v>
          </cell>
          <cell r="K1710" t="str">
            <v>Settled</v>
          </cell>
        </row>
        <row r="1711">
          <cell r="J1711" t="str">
            <v>SG-DN-EburyPartUKLtd-10-2024</v>
          </cell>
          <cell r="K1711" t="str">
            <v>Settled</v>
          </cell>
        </row>
        <row r="1712">
          <cell r="J1712" t="str">
            <v>SG-EburyPartUKLtd-10/2024</v>
          </cell>
          <cell r="K1712" t="str">
            <v>Settled</v>
          </cell>
        </row>
        <row r="1713">
          <cell r="J1713" t="str">
            <v>SG-CN-EburyPartUKLtd-11-2024</v>
          </cell>
          <cell r="K1713" t="str">
            <v>Settled</v>
          </cell>
        </row>
        <row r="1714">
          <cell r="J1714" t="str">
            <v>SG-EburyPartUKLtd-11/2024</v>
          </cell>
          <cell r="K1714" t="str">
            <v>Settled</v>
          </cell>
        </row>
        <row r="1715">
          <cell r="J1715" t="str">
            <v>SG-EburyPartUKLtd-12/2024</v>
          </cell>
          <cell r="K1715" t="str">
            <v>Settled</v>
          </cell>
        </row>
        <row r="1716">
          <cell r="J1716" t="str">
            <v>SG-CN-EburyPartUKLtd-01-2025</v>
          </cell>
          <cell r="K1716" t="str">
            <v>Settled</v>
          </cell>
        </row>
        <row r="1717">
          <cell r="J1717" t="str">
            <v>SG-EburyPartUKLtd-01/2025</v>
          </cell>
          <cell r="K1717" t="str">
            <v>Settled</v>
          </cell>
        </row>
        <row r="1718">
          <cell r="J1718" t="str">
            <v>SG-CN-EburyPartUKLtd-02-2025</v>
          </cell>
          <cell r="K1718" t="str">
            <v>Settled</v>
          </cell>
        </row>
        <row r="1719">
          <cell r="J1719" t="str">
            <v>SG-EburyPartUKLtd-02/2025</v>
          </cell>
          <cell r="K1719" t="str">
            <v>Settled</v>
          </cell>
        </row>
        <row r="1720">
          <cell r="J1720" t="str">
            <v>SG-EburyPartUKLtd-03/2025</v>
          </cell>
          <cell r="K1720" t="str">
            <v>Settled</v>
          </cell>
        </row>
        <row r="1721">
          <cell r="J1721" t="str">
            <v>SG-CN-EburyPartUKLtd-03-2025</v>
          </cell>
          <cell r="K1721" t="str">
            <v>Settled</v>
          </cell>
        </row>
        <row r="1722">
          <cell r="J1722" t="str">
            <v>SG-EburyPartUKLtd-04/2025</v>
          </cell>
          <cell r="K1722" t="str">
            <v>Settled</v>
          </cell>
        </row>
        <row r="1723">
          <cell r="J1723" t="str">
            <v>SG-CN-EburyPartUKLtd-04-2025</v>
          </cell>
          <cell r="K1723" t="str">
            <v>Settled</v>
          </cell>
        </row>
        <row r="1724">
          <cell r="J1724" t="str">
            <v>SG-CN-EburyPartUKLtd-05-2025</v>
          </cell>
          <cell r="K1724" t="str">
            <v>Settled</v>
          </cell>
        </row>
        <row r="1725">
          <cell r="J1725" t="str">
            <v>SG-EburyPartUKLtd-05/2025</v>
          </cell>
          <cell r="K1725" t="str">
            <v>Settled</v>
          </cell>
        </row>
        <row r="1726">
          <cell r="J1726" t="str">
            <v>SG-EburyPartUKLtd-06/2025</v>
          </cell>
          <cell r="K1726" t="str">
            <v>Settled</v>
          </cell>
        </row>
        <row r="1727">
          <cell r="J1727" t="str">
            <v>SG-CN-EburyPartUKLtd-09-2025</v>
          </cell>
          <cell r="K1727" t="str">
            <v>Settled</v>
          </cell>
        </row>
        <row r="1728">
          <cell r="J1728" t="str">
            <v>SG-EburyPartUKLtd-09/2025</v>
          </cell>
          <cell r="K1728" t="str">
            <v>Settled</v>
          </cell>
        </row>
        <row r="1729">
          <cell r="J1729" t="str">
            <v>SG-CN-EburyPartUKLtd-10/2025</v>
          </cell>
          <cell r="K1729" t="str">
            <v>Settled</v>
          </cell>
        </row>
        <row r="1730">
          <cell r="J1730" t="str">
            <v>SG-EburyPartUKLtd-10/2025</v>
          </cell>
          <cell r="K1730" t="str">
            <v>Settled</v>
          </cell>
        </row>
        <row r="1731">
          <cell r="J1731" t="str">
            <v>SG-EburyPartUKLtd-11/2025</v>
          </cell>
          <cell r="K1731" t="str">
            <v>Settled</v>
          </cell>
        </row>
        <row r="1732">
          <cell r="J1732" t="str">
            <v>SG-CN-EburyPartUKLtd-11-2025</v>
          </cell>
          <cell r="K1732" t="str">
            <v>Settled</v>
          </cell>
        </row>
        <row r="1733">
          <cell r="J1733" t="str">
            <v>SG-CN-EburyPartUKLtd-12-2025</v>
          </cell>
          <cell r="K1733" t="str">
            <v>Settled</v>
          </cell>
        </row>
        <row r="1734">
          <cell r="J1734" t="str">
            <v>SG-EburyPartUKLtd-12/2025</v>
          </cell>
          <cell r="K1734" t="str">
            <v>Settled</v>
          </cell>
        </row>
        <row r="1735">
          <cell r="J1735" t="str">
            <v>SG-CN-EburyPartUKLtd-01-2026</v>
          </cell>
          <cell r="K1735" t="str">
            <v>Settled</v>
          </cell>
        </row>
        <row r="1736">
          <cell r="J1736" t="str">
            <v>SG-EburyPartUKLtd-01/2026</v>
          </cell>
          <cell r="K1736" t="str">
            <v>Settled</v>
          </cell>
        </row>
        <row r="1737">
          <cell r="J1737" t="str">
            <v>SG-CN-EburyPartUKLtd-02-2026</v>
          </cell>
          <cell r="K1737" t="str">
            <v>Settled</v>
          </cell>
        </row>
        <row r="1738">
          <cell r="J1738" t="str">
            <v>SG-EburyPartUKLtd-02/2026</v>
          </cell>
          <cell r="K1738" t="str">
            <v>Settled</v>
          </cell>
        </row>
        <row r="1739">
          <cell r="J1739" t="str">
            <v>SG-CN-EburyPartUKLtd-03-2026</v>
          </cell>
          <cell r="K1739" t="str">
            <v>Settled</v>
          </cell>
        </row>
        <row r="1740">
          <cell r="J1740" t="str">
            <v>SG-EburyPartUKLtd-03/2026</v>
          </cell>
          <cell r="K1740" t="str">
            <v>Settled</v>
          </cell>
        </row>
        <row r="1741">
          <cell r="J1741" t="str">
            <v>SG-CN-EburyPartUKLtd-04-2026</v>
          </cell>
          <cell r="K1741" t="str">
            <v>Settled</v>
          </cell>
        </row>
        <row r="1742">
          <cell r="J1742" t="str">
            <v>SG-EburyPartUKLtd-04/2026</v>
          </cell>
          <cell r="K1742" t="str">
            <v>Settled</v>
          </cell>
        </row>
        <row r="1743">
          <cell r="J1743" t="str">
            <v>SG-CN-EburyPartUKLtd-05-2026</v>
          </cell>
          <cell r="K1743" t="str">
            <v>Settled</v>
          </cell>
        </row>
        <row r="1744">
          <cell r="J1744" t="str">
            <v>SG-EburyPartUKLtd-05/2026</v>
          </cell>
          <cell r="K1744" t="str">
            <v>Settled</v>
          </cell>
        </row>
        <row r="1745">
          <cell r="J1745" t="str">
            <v>SG-CN-EburyPartUKLtd-06-2025</v>
          </cell>
          <cell r="K1745" t="str">
            <v>Settled</v>
          </cell>
        </row>
        <row r="1746">
          <cell r="J1746" t="str">
            <v>SG-CN-EburyPartUKLtd-07-2025</v>
          </cell>
          <cell r="K1746" t="str">
            <v>Settled</v>
          </cell>
        </row>
        <row r="1747">
          <cell r="J1747" t="str">
            <v>SG-EburyPartUKLtd-07/2025</v>
          </cell>
          <cell r="K1747" t="str">
            <v>Settled</v>
          </cell>
        </row>
        <row r="1748">
          <cell r="J1748" t="str">
            <v>SG-CN-EburyPartUKLtd-08-2025</v>
          </cell>
          <cell r="K1748" t="str">
            <v>Settled</v>
          </cell>
        </row>
        <row r="1749">
          <cell r="J1749" t="str">
            <v>SG-EburyPartUKLtd-08/2025</v>
          </cell>
          <cell r="K1749" t="str">
            <v>Settled</v>
          </cell>
        </row>
        <row r="1750">
          <cell r="J1750" t="str">
            <v>SG -ECOMMBX LIMITED-03/2022</v>
          </cell>
          <cell r="K1750" t="str">
            <v>Settled</v>
          </cell>
        </row>
        <row r="1751">
          <cell r="J1751" t="str">
            <v>SG -ECOMMBX LIMITED-04/2022</v>
          </cell>
          <cell r="K1751" t="str">
            <v>Settled</v>
          </cell>
        </row>
        <row r="1752">
          <cell r="J1752" t="str">
            <v>SG -ECOMMBX LIMITED-06/2022</v>
          </cell>
          <cell r="K1752" t="str">
            <v>Settled</v>
          </cell>
        </row>
        <row r="1753">
          <cell r="J1753" t="str">
            <v>SG-ECOMMBX LIMITED-08/2022</v>
          </cell>
          <cell r="K1753" t="str">
            <v>Settled</v>
          </cell>
        </row>
        <row r="1754">
          <cell r="J1754" t="str">
            <v>SG-ECOMMBX LIMITED-09/2022</v>
          </cell>
          <cell r="K1754" t="str">
            <v>Settled</v>
          </cell>
        </row>
        <row r="1755">
          <cell r="J1755" t="str">
            <v>SG-ECOMMBX LIMITED-10/2022</v>
          </cell>
          <cell r="K1755" t="str">
            <v>Settled</v>
          </cell>
        </row>
        <row r="1756">
          <cell r="J1756" t="str">
            <v>SG-ECOMMBX LIMITED-11/2022</v>
          </cell>
          <cell r="K1756" t="str">
            <v>Settled</v>
          </cell>
        </row>
        <row r="1757">
          <cell r="J1757" t="str">
            <v>SG-ECOMMBX LIMITED-12/2022</v>
          </cell>
          <cell r="K1757" t="str">
            <v>Settled</v>
          </cell>
        </row>
        <row r="1758">
          <cell r="J1758" t="str">
            <v>SG-ECOMMBX LIMITED-06/2023</v>
          </cell>
          <cell r="K1758" t="str">
            <v>Settled</v>
          </cell>
        </row>
        <row r="1759">
          <cell r="J1759" t="str">
            <v>SG-ECOMMBX LIMITED-07/2023</v>
          </cell>
          <cell r="K1759" t="str">
            <v>Settled</v>
          </cell>
        </row>
        <row r="1760">
          <cell r="J1760" t="str">
            <v>SG-ECOMMBX LIMITED-09/2023</v>
          </cell>
          <cell r="K1760" t="str">
            <v>Settled</v>
          </cell>
        </row>
        <row r="1761">
          <cell r="J1761" t="str">
            <v>SG-ECOMMBX LIMITED-01/2024</v>
          </cell>
          <cell r="K1761" t="str">
            <v>Settled</v>
          </cell>
        </row>
        <row r="1762">
          <cell r="J1762" t="str">
            <v>SG-ECOMMBX LIMITED-01/2023</v>
          </cell>
          <cell r="K1762" t="str">
            <v>Settled</v>
          </cell>
        </row>
        <row r="1763">
          <cell r="J1763" t="str">
            <v>SG-ECOMMBX LIMITED-02/2023</v>
          </cell>
          <cell r="K1763" t="str">
            <v>Settled</v>
          </cell>
        </row>
        <row r="1764">
          <cell r="J1764" t="str">
            <v>SG-ECOMMBX LIMITED-03/2023</v>
          </cell>
          <cell r="K1764" t="str">
            <v>Settled</v>
          </cell>
        </row>
        <row r="1765">
          <cell r="J1765" t="str">
            <v>SG-ECOMMBX LIMITED-04/2023</v>
          </cell>
          <cell r="K1765" t="str">
            <v>Settled</v>
          </cell>
        </row>
        <row r="1766">
          <cell r="J1766" t="str">
            <v>SG-ECOMMBX LIMITED-05/2023</v>
          </cell>
          <cell r="K1766" t="str">
            <v>Settled</v>
          </cell>
        </row>
        <row r="1767">
          <cell r="J1767" t="str">
            <v>SG -ECOMMBX LIMITED-08/2023</v>
          </cell>
          <cell r="K1767" t="str">
            <v>Settled</v>
          </cell>
        </row>
        <row r="1768">
          <cell r="J1768" t="str">
            <v>SG-ECOMMBX LIMITED-10/2023</v>
          </cell>
          <cell r="K1768" t="str">
            <v>Settled</v>
          </cell>
        </row>
        <row r="1769">
          <cell r="J1769" t="str">
            <v>SG-ECOMMBX-11/2023</v>
          </cell>
          <cell r="K1769" t="str">
            <v>Settled</v>
          </cell>
        </row>
        <row r="1770">
          <cell r="J1770" t="str">
            <v>SG-ECOMMBX LIMITED-12/2023</v>
          </cell>
          <cell r="K1770" t="str">
            <v>Settled</v>
          </cell>
        </row>
        <row r="1771">
          <cell r="J1771" t="str">
            <v>SG-ECOMMBX LIMITED-02/2024</v>
          </cell>
          <cell r="K1771" t="str">
            <v>Settled</v>
          </cell>
        </row>
        <row r="1772">
          <cell r="J1772" t="str">
            <v>SG-ECOMMBX LIMITED-03/2024</v>
          </cell>
          <cell r="K1772" t="str">
            <v>Settled</v>
          </cell>
        </row>
        <row r="1773">
          <cell r="J1773" t="str">
            <v>SG-ECOMMBX LIMITED-04/2024</v>
          </cell>
          <cell r="K1773" t="str">
            <v>Settled</v>
          </cell>
        </row>
        <row r="1774">
          <cell r="J1774" t="str">
            <v>SG-ECOMMBX LIMITED-05/2024</v>
          </cell>
          <cell r="K1774" t="str">
            <v>Settled</v>
          </cell>
        </row>
        <row r="1775">
          <cell r="J1775" t="str">
            <v>SG-ECOMMBX LIMITED-06/2024</v>
          </cell>
          <cell r="K1775" t="str">
            <v>Settled</v>
          </cell>
        </row>
        <row r="1776">
          <cell r="J1776" t="str">
            <v>SG-ECOMMBX LIMITED-07/2024</v>
          </cell>
          <cell r="K1776" t="str">
            <v>Settled</v>
          </cell>
        </row>
        <row r="1777">
          <cell r="J1777" t="str">
            <v>SG-ECOMMBX LIMITED-07/2024</v>
          </cell>
          <cell r="K1777" t="str">
            <v>Settled</v>
          </cell>
        </row>
        <row r="1778">
          <cell r="J1778" t="str">
            <v>SG -ELEKSE ELEKTRONIK-08/2023</v>
          </cell>
          <cell r="K1778" t="str">
            <v>Settled</v>
          </cell>
        </row>
        <row r="1779">
          <cell r="J1779" t="str">
            <v>SG-ELEKSE-09/2023</v>
          </cell>
          <cell r="K1779" t="str">
            <v>Settled</v>
          </cell>
        </row>
        <row r="1780">
          <cell r="J1780" t="str">
            <v>SG-ELEKSE ELEKTRONIK-10/2023</v>
          </cell>
          <cell r="K1780" t="str">
            <v>Settled</v>
          </cell>
        </row>
        <row r="1781">
          <cell r="J1781" t="str">
            <v>SG-ELEKSE ELEKTRONIK-11/2023</v>
          </cell>
          <cell r="K1781" t="str">
            <v>Settled</v>
          </cell>
        </row>
        <row r="1782">
          <cell r="J1782" t="str">
            <v>SG-ELEKSE-12/2023</v>
          </cell>
          <cell r="K1782" t="str">
            <v>Settled</v>
          </cell>
        </row>
        <row r="1783">
          <cell r="J1783" t="str">
            <v>SG-ELEKSE ELEKTRONIK-01/2024</v>
          </cell>
          <cell r="K1783" t="str">
            <v>Settled</v>
          </cell>
        </row>
        <row r="1784">
          <cell r="J1784" t="str">
            <v>SG-ELEKSE ELEKTRONIK-02/2024</v>
          </cell>
          <cell r="K1784" t="str">
            <v>Settled</v>
          </cell>
        </row>
        <row r="1785">
          <cell r="J1785" t="str">
            <v>SG-CN-ELEKSE ELEKTRONIK-01-2024</v>
          </cell>
          <cell r="K1785" t="str">
            <v>Settled</v>
          </cell>
        </row>
        <row r="1786">
          <cell r="J1786" t="str">
            <v>SG-CN-ELEKSE ELEKTRONIK-02-2024</v>
          </cell>
          <cell r="K1786" t="str">
            <v>Settled</v>
          </cell>
        </row>
        <row r="1787">
          <cell r="J1787" t="str">
            <v>SG-CN-ELEKSE ELEKTRONIK-12-2023</v>
          </cell>
          <cell r="K1787" t="str">
            <v>Settled</v>
          </cell>
        </row>
        <row r="1788">
          <cell r="J1788" t="str">
            <v>SG-CN-ELEKSE ELEKTRONIK-11-2023</v>
          </cell>
          <cell r="K1788" t="str">
            <v>Settled</v>
          </cell>
        </row>
        <row r="1789">
          <cell r="J1789" t="str">
            <v>SG-ELEKSE ELEKTRONIK-10/2024</v>
          </cell>
          <cell r="K1789" t="str">
            <v>Settled</v>
          </cell>
        </row>
        <row r="1790">
          <cell r="J1790" t="str">
            <v>SG-ELEKSE ELEKTRONIK-11/2024</v>
          </cell>
          <cell r="K1790" t="str">
            <v>Settled</v>
          </cell>
        </row>
        <row r="1791">
          <cell r="J1791" t="str">
            <v>SG-Emirates India-11/2022</v>
          </cell>
          <cell r="K1791" t="str">
            <v>Settled</v>
          </cell>
        </row>
        <row r="1792">
          <cell r="J1792" t="str">
            <v>SG-Emirates India-01/2023</v>
          </cell>
          <cell r="K1792" t="str">
            <v>Write Off</v>
          </cell>
        </row>
        <row r="1793">
          <cell r="J1793" t="str">
            <v>SG-eurostar global services pte. ltd.-11/2022</v>
          </cell>
          <cell r="K1793" t="str">
            <v>Settled</v>
          </cell>
        </row>
        <row r="1794">
          <cell r="J1794" t="str">
            <v>SG-eurostar-03/2023</v>
          </cell>
          <cell r="K1794" t="str">
            <v>Settled</v>
          </cell>
        </row>
        <row r="1795">
          <cell r="J1795" t="str">
            <v>SG-eurostar-04/2023</v>
          </cell>
          <cell r="K1795" t="str">
            <v>Settled</v>
          </cell>
        </row>
        <row r="1796">
          <cell r="J1796" t="str">
            <v>SG-eurostar-05/2023</v>
          </cell>
          <cell r="K1796" t="str">
            <v>Settled</v>
          </cell>
        </row>
        <row r="1797">
          <cell r="J1797" t="str">
            <v>SG-eurostar-06/2023</v>
          </cell>
          <cell r="K1797" t="str">
            <v>Settled</v>
          </cell>
        </row>
        <row r="1798">
          <cell r="J1798" t="str">
            <v>SG-eurostar-07/2023</v>
          </cell>
          <cell r="K1798" t="str">
            <v>Settled</v>
          </cell>
        </row>
        <row r="1799">
          <cell r="J1799" t="str">
            <v>SG -eurostar-08/2023</v>
          </cell>
          <cell r="K1799" t="str">
            <v>Settled</v>
          </cell>
        </row>
        <row r="1800">
          <cell r="J1800" t="str">
            <v>SG-eurostar-09/2023</v>
          </cell>
          <cell r="K1800" t="str">
            <v>Settled</v>
          </cell>
        </row>
        <row r="1801">
          <cell r="J1801" t="str">
            <v>SG-eurostar-10/2023</v>
          </cell>
          <cell r="K1801" t="str">
            <v>Settled</v>
          </cell>
        </row>
        <row r="1802">
          <cell r="J1802" t="str">
            <v>SG-eurostar-11/2023</v>
          </cell>
          <cell r="K1802" t="str">
            <v>Settled</v>
          </cell>
        </row>
        <row r="1803">
          <cell r="J1803" t="str">
            <v>HK-Everpro-12/2023</v>
          </cell>
          <cell r="K1803" t="str">
            <v>Waived Off</v>
          </cell>
        </row>
        <row r="1804">
          <cell r="J1804" t="str">
            <v>HK-Everpro-02/2024</v>
          </cell>
          <cell r="K1804" t="str">
            <v>Waived Off</v>
          </cell>
        </row>
        <row r="1805">
          <cell r="J1805" t="str">
            <v>HK-Everpro-03/2024</v>
          </cell>
          <cell r="K1805" t="str">
            <v>Settled</v>
          </cell>
        </row>
        <row r="1806">
          <cell r="J1806" t="str">
            <v>HK-Everpro-04/2024</v>
          </cell>
          <cell r="K1806" t="str">
            <v>Settled</v>
          </cell>
        </row>
        <row r="1807">
          <cell r="J1807" t="str">
            <v>HK-Everpro-05/2024</v>
          </cell>
          <cell r="K1807" t="str">
            <v>Settled</v>
          </cell>
        </row>
        <row r="1808">
          <cell r="J1808" t="str">
            <v>HK-Everpro-06/2024</v>
          </cell>
          <cell r="K1808" t="str">
            <v>Settled</v>
          </cell>
        </row>
        <row r="1809">
          <cell r="J1809" t="str">
            <v>HK-Everpro-07/2024</v>
          </cell>
          <cell r="K1809" t="str">
            <v>Settled</v>
          </cell>
        </row>
        <row r="1810">
          <cell r="J1810" t="str">
            <v>HK-Everpro-08/2024</v>
          </cell>
          <cell r="K1810" t="str">
            <v>Settled</v>
          </cell>
        </row>
        <row r="1811">
          <cell r="J1811" t="str">
            <v>HK-Everpro-09/2024</v>
          </cell>
          <cell r="K1811" t="str">
            <v>Settled</v>
          </cell>
        </row>
        <row r="1812">
          <cell r="J1812" t="str">
            <v>HK-Everpro-10/2024</v>
          </cell>
          <cell r="K1812" t="str">
            <v>Settled</v>
          </cell>
        </row>
        <row r="1813">
          <cell r="J1813" t="str">
            <v>HK-Everpro-11/2024</v>
          </cell>
          <cell r="K1813" t="str">
            <v>Settled</v>
          </cell>
        </row>
        <row r="1814">
          <cell r="J1814" t="str">
            <v>HK-Everpro-12/2024</v>
          </cell>
          <cell r="K1814" t="str">
            <v>Settled</v>
          </cell>
        </row>
        <row r="1815">
          <cell r="J1815" t="str">
            <v>HK-Everpro-01/2025</v>
          </cell>
          <cell r="K1815" t="str">
            <v>Settled</v>
          </cell>
        </row>
        <row r="1816">
          <cell r="J1816" t="str">
            <v>HK-Everpro-02/2025</v>
          </cell>
          <cell r="K1816" t="str">
            <v>Settled</v>
          </cell>
        </row>
        <row r="1817">
          <cell r="J1817" t="str">
            <v>HK-Everpro-03/2025</v>
          </cell>
          <cell r="K1817" t="str">
            <v>Settled</v>
          </cell>
        </row>
        <row r="1818">
          <cell r="J1818" t="str">
            <v>HK-Everpro-04/2025</v>
          </cell>
          <cell r="K1818" t="str">
            <v>Settled</v>
          </cell>
        </row>
        <row r="1819">
          <cell r="J1819" t="str">
            <v>HK-Everpro-05/2025</v>
          </cell>
          <cell r="K1819" t="str">
            <v>Settled</v>
          </cell>
        </row>
        <row r="1820">
          <cell r="J1820" t="str">
            <v>HK-Everpro-06/2025</v>
          </cell>
          <cell r="K1820" t="str">
            <v>Settled</v>
          </cell>
        </row>
        <row r="1821">
          <cell r="J1821" t="str">
            <v>HK-Everpro-07/2025</v>
          </cell>
          <cell r="K1821" t="str">
            <v>Settled</v>
          </cell>
        </row>
        <row r="1822">
          <cell r="J1822" t="str">
            <v>HK-Everpro-08/2025</v>
          </cell>
          <cell r="K1822" t="str">
            <v>Settled</v>
          </cell>
        </row>
        <row r="1823">
          <cell r="J1823" t="str">
            <v>HK-Everpro-09/2025</v>
          </cell>
          <cell r="K1823" t="str">
            <v>Settled</v>
          </cell>
        </row>
        <row r="1824">
          <cell r="J1824" t="str">
            <v>HK-Everpro-10/2025</v>
          </cell>
          <cell r="K1824" t="str">
            <v>Settled</v>
          </cell>
        </row>
        <row r="1825">
          <cell r="J1825" t="str">
            <v>HK-Everpro-11/2025</v>
          </cell>
          <cell r="K1825" t="str">
            <v>Settled</v>
          </cell>
        </row>
        <row r="1826">
          <cell r="J1826" t="str">
            <v>HK-Everpro-12/2025</v>
          </cell>
          <cell r="K1826" t="str">
            <v>Settled</v>
          </cell>
        </row>
        <row r="1827">
          <cell r="J1827" t="str">
            <v>HK-Everpro-01/2026</v>
          </cell>
          <cell r="K1827" t="str">
            <v>Settled</v>
          </cell>
        </row>
        <row r="1828">
          <cell r="J1828" t="str">
            <v>HK-Everpro-02/2026</v>
          </cell>
          <cell r="K1828" t="str">
            <v>Settled</v>
          </cell>
        </row>
        <row r="1829">
          <cell r="J1829" t="str">
            <v>HK-Everpro-03/2026</v>
          </cell>
          <cell r="K1829" t="str">
            <v>Settled</v>
          </cell>
        </row>
        <row r="1830">
          <cell r="J1830" t="str">
            <v>HK-Everpro-04/2026</v>
          </cell>
          <cell r="K1830" t="str">
            <v>Overdue</v>
          </cell>
        </row>
        <row r="1831">
          <cell r="J1831" t="str">
            <v>HK-Everpro-05/2026</v>
          </cell>
          <cell r="K1831" t="str">
            <v>Overdue</v>
          </cell>
        </row>
        <row r="1832">
          <cell r="J1832" t="str">
            <v>MY-EZ Money-03/2026</v>
          </cell>
          <cell r="K1832" t="str">
            <v>Overdue</v>
          </cell>
        </row>
        <row r="1833">
          <cell r="J1833" t="str">
            <v>MY-EZ Money-04/2026</v>
          </cell>
          <cell r="K1833" t="str">
            <v>Overdue</v>
          </cell>
        </row>
        <row r="1834">
          <cell r="J1834" t="str">
            <v>MY-EZ Money-02/2025</v>
          </cell>
          <cell r="K1834" t="str">
            <v>Settled</v>
          </cell>
        </row>
        <row r="1835">
          <cell r="J1835" t="str">
            <v>MY-EZ Money-05/2026</v>
          </cell>
          <cell r="K1835" t="str">
            <v>Settled</v>
          </cell>
        </row>
        <row r="1836">
          <cell r="J1836" t="str">
            <v>US -Fair Fintech Inc-10/2021</v>
          </cell>
          <cell r="K1836" t="str">
            <v>Waived Off</v>
          </cell>
        </row>
        <row r="1837">
          <cell r="J1837" t="str">
            <v>US -Fair Fintech Inc-11/2021</v>
          </cell>
          <cell r="K1837" t="str">
            <v>Waived Off</v>
          </cell>
        </row>
        <row r="1838">
          <cell r="J1838" t="str">
            <v>US -Fair Fintech Inc-12/2021</v>
          </cell>
          <cell r="K1838" t="str">
            <v>Waived Off</v>
          </cell>
        </row>
        <row r="1839">
          <cell r="J1839" t="str">
            <v>US -Fair Fintech Inc-01/2022</v>
          </cell>
          <cell r="K1839" t="str">
            <v>Waived Off</v>
          </cell>
        </row>
        <row r="1840">
          <cell r="J1840" t="str">
            <v>US -Fair Fintech Inc-02/2022</v>
          </cell>
          <cell r="K1840" t="str">
            <v>Waived Off</v>
          </cell>
        </row>
        <row r="1841">
          <cell r="J1841" t="str">
            <v>US -Fair Fintech Inc-03/2022</v>
          </cell>
          <cell r="K1841" t="str">
            <v>Waived Off</v>
          </cell>
        </row>
        <row r="1842">
          <cell r="J1842" t="str">
            <v>US -Fair Fintech Inc-04/2022</v>
          </cell>
          <cell r="K1842" t="str">
            <v>Waived Off</v>
          </cell>
        </row>
        <row r="1843">
          <cell r="J1843" t="str">
            <v>US -Fair Fintech Inc-05/2022</v>
          </cell>
          <cell r="K1843" t="str">
            <v>Waived Off</v>
          </cell>
        </row>
        <row r="1844">
          <cell r="J1844" t="str">
            <v>US -Fair Fintech Inc-06/2022</v>
          </cell>
          <cell r="K1844" t="str">
            <v>Waived Off</v>
          </cell>
        </row>
        <row r="1845">
          <cell r="J1845" t="str">
            <v>US-Fair Fintech-07/2022</v>
          </cell>
          <cell r="K1845" t="str">
            <v>Waived Off</v>
          </cell>
        </row>
        <row r="1846">
          <cell r="J1846" t="str">
            <v>US-Fair Fintech-08/2022</v>
          </cell>
          <cell r="K1846" t="str">
            <v>Waived Off</v>
          </cell>
        </row>
        <row r="1847">
          <cell r="J1847" t="str">
            <v>US-Fair Fintech-09/2022</v>
          </cell>
          <cell r="K1847" t="str">
            <v>Waived Off</v>
          </cell>
        </row>
        <row r="1848">
          <cell r="J1848" t="str">
            <v>US-Fair Fintech-10/2022</v>
          </cell>
          <cell r="K1848" t="str">
            <v>Waived Off</v>
          </cell>
        </row>
        <row r="1849">
          <cell r="J1849" t="str">
            <v>US-Fair Fintech Inc-11/2022</v>
          </cell>
          <cell r="K1849" t="str">
            <v>Waived Off</v>
          </cell>
        </row>
        <row r="1850">
          <cell r="J1850" t="str">
            <v>US-Fair Fintech Inc-12/2022</v>
          </cell>
          <cell r="K1850" t="str">
            <v>Write Off</v>
          </cell>
        </row>
        <row r="1851">
          <cell r="J1851" t="str">
            <v>US-Fair Fintech Inc-01/2023</v>
          </cell>
          <cell r="K1851" t="str">
            <v>Write Off</v>
          </cell>
        </row>
        <row r="1852">
          <cell r="J1852" t="str">
            <v>SG-FALCON-09/2023</v>
          </cell>
          <cell r="K1852" t="str">
            <v>Settled</v>
          </cell>
        </row>
        <row r="1853">
          <cell r="J1853" t="str">
            <v>SG-FALCON-10/2023</v>
          </cell>
          <cell r="K1853" t="str">
            <v>Settled</v>
          </cell>
        </row>
        <row r="1854">
          <cell r="J1854" t="str">
            <v>SG-FALCON-11/2023</v>
          </cell>
          <cell r="K1854" t="str">
            <v>Settled</v>
          </cell>
        </row>
        <row r="1855">
          <cell r="J1855" t="str">
            <v>EU-FINCI, UAB-11/2022</v>
          </cell>
          <cell r="K1855" t="str">
            <v>Settled</v>
          </cell>
        </row>
        <row r="1856">
          <cell r="J1856" t="str">
            <v>EU-FINCI, UAB-12/2022</v>
          </cell>
          <cell r="K1856" t="str">
            <v>Settled</v>
          </cell>
        </row>
        <row r="1857">
          <cell r="J1857" t="str">
            <v>EU-FINCI, UAB-01/2023</v>
          </cell>
          <cell r="K1857" t="str">
            <v>Settled</v>
          </cell>
        </row>
        <row r="1858">
          <cell r="J1858" t="str">
            <v>EU-FINCI, UAB-02/2023</v>
          </cell>
          <cell r="K1858" t="str">
            <v>Settled</v>
          </cell>
        </row>
        <row r="1859">
          <cell r="J1859" t="str">
            <v>EU-FINCI, UAB-03/2023</v>
          </cell>
          <cell r="K1859" t="str">
            <v>Settled</v>
          </cell>
        </row>
        <row r="1860">
          <cell r="J1860" t="str">
            <v>EU-FINCI, UAB-04/2023</v>
          </cell>
          <cell r="K1860" t="str">
            <v>Settled</v>
          </cell>
        </row>
        <row r="1861">
          <cell r="J1861" t="str">
            <v>EU-FINCI, UAB-05/2023</v>
          </cell>
          <cell r="K1861" t="str">
            <v>Settled</v>
          </cell>
        </row>
        <row r="1862">
          <cell r="J1862" t="str">
            <v>EU-FINCI, UAB-06/2023</v>
          </cell>
          <cell r="K1862" t="str">
            <v>Settled</v>
          </cell>
        </row>
        <row r="1863">
          <cell r="J1863" t="str">
            <v>EU-FINCI, UAB-07/2023</v>
          </cell>
          <cell r="K1863" t="str">
            <v>Settled</v>
          </cell>
        </row>
        <row r="1864">
          <cell r="J1864" t="str">
            <v>EU -FINCI, UAB-08/2023</v>
          </cell>
          <cell r="K1864" t="str">
            <v>Settled</v>
          </cell>
        </row>
        <row r="1865">
          <cell r="J1865" t="str">
            <v>EU-FINCI, UAB-09/2023</v>
          </cell>
          <cell r="K1865" t="str">
            <v>Settled</v>
          </cell>
        </row>
        <row r="1866">
          <cell r="J1866" t="str">
            <v>EU-FINCI, UAB-10/2023</v>
          </cell>
          <cell r="K1866" t="str">
            <v>Settled</v>
          </cell>
        </row>
        <row r="1867">
          <cell r="J1867" t="str">
            <v>EU-FINCI, UAB-11/2023</v>
          </cell>
          <cell r="K1867" t="str">
            <v>Settled</v>
          </cell>
        </row>
        <row r="1868">
          <cell r="J1868" t="str">
            <v>EU-FINCI, UAB-12/2023</v>
          </cell>
          <cell r="K1868" t="str">
            <v>Settled</v>
          </cell>
        </row>
        <row r="1869">
          <cell r="J1869" t="str">
            <v>EU-FINCI, UAB-01/2024</v>
          </cell>
          <cell r="K1869" t="str">
            <v>Settled</v>
          </cell>
        </row>
        <row r="1870">
          <cell r="J1870" t="str">
            <v>EU-FINCI, UAB-02/2024</v>
          </cell>
          <cell r="K1870" t="str">
            <v>Settled</v>
          </cell>
        </row>
        <row r="1871">
          <cell r="J1871" t="str">
            <v>EU-FINCI, UAB-03/2024</v>
          </cell>
          <cell r="K1871" t="str">
            <v>Settled</v>
          </cell>
        </row>
        <row r="1872">
          <cell r="J1872" t="str">
            <v>EU-FINCI, UAB-04/2024</v>
          </cell>
          <cell r="K1872" t="str">
            <v>Settled</v>
          </cell>
        </row>
        <row r="1873">
          <cell r="J1873" t="str">
            <v>EU-FINCI, UAB-05/2024</v>
          </cell>
          <cell r="K1873" t="str">
            <v>Settled</v>
          </cell>
        </row>
        <row r="1874">
          <cell r="J1874" t="str">
            <v>EU-FINCI, UAB-06/2024</v>
          </cell>
          <cell r="K1874" t="str">
            <v>Settled</v>
          </cell>
        </row>
        <row r="1875">
          <cell r="J1875" t="str">
            <v>EU-FINCI, UAB-07/2024</v>
          </cell>
          <cell r="K1875" t="str">
            <v>Settled</v>
          </cell>
        </row>
        <row r="1876">
          <cell r="J1876" t="str">
            <v>EU-FINCI, UAB-08/2024</v>
          </cell>
          <cell r="K1876" t="str">
            <v>Settled</v>
          </cell>
        </row>
        <row r="1877">
          <cell r="J1877" t="str">
            <v>EU-FINCI, UAB-09/2024</v>
          </cell>
          <cell r="K1877" t="str">
            <v>Settled</v>
          </cell>
        </row>
        <row r="1878">
          <cell r="J1878" t="str">
            <v>EU-FINCI, UAB-10/2024</v>
          </cell>
          <cell r="K1878" t="str">
            <v>Settled</v>
          </cell>
        </row>
        <row r="1879">
          <cell r="J1879" t="str">
            <v>EU-FINCI, UAB-11/2024</v>
          </cell>
          <cell r="K1879" t="str">
            <v>Settled</v>
          </cell>
        </row>
        <row r="1880">
          <cell r="J1880" t="str">
            <v>EU-FINCI, UAB-12/2024</v>
          </cell>
          <cell r="K1880" t="str">
            <v>Settled</v>
          </cell>
        </row>
        <row r="1881">
          <cell r="J1881" t="str">
            <v>EU-FINCI, UAB-01/2025</v>
          </cell>
          <cell r="K1881" t="str">
            <v>Settled</v>
          </cell>
        </row>
        <row r="1882">
          <cell r="J1882" t="str">
            <v>EU-FINCI, UAB-02/2025</v>
          </cell>
          <cell r="K1882" t="str">
            <v>Settled</v>
          </cell>
        </row>
        <row r="1883">
          <cell r="J1883" t="str">
            <v>EU-FINCI, UAB-03/2025</v>
          </cell>
          <cell r="K1883" t="str">
            <v>Settled</v>
          </cell>
        </row>
        <row r="1884">
          <cell r="J1884" t="str">
            <v>EU-FINCI, UAB-04/2025</v>
          </cell>
          <cell r="K1884" t="str">
            <v>Settled</v>
          </cell>
        </row>
        <row r="1885">
          <cell r="J1885" t="str">
            <v>EU-FINCI, UAB-05/2025</v>
          </cell>
          <cell r="K1885" t="str">
            <v>Settled</v>
          </cell>
        </row>
        <row r="1886">
          <cell r="J1886" t="str">
            <v>EU-FINCI, UAB-06/2025</v>
          </cell>
          <cell r="K1886" t="str">
            <v>Settled</v>
          </cell>
        </row>
        <row r="1887">
          <cell r="J1887" t="str">
            <v>EU-FINCI, UAB-07/2025</v>
          </cell>
          <cell r="K1887" t="str">
            <v>Settled</v>
          </cell>
        </row>
        <row r="1888">
          <cell r="J1888" t="str">
            <v>EU-FINCI, UAB-08/2025</v>
          </cell>
          <cell r="K1888" t="str">
            <v>Settled</v>
          </cell>
        </row>
        <row r="1889">
          <cell r="J1889" t="str">
            <v>EU-FINCI, UAB-09/2025</v>
          </cell>
          <cell r="K1889" t="str">
            <v>Settled</v>
          </cell>
        </row>
        <row r="1890">
          <cell r="J1890" t="str">
            <v>EU-FINCI, UAB-10/2025</v>
          </cell>
          <cell r="K1890" t="str">
            <v>Settled</v>
          </cell>
        </row>
        <row r="1891">
          <cell r="J1891" t="str">
            <v>EU-FINCI, UAB-11/2025</v>
          </cell>
          <cell r="K1891" t="str">
            <v>Settled</v>
          </cell>
        </row>
        <row r="1892">
          <cell r="J1892" t="str">
            <v>EU-FINCI, UAB-12/2025</v>
          </cell>
          <cell r="K1892" t="str">
            <v>Settled</v>
          </cell>
        </row>
        <row r="1893">
          <cell r="J1893" t="str">
            <v>EU-FINCI, UAB-01/2026</v>
          </cell>
          <cell r="K1893" t="str">
            <v>Settled</v>
          </cell>
        </row>
        <row r="1894">
          <cell r="J1894" t="str">
            <v>EU-FINCI, UAB-02/2026</v>
          </cell>
          <cell r="K1894" t="str">
            <v>Settled</v>
          </cell>
        </row>
        <row r="1895">
          <cell r="J1895" t="str">
            <v>EU-FINCI, UAB-03/2026</v>
          </cell>
          <cell r="K1895" t="str">
            <v>Settled</v>
          </cell>
        </row>
        <row r="1896">
          <cell r="J1896" t="str">
            <v>EU-FINCI, UAB-04/2026</v>
          </cell>
          <cell r="K1896" t="str">
            <v>Settled</v>
          </cell>
        </row>
        <row r="1897">
          <cell r="J1897" t="str">
            <v>EU-FINCI, UAB-05/2026</v>
          </cell>
          <cell r="K1897" t="str">
            <v>Settled</v>
          </cell>
        </row>
        <row r="1898">
          <cell r="J1898" t="str">
            <v>SG-Fino Transfer-11/2022</v>
          </cell>
          <cell r="K1898" t="str">
            <v>Settled</v>
          </cell>
        </row>
        <row r="1899">
          <cell r="J1899" t="str">
            <v>SG-Fino Transfer-12/2022</v>
          </cell>
          <cell r="K1899" t="str">
            <v>Settled</v>
          </cell>
        </row>
        <row r="1900">
          <cell r="J1900" t="str">
            <v>SG-Fino Transfer-01/2023</v>
          </cell>
          <cell r="K1900" t="str">
            <v>Settled</v>
          </cell>
        </row>
        <row r="1901">
          <cell r="J1901" t="str">
            <v>SG-Fino Transfer-02/2023</v>
          </cell>
          <cell r="K1901" t="str">
            <v>Settled</v>
          </cell>
        </row>
        <row r="1902">
          <cell r="J1902" t="str">
            <v>SG-Fino Transfer-03/2023</v>
          </cell>
          <cell r="K1902" t="str">
            <v>Settled</v>
          </cell>
        </row>
        <row r="1903">
          <cell r="J1903" t="str">
            <v>SG-Fino Transfer-04/2023</v>
          </cell>
          <cell r="K1903" t="str">
            <v>Waived Off</v>
          </cell>
        </row>
        <row r="1904">
          <cell r="J1904" t="str">
            <v>SG-Fino Transfer-05/2023</v>
          </cell>
          <cell r="K1904" t="str">
            <v>Waived Off</v>
          </cell>
        </row>
        <row r="1905">
          <cell r="J1905" t="str">
            <v>SG-finshot inc-11/2022</v>
          </cell>
          <cell r="K1905" t="str">
            <v>Settled</v>
          </cell>
        </row>
        <row r="1906">
          <cell r="J1906" t="str">
            <v>SG-finshot inc-12/2022</v>
          </cell>
          <cell r="K1906" t="str">
            <v>Settled</v>
          </cell>
        </row>
        <row r="1907">
          <cell r="J1907" t="str">
            <v>SG-finshot inc-01/2023</v>
          </cell>
          <cell r="K1907" t="str">
            <v>Settled</v>
          </cell>
        </row>
        <row r="1908">
          <cell r="J1908" t="str">
            <v>SG-finshot inc-02/2023</v>
          </cell>
          <cell r="K1908" t="str">
            <v>Settled</v>
          </cell>
        </row>
        <row r="1909">
          <cell r="J1909" t="str">
            <v>SG-finshot inc-03/2023</v>
          </cell>
          <cell r="K1909" t="str">
            <v>Settled</v>
          </cell>
        </row>
        <row r="1910">
          <cell r="J1910" t="str">
            <v>SG-finshot inc-04/2023</v>
          </cell>
          <cell r="K1910" t="str">
            <v>Settled</v>
          </cell>
        </row>
        <row r="1911">
          <cell r="J1911" t="str">
            <v>SG-finshot inc-05/2023</v>
          </cell>
          <cell r="K1911" t="str">
            <v>Settled</v>
          </cell>
        </row>
        <row r="1912">
          <cell r="J1912" t="str">
            <v>SG-finshot inc-06/2023</v>
          </cell>
          <cell r="K1912" t="str">
            <v>Settled</v>
          </cell>
        </row>
        <row r="1913">
          <cell r="J1913" t="str">
            <v>SG-finshot inc-07/2023</v>
          </cell>
          <cell r="K1913" t="str">
            <v>Settled</v>
          </cell>
        </row>
        <row r="1914">
          <cell r="J1914" t="str">
            <v>SG -finshot inc-08/2023</v>
          </cell>
          <cell r="K1914" t="str">
            <v>Settled</v>
          </cell>
        </row>
        <row r="1915">
          <cell r="J1915" t="str">
            <v>SG-finshot inc-09/2023</v>
          </cell>
          <cell r="K1915" t="str">
            <v>Settled</v>
          </cell>
        </row>
        <row r="1916">
          <cell r="J1916" t="str">
            <v>SG-finshot inc-10/2023</v>
          </cell>
          <cell r="K1916" t="str">
            <v>Settled</v>
          </cell>
        </row>
        <row r="1917">
          <cell r="J1917" t="str">
            <v>SG-finshot inc-11/2023</v>
          </cell>
          <cell r="K1917" t="str">
            <v>Settled</v>
          </cell>
        </row>
        <row r="1918">
          <cell r="J1918" t="str">
            <v>SG-finshot inc-12/2023</v>
          </cell>
          <cell r="K1918" t="str">
            <v>Settled</v>
          </cell>
        </row>
        <row r="1919">
          <cell r="J1919" t="str">
            <v>SG-finshot inc-01/2024</v>
          </cell>
          <cell r="K1919" t="str">
            <v>Settled</v>
          </cell>
        </row>
        <row r="1920">
          <cell r="J1920" t="str">
            <v>SG-finshot inc-02/2024</v>
          </cell>
          <cell r="K1920" t="str">
            <v>Settled</v>
          </cell>
        </row>
        <row r="1921">
          <cell r="J1921" t="str">
            <v>SG-finshot inc-03/2024</v>
          </cell>
          <cell r="K1921" t="str">
            <v>Settled</v>
          </cell>
        </row>
        <row r="1922">
          <cell r="J1922" t="str">
            <v>SG-finshot inc-04/2024</v>
          </cell>
          <cell r="K1922" t="str">
            <v>Settled</v>
          </cell>
        </row>
        <row r="1923">
          <cell r="J1923" t="str">
            <v>SG-finshot inc-05/2024</v>
          </cell>
          <cell r="K1923" t="str">
            <v>Settled</v>
          </cell>
        </row>
        <row r="1924">
          <cell r="J1924" t="str">
            <v>SG-finshot inc-06/2024</v>
          </cell>
          <cell r="K1924" t="str">
            <v>Settled</v>
          </cell>
        </row>
        <row r="1925">
          <cell r="J1925" t="str">
            <v>SG-finshot inc-07/2024</v>
          </cell>
          <cell r="K1925" t="str">
            <v>Settled</v>
          </cell>
        </row>
        <row r="1926">
          <cell r="J1926" t="str">
            <v>SG-finshot inc-08/2024</v>
          </cell>
          <cell r="K1926" t="str">
            <v>Settled</v>
          </cell>
        </row>
        <row r="1927">
          <cell r="J1927" t="str">
            <v>SG-finshot inc-09/2024</v>
          </cell>
          <cell r="K1927" t="str">
            <v>Settled</v>
          </cell>
        </row>
        <row r="1928">
          <cell r="J1928" t="str">
            <v>SG-finshot inc-10/2024</v>
          </cell>
          <cell r="K1928" t="str">
            <v>Settled</v>
          </cell>
        </row>
        <row r="1929">
          <cell r="J1929" t="str">
            <v>SG-finshot inc-11/2024</v>
          </cell>
          <cell r="K1929" t="str">
            <v>Settled</v>
          </cell>
        </row>
        <row r="1930">
          <cell r="J1930" t="str">
            <v>SG-finshot inc-12/2024</v>
          </cell>
          <cell r="K1930" t="str">
            <v>Settled</v>
          </cell>
        </row>
        <row r="1931">
          <cell r="J1931" t="str">
            <v>AU-Flash Partners Pty Ltd-06/2023</v>
          </cell>
          <cell r="K1931" t="str">
            <v>Settled</v>
          </cell>
        </row>
        <row r="1932">
          <cell r="J1932" t="str">
            <v>AU-Flash Partners Pty Ltd-07/2023</v>
          </cell>
          <cell r="K1932" t="str">
            <v>Settled</v>
          </cell>
        </row>
        <row r="1933">
          <cell r="J1933" t="str">
            <v>AU -Flash Partners Pty Ltd-08/2023</v>
          </cell>
          <cell r="K1933" t="str">
            <v>Settled</v>
          </cell>
        </row>
        <row r="1934">
          <cell r="J1934" t="str">
            <v>AU-Flash Partners Pty Ltd-09/2023</v>
          </cell>
          <cell r="K1934" t="str">
            <v>Settled</v>
          </cell>
        </row>
        <row r="1935">
          <cell r="J1935" t="str">
            <v>AU-Flash Partners Pty-10/2023</v>
          </cell>
          <cell r="K1935" t="str">
            <v>Settled</v>
          </cell>
        </row>
        <row r="1936">
          <cell r="J1936" t="str">
            <v>AU-FlashPartnersPty-11/2023</v>
          </cell>
          <cell r="K1936" t="str">
            <v>Settled</v>
          </cell>
        </row>
        <row r="1937">
          <cell r="J1937" t="str">
            <v>AU-Flash Partners Pty Ltd-12/2023</v>
          </cell>
          <cell r="K1937" t="str">
            <v>Settled</v>
          </cell>
        </row>
        <row r="1938">
          <cell r="J1938" t="str">
            <v>AU-Flash Partners-01/2024</v>
          </cell>
          <cell r="K1938" t="str">
            <v>Settled</v>
          </cell>
        </row>
        <row r="1939">
          <cell r="J1939" t="str">
            <v>AU-Flash Partners Pty Ltd-02/2024</v>
          </cell>
          <cell r="K1939" t="str">
            <v>Settled</v>
          </cell>
        </row>
        <row r="1940">
          <cell r="J1940" t="str">
            <v>AU-Flash Partners Pty Ltd-03/2024</v>
          </cell>
          <cell r="K1940" t="str">
            <v>Settled</v>
          </cell>
        </row>
        <row r="1941">
          <cell r="J1941" t="str">
            <v>AU-Flash Partners Pty Ltd-04/2024</v>
          </cell>
          <cell r="K1941" t="str">
            <v>Settled</v>
          </cell>
        </row>
        <row r="1942">
          <cell r="J1942" t="str">
            <v>AU-Flash Partners Pty Ltd-05/2024</v>
          </cell>
          <cell r="K1942" t="str">
            <v>Settled</v>
          </cell>
        </row>
        <row r="1943">
          <cell r="J1943" t="str">
            <v>AU-Flash Partners Pty Ltd-06/2024</v>
          </cell>
          <cell r="K1943" t="str">
            <v>Settled</v>
          </cell>
        </row>
        <row r="1944">
          <cell r="J1944" t="str">
            <v>AU-Flash Partners Pty Ltd-07/2024</v>
          </cell>
          <cell r="K1944" t="str">
            <v>Settled</v>
          </cell>
        </row>
        <row r="1945">
          <cell r="J1945" t="str">
            <v>AU-Flash Partners Pty Ltd-08/2024</v>
          </cell>
          <cell r="K1945" t="str">
            <v>Settled</v>
          </cell>
        </row>
        <row r="1946">
          <cell r="J1946" t="str">
            <v>AU-Flash Partners Pty Ltd-09/2024</v>
          </cell>
          <cell r="K1946" t="str">
            <v>Settled</v>
          </cell>
        </row>
        <row r="1947">
          <cell r="J1947" t="str">
            <v>AU-Flash Partners Pty Ltd-10/2024</v>
          </cell>
          <cell r="K1947" t="str">
            <v>Settled</v>
          </cell>
        </row>
        <row r="1948">
          <cell r="J1948" t="str">
            <v>AU-Flash Partners Pty Ltd-11/2024</v>
          </cell>
          <cell r="K1948" t="str">
            <v>Settled</v>
          </cell>
        </row>
        <row r="1949">
          <cell r="J1949" t="str">
            <v>AU-Flash Partners Pty Ltd-12/2024</v>
          </cell>
          <cell r="K1949" t="str">
            <v>Settled</v>
          </cell>
        </row>
        <row r="1950">
          <cell r="J1950" t="str">
            <v>AU-Flash Partners Pty Ltd-01/2025</v>
          </cell>
          <cell r="K1950" t="str">
            <v>Settled</v>
          </cell>
        </row>
        <row r="1951">
          <cell r="J1951" t="str">
            <v>AU-Flash Partners Pty Ltd-02/2025</v>
          </cell>
          <cell r="K1951" t="str">
            <v>Settled</v>
          </cell>
        </row>
        <row r="1952">
          <cell r="J1952" t="str">
            <v>AU-Flash Partners Pty Ltd-03/2025</v>
          </cell>
          <cell r="K1952" t="str">
            <v>Settled</v>
          </cell>
        </row>
        <row r="1953">
          <cell r="J1953" t="str">
            <v>AU-Flash Partners Pty Ltd-04/2025</v>
          </cell>
          <cell r="K1953" t="str">
            <v>Settled</v>
          </cell>
        </row>
        <row r="1954">
          <cell r="J1954" t="str">
            <v>AU-Flash Partners Pty Ltd-05/2025</v>
          </cell>
          <cell r="K1954" t="str">
            <v>Settled</v>
          </cell>
        </row>
        <row r="1955">
          <cell r="J1955" t="str">
            <v>AU-Flash Partners Pty Ltd-06/2025</v>
          </cell>
          <cell r="K1955" t="str">
            <v>Settled</v>
          </cell>
        </row>
        <row r="1956">
          <cell r="J1956" t="str">
            <v>AU-Flash Partners Pty Ltd-07/2025</v>
          </cell>
          <cell r="K1956" t="str">
            <v>Settled</v>
          </cell>
        </row>
        <row r="1957">
          <cell r="J1957" t="str">
            <v>AU-Flash Partners Pty Ltd-08/2025</v>
          </cell>
          <cell r="K1957" t="str">
            <v>Settled</v>
          </cell>
        </row>
        <row r="1958">
          <cell r="J1958" t="str">
            <v>AU-Flash Partners Pty Ltd-09/2025</v>
          </cell>
          <cell r="K1958" t="str">
            <v>Settled</v>
          </cell>
        </row>
        <row r="1959">
          <cell r="J1959" t="str">
            <v>AU-Flash Partners Pty Ltd-10/2025</v>
          </cell>
          <cell r="K1959" t="str">
            <v>Settled</v>
          </cell>
        </row>
        <row r="1960">
          <cell r="J1960" t="str">
            <v>AU-Flash Partners Pty Ltd-11/2025</v>
          </cell>
          <cell r="K1960" t="str">
            <v>Settled</v>
          </cell>
        </row>
        <row r="1961">
          <cell r="J1961" t="str">
            <v>AU-Flash Partners Pty Ltd-12/2025</v>
          </cell>
          <cell r="K1961" t="str">
            <v>Settled</v>
          </cell>
        </row>
        <row r="1962">
          <cell r="J1962" t="str">
            <v>AU-Flash Partners Pty Ltd-01/2026</v>
          </cell>
          <cell r="K1962" t="str">
            <v>Settled</v>
          </cell>
        </row>
        <row r="1963">
          <cell r="J1963" t="str">
            <v>AU-Flash Partners Pty Ltd-02/2026</v>
          </cell>
          <cell r="K1963" t="str">
            <v>Settled</v>
          </cell>
        </row>
        <row r="1964">
          <cell r="J1964" t="str">
            <v>AU-Flash Partners Pty Ltd-03/2026</v>
          </cell>
          <cell r="K1964" t="str">
            <v>Settled</v>
          </cell>
        </row>
        <row r="1965">
          <cell r="J1965" t="str">
            <v>AU-Flash Partners Pty Ltd-04/2026</v>
          </cell>
          <cell r="K1965" t="str">
            <v>Settled</v>
          </cell>
        </row>
        <row r="1966">
          <cell r="J1966" t="str">
            <v>AU-Flash Partners Pty Ltd-05/2026</v>
          </cell>
          <cell r="K1966" t="str">
            <v>Settled</v>
          </cell>
        </row>
        <row r="1967">
          <cell r="J1967" t="str">
            <v>EU-CN-frente-05-2026</v>
          </cell>
          <cell r="K1967" t="str">
            <v>Net Off</v>
          </cell>
        </row>
        <row r="1968">
          <cell r="J1968" t="str">
            <v>EU-Frente-11/2022</v>
          </cell>
          <cell r="K1968" t="str">
            <v>Settled</v>
          </cell>
        </row>
        <row r="1969">
          <cell r="J1969" t="str">
            <v>EU-Frente-12/2022</v>
          </cell>
          <cell r="K1969" t="str">
            <v>Settled</v>
          </cell>
        </row>
        <row r="1970">
          <cell r="J1970" t="str">
            <v>EU-Frente-01/2023</v>
          </cell>
          <cell r="K1970" t="str">
            <v>Settled</v>
          </cell>
        </row>
        <row r="1971">
          <cell r="J1971" t="str">
            <v>EU-Frente-02/2023</v>
          </cell>
          <cell r="K1971" t="str">
            <v>Settled</v>
          </cell>
        </row>
        <row r="1972">
          <cell r="J1972" t="str">
            <v>EU-Frente-03/2023</v>
          </cell>
          <cell r="K1972" t="str">
            <v>Settled</v>
          </cell>
        </row>
        <row r="1973">
          <cell r="J1973" t="str">
            <v>EU-frente-04/2023</v>
          </cell>
          <cell r="K1973" t="str">
            <v>Settled</v>
          </cell>
        </row>
        <row r="1974">
          <cell r="J1974" t="str">
            <v>EU-frente-05/2023</v>
          </cell>
          <cell r="K1974" t="str">
            <v>Settled</v>
          </cell>
        </row>
        <row r="1975">
          <cell r="J1975" t="str">
            <v>EU-frente-06/2023</v>
          </cell>
          <cell r="K1975" t="str">
            <v>Settled</v>
          </cell>
        </row>
        <row r="1976">
          <cell r="J1976" t="str">
            <v>EU-frente-07/2023</v>
          </cell>
          <cell r="K1976" t="str">
            <v>Settled</v>
          </cell>
        </row>
        <row r="1977">
          <cell r="J1977" t="str">
            <v>EU -frente-08/2023</v>
          </cell>
          <cell r="K1977" t="str">
            <v>Settled</v>
          </cell>
        </row>
        <row r="1978">
          <cell r="J1978" t="str">
            <v>EU-frente-09/2023</v>
          </cell>
          <cell r="K1978" t="str">
            <v>Settled</v>
          </cell>
        </row>
        <row r="1979">
          <cell r="J1979" t="str">
            <v>EU-frente-10/2023</v>
          </cell>
          <cell r="K1979" t="str">
            <v>Settled</v>
          </cell>
        </row>
        <row r="1980">
          <cell r="J1980" t="str">
            <v>EU-frente-11/2023</v>
          </cell>
          <cell r="K1980" t="str">
            <v>Settled</v>
          </cell>
        </row>
        <row r="1981">
          <cell r="J1981" t="str">
            <v>EU-frente-12/2023</v>
          </cell>
          <cell r="K1981" t="str">
            <v>Settled</v>
          </cell>
        </row>
        <row r="1982">
          <cell r="J1982" t="str">
            <v>EU-frente-01/2024</v>
          </cell>
          <cell r="K1982" t="str">
            <v>Settled</v>
          </cell>
        </row>
        <row r="1983">
          <cell r="J1983" t="str">
            <v>EU-frente-02/2024</v>
          </cell>
          <cell r="K1983" t="str">
            <v>Settled</v>
          </cell>
        </row>
        <row r="1984">
          <cell r="J1984" t="str">
            <v>EU-frente-03/2024</v>
          </cell>
          <cell r="K1984" t="str">
            <v>Settled</v>
          </cell>
        </row>
        <row r="1985">
          <cell r="J1985" t="str">
            <v>EU-frente-04/2024</v>
          </cell>
          <cell r="K1985" t="str">
            <v>Settled</v>
          </cell>
        </row>
        <row r="1986">
          <cell r="J1986" t="str">
            <v>EU-frente-05/2024</v>
          </cell>
          <cell r="K1986" t="str">
            <v>Settled</v>
          </cell>
        </row>
        <row r="1987">
          <cell r="J1987" t="str">
            <v>EU-frente-06/2024</v>
          </cell>
          <cell r="K1987" t="str">
            <v>Settled</v>
          </cell>
        </row>
        <row r="1988">
          <cell r="J1988" t="str">
            <v>EU-frente-07/2024</v>
          </cell>
          <cell r="K1988" t="str">
            <v>Settled</v>
          </cell>
        </row>
        <row r="1989">
          <cell r="J1989" t="str">
            <v>EU-frente-08/2024</v>
          </cell>
          <cell r="K1989" t="str">
            <v>Settled</v>
          </cell>
        </row>
        <row r="1990">
          <cell r="J1990" t="str">
            <v>EU-frente-09/2024</v>
          </cell>
          <cell r="K1990" t="str">
            <v>Settled</v>
          </cell>
        </row>
        <row r="1991">
          <cell r="J1991" t="str">
            <v>EU-frente-10/2024</v>
          </cell>
          <cell r="K1991" t="str">
            <v>Settled</v>
          </cell>
        </row>
        <row r="1992">
          <cell r="J1992" t="str">
            <v>EU-frente-11/2024</v>
          </cell>
          <cell r="K1992" t="str">
            <v>Settled</v>
          </cell>
        </row>
        <row r="1993">
          <cell r="J1993" t="str">
            <v>EU-frente-12/2024</v>
          </cell>
          <cell r="K1993" t="str">
            <v>Settled</v>
          </cell>
        </row>
        <row r="1994">
          <cell r="J1994" t="str">
            <v>EU-frente-01/2025</v>
          </cell>
          <cell r="K1994" t="str">
            <v>Settled</v>
          </cell>
        </row>
        <row r="1995">
          <cell r="J1995" t="str">
            <v>EU-frente-02/2025</v>
          </cell>
          <cell r="K1995" t="str">
            <v>Settled</v>
          </cell>
        </row>
        <row r="1996">
          <cell r="J1996" t="str">
            <v>EU-frente-03/2025</v>
          </cell>
          <cell r="K1996" t="str">
            <v>Settled</v>
          </cell>
        </row>
        <row r="1997">
          <cell r="J1997" t="str">
            <v>EU-frente-04/2025</v>
          </cell>
          <cell r="K1997" t="str">
            <v>Settled</v>
          </cell>
        </row>
        <row r="1998">
          <cell r="J1998" t="str">
            <v>EU-frente-05/2025</v>
          </cell>
          <cell r="K1998" t="str">
            <v>Settled</v>
          </cell>
        </row>
        <row r="1999">
          <cell r="J1999" t="str">
            <v>EU-frente-06/2025</v>
          </cell>
          <cell r="K1999" t="str">
            <v>Settled</v>
          </cell>
        </row>
        <row r="2000">
          <cell r="J2000" t="str">
            <v>EU-frente-07/2025</v>
          </cell>
          <cell r="K2000" t="str">
            <v>Settled</v>
          </cell>
        </row>
        <row r="2001">
          <cell r="J2001" t="str">
            <v>EU-frente-08/2025</v>
          </cell>
          <cell r="K2001" t="str">
            <v>Settled</v>
          </cell>
        </row>
        <row r="2002">
          <cell r="J2002" t="str">
            <v>EU-frente-09/2025</v>
          </cell>
          <cell r="K2002" t="str">
            <v>Settled</v>
          </cell>
        </row>
        <row r="2003">
          <cell r="J2003" t="str">
            <v>EU-frente-10/2025</v>
          </cell>
          <cell r="K2003" t="str">
            <v>Settled</v>
          </cell>
        </row>
        <row r="2004">
          <cell r="J2004" t="str">
            <v>EU-frente-11/2025</v>
          </cell>
          <cell r="K2004" t="str">
            <v>Settled</v>
          </cell>
        </row>
        <row r="2005">
          <cell r="J2005" t="str">
            <v>EU-frente-12/2025</v>
          </cell>
          <cell r="K2005" t="str">
            <v>Settled</v>
          </cell>
        </row>
        <row r="2006">
          <cell r="J2006" t="str">
            <v>EU-frente-01/2026</v>
          </cell>
          <cell r="K2006" t="str">
            <v>Settled</v>
          </cell>
        </row>
        <row r="2007">
          <cell r="J2007" t="str">
            <v>EU-frente-02/2026</v>
          </cell>
          <cell r="K2007" t="str">
            <v>Settled</v>
          </cell>
        </row>
        <row r="2008">
          <cell r="J2008" t="str">
            <v>EU-frente-03/2026</v>
          </cell>
          <cell r="K2008" t="str">
            <v>Settled</v>
          </cell>
        </row>
        <row r="2009">
          <cell r="J2009" t="str">
            <v>EU-frente-04/2026</v>
          </cell>
          <cell r="K2009" t="str">
            <v>Net Off</v>
          </cell>
        </row>
        <row r="2010">
          <cell r="J2010" t="str">
            <v>SG-FTB HUB S.A.C-11/2022</v>
          </cell>
          <cell r="K2010" t="str">
            <v>Settled</v>
          </cell>
        </row>
        <row r="2011">
          <cell r="J2011" t="str">
            <v>SG-FTB HUB S.A.C -12/2022</v>
          </cell>
          <cell r="K2011" t="str">
            <v>Settled</v>
          </cell>
        </row>
        <row r="2012">
          <cell r="J2012" t="str">
            <v>SG-FTB HUB S.A.C-01/2023</v>
          </cell>
          <cell r="K2012" t="str">
            <v>Settled</v>
          </cell>
        </row>
        <row r="2013">
          <cell r="J2013" t="str">
            <v>SG-FTBHUB-02/2023</v>
          </cell>
          <cell r="K2013" t="str">
            <v>Settled</v>
          </cell>
        </row>
        <row r="2014">
          <cell r="J2014" t="str">
            <v>SG-FTBHUB-03/2023</v>
          </cell>
          <cell r="K2014" t="str">
            <v>Settled</v>
          </cell>
        </row>
        <row r="2015">
          <cell r="J2015" t="str">
            <v>SG-FTBHUB-CR-12-2022-02-2023</v>
          </cell>
          <cell r="K2015" t="str">
            <v>Settled</v>
          </cell>
        </row>
        <row r="2016">
          <cell r="J2016" t="str">
            <v>SG-FTBHUB-04/2023</v>
          </cell>
          <cell r="K2016" t="str">
            <v>Settled</v>
          </cell>
        </row>
        <row r="2017">
          <cell r="J2017" t="str">
            <v>SG-FTBHUB-05/2023</v>
          </cell>
          <cell r="K2017" t="str">
            <v>Settled</v>
          </cell>
        </row>
        <row r="2018">
          <cell r="J2018" t="str">
            <v>SG-FTBHUB-06/2023</v>
          </cell>
          <cell r="K2018" t="str">
            <v>Settled</v>
          </cell>
        </row>
        <row r="2019">
          <cell r="J2019" t="str">
            <v>SG-FTBHUB-07/2023</v>
          </cell>
          <cell r="K2019" t="str">
            <v>Settled</v>
          </cell>
        </row>
        <row r="2020">
          <cell r="J2020" t="str">
            <v>SG -FTBHUB-08/2023</v>
          </cell>
          <cell r="K2020" t="str">
            <v>Settled</v>
          </cell>
        </row>
        <row r="2021">
          <cell r="J2021" t="str">
            <v>SG-FTBHUB-09/2023</v>
          </cell>
          <cell r="K2021" t="str">
            <v>Settled</v>
          </cell>
        </row>
        <row r="2022">
          <cell r="J2022" t="str">
            <v>SG-FTBHUB-10/2023</v>
          </cell>
          <cell r="K2022" t="str">
            <v>Settled</v>
          </cell>
        </row>
        <row r="2023">
          <cell r="J2023" t="str">
            <v>SG-FTBHUB-11/2023</v>
          </cell>
          <cell r="K2023" t="str">
            <v>Waived Off</v>
          </cell>
        </row>
        <row r="2024">
          <cell r="J2024" t="str">
            <v>SG-FTBHUB-12/2023</v>
          </cell>
          <cell r="K2024" t="str">
            <v>Waived Off</v>
          </cell>
        </row>
        <row r="2025">
          <cell r="J2025" t="str">
            <v>SG-FTBHUB-01/2024</v>
          </cell>
          <cell r="K2025" t="str">
            <v>Waived Off</v>
          </cell>
        </row>
        <row r="2026">
          <cell r="J2026" t="str">
            <v>SG-FTBHUB-02/2024</v>
          </cell>
          <cell r="K2026" t="str">
            <v>Waived Off</v>
          </cell>
        </row>
        <row r="2027">
          <cell r="J2027" t="str">
            <v>SG-FTBHUB-03/2024</v>
          </cell>
          <cell r="K2027" t="str">
            <v>Waived Off</v>
          </cell>
        </row>
        <row r="2028">
          <cell r="J2028" t="str">
            <v>SG-FTBHUB-04/2024</v>
          </cell>
          <cell r="K2028" t="str">
            <v>Waived Off</v>
          </cell>
        </row>
        <row r="2029">
          <cell r="J2029" t="str">
            <v>SG-FTBHUB-05/2024</v>
          </cell>
          <cell r="K2029" t="str">
            <v>Waived Off</v>
          </cell>
        </row>
        <row r="2030">
          <cell r="J2030" t="str">
            <v>SG-CN-FTBHUB-06-2024</v>
          </cell>
          <cell r="K2030" t="str">
            <v>Settled</v>
          </cell>
        </row>
        <row r="2031">
          <cell r="J2031" t="str">
            <v>SG-FTBHUB-06/2024</v>
          </cell>
          <cell r="K2031" t="str">
            <v>Settled</v>
          </cell>
        </row>
        <row r="2032">
          <cell r="J2032" t="str">
            <v>SG-FTBHUB-07/2024</v>
          </cell>
          <cell r="K2032" t="str">
            <v>Settled</v>
          </cell>
        </row>
        <row r="2033">
          <cell r="J2033" t="str">
            <v>SG-FTBHUB-08/2024</v>
          </cell>
          <cell r="K2033" t="str">
            <v>Settled</v>
          </cell>
        </row>
        <row r="2034">
          <cell r="J2034" t="str">
            <v>SG-FTBHUB-09/2024</v>
          </cell>
          <cell r="K2034" t="str">
            <v>Settled</v>
          </cell>
        </row>
        <row r="2035">
          <cell r="J2035" t="str">
            <v>SG-FTBHUB-10/2024</v>
          </cell>
          <cell r="K2035" t="str">
            <v>Settled</v>
          </cell>
        </row>
        <row r="2036">
          <cell r="J2036" t="str">
            <v>SG-FTBHUB-11/2024</v>
          </cell>
          <cell r="K2036" t="str">
            <v>Settled</v>
          </cell>
        </row>
        <row r="2037">
          <cell r="J2037" t="str">
            <v>SG-FTBHUB-12/2024</v>
          </cell>
          <cell r="K2037" t="str">
            <v>Settled</v>
          </cell>
        </row>
        <row r="2038">
          <cell r="J2038" t="str">
            <v>SG-FTBHUB-01/2025</v>
          </cell>
          <cell r="K2038" t="str">
            <v>Settled</v>
          </cell>
        </row>
        <row r="2039">
          <cell r="J2039" t="str">
            <v>SG-FTBHUB-02/2025</v>
          </cell>
          <cell r="K2039" t="str">
            <v>Settled</v>
          </cell>
        </row>
        <row r="2040">
          <cell r="J2040" t="str">
            <v>SG-FTBHUB-03/2025</v>
          </cell>
          <cell r="K2040" t="str">
            <v>Settled</v>
          </cell>
        </row>
        <row r="2041">
          <cell r="J2041" t="str">
            <v>SG-FTBHUB-04/2025</v>
          </cell>
          <cell r="K2041" t="str">
            <v>Settled</v>
          </cell>
        </row>
        <row r="2042">
          <cell r="J2042" t="str">
            <v>SG-FTBHUB-05/2025</v>
          </cell>
          <cell r="K2042" t="str">
            <v>Settled</v>
          </cell>
        </row>
        <row r="2043">
          <cell r="J2043" t="str">
            <v>SG-FTBHUB-06/2025</v>
          </cell>
          <cell r="K2043" t="str">
            <v>Settled</v>
          </cell>
        </row>
        <row r="2044">
          <cell r="J2044" t="str">
            <v>SG-FTBHUB-07/2025</v>
          </cell>
          <cell r="K2044" t="str">
            <v>Settled</v>
          </cell>
        </row>
        <row r="2045">
          <cell r="J2045" t="str">
            <v>SG-FTBHUB-08/2025</v>
          </cell>
          <cell r="K2045" t="str">
            <v>Settled</v>
          </cell>
        </row>
        <row r="2046">
          <cell r="J2046" t="str">
            <v>SG-FTBHUB-09/2025</v>
          </cell>
          <cell r="K2046" t="str">
            <v>Force Settlement</v>
          </cell>
        </row>
        <row r="2047">
          <cell r="J2047" t="str">
            <v>SG-FTBHUB-10/2025</v>
          </cell>
          <cell r="K2047" t="str">
            <v>Force Settlement</v>
          </cell>
        </row>
        <row r="2048">
          <cell r="J2048" t="str">
            <v>SG-FTBHUB-11/2025</v>
          </cell>
          <cell r="K2048" t="str">
            <v>Force Settlement</v>
          </cell>
        </row>
        <row r="2049">
          <cell r="J2049" t="str">
            <v>SG-gates apac pte ltd-01/2023</v>
          </cell>
          <cell r="K2049" t="str">
            <v>Settled</v>
          </cell>
        </row>
        <row r="2050">
          <cell r="J2050" t="str">
            <v>UK-ghana international bank plc-01/2023</v>
          </cell>
          <cell r="K2050" t="str">
            <v>Reversed</v>
          </cell>
        </row>
        <row r="2051">
          <cell r="J2051" t="str">
            <v>UK -GLOBAL CURRENCY EXCHANGE NETWORK-08/2021</v>
          </cell>
          <cell r="K2051" t="str">
            <v>Settled</v>
          </cell>
        </row>
        <row r="2052">
          <cell r="J2052" t="str">
            <v>UK -GLOBAL CURRENCY EXCHANGE NETWORK-01/2022</v>
          </cell>
          <cell r="K2052" t="str">
            <v>Write Off</v>
          </cell>
        </row>
        <row r="2053">
          <cell r="J2053" t="str">
            <v>UK -GLOBAL CURRENCY EXCHANGE NETWORK-03/2022</v>
          </cell>
          <cell r="K2053" t="str">
            <v>Write Off</v>
          </cell>
        </row>
        <row r="2054">
          <cell r="J2054" t="str">
            <v>UK -GLOBAL CURRENCY EXCHANGE NETWORK-04/2022</v>
          </cell>
          <cell r="K2054" t="str">
            <v>Write Off</v>
          </cell>
        </row>
        <row r="2055">
          <cell r="J2055" t="str">
            <v>UK -GLOBAL CURRENCY EXCHANGE NETWORK-05/2022</v>
          </cell>
          <cell r="K2055" t="str">
            <v>Settled</v>
          </cell>
        </row>
        <row r="2056">
          <cell r="J2056" t="str">
            <v>UK -GLOBAL CURRENCY EXCHANGE NETWORK-06/2022</v>
          </cell>
          <cell r="K2056" t="str">
            <v>Settled</v>
          </cell>
        </row>
        <row r="2057">
          <cell r="J2057" t="str">
            <v>UK-GLOBAL CURRENCY-08/2022</v>
          </cell>
          <cell r="K2057" t="str">
            <v>Settled</v>
          </cell>
        </row>
        <row r="2058">
          <cell r="J2058" t="str">
            <v>UK-GLOBAL CURRENCY-10/2022</v>
          </cell>
          <cell r="K2058" t="str">
            <v>Settled</v>
          </cell>
        </row>
        <row r="2059">
          <cell r="J2059" t="str">
            <v>UK-GLOBAL CURRENCY EXCHANGE NETWORK-11/2022</v>
          </cell>
          <cell r="K2059" t="str">
            <v>Settled</v>
          </cell>
        </row>
        <row r="2060">
          <cell r="J2060" t="str">
            <v>UK-GLOBALCURRENCY-06/2023</v>
          </cell>
          <cell r="K2060" t="str">
            <v>Waived Off</v>
          </cell>
        </row>
        <row r="2061">
          <cell r="J2061" t="str">
            <v>UK-GLOBALCURRENCY-07/2023</v>
          </cell>
          <cell r="K2061" t="str">
            <v>Waived Off</v>
          </cell>
        </row>
        <row r="2062">
          <cell r="J2062" t="str">
            <v>UK-GLOBAL CURRENCY EXCHANGE NETWORK-12/2022</v>
          </cell>
          <cell r="K2062" t="str">
            <v>Settled</v>
          </cell>
        </row>
        <row r="2063">
          <cell r="J2063" t="str">
            <v>UK-GLOBAL CURRENCY EXCHANGE NETWORK-01/2023</v>
          </cell>
          <cell r="K2063" t="str">
            <v>Settled</v>
          </cell>
        </row>
        <row r="2064">
          <cell r="J2064" t="str">
            <v>UK-GLOBALCURRENCY-02/2023</v>
          </cell>
          <cell r="K2064" t="str">
            <v>Settled</v>
          </cell>
        </row>
        <row r="2065">
          <cell r="J2065" t="str">
            <v>UK-GLOBALCURRENCY-03/2023</v>
          </cell>
          <cell r="K2065" t="str">
            <v>Settled</v>
          </cell>
        </row>
        <row r="2066">
          <cell r="J2066" t="str">
            <v>UK-GLOBALCURRENCY-04/2023</v>
          </cell>
          <cell r="K2066" t="str">
            <v>Settled</v>
          </cell>
        </row>
        <row r="2067">
          <cell r="J2067" t="str">
            <v>UK-GLOBALCURRENCY-05/2023</v>
          </cell>
          <cell r="K2067" t="str">
            <v>Settled</v>
          </cell>
        </row>
        <row r="2068">
          <cell r="J2068" t="str">
            <v>UK-global exchange uk-11/2022</v>
          </cell>
          <cell r="K2068" t="str">
            <v>Settled</v>
          </cell>
        </row>
        <row r="2069">
          <cell r="J2069" t="str">
            <v>UK-global exchange uk-12/2022</v>
          </cell>
          <cell r="K2069" t="str">
            <v>Settled</v>
          </cell>
        </row>
        <row r="2070">
          <cell r="J2070" t="str">
            <v>UK-global exchange uk-01/2023</v>
          </cell>
          <cell r="K2070" t="str">
            <v>Settled</v>
          </cell>
        </row>
        <row r="2071">
          <cell r="J2071" t="str">
            <v>UK-globalex-02/2023</v>
          </cell>
          <cell r="K2071" t="str">
            <v>Settled</v>
          </cell>
        </row>
        <row r="2072">
          <cell r="J2072" t="str">
            <v>UK-globalex-03/2023</v>
          </cell>
          <cell r="K2072" t="str">
            <v>Settled</v>
          </cell>
        </row>
        <row r="2073">
          <cell r="J2073" t="str">
            <v>UK-globalex-04/2023</v>
          </cell>
          <cell r="K2073" t="str">
            <v>Settled</v>
          </cell>
        </row>
        <row r="2074">
          <cell r="J2074" t="str">
            <v>UK-globalex-05/2023</v>
          </cell>
          <cell r="K2074" t="str">
            <v>Settled</v>
          </cell>
        </row>
        <row r="2075">
          <cell r="J2075" t="str">
            <v>UK-globalex-06/2023</v>
          </cell>
          <cell r="K2075" t="str">
            <v>Settled</v>
          </cell>
        </row>
        <row r="2076">
          <cell r="J2076" t="str">
            <v>UK-globalex-07/2023</v>
          </cell>
          <cell r="K2076" t="str">
            <v>Settled</v>
          </cell>
        </row>
        <row r="2077">
          <cell r="J2077" t="str">
            <v>UK -globalex-08/2023</v>
          </cell>
          <cell r="K2077" t="str">
            <v>Settled</v>
          </cell>
        </row>
        <row r="2078">
          <cell r="J2078" t="str">
            <v>UK-globalex-09/2023</v>
          </cell>
          <cell r="K2078" t="str">
            <v>Settled</v>
          </cell>
        </row>
        <row r="2079">
          <cell r="J2079" t="str">
            <v>UK-globalex-10/2023</v>
          </cell>
          <cell r="K2079" t="str">
            <v>Settled</v>
          </cell>
        </row>
        <row r="2080">
          <cell r="J2080" t="str">
            <v>UK-globalex-11/2023</v>
          </cell>
          <cell r="K2080" t="str">
            <v>Settled</v>
          </cell>
        </row>
        <row r="2081">
          <cell r="J2081" t="str">
            <v>UK-globalex-12/2023</v>
          </cell>
          <cell r="K2081" t="str">
            <v>Settled</v>
          </cell>
        </row>
        <row r="2082">
          <cell r="J2082" t="str">
            <v>UK-globalex-01/2024</v>
          </cell>
          <cell r="K2082" t="str">
            <v>Settled</v>
          </cell>
        </row>
        <row r="2083">
          <cell r="J2083" t="str">
            <v>UK-globalex-02/2024</v>
          </cell>
          <cell r="K2083" t="str">
            <v>Settled</v>
          </cell>
        </row>
        <row r="2084">
          <cell r="J2084" t="str">
            <v>UK-globalex-03/2024</v>
          </cell>
          <cell r="K2084" t="str">
            <v>Settled</v>
          </cell>
        </row>
        <row r="2085">
          <cell r="J2085" t="str">
            <v>UK-globalex-04/2024</v>
          </cell>
          <cell r="K2085" t="str">
            <v>Settled</v>
          </cell>
        </row>
        <row r="2086">
          <cell r="J2086" t="str">
            <v>UK-globalex-05/2024</v>
          </cell>
          <cell r="K2086" t="str">
            <v>Settled</v>
          </cell>
        </row>
        <row r="2087">
          <cell r="J2087" t="str">
            <v>UK-globalex-06/2024</v>
          </cell>
          <cell r="K2087" t="str">
            <v>Settled</v>
          </cell>
        </row>
        <row r="2088">
          <cell r="J2088" t="str">
            <v>UK-globalex-07/2024</v>
          </cell>
          <cell r="K2088" t="str">
            <v>Settled</v>
          </cell>
        </row>
        <row r="2089">
          <cell r="J2089" t="str">
            <v>UK-globalex-08/2024</v>
          </cell>
          <cell r="K2089" t="str">
            <v>Settled</v>
          </cell>
        </row>
        <row r="2090">
          <cell r="J2090" t="str">
            <v>UK-globalex-09/2024</v>
          </cell>
          <cell r="K2090" t="str">
            <v>Settled</v>
          </cell>
        </row>
        <row r="2091">
          <cell r="J2091" t="str">
            <v>UK-globalex-10/2024</v>
          </cell>
          <cell r="K2091" t="str">
            <v>Settled</v>
          </cell>
        </row>
        <row r="2092">
          <cell r="J2092" t="str">
            <v>UK-globalex-11/2024</v>
          </cell>
          <cell r="K2092" t="str">
            <v>Settled</v>
          </cell>
        </row>
        <row r="2093">
          <cell r="J2093" t="str">
            <v>UK-globalex-12/2024</v>
          </cell>
          <cell r="K2093" t="str">
            <v>Settled</v>
          </cell>
        </row>
        <row r="2094">
          <cell r="J2094" t="str">
            <v>UK-globalex-01/2025</v>
          </cell>
          <cell r="K2094" t="str">
            <v>Settled</v>
          </cell>
        </row>
        <row r="2095">
          <cell r="J2095" t="str">
            <v>UK-globalex-02/2025</v>
          </cell>
          <cell r="K2095" t="str">
            <v>Settled</v>
          </cell>
        </row>
        <row r="2096">
          <cell r="J2096" t="str">
            <v>UK-globalex-03/2025</v>
          </cell>
          <cell r="K2096" t="str">
            <v>Settled</v>
          </cell>
        </row>
        <row r="2097">
          <cell r="J2097" t="str">
            <v>UK-globalex-04/2025</v>
          </cell>
          <cell r="K2097" t="str">
            <v>Settled</v>
          </cell>
        </row>
        <row r="2098">
          <cell r="J2098" t="str">
            <v>UK-globalex-05/2025</v>
          </cell>
          <cell r="K2098" t="str">
            <v>Settled</v>
          </cell>
        </row>
        <row r="2099">
          <cell r="J2099" t="str">
            <v>UK-globalex-06/2025</v>
          </cell>
          <cell r="K2099" t="str">
            <v>Settled</v>
          </cell>
        </row>
        <row r="2100">
          <cell r="J2100" t="str">
            <v>UK-globalex-07/2025</v>
          </cell>
          <cell r="K2100" t="str">
            <v>Settled</v>
          </cell>
        </row>
        <row r="2101">
          <cell r="J2101" t="str">
            <v>UK-globalex-08/2025</v>
          </cell>
          <cell r="K2101" t="str">
            <v>Settled</v>
          </cell>
        </row>
        <row r="2102">
          <cell r="J2102" t="str">
            <v>UK-globalex-09/2025</v>
          </cell>
          <cell r="K2102" t="str">
            <v>Settled</v>
          </cell>
        </row>
        <row r="2103">
          <cell r="J2103" t="str">
            <v>UK-globalex-10/2025</v>
          </cell>
          <cell r="K2103" t="str">
            <v>Settled</v>
          </cell>
        </row>
        <row r="2104">
          <cell r="J2104" t="str">
            <v>UK-globalex-11/2025</v>
          </cell>
          <cell r="K2104" t="str">
            <v>Settled</v>
          </cell>
        </row>
        <row r="2105">
          <cell r="J2105" t="str">
            <v>UK-globalex-12/2025</v>
          </cell>
          <cell r="K2105" t="str">
            <v>Settled</v>
          </cell>
        </row>
        <row r="2106">
          <cell r="J2106" t="str">
            <v>UK-globalex-01/2026</v>
          </cell>
          <cell r="K2106" t="str">
            <v>Settled</v>
          </cell>
        </row>
        <row r="2107">
          <cell r="J2107" t="str">
            <v>UK-globalex-02/2026</v>
          </cell>
          <cell r="K2107" t="str">
            <v>Settled</v>
          </cell>
        </row>
        <row r="2108">
          <cell r="J2108" t="str">
            <v>UK-globalex-03/2026</v>
          </cell>
          <cell r="K2108" t="str">
            <v>Settled</v>
          </cell>
        </row>
        <row r="2109">
          <cell r="J2109" t="str">
            <v>UK-globalex-04/2026</v>
          </cell>
          <cell r="K2109" t="str">
            <v>Settled</v>
          </cell>
        </row>
        <row r="2110">
          <cell r="J2110" t="str">
            <v>UK-globalex-05/2026</v>
          </cell>
          <cell r="K2110" t="str">
            <v>Settled</v>
          </cell>
        </row>
        <row r="2111">
          <cell r="J2111" t="str">
            <v>SG-global feeder shipping pte ltd-11/2022</v>
          </cell>
          <cell r="K2111" t="str">
            <v>Settled</v>
          </cell>
        </row>
        <row r="2112">
          <cell r="J2112" t="str">
            <v>SG-global feeder shipping pte ltd-12/2022</v>
          </cell>
          <cell r="K2112" t="str">
            <v>Settled</v>
          </cell>
        </row>
        <row r="2113">
          <cell r="J2113" t="str">
            <v>SG-global feeder shipping pte ltd-01/2023</v>
          </cell>
          <cell r="K2113" t="str">
            <v>Settled</v>
          </cell>
        </row>
        <row r="2114">
          <cell r="J2114" t="str">
            <v>SG-globalfeeder-02/2023</v>
          </cell>
          <cell r="K2114" t="str">
            <v>Settled</v>
          </cell>
        </row>
        <row r="2115">
          <cell r="J2115" t="str">
            <v>SG-globalfeeder-03/2023</v>
          </cell>
          <cell r="K2115" t="str">
            <v>Settled</v>
          </cell>
        </row>
        <row r="2116">
          <cell r="J2116" t="str">
            <v>SG-globalfeeder-04/2023</v>
          </cell>
          <cell r="K2116" t="str">
            <v>Settled</v>
          </cell>
        </row>
        <row r="2117">
          <cell r="J2117" t="str">
            <v>SG-globalfeeder-05/2023</v>
          </cell>
          <cell r="K2117" t="str">
            <v>Settled</v>
          </cell>
        </row>
        <row r="2118">
          <cell r="J2118" t="str">
            <v>SG-globalfeeder-06/2023</v>
          </cell>
          <cell r="K2118" t="str">
            <v>Settled</v>
          </cell>
        </row>
        <row r="2119">
          <cell r="J2119" t="str">
            <v>SG-globalfeeder-07/2023</v>
          </cell>
          <cell r="K2119" t="str">
            <v>Settled</v>
          </cell>
        </row>
        <row r="2120">
          <cell r="J2120" t="str">
            <v>SG -globalfeeder-08/2023</v>
          </cell>
          <cell r="K2120" t="str">
            <v>Settled</v>
          </cell>
        </row>
        <row r="2121">
          <cell r="J2121" t="str">
            <v>SG-globalfeeder-DN-08/2023</v>
          </cell>
          <cell r="K2121" t="str">
            <v>Settled</v>
          </cell>
        </row>
        <row r="2122">
          <cell r="J2122" t="str">
            <v>SG-globalfeeder-09/2023</v>
          </cell>
          <cell r="K2122" t="str">
            <v>Settled</v>
          </cell>
        </row>
        <row r="2123">
          <cell r="J2123" t="str">
            <v>SG-globalfeeder-10/2023</v>
          </cell>
          <cell r="K2123" t="str">
            <v>Settled</v>
          </cell>
        </row>
        <row r="2124">
          <cell r="J2124" t="str">
            <v>SG-globalfeeder-11/2023</v>
          </cell>
          <cell r="K2124" t="str">
            <v>Settled</v>
          </cell>
        </row>
        <row r="2125">
          <cell r="J2125" t="str">
            <v>SG-globalfeeder-12/2023</v>
          </cell>
          <cell r="K2125" t="str">
            <v>Settled</v>
          </cell>
        </row>
        <row r="2126">
          <cell r="J2126" t="str">
            <v>SG-globalfeeder-01/2024</v>
          </cell>
          <cell r="K2126" t="str">
            <v>Settled</v>
          </cell>
        </row>
        <row r="2127">
          <cell r="J2127" t="str">
            <v>SG-globalfeeder-02/2024</v>
          </cell>
          <cell r="K2127" t="str">
            <v>Settled</v>
          </cell>
        </row>
        <row r="2128">
          <cell r="J2128" t="str">
            <v>SG-globalfeeder-03/2024</v>
          </cell>
          <cell r="K2128" t="str">
            <v>Settled</v>
          </cell>
        </row>
        <row r="2129">
          <cell r="J2129" t="str">
            <v>SG-globalfeeder-04/2024</v>
          </cell>
          <cell r="K2129" t="str">
            <v>Settled</v>
          </cell>
        </row>
        <row r="2130">
          <cell r="J2130" t="str">
            <v>SG-globalfeeder-05/2024</v>
          </cell>
          <cell r="K2130" t="str">
            <v>Settled</v>
          </cell>
        </row>
        <row r="2131">
          <cell r="J2131" t="str">
            <v>SG-globalfeeder-06/2024</v>
          </cell>
          <cell r="K2131" t="str">
            <v>Settled</v>
          </cell>
        </row>
        <row r="2132">
          <cell r="J2132" t="str">
            <v>SG-globalfeeder-07/2024</v>
          </cell>
          <cell r="K2132" t="str">
            <v>Settled</v>
          </cell>
        </row>
        <row r="2133">
          <cell r="J2133" t="str">
            <v>SG-globalfeeder-08/2024</v>
          </cell>
          <cell r="K2133" t="str">
            <v>Settled</v>
          </cell>
        </row>
        <row r="2134">
          <cell r="J2134" t="str">
            <v>SG-globalfeeder-09/2024</v>
          </cell>
          <cell r="K2134" t="str">
            <v>Settled</v>
          </cell>
        </row>
        <row r="2135">
          <cell r="J2135" t="str">
            <v>SG-globalfeeder-10/2024</v>
          </cell>
          <cell r="K2135" t="str">
            <v>Settled</v>
          </cell>
        </row>
        <row r="2136">
          <cell r="J2136" t="str">
            <v>SG-globalfeeder-11/2024</v>
          </cell>
          <cell r="K2136" t="str">
            <v>Settled</v>
          </cell>
        </row>
        <row r="2137">
          <cell r="J2137" t="str">
            <v>SG-globalfeeder-12/2024</v>
          </cell>
          <cell r="K2137" t="str">
            <v>Settled</v>
          </cell>
        </row>
        <row r="2138">
          <cell r="J2138" t="str">
            <v>SG-globalfeeder-01/2025</v>
          </cell>
          <cell r="K2138" t="str">
            <v>Settled</v>
          </cell>
        </row>
        <row r="2139">
          <cell r="J2139" t="str">
            <v>SG-globalfeeder-02/2025</v>
          </cell>
          <cell r="K2139" t="str">
            <v>Settled</v>
          </cell>
        </row>
        <row r="2140">
          <cell r="J2140" t="str">
            <v>SG-globalfeeder-03/2025</v>
          </cell>
          <cell r="K2140" t="str">
            <v>Settled</v>
          </cell>
        </row>
        <row r="2141">
          <cell r="J2141" t="str">
            <v>SG-globalfeeder-04/2025</v>
          </cell>
          <cell r="K2141" t="str">
            <v>Settled</v>
          </cell>
        </row>
        <row r="2142">
          <cell r="J2142" t="str">
            <v>SG-globalfeeder-05/2025</v>
          </cell>
          <cell r="K2142" t="str">
            <v>Settled</v>
          </cell>
        </row>
        <row r="2143">
          <cell r="J2143" t="str">
            <v>SG-globalfeeder-06/2025</v>
          </cell>
          <cell r="K2143" t="str">
            <v>Settled</v>
          </cell>
        </row>
        <row r="2144">
          <cell r="J2144" t="str">
            <v>SG-globalfeeder-07/2025</v>
          </cell>
          <cell r="K2144" t="str">
            <v>Settled</v>
          </cell>
        </row>
        <row r="2145">
          <cell r="J2145" t="str">
            <v>SG-globalfeeder-08/2025</v>
          </cell>
          <cell r="K2145" t="str">
            <v>Settled</v>
          </cell>
        </row>
        <row r="2146">
          <cell r="J2146" t="str">
            <v>SG-globalfeeder-09/2025</v>
          </cell>
          <cell r="K2146" t="str">
            <v>Settled</v>
          </cell>
        </row>
        <row r="2147">
          <cell r="J2147" t="str">
            <v>SG-globalfeeder-10/2025</v>
          </cell>
          <cell r="K2147" t="str">
            <v>Settled</v>
          </cell>
        </row>
        <row r="2148">
          <cell r="J2148" t="str">
            <v>SG-globalfeeder-11/2025</v>
          </cell>
          <cell r="K2148" t="str">
            <v>Settled</v>
          </cell>
        </row>
        <row r="2149">
          <cell r="J2149" t="str">
            <v>SG-globalfeeder-12/2025</v>
          </cell>
          <cell r="K2149" t="str">
            <v>Settled</v>
          </cell>
        </row>
        <row r="2150">
          <cell r="J2150" t="str">
            <v>SG-globalfeeder-01/2026</v>
          </cell>
          <cell r="K2150" t="str">
            <v>Settled</v>
          </cell>
        </row>
        <row r="2151">
          <cell r="J2151" t="str">
            <v>SG-globalfeeder-02/2026</v>
          </cell>
          <cell r="K2151" t="str">
            <v>Settled</v>
          </cell>
        </row>
        <row r="2152">
          <cell r="J2152" t="str">
            <v>SG-globalfeeder-03/2026</v>
          </cell>
          <cell r="K2152" t="str">
            <v>Settled</v>
          </cell>
        </row>
        <row r="2153">
          <cell r="J2153" t="str">
            <v>US-GLOBAL ROOTS INC-12/2025</v>
          </cell>
          <cell r="K2153" t="str">
            <v>Overdue</v>
          </cell>
        </row>
        <row r="2154">
          <cell r="J2154" t="str">
            <v>US-GLOBAL ROOTS INC-03/2026</v>
          </cell>
          <cell r="K2154" t="str">
            <v>Overdue</v>
          </cell>
        </row>
        <row r="2155">
          <cell r="J2155" t="str">
            <v>US-GLOBAL ROOTS INC-04/2023</v>
          </cell>
          <cell r="K2155" t="str">
            <v>Settled</v>
          </cell>
        </row>
        <row r="2156">
          <cell r="J2156" t="str">
            <v>US-GLOBAL ROOTS INC-05/2023</v>
          </cell>
          <cell r="K2156" t="str">
            <v>Settled</v>
          </cell>
        </row>
        <row r="2157">
          <cell r="J2157" t="str">
            <v>US-GLOBAL ROOTS INC-06/2023</v>
          </cell>
          <cell r="K2157" t="str">
            <v>Settled</v>
          </cell>
        </row>
        <row r="2158">
          <cell r="J2158" t="str">
            <v>US-GLOBAL ROOTS INC-07/2023</v>
          </cell>
          <cell r="K2158" t="str">
            <v>Settled</v>
          </cell>
        </row>
        <row r="2159">
          <cell r="J2159" t="str">
            <v>US -GLOBAL ROOTS INC-08/2023</v>
          </cell>
          <cell r="K2159" t="str">
            <v>Settled</v>
          </cell>
        </row>
        <row r="2160">
          <cell r="J2160" t="str">
            <v>US -GLOBAL ROOTS INC-CR-08/2023</v>
          </cell>
          <cell r="K2160" t="str">
            <v>Settled</v>
          </cell>
        </row>
        <row r="2161">
          <cell r="J2161" t="str">
            <v>US-GLOBALROOTS-09/2023</v>
          </cell>
          <cell r="K2161" t="str">
            <v>Settled</v>
          </cell>
        </row>
        <row r="2162">
          <cell r="J2162" t="str">
            <v>US-GLOBAL ROOTS-10/2023</v>
          </cell>
          <cell r="K2162" t="str">
            <v>Settled</v>
          </cell>
        </row>
        <row r="2163">
          <cell r="J2163" t="str">
            <v>US-GLOBAL ROOTS-11/2023</v>
          </cell>
          <cell r="K2163" t="str">
            <v>Settled</v>
          </cell>
        </row>
        <row r="2164">
          <cell r="J2164" t="str">
            <v>US-GLOBAL ROOTS-12/2023</v>
          </cell>
          <cell r="K2164" t="str">
            <v>Settled</v>
          </cell>
        </row>
        <row r="2165">
          <cell r="J2165" t="str">
            <v>US-GLOBAL ROOTS-01/2024</v>
          </cell>
          <cell r="K2165" t="str">
            <v>Settled</v>
          </cell>
        </row>
        <row r="2166">
          <cell r="J2166" t="str">
            <v>US-GLOBAL ROOTS INC-02/2024</v>
          </cell>
          <cell r="K2166" t="str">
            <v>Settled</v>
          </cell>
        </row>
        <row r="2167">
          <cell r="J2167" t="str">
            <v>US-GLOBAL ROOTS INC-03/2024</v>
          </cell>
          <cell r="K2167" t="str">
            <v>Settled</v>
          </cell>
        </row>
        <row r="2168">
          <cell r="J2168" t="str">
            <v>US-GLOBAL ROOTS INC-04/2024</v>
          </cell>
          <cell r="K2168" t="str">
            <v>Settled</v>
          </cell>
        </row>
        <row r="2169">
          <cell r="J2169" t="str">
            <v>US-GLOBAL ROOTS INC-05/2024</v>
          </cell>
          <cell r="K2169" t="str">
            <v>Settled</v>
          </cell>
        </row>
        <row r="2170">
          <cell r="J2170" t="str">
            <v>US-GLOBAL ROOTS INC-06/2024</v>
          </cell>
          <cell r="K2170" t="str">
            <v>Settled</v>
          </cell>
        </row>
        <row r="2171">
          <cell r="J2171" t="str">
            <v>US-GLOBAL ROOTS INC-07/2024</v>
          </cell>
          <cell r="K2171" t="str">
            <v>Settled</v>
          </cell>
        </row>
        <row r="2172">
          <cell r="J2172" t="str">
            <v>US-GLOBAL ROOTS INC-08/2024</v>
          </cell>
          <cell r="K2172" t="str">
            <v>Settled</v>
          </cell>
        </row>
        <row r="2173">
          <cell r="J2173" t="str">
            <v>US-GLOBAL ROOTS INC-09/2024</v>
          </cell>
          <cell r="K2173" t="str">
            <v>Settled</v>
          </cell>
        </row>
        <row r="2174">
          <cell r="J2174" t="str">
            <v>US-GLOBAL ROOTS INC-10/2024</v>
          </cell>
          <cell r="K2174" t="str">
            <v>Settled</v>
          </cell>
        </row>
        <row r="2175">
          <cell r="J2175" t="str">
            <v>US-GLOBAL ROOTS INC-11/2024</v>
          </cell>
          <cell r="K2175" t="str">
            <v>Settled</v>
          </cell>
        </row>
        <row r="2176">
          <cell r="J2176" t="str">
            <v>US-GLOBAL ROOTS INC-12/2024</v>
          </cell>
          <cell r="K2176" t="str">
            <v>Settled</v>
          </cell>
        </row>
        <row r="2177">
          <cell r="J2177" t="str">
            <v>US-GLOBAL ROOTS INC-01/2025</v>
          </cell>
          <cell r="K2177" t="str">
            <v>Settled</v>
          </cell>
        </row>
        <row r="2178">
          <cell r="J2178" t="str">
            <v>US-GLOBAL ROOTS INC-02/2025</v>
          </cell>
          <cell r="K2178" t="str">
            <v>Settled</v>
          </cell>
        </row>
        <row r="2179">
          <cell r="J2179" t="str">
            <v>US-GLOBAL ROOTS INC-03/2025</v>
          </cell>
          <cell r="K2179" t="str">
            <v>Settled</v>
          </cell>
        </row>
        <row r="2180">
          <cell r="J2180" t="str">
            <v>US-GLOBAL ROOTS INC-04/2025</v>
          </cell>
          <cell r="K2180" t="str">
            <v>Settled</v>
          </cell>
        </row>
        <row r="2181">
          <cell r="J2181" t="str">
            <v>US-GLOBAL ROOTS INC-05/2025</v>
          </cell>
          <cell r="K2181" t="str">
            <v>Settled</v>
          </cell>
        </row>
        <row r="2182">
          <cell r="J2182" t="str">
            <v>US-GLOBAL ROOTS INC-06/2025</v>
          </cell>
          <cell r="K2182" t="str">
            <v>Settled</v>
          </cell>
        </row>
        <row r="2183">
          <cell r="J2183" t="str">
            <v>US-CN-GLOBAL ROOTS INC-05-2025</v>
          </cell>
          <cell r="K2183" t="str">
            <v>Settled</v>
          </cell>
        </row>
        <row r="2184">
          <cell r="J2184" t="str">
            <v>US-GLOBAL ROOTS INC-07/2025</v>
          </cell>
          <cell r="K2184" t="str">
            <v>Settled</v>
          </cell>
        </row>
        <row r="2185">
          <cell r="J2185" t="str">
            <v>US-GLOBAL ROOTS INC-08/2025</v>
          </cell>
          <cell r="K2185" t="str">
            <v>Settled</v>
          </cell>
        </row>
        <row r="2186">
          <cell r="J2186" t="str">
            <v>US-GLOBAL ROOTS INC-09/2025</v>
          </cell>
          <cell r="K2186" t="str">
            <v>Settled</v>
          </cell>
        </row>
        <row r="2187">
          <cell r="J2187" t="str">
            <v>US-GLOBAL ROOTS INC-10/2025</v>
          </cell>
          <cell r="K2187" t="str">
            <v>Settled</v>
          </cell>
        </row>
        <row r="2188">
          <cell r="J2188" t="str">
            <v>US-GLOBAL ROOTS INC-11/2025</v>
          </cell>
          <cell r="K2188" t="str">
            <v>Settled</v>
          </cell>
        </row>
        <row r="2189">
          <cell r="J2189" t="str">
            <v>US-GLOBAL ROOTS INC-01/2026</v>
          </cell>
          <cell r="K2189" t="str">
            <v>Settled</v>
          </cell>
        </row>
        <row r="2190">
          <cell r="J2190" t="str">
            <v>US-GLOBAL ROOTS INC-02/2026</v>
          </cell>
          <cell r="K2190" t="str">
            <v>Settled</v>
          </cell>
        </row>
        <row r="2191">
          <cell r="J2191" t="str">
            <v>US-GLOBAL ROOTS INC-04/2026</v>
          </cell>
          <cell r="K2191" t="str">
            <v>Settled</v>
          </cell>
        </row>
        <row r="2192">
          <cell r="J2192" t="str">
            <v>US-CN-GLOBAL ROOTS INC-05-2026</v>
          </cell>
          <cell r="K2192" t="str">
            <v>Settled</v>
          </cell>
        </row>
        <row r="2193">
          <cell r="J2193" t="str">
            <v>US-GLOBAL ROOTS INC-05/2026</v>
          </cell>
          <cell r="K2193" t="str">
            <v>Settled</v>
          </cell>
        </row>
        <row r="2194">
          <cell r="J2194" t="str">
            <v>SG-Global81-11/2022</v>
          </cell>
          <cell r="K2194" t="str">
            <v>Settled</v>
          </cell>
        </row>
        <row r="2195">
          <cell r="J2195" t="str">
            <v>SG-Global81-12/2022</v>
          </cell>
          <cell r="K2195" t="str">
            <v>Settled</v>
          </cell>
        </row>
        <row r="2196">
          <cell r="J2196" t="str">
            <v>SG-Global81-01/2023</v>
          </cell>
          <cell r="K2196" t="str">
            <v>Settled</v>
          </cell>
        </row>
        <row r="2197">
          <cell r="J2197" t="str">
            <v>SG-Global81-02/2023</v>
          </cell>
          <cell r="K2197" t="str">
            <v>Settled</v>
          </cell>
        </row>
        <row r="2198">
          <cell r="J2198" t="str">
            <v>SG-Global81-03/2023</v>
          </cell>
          <cell r="K2198" t="str">
            <v>Settled</v>
          </cell>
        </row>
        <row r="2199">
          <cell r="J2199" t="str">
            <v>SG-Global81-04/2023</v>
          </cell>
          <cell r="K2199" t="str">
            <v>Settled</v>
          </cell>
        </row>
        <row r="2200">
          <cell r="J2200" t="str">
            <v>SG-Global81-05/2023</v>
          </cell>
          <cell r="K2200" t="str">
            <v>Settled</v>
          </cell>
        </row>
        <row r="2201">
          <cell r="J2201" t="str">
            <v>SG-Global81-06/2023</v>
          </cell>
          <cell r="K2201" t="str">
            <v>Settled</v>
          </cell>
        </row>
        <row r="2202">
          <cell r="J2202" t="str">
            <v>SG-Global81-07/2023</v>
          </cell>
          <cell r="K2202" t="str">
            <v>Settled</v>
          </cell>
        </row>
        <row r="2203">
          <cell r="J2203" t="str">
            <v>SG -Global81-CR-06/2023</v>
          </cell>
          <cell r="K2203" t="str">
            <v>Settled</v>
          </cell>
        </row>
        <row r="2204">
          <cell r="J2204" t="str">
            <v>SG -Global81-CR-07/2023</v>
          </cell>
          <cell r="K2204" t="str">
            <v>Settled</v>
          </cell>
        </row>
        <row r="2205">
          <cell r="J2205" t="str">
            <v>SG -Global81-CR-06/2023</v>
          </cell>
          <cell r="K2205" t="str">
            <v>Settled</v>
          </cell>
        </row>
        <row r="2206">
          <cell r="J2206" t="str">
            <v>SG -Global81-CR-07/2023</v>
          </cell>
          <cell r="K2206" t="str">
            <v>Settled</v>
          </cell>
        </row>
        <row r="2207">
          <cell r="J2207" t="str">
            <v>SG -Global81-08/2023</v>
          </cell>
          <cell r="K2207" t="str">
            <v>Settled</v>
          </cell>
        </row>
        <row r="2208">
          <cell r="J2208" t="str">
            <v>SG-Global81-09/2023</v>
          </cell>
          <cell r="K2208" t="str">
            <v>Settled</v>
          </cell>
        </row>
        <row r="2209">
          <cell r="J2209" t="str">
            <v>SG-Global81-10/2023</v>
          </cell>
          <cell r="K2209" t="str">
            <v>Settled</v>
          </cell>
        </row>
        <row r="2210">
          <cell r="J2210" t="str">
            <v>SG-Global81-11/2023</v>
          </cell>
          <cell r="K2210" t="str">
            <v>Settled</v>
          </cell>
        </row>
        <row r="2211">
          <cell r="J2211" t="str">
            <v>SG-Global81-12/2023</v>
          </cell>
          <cell r="K2211" t="str">
            <v>Settled</v>
          </cell>
        </row>
        <row r="2212">
          <cell r="J2212" t="str">
            <v>SG-Global81-01/2024</v>
          </cell>
          <cell r="K2212" t="str">
            <v>Settled</v>
          </cell>
        </row>
        <row r="2213">
          <cell r="J2213" t="str">
            <v>SG-Global81-02/2024</v>
          </cell>
          <cell r="K2213" t="str">
            <v>Settled</v>
          </cell>
        </row>
        <row r="2214">
          <cell r="J2214" t="str">
            <v>SG-Global81-03/2024</v>
          </cell>
          <cell r="K2214" t="str">
            <v>Settled</v>
          </cell>
        </row>
        <row r="2215">
          <cell r="J2215" t="str">
            <v>SG-Global81-04/2024</v>
          </cell>
          <cell r="K2215" t="str">
            <v>Settled</v>
          </cell>
        </row>
        <row r="2216">
          <cell r="J2216" t="str">
            <v>SG-Global81-05/2024</v>
          </cell>
          <cell r="K2216" t="str">
            <v>Settled</v>
          </cell>
        </row>
        <row r="2217">
          <cell r="J2217" t="str">
            <v>SG-Global81-06/2024</v>
          </cell>
          <cell r="K2217" t="str">
            <v>Settled</v>
          </cell>
        </row>
        <row r="2218">
          <cell r="J2218" t="str">
            <v>SG-Global81-07/2024</v>
          </cell>
          <cell r="K2218" t="str">
            <v>Settled</v>
          </cell>
        </row>
        <row r="2219">
          <cell r="J2219" t="str">
            <v>SG-Global81-08/2024</v>
          </cell>
          <cell r="K2219" t="str">
            <v>Settled</v>
          </cell>
        </row>
        <row r="2220">
          <cell r="J2220" t="str">
            <v>SG-Global81-09/2024</v>
          </cell>
          <cell r="K2220" t="str">
            <v>Settled</v>
          </cell>
        </row>
        <row r="2221">
          <cell r="J2221" t="str">
            <v>SG-Global81-10/2024</v>
          </cell>
          <cell r="K2221" t="str">
            <v>Settled</v>
          </cell>
        </row>
        <row r="2222">
          <cell r="J2222" t="str">
            <v>SG-Global81-11/2024</v>
          </cell>
          <cell r="K2222" t="str">
            <v>Settled</v>
          </cell>
        </row>
        <row r="2223">
          <cell r="J2223" t="str">
            <v>SG-Global81-12/2024</v>
          </cell>
          <cell r="K2223" t="str">
            <v>Settled</v>
          </cell>
        </row>
        <row r="2224">
          <cell r="J2224" t="str">
            <v>SG-Global81-01/2025</v>
          </cell>
          <cell r="K2224" t="str">
            <v>Settled</v>
          </cell>
        </row>
        <row r="2225">
          <cell r="J2225" t="str">
            <v>SG-Global81-02/2025</v>
          </cell>
          <cell r="K2225" t="str">
            <v>Settled</v>
          </cell>
        </row>
        <row r="2226">
          <cell r="J2226" t="str">
            <v>SG-Global81-03/2025</v>
          </cell>
          <cell r="K2226" t="str">
            <v>Settled</v>
          </cell>
        </row>
        <row r="2227">
          <cell r="J2227" t="str">
            <v>SG-Global81-04/2025</v>
          </cell>
          <cell r="K2227" t="str">
            <v>Settled</v>
          </cell>
        </row>
        <row r="2228">
          <cell r="J2228" t="str">
            <v>SG-Global81-05/2025</v>
          </cell>
          <cell r="K2228" t="str">
            <v>Settled</v>
          </cell>
        </row>
        <row r="2229">
          <cell r="J2229" t="str">
            <v>SG-Global81-06/2025</v>
          </cell>
          <cell r="K2229" t="str">
            <v>Settled</v>
          </cell>
        </row>
        <row r="2230">
          <cell r="J2230" t="str">
            <v>SG-Global81-07/2025</v>
          </cell>
          <cell r="K2230" t="str">
            <v>Settled</v>
          </cell>
        </row>
        <row r="2231">
          <cell r="J2231" t="str">
            <v>SG-Global81-08/2025</v>
          </cell>
          <cell r="K2231" t="str">
            <v>Settled</v>
          </cell>
        </row>
        <row r="2232">
          <cell r="J2232" t="str">
            <v>SG-Global81-09/2025</v>
          </cell>
          <cell r="K2232" t="str">
            <v>Settled</v>
          </cell>
        </row>
        <row r="2233">
          <cell r="J2233" t="str">
            <v>SG-Global81-10/2025</v>
          </cell>
          <cell r="K2233" t="str">
            <v>Settled</v>
          </cell>
        </row>
        <row r="2234">
          <cell r="J2234" t="str">
            <v>SG-Global81-11/2025</v>
          </cell>
          <cell r="K2234" t="str">
            <v>Settled</v>
          </cell>
        </row>
        <row r="2235">
          <cell r="J2235" t="str">
            <v>SG-Global81-12/2025</v>
          </cell>
          <cell r="K2235" t="str">
            <v>Settled</v>
          </cell>
        </row>
        <row r="2236">
          <cell r="J2236" t="str">
            <v>SG-Global81-01/2026</v>
          </cell>
          <cell r="K2236" t="str">
            <v>Settled</v>
          </cell>
        </row>
        <row r="2237">
          <cell r="J2237" t="str">
            <v>SG-Global81-02/2026</v>
          </cell>
          <cell r="K2237" t="str">
            <v>Settled</v>
          </cell>
        </row>
        <row r="2238">
          <cell r="J2238" t="str">
            <v>SG-Global81-03/2026</v>
          </cell>
          <cell r="K2238" t="str">
            <v>Settled</v>
          </cell>
        </row>
        <row r="2239">
          <cell r="J2239" t="str">
            <v>SG-Global81-04/2026</v>
          </cell>
          <cell r="K2239" t="str">
            <v>Settled</v>
          </cell>
        </row>
        <row r="2240">
          <cell r="J2240" t="str">
            <v>SG-Global81-05/2026</v>
          </cell>
          <cell r="K2240" t="str">
            <v>Settled</v>
          </cell>
        </row>
        <row r="2241">
          <cell r="J2241" t="str">
            <v>SG-globsol singapore pte ltd-03/2023</v>
          </cell>
          <cell r="K2241" t="str">
            <v>Waived Off</v>
          </cell>
        </row>
        <row r="2242">
          <cell r="J2242" t="str">
            <v>SG-globsol singapore pte ltd-05/2023</v>
          </cell>
          <cell r="K2242" t="str">
            <v>Settled</v>
          </cell>
        </row>
        <row r="2243">
          <cell r="J2243" t="str">
            <v>SG-golden money-10/2022</v>
          </cell>
          <cell r="K2243" t="str">
            <v>Settled</v>
          </cell>
        </row>
        <row r="2244">
          <cell r="J2244" t="str">
            <v>SG-golden money transfer, inc-11/2022</v>
          </cell>
          <cell r="K2244" t="str">
            <v>Settled</v>
          </cell>
        </row>
        <row r="2245">
          <cell r="J2245" t="str">
            <v>SG-golden money transfer, inc-12/2022</v>
          </cell>
          <cell r="K2245" t="str">
            <v>Settled</v>
          </cell>
        </row>
        <row r="2246">
          <cell r="J2246" t="str">
            <v>SG-golden money transfer, inc-01/2023</v>
          </cell>
          <cell r="K2246" t="str">
            <v>Settled</v>
          </cell>
        </row>
        <row r="2247">
          <cell r="J2247" t="str">
            <v>SG-goldenmoney-02/2023</v>
          </cell>
          <cell r="K2247" t="str">
            <v>Settled</v>
          </cell>
        </row>
        <row r="2248">
          <cell r="J2248" t="str">
            <v>SG-goldenmoney-03/2023</v>
          </cell>
          <cell r="K2248" t="str">
            <v>Settled</v>
          </cell>
        </row>
        <row r="2249">
          <cell r="J2249" t="str">
            <v>SG-goldenmoney-04/2023</v>
          </cell>
          <cell r="K2249" t="str">
            <v>Settled</v>
          </cell>
        </row>
        <row r="2250">
          <cell r="J2250" t="str">
            <v>SG-goldenmoney-05/2023</v>
          </cell>
          <cell r="K2250" t="str">
            <v>Settled</v>
          </cell>
        </row>
        <row r="2251">
          <cell r="J2251" t="str">
            <v>SG-goldenmoney-06/2023</v>
          </cell>
          <cell r="K2251" t="str">
            <v>Settled</v>
          </cell>
        </row>
        <row r="2252">
          <cell r="J2252" t="str">
            <v>SG-goldenmoney-12/2023</v>
          </cell>
          <cell r="K2252" t="str">
            <v>Settled</v>
          </cell>
        </row>
        <row r="2253">
          <cell r="J2253" t="str">
            <v>SG-goldenmoney-01/2024</v>
          </cell>
          <cell r="K2253" t="str">
            <v>Settled</v>
          </cell>
        </row>
        <row r="2254">
          <cell r="J2254" t="str">
            <v>SG-goldenmoney-03/2024</v>
          </cell>
          <cell r="K2254" t="str">
            <v>Settled</v>
          </cell>
        </row>
        <row r="2255">
          <cell r="J2255" t="str">
            <v>SG-goldenmoney-05/2024</v>
          </cell>
          <cell r="K2255" t="str">
            <v>Settled</v>
          </cell>
        </row>
        <row r="2256">
          <cell r="J2256" t="str">
            <v>SG-goldenmoney-06/2024</v>
          </cell>
          <cell r="K2256" t="str">
            <v>Settled</v>
          </cell>
        </row>
        <row r="2257">
          <cell r="J2257" t="str">
            <v>SG-GOOGLY MEDIA-12/2023</v>
          </cell>
          <cell r="K2257" t="str">
            <v>Settled</v>
          </cell>
        </row>
        <row r="2258">
          <cell r="J2258" t="str">
            <v>SG-bob-03/2023</v>
          </cell>
          <cell r="K2258" t="str">
            <v>Settled</v>
          </cell>
        </row>
        <row r="2259">
          <cell r="J2259" t="str">
            <v>SG-bob-04/2023</v>
          </cell>
          <cell r="K2259" t="str">
            <v>Settled</v>
          </cell>
        </row>
        <row r="2260">
          <cell r="J2260" t="str">
            <v>SG-hamilton reserve bank ltd.-11/2022</v>
          </cell>
          <cell r="K2260" t="str">
            <v>Settled</v>
          </cell>
        </row>
        <row r="2261">
          <cell r="J2261" t="str">
            <v>SG-hamilton reserve bank ltd.-12/2022</v>
          </cell>
          <cell r="K2261" t="str">
            <v>Settled</v>
          </cell>
        </row>
        <row r="2262">
          <cell r="J2262" t="str">
            <v>SG-hamilton reserve bank ltd.-01/2023</v>
          </cell>
          <cell r="K2262" t="str">
            <v>Settled</v>
          </cell>
        </row>
        <row r="2263">
          <cell r="J2263" t="str">
            <v>SG-hamilton-02/2023</v>
          </cell>
          <cell r="K2263" t="str">
            <v>Settled</v>
          </cell>
        </row>
        <row r="2264">
          <cell r="J2264" t="str">
            <v>SG-hamilton-03/2023</v>
          </cell>
          <cell r="K2264" t="str">
            <v>Settled</v>
          </cell>
        </row>
        <row r="2265">
          <cell r="J2265" t="str">
            <v>SG-hamilton-04/2023</v>
          </cell>
          <cell r="K2265" t="str">
            <v>Settled</v>
          </cell>
        </row>
        <row r="2266">
          <cell r="J2266" t="str">
            <v>SG-hamilton-05/2023</v>
          </cell>
          <cell r="K2266" t="str">
            <v>Settled</v>
          </cell>
        </row>
        <row r="2267">
          <cell r="J2267" t="str">
            <v>SG-hamilton-06/2023</v>
          </cell>
          <cell r="K2267" t="str">
            <v>Settled</v>
          </cell>
        </row>
        <row r="2268">
          <cell r="J2268" t="str">
            <v>SG-hamilton-07/2023</v>
          </cell>
          <cell r="K2268" t="str">
            <v>Settled</v>
          </cell>
        </row>
        <row r="2269">
          <cell r="J2269" t="str">
            <v>SG -hamilton-08/2023</v>
          </cell>
          <cell r="K2269" t="str">
            <v>Settled</v>
          </cell>
        </row>
        <row r="2270">
          <cell r="J2270" t="str">
            <v>SG-hamilton-09/2023</v>
          </cell>
          <cell r="K2270" t="str">
            <v>Settled</v>
          </cell>
        </row>
        <row r="2271">
          <cell r="J2271" t="str">
            <v>SG-hamilton-10/2023</v>
          </cell>
          <cell r="K2271" t="str">
            <v>Settled</v>
          </cell>
        </row>
        <row r="2272">
          <cell r="J2272" t="str">
            <v>SG-hamilton-11/2023</v>
          </cell>
          <cell r="K2272" t="str">
            <v>Settled</v>
          </cell>
        </row>
        <row r="2273">
          <cell r="J2273" t="str">
            <v>SG-hamilton-12/2023</v>
          </cell>
          <cell r="K2273" t="str">
            <v>Settled</v>
          </cell>
        </row>
        <row r="2274">
          <cell r="J2274" t="str">
            <v>SG-hamilton-01/2024</v>
          </cell>
          <cell r="K2274" t="str">
            <v>Settled</v>
          </cell>
        </row>
        <row r="2275">
          <cell r="J2275" t="str">
            <v>SG-hamilton-02/2024</v>
          </cell>
          <cell r="K2275" t="str">
            <v>Settled</v>
          </cell>
        </row>
        <row r="2276">
          <cell r="J2276" t="str">
            <v>SG-hamilton-03/2024</v>
          </cell>
          <cell r="K2276" t="str">
            <v>Settled</v>
          </cell>
        </row>
        <row r="2277">
          <cell r="J2277" t="str">
            <v>SG-hamilton-04/2024</v>
          </cell>
          <cell r="K2277" t="str">
            <v>Settled</v>
          </cell>
        </row>
        <row r="2278">
          <cell r="J2278" t="str">
            <v>SG-hamilton-05/2024</v>
          </cell>
          <cell r="K2278" t="str">
            <v>Settled</v>
          </cell>
        </row>
        <row r="2279">
          <cell r="J2279" t="str">
            <v>SG-hamilton-06/2024</v>
          </cell>
          <cell r="K2279" t="str">
            <v>Settled</v>
          </cell>
        </row>
        <row r="2280">
          <cell r="J2280" t="str">
            <v>SG-hamilton-07/2024</v>
          </cell>
          <cell r="K2280" t="str">
            <v>Settled</v>
          </cell>
        </row>
        <row r="2281">
          <cell r="J2281" t="str">
            <v>SG-hamilton-08/2024</v>
          </cell>
          <cell r="K2281" t="str">
            <v>Settled</v>
          </cell>
        </row>
        <row r="2282">
          <cell r="J2282" t="str">
            <v>SG-hamilton-09/2024</v>
          </cell>
          <cell r="K2282" t="str">
            <v>Settled</v>
          </cell>
        </row>
        <row r="2283">
          <cell r="J2283" t="str">
            <v>SG-hamilton-10/2024</v>
          </cell>
          <cell r="K2283" t="str">
            <v>Settled</v>
          </cell>
        </row>
        <row r="2284">
          <cell r="J2284" t="str">
            <v>SG-hamilton-11/2024</v>
          </cell>
          <cell r="K2284" t="str">
            <v>Settled</v>
          </cell>
        </row>
        <row r="2285">
          <cell r="J2285" t="str">
            <v>SG-hamilton-12/2024</v>
          </cell>
          <cell r="K2285" t="str">
            <v>Settled</v>
          </cell>
        </row>
        <row r="2286">
          <cell r="J2286" t="str">
            <v>SG-hamilton-01/2025</v>
          </cell>
          <cell r="K2286" t="str">
            <v>Settled</v>
          </cell>
        </row>
        <row r="2287">
          <cell r="J2287" t="str">
            <v>SG-hamilton-02/2025</v>
          </cell>
          <cell r="K2287" t="str">
            <v>Settled</v>
          </cell>
        </row>
        <row r="2288">
          <cell r="J2288" t="str">
            <v>SG-hamilton-03/2025</v>
          </cell>
          <cell r="K2288" t="str">
            <v>Settled</v>
          </cell>
        </row>
        <row r="2289">
          <cell r="J2289" t="str">
            <v>SG-hamilton-04/2025</v>
          </cell>
          <cell r="K2289" t="str">
            <v>Settled</v>
          </cell>
        </row>
        <row r="2290">
          <cell r="J2290" t="str">
            <v>SG-hamilton-05/2025</v>
          </cell>
          <cell r="K2290" t="str">
            <v>Settled</v>
          </cell>
        </row>
        <row r="2291">
          <cell r="J2291" t="str">
            <v>SG-hamilton-06/2025</v>
          </cell>
          <cell r="K2291" t="str">
            <v>Settled</v>
          </cell>
        </row>
        <row r="2292">
          <cell r="J2292" t="str">
            <v>SG-hamilton-07/2025</v>
          </cell>
          <cell r="K2292" t="str">
            <v>Settled</v>
          </cell>
        </row>
        <row r="2293">
          <cell r="J2293" t="str">
            <v>SG-hamilton-08/2025</v>
          </cell>
          <cell r="K2293" t="str">
            <v>Settled</v>
          </cell>
        </row>
        <row r="2294">
          <cell r="J2294" t="str">
            <v>SG-hamilton-09/2025</v>
          </cell>
          <cell r="K2294" t="str">
            <v>Settled</v>
          </cell>
        </row>
        <row r="2295">
          <cell r="J2295" t="str">
            <v>SG-hamilton-10/2025</v>
          </cell>
          <cell r="K2295" t="str">
            <v>Settled</v>
          </cell>
        </row>
        <row r="2296">
          <cell r="J2296" t="str">
            <v>SG-hamilton-11/2025</v>
          </cell>
          <cell r="K2296" t="str">
            <v>Settled</v>
          </cell>
        </row>
        <row r="2297">
          <cell r="J2297" t="str">
            <v>SG-hamilton-12/2025</v>
          </cell>
          <cell r="K2297" t="str">
            <v>Settled</v>
          </cell>
        </row>
        <row r="2298">
          <cell r="J2298" t="str">
            <v>SG-hamilton-01/2026</v>
          </cell>
          <cell r="K2298" t="str">
            <v>Settled</v>
          </cell>
        </row>
        <row r="2299">
          <cell r="J2299" t="str">
            <v>SG-hamilton-02/2026</v>
          </cell>
          <cell r="K2299" t="str">
            <v>Settled</v>
          </cell>
        </row>
        <row r="2300">
          <cell r="J2300" t="str">
            <v>SG-hamilton-03/2026</v>
          </cell>
          <cell r="K2300" t="str">
            <v>Settled</v>
          </cell>
        </row>
        <row r="2301">
          <cell r="J2301" t="str">
            <v>SG-hamilton-04/2026</v>
          </cell>
          <cell r="K2301" t="str">
            <v>Settled</v>
          </cell>
        </row>
        <row r="2302">
          <cell r="J2302" t="str">
            <v>SG-hamilton-05/2026</v>
          </cell>
          <cell r="K2302" t="str">
            <v>Settled</v>
          </cell>
        </row>
        <row r="2303">
          <cell r="J2303" t="str">
            <v>SG -Hamsa Pay-01/2022</v>
          </cell>
          <cell r="K2303" t="str">
            <v>Waived Off</v>
          </cell>
        </row>
        <row r="2304">
          <cell r="J2304" t="str">
            <v>SG -Hamsa Pay-02/2022</v>
          </cell>
          <cell r="K2304" t="str">
            <v>Waived Off</v>
          </cell>
        </row>
        <row r="2305">
          <cell r="J2305" t="str">
            <v>SG -Hamsa Pay-03/2022</v>
          </cell>
          <cell r="K2305" t="str">
            <v>Waived Off</v>
          </cell>
        </row>
        <row r="2306">
          <cell r="J2306" t="str">
            <v>SG -Hamsa Pay-04/2022</v>
          </cell>
          <cell r="K2306" t="str">
            <v>Waived Off</v>
          </cell>
        </row>
        <row r="2307">
          <cell r="J2307" t="str">
            <v>SG -Hamsa Pay-05/2022</v>
          </cell>
          <cell r="K2307" t="str">
            <v>Waived Off</v>
          </cell>
        </row>
        <row r="2308">
          <cell r="J2308" t="str">
            <v>SG -Hamsa Pay-06/2022</v>
          </cell>
          <cell r="K2308" t="str">
            <v>Waived Off</v>
          </cell>
        </row>
        <row r="2309">
          <cell r="J2309" t="str">
            <v>SG-HamsaPay-07/2022</v>
          </cell>
          <cell r="K2309" t="str">
            <v>Waived Off</v>
          </cell>
        </row>
        <row r="2310">
          <cell r="J2310" t="str">
            <v>SG-HamsaPay-08/2022</v>
          </cell>
          <cell r="K2310" t="str">
            <v>Waived Off</v>
          </cell>
        </row>
        <row r="2311">
          <cell r="J2311" t="str">
            <v>SG-HamsaPay-09/2022</v>
          </cell>
          <cell r="K2311" t="str">
            <v>Waived Off</v>
          </cell>
        </row>
        <row r="2312">
          <cell r="J2312" t="str">
            <v>SG-HamsaPay-10/2022</v>
          </cell>
          <cell r="K2312" t="str">
            <v>Waived Off</v>
          </cell>
        </row>
        <row r="2313">
          <cell r="J2313" t="str">
            <v>SG-HamsaPay-11/2022</v>
          </cell>
          <cell r="K2313" t="str">
            <v>Waived Off</v>
          </cell>
        </row>
        <row r="2314">
          <cell r="J2314" t="str">
            <v>SG -Healthtestgo Pte. Ltd.-02/2022</v>
          </cell>
          <cell r="K2314" t="str">
            <v>Reversed</v>
          </cell>
        </row>
        <row r="2315">
          <cell r="J2315" t="str">
            <v>SG -Healthtestgo Pte. Ltd.-03/2022</v>
          </cell>
          <cell r="K2315" t="str">
            <v>Reversed</v>
          </cell>
        </row>
        <row r="2316">
          <cell r="J2316" t="str">
            <v>SG -Healthtestgo Pte. Ltd.-04/2022</v>
          </cell>
          <cell r="K2316" t="str">
            <v>Reversed</v>
          </cell>
        </row>
        <row r="2317">
          <cell r="J2317" t="str">
            <v>SG -Healthtestgo Pte. Ltd.-05/2022</v>
          </cell>
          <cell r="K2317" t="str">
            <v>Reversed</v>
          </cell>
        </row>
        <row r="2318">
          <cell r="J2318" t="str">
            <v>SG -Healthtestgo Pte. Ltd.-06/2022</v>
          </cell>
          <cell r="K2318" t="str">
            <v>Reversed</v>
          </cell>
        </row>
        <row r="2319">
          <cell r="J2319" t="str">
            <v>SG-Healthtestgo-09/2022</v>
          </cell>
          <cell r="K2319" t="str">
            <v>Reversed</v>
          </cell>
        </row>
        <row r="2320">
          <cell r="J2320" t="str">
            <v>SG-Healthtestgo-10/2022</v>
          </cell>
          <cell r="K2320" t="str">
            <v>Reversed</v>
          </cell>
        </row>
        <row r="2321">
          <cell r="J2321" t="str">
            <v>SG-Healthtestgo Pte. Ltd.-11/2022</v>
          </cell>
          <cell r="K2321" t="str">
            <v>Reversed</v>
          </cell>
        </row>
        <row r="2322">
          <cell r="J2322" t="str">
            <v>SG-Healthtestgo Pte. Ltd.-12/2022</v>
          </cell>
          <cell r="K2322" t="str">
            <v>Reversed</v>
          </cell>
        </row>
        <row r="2323">
          <cell r="J2323" t="str">
            <v>SG-Healthtestgo Pte. Ltd.-01/2023</v>
          </cell>
          <cell r="K2323" t="str">
            <v>Reversed</v>
          </cell>
        </row>
        <row r="2324">
          <cell r="J2324" t="str">
            <v>US -Helios-10/2023</v>
          </cell>
          <cell r="K2324" t="str">
            <v>Settled</v>
          </cell>
        </row>
        <row r="2325">
          <cell r="J2325" t="str">
            <v>SG-hello yo pte. ltd.-12/2022</v>
          </cell>
          <cell r="K2325" t="str">
            <v>Settled</v>
          </cell>
        </row>
        <row r="2326">
          <cell r="J2326" t="str">
            <v>SG-hello yo pte. ltd.-01/2023</v>
          </cell>
          <cell r="K2326" t="str">
            <v>Settled</v>
          </cell>
        </row>
        <row r="2327">
          <cell r="J2327" t="str">
            <v>SG-helloyo-02/2023</v>
          </cell>
          <cell r="K2327" t="str">
            <v>Settled</v>
          </cell>
        </row>
        <row r="2328">
          <cell r="J2328" t="str">
            <v>SG-helloyo-03/2023</v>
          </cell>
          <cell r="K2328" t="str">
            <v>Settled</v>
          </cell>
        </row>
        <row r="2329">
          <cell r="J2329" t="str">
            <v>SG-helloyo-04/2023</v>
          </cell>
          <cell r="K2329" t="str">
            <v>Settled</v>
          </cell>
        </row>
        <row r="2330">
          <cell r="J2330" t="str">
            <v>SG-helloyo-05/2023</v>
          </cell>
          <cell r="K2330" t="str">
            <v>Settled</v>
          </cell>
        </row>
        <row r="2331">
          <cell r="J2331" t="str">
            <v>SG-helloyo-06/2023</v>
          </cell>
          <cell r="K2331" t="str">
            <v>Settled</v>
          </cell>
        </row>
        <row r="2332">
          <cell r="J2332" t="str">
            <v>SG-helloyo-07/2023</v>
          </cell>
          <cell r="K2332" t="str">
            <v>Settled</v>
          </cell>
        </row>
        <row r="2333">
          <cell r="J2333" t="str">
            <v>HK-Holiday World-07/2023</v>
          </cell>
          <cell r="K2333" t="str">
            <v>Waived Off</v>
          </cell>
        </row>
        <row r="2334">
          <cell r="J2334" t="str">
            <v>UK-HOWELL METALS LLC-01/2023</v>
          </cell>
          <cell r="K2334" t="str">
            <v>Write Off</v>
          </cell>
        </row>
        <row r="2335">
          <cell r="J2335" t="str">
            <v>US-Ibanera LLC-01/2023</v>
          </cell>
          <cell r="K2335" t="str">
            <v>Settled</v>
          </cell>
        </row>
        <row r="2336">
          <cell r="J2336" t="str">
            <v>US-Ibanera LLC-02/2023</v>
          </cell>
          <cell r="K2336" t="str">
            <v>Settled</v>
          </cell>
        </row>
        <row r="2337">
          <cell r="J2337" t="str">
            <v>US -Ibanera LLC-08/2023</v>
          </cell>
          <cell r="K2337" t="str">
            <v>Settled</v>
          </cell>
        </row>
        <row r="2338">
          <cell r="J2338" t="str">
            <v>US-Ibanera LLC-09/2023</v>
          </cell>
          <cell r="K2338" t="str">
            <v>Settled</v>
          </cell>
        </row>
        <row r="2339">
          <cell r="J2339" t="str">
            <v>US-Ibanera LLC-10/2023</v>
          </cell>
          <cell r="K2339" t="str">
            <v>Settled</v>
          </cell>
        </row>
        <row r="2340">
          <cell r="J2340" t="str">
            <v>US-Ibanera LLC-11/2023</v>
          </cell>
          <cell r="K2340" t="str">
            <v>Settled</v>
          </cell>
        </row>
        <row r="2341">
          <cell r="J2341" t="str">
            <v>US-Ibanera LLC-12/2023</v>
          </cell>
          <cell r="K2341" t="str">
            <v>Settled</v>
          </cell>
        </row>
        <row r="2342">
          <cell r="J2342" t="str">
            <v>US-Ibanera LLC-01/2024</v>
          </cell>
          <cell r="K2342" t="str">
            <v>Settled</v>
          </cell>
        </row>
        <row r="2343">
          <cell r="J2343" t="str">
            <v>US-Ibanera LLC-02/2024</v>
          </cell>
          <cell r="K2343" t="str">
            <v>Settled</v>
          </cell>
        </row>
        <row r="2344">
          <cell r="J2344" t="str">
            <v>US-Ibanera LLC-03/2024</v>
          </cell>
          <cell r="K2344" t="str">
            <v>Settled</v>
          </cell>
        </row>
        <row r="2345">
          <cell r="J2345" t="str">
            <v>US-Ibanera LLC-04/2024</v>
          </cell>
          <cell r="K2345" t="str">
            <v>Settled</v>
          </cell>
        </row>
        <row r="2346">
          <cell r="J2346" t="str">
            <v>US-Ibanera LLC-05/2024</v>
          </cell>
          <cell r="K2346" t="str">
            <v>Settled</v>
          </cell>
        </row>
        <row r="2347">
          <cell r="J2347" t="str">
            <v>US-Ibanera LLC-06/2024</v>
          </cell>
          <cell r="K2347" t="str">
            <v>Settled</v>
          </cell>
        </row>
        <row r="2348">
          <cell r="J2348" t="str">
            <v>US-Ibanera LLC-07/2024</v>
          </cell>
          <cell r="K2348" t="str">
            <v>Settled</v>
          </cell>
        </row>
        <row r="2349">
          <cell r="J2349" t="str">
            <v>US-Ibanera LLC-08/2024</v>
          </cell>
          <cell r="K2349" t="str">
            <v>Settled</v>
          </cell>
        </row>
        <row r="2350">
          <cell r="J2350" t="str">
            <v>US-Ibanera LLC-09/2024</v>
          </cell>
          <cell r="K2350" t="str">
            <v>Settled</v>
          </cell>
        </row>
        <row r="2351">
          <cell r="J2351" t="str">
            <v>US-Ibanera LLC-10/2024</v>
          </cell>
          <cell r="K2351" t="str">
            <v>Settled</v>
          </cell>
        </row>
        <row r="2352">
          <cell r="J2352" t="str">
            <v>US-Ibanera LLC-11/2024</v>
          </cell>
          <cell r="K2352" t="str">
            <v>Settled</v>
          </cell>
        </row>
        <row r="2353">
          <cell r="J2353" t="str">
            <v>US-Ibanera LLC-12/2024</v>
          </cell>
          <cell r="K2353" t="str">
            <v>Settled</v>
          </cell>
        </row>
        <row r="2354">
          <cell r="J2354" t="str">
            <v>US-Ibanera LLC-01/2025</v>
          </cell>
          <cell r="K2354" t="str">
            <v>Settled</v>
          </cell>
        </row>
        <row r="2355">
          <cell r="J2355" t="str">
            <v>US-Ibanera LLC-02/2025</v>
          </cell>
          <cell r="K2355" t="str">
            <v>Settled</v>
          </cell>
        </row>
        <row r="2356">
          <cell r="J2356" t="str">
            <v>US-Ibanera LLC-03/2025</v>
          </cell>
          <cell r="K2356" t="str">
            <v>Settled</v>
          </cell>
        </row>
        <row r="2357">
          <cell r="J2357" t="str">
            <v>US-Ibanera LLC-04/2025</v>
          </cell>
          <cell r="K2357" t="str">
            <v>Settled</v>
          </cell>
        </row>
        <row r="2358">
          <cell r="J2358" t="str">
            <v>US-Ibanera LLC-05/2025</v>
          </cell>
          <cell r="K2358" t="str">
            <v>Settled</v>
          </cell>
        </row>
        <row r="2359">
          <cell r="J2359" t="str">
            <v>US-Ibanera LLC-06/2025</v>
          </cell>
          <cell r="K2359" t="str">
            <v>Settled</v>
          </cell>
        </row>
        <row r="2360">
          <cell r="J2360" t="str">
            <v>US-Ibanera LLC-07/2025</v>
          </cell>
          <cell r="K2360" t="str">
            <v>Settled</v>
          </cell>
        </row>
        <row r="2361">
          <cell r="J2361" t="str">
            <v>US-Ibanera LLC-08/2025</v>
          </cell>
          <cell r="K2361" t="str">
            <v>Settled</v>
          </cell>
        </row>
        <row r="2362">
          <cell r="J2362" t="str">
            <v>US-Ibanera LLC-09/2025</v>
          </cell>
          <cell r="K2362" t="str">
            <v>Settled</v>
          </cell>
        </row>
        <row r="2363">
          <cell r="J2363" t="str">
            <v>US-Ibanera LLC-10/2025</v>
          </cell>
          <cell r="K2363" t="str">
            <v>Settled</v>
          </cell>
        </row>
        <row r="2364">
          <cell r="J2364" t="str">
            <v>US-Ibanera LLC-11/2025</v>
          </cell>
          <cell r="K2364" t="str">
            <v>Settled</v>
          </cell>
        </row>
        <row r="2365">
          <cell r="J2365" t="str">
            <v>US-Ibanera LLC-12/2025</v>
          </cell>
          <cell r="K2365" t="str">
            <v>Settled</v>
          </cell>
        </row>
        <row r="2366">
          <cell r="J2366" t="str">
            <v>US-Ibanera LLC-01/2026</v>
          </cell>
          <cell r="K2366" t="str">
            <v>Settled</v>
          </cell>
        </row>
        <row r="2367">
          <cell r="J2367" t="str">
            <v>US-Ibanera LLC-02/2026</v>
          </cell>
          <cell r="K2367" t="str">
            <v>Settled</v>
          </cell>
        </row>
        <row r="2368">
          <cell r="J2368" t="str">
            <v>US-Ibanera LLC-03/2026</v>
          </cell>
          <cell r="K2368" t="str">
            <v>Settled</v>
          </cell>
        </row>
        <row r="2369">
          <cell r="J2369" t="str">
            <v>US-Ibanera LLC-04/2026</v>
          </cell>
          <cell r="K2369" t="str">
            <v>Settled</v>
          </cell>
        </row>
        <row r="2370">
          <cell r="J2370" t="str">
            <v>US-Ibanera LLC-05/2026</v>
          </cell>
          <cell r="K2370" t="str">
            <v>Settled</v>
          </cell>
        </row>
        <row r="2371">
          <cell r="J2371" t="str">
            <v>SG-Ibanera Private Limited-12/2024</v>
          </cell>
          <cell r="K2371" t="str">
            <v>Settled</v>
          </cell>
        </row>
        <row r="2372">
          <cell r="J2372" t="str">
            <v>SG-Ibanera Private Limited-01/2025</v>
          </cell>
          <cell r="K2372" t="str">
            <v>Settled</v>
          </cell>
        </row>
        <row r="2373">
          <cell r="J2373" t="str">
            <v>SG-Ibanera Private Limited-02/2025</v>
          </cell>
          <cell r="K2373" t="str">
            <v>Settled</v>
          </cell>
        </row>
        <row r="2374">
          <cell r="J2374" t="str">
            <v>SG-Ibanera Private Limited-03/2025</v>
          </cell>
          <cell r="K2374" t="str">
            <v>Settled</v>
          </cell>
        </row>
        <row r="2375">
          <cell r="J2375" t="str">
            <v>SG-Ibanera Private Limited-04/2025</v>
          </cell>
          <cell r="K2375" t="str">
            <v>Settled</v>
          </cell>
        </row>
        <row r="2376">
          <cell r="J2376" t="str">
            <v>SG-SlideSG-02/2024</v>
          </cell>
          <cell r="K2376" t="str">
            <v>Settled</v>
          </cell>
        </row>
        <row r="2377">
          <cell r="J2377" t="str">
            <v>SG-SlideSG-03/2024</v>
          </cell>
          <cell r="K2377" t="str">
            <v>Settled</v>
          </cell>
        </row>
        <row r="2378">
          <cell r="J2378" t="str">
            <v>SG-SlideSG-04/2024</v>
          </cell>
          <cell r="K2378" t="str">
            <v>Settled</v>
          </cell>
        </row>
        <row r="2379">
          <cell r="J2379" t="str">
            <v>SG-SlideSG-05/2024</v>
          </cell>
          <cell r="K2379" t="str">
            <v>Settled</v>
          </cell>
        </row>
        <row r="2380">
          <cell r="J2380" t="str">
            <v>SG-SlideSG-06/2024</v>
          </cell>
          <cell r="K2380" t="str">
            <v>Settled</v>
          </cell>
        </row>
        <row r="2381">
          <cell r="J2381" t="str">
            <v>SG-SlideSG-07/2024</v>
          </cell>
          <cell r="K2381" t="str">
            <v>Settled</v>
          </cell>
        </row>
        <row r="2382">
          <cell r="J2382" t="str">
            <v>SG-SlideSG-08/2024</v>
          </cell>
          <cell r="K2382" t="str">
            <v>Settled</v>
          </cell>
        </row>
        <row r="2383">
          <cell r="J2383" t="str">
            <v>SG-SlideSG-09/2024</v>
          </cell>
          <cell r="K2383" t="str">
            <v>Settled</v>
          </cell>
        </row>
        <row r="2384">
          <cell r="J2384" t="str">
            <v>SG-SlideSG-10/2024</v>
          </cell>
          <cell r="K2384" t="str">
            <v>Settled</v>
          </cell>
        </row>
        <row r="2385">
          <cell r="J2385" t="str">
            <v>SG-SlideSG-11/2024</v>
          </cell>
          <cell r="K2385" t="str">
            <v>Settled</v>
          </cell>
        </row>
        <row r="2386">
          <cell r="J2386" t="str">
            <v>SG-SlideSG-12/2024</v>
          </cell>
          <cell r="K2386" t="str">
            <v>Settled</v>
          </cell>
        </row>
        <row r="2387">
          <cell r="J2387" t="str">
            <v>SG-SlideSG-01/2025</v>
          </cell>
          <cell r="K2387" t="str">
            <v>Settled</v>
          </cell>
        </row>
        <row r="2388">
          <cell r="J2388" t="str">
            <v>SG-SlideSG-02/2025</v>
          </cell>
          <cell r="K2388" t="str">
            <v>Settled</v>
          </cell>
        </row>
        <row r="2389">
          <cell r="J2389" t="str">
            <v>SG-SlideSG-03/2025</v>
          </cell>
          <cell r="K2389" t="str">
            <v>Settled</v>
          </cell>
        </row>
        <row r="2390">
          <cell r="J2390" t="str">
            <v>SG-SlideSG-04/2025</v>
          </cell>
          <cell r="K2390" t="str">
            <v>Settled</v>
          </cell>
        </row>
        <row r="2391">
          <cell r="J2391" t="str">
            <v>SG-SlideSG-05/2025</v>
          </cell>
          <cell r="K2391" t="str">
            <v>Settled</v>
          </cell>
        </row>
        <row r="2392">
          <cell r="J2392" t="str">
            <v>SG-SlideSG-06/2025</v>
          </cell>
          <cell r="K2392" t="str">
            <v>Settled</v>
          </cell>
        </row>
        <row r="2393">
          <cell r="J2393" t="str">
            <v>SG-SlideSG-07/2025</v>
          </cell>
          <cell r="K2393" t="str">
            <v>Settled</v>
          </cell>
        </row>
        <row r="2394">
          <cell r="J2394" t="str">
            <v>SG-SlideSG-08/2025</v>
          </cell>
          <cell r="K2394" t="str">
            <v>Settled</v>
          </cell>
        </row>
        <row r="2395">
          <cell r="J2395" t="str">
            <v>SG-SlideSG-09/2025</v>
          </cell>
          <cell r="K2395" t="str">
            <v>Settled</v>
          </cell>
        </row>
        <row r="2396">
          <cell r="J2396" t="str">
            <v>SG-SlideSG-10/2025</v>
          </cell>
          <cell r="K2396" t="str">
            <v>Settled</v>
          </cell>
        </row>
        <row r="2397">
          <cell r="J2397" t="str">
            <v>SG-SlideSG-11/2025</v>
          </cell>
          <cell r="K2397" t="str">
            <v>Settled</v>
          </cell>
        </row>
        <row r="2398">
          <cell r="J2398" t="str">
            <v>SG-SlideSG-12/2025</v>
          </cell>
          <cell r="K2398" t="str">
            <v>Settled</v>
          </cell>
        </row>
        <row r="2399">
          <cell r="J2399" t="str">
            <v>SG-SlideSG-01/2026</v>
          </cell>
          <cell r="K2399" t="str">
            <v>Settled</v>
          </cell>
        </row>
        <row r="2400">
          <cell r="J2400" t="str">
            <v>SG-Ichange Pte Ltd-02/2026</v>
          </cell>
          <cell r="K2400" t="str">
            <v>Settled</v>
          </cell>
        </row>
        <row r="2401">
          <cell r="J2401" t="str">
            <v>SG-Ichange Pte Ltd-03/2026</v>
          </cell>
          <cell r="K2401" t="str">
            <v>Settled</v>
          </cell>
        </row>
        <row r="2402">
          <cell r="J2402" t="str">
            <v>SG-Ichange Pte Ltd-04/2026</v>
          </cell>
          <cell r="K2402" t="str">
            <v>Settled</v>
          </cell>
        </row>
        <row r="2403">
          <cell r="J2403" t="str">
            <v>SG-Ichange Pte Ltd-05/2026</v>
          </cell>
          <cell r="K2403" t="str">
            <v>Settled</v>
          </cell>
        </row>
        <row r="2404">
          <cell r="J2404" t="str">
            <v>SG-ICOGNITO-11/2023</v>
          </cell>
          <cell r="K2404" t="str">
            <v>Settled</v>
          </cell>
        </row>
        <row r="2405">
          <cell r="J2405" t="str">
            <v>SG-Iec Telecom Singapore Pte. Ltd.-11/2022</v>
          </cell>
          <cell r="K2405" t="str">
            <v>Settled</v>
          </cell>
        </row>
        <row r="2406">
          <cell r="J2406" t="str">
            <v>SG-Iec Telecom Singapore Pte. Ltd.-12/2022</v>
          </cell>
          <cell r="K2406" t="str">
            <v>Settled</v>
          </cell>
        </row>
        <row r="2407">
          <cell r="J2407" t="str">
            <v>SG-Iec Telecom Singapore Pte. Ltd.-01/2023</v>
          </cell>
          <cell r="K2407" t="str">
            <v>Settled</v>
          </cell>
        </row>
        <row r="2408">
          <cell r="J2408" t="str">
            <v>SG-IecTele-02/2023</v>
          </cell>
          <cell r="K2408" t="str">
            <v>Settled</v>
          </cell>
        </row>
        <row r="2409">
          <cell r="J2409" t="str">
            <v>SG-IecTele-03/2023</v>
          </cell>
          <cell r="K2409" t="str">
            <v>Settled</v>
          </cell>
        </row>
        <row r="2410">
          <cell r="J2410" t="str">
            <v>SG-IecTele-04/2023</v>
          </cell>
          <cell r="K2410" t="str">
            <v>Settled</v>
          </cell>
        </row>
        <row r="2411">
          <cell r="J2411" t="str">
            <v>SG-IecTele-05/2023</v>
          </cell>
          <cell r="K2411" t="str">
            <v>Settled</v>
          </cell>
        </row>
        <row r="2412">
          <cell r="J2412" t="str">
            <v>SG-IecTele-06/2023</v>
          </cell>
          <cell r="K2412" t="str">
            <v>Settled</v>
          </cell>
        </row>
        <row r="2413">
          <cell r="J2413" t="str">
            <v>SG-IecTele-07/2023</v>
          </cell>
          <cell r="K2413" t="str">
            <v>Settled</v>
          </cell>
        </row>
        <row r="2414">
          <cell r="J2414" t="str">
            <v>SG -IecTele-08/2023</v>
          </cell>
          <cell r="K2414" t="str">
            <v>Settled</v>
          </cell>
        </row>
        <row r="2415">
          <cell r="J2415" t="str">
            <v>SG-Ifx-11/2022</v>
          </cell>
          <cell r="K2415" t="str">
            <v>Settled</v>
          </cell>
        </row>
        <row r="2416">
          <cell r="J2416" t="str">
            <v>SG-Ifx-12/2022</v>
          </cell>
          <cell r="K2416" t="str">
            <v>Settled</v>
          </cell>
        </row>
        <row r="2417">
          <cell r="J2417" t="str">
            <v>SG-Ifx-01/2023</v>
          </cell>
          <cell r="K2417" t="str">
            <v>Settled</v>
          </cell>
        </row>
        <row r="2418">
          <cell r="J2418" t="str">
            <v>SG-Ifx-02/2023</v>
          </cell>
          <cell r="K2418" t="str">
            <v>Settled</v>
          </cell>
        </row>
        <row r="2419">
          <cell r="J2419" t="str">
            <v>SG-Ifx-03/2023</v>
          </cell>
          <cell r="K2419" t="str">
            <v>Settled</v>
          </cell>
        </row>
        <row r="2420">
          <cell r="J2420" t="str">
            <v>SG-Ifx-04/2023</v>
          </cell>
          <cell r="K2420" t="str">
            <v>Settled</v>
          </cell>
        </row>
        <row r="2421">
          <cell r="J2421" t="str">
            <v>SG-Ifx-05/2023</v>
          </cell>
          <cell r="K2421" t="str">
            <v>Settled</v>
          </cell>
        </row>
        <row r="2422">
          <cell r="J2422" t="str">
            <v>SG-Ifx-06/2023</v>
          </cell>
          <cell r="K2422" t="str">
            <v>Settled</v>
          </cell>
        </row>
        <row r="2423">
          <cell r="J2423" t="str">
            <v>SG-Ifx-07/2023</v>
          </cell>
          <cell r="K2423" t="str">
            <v>Settled</v>
          </cell>
        </row>
        <row r="2424">
          <cell r="J2424" t="str">
            <v>SG -Ifx-08/2023</v>
          </cell>
          <cell r="K2424" t="str">
            <v>Settled</v>
          </cell>
        </row>
        <row r="2425">
          <cell r="J2425" t="str">
            <v>SG-Ifx-09/2023</v>
          </cell>
          <cell r="K2425" t="str">
            <v>Settled</v>
          </cell>
        </row>
        <row r="2426">
          <cell r="J2426" t="str">
            <v>SG-Ifx-10/2023</v>
          </cell>
          <cell r="K2426" t="str">
            <v>Settled</v>
          </cell>
        </row>
        <row r="2427">
          <cell r="J2427" t="str">
            <v>SG-Ifx-11/2023</v>
          </cell>
          <cell r="K2427" t="str">
            <v>Settled</v>
          </cell>
        </row>
        <row r="2428">
          <cell r="J2428" t="str">
            <v>SG-Ifx-12/2023</v>
          </cell>
          <cell r="K2428" t="str">
            <v>Settled</v>
          </cell>
        </row>
        <row r="2429">
          <cell r="J2429" t="str">
            <v>SG-Ifx-01/2024</v>
          </cell>
          <cell r="K2429" t="str">
            <v>Settled</v>
          </cell>
        </row>
        <row r="2430">
          <cell r="J2430" t="str">
            <v>SG-Ifx-02/2024</v>
          </cell>
          <cell r="K2430" t="str">
            <v>Settled</v>
          </cell>
        </row>
        <row r="2431">
          <cell r="J2431" t="str">
            <v>SG-Ifx-03/2024</v>
          </cell>
          <cell r="K2431" t="str">
            <v>Settled</v>
          </cell>
        </row>
        <row r="2432">
          <cell r="J2432" t="str">
            <v>SG-Ifx-04/2024</v>
          </cell>
          <cell r="K2432" t="str">
            <v>Settled</v>
          </cell>
        </row>
        <row r="2433">
          <cell r="J2433" t="str">
            <v>SG-Ifx-05/2024</v>
          </cell>
          <cell r="K2433" t="str">
            <v>Settled</v>
          </cell>
        </row>
        <row r="2434">
          <cell r="J2434" t="str">
            <v>SG-Ifx-06/2024</v>
          </cell>
          <cell r="K2434" t="str">
            <v>Settled</v>
          </cell>
        </row>
        <row r="2435">
          <cell r="J2435" t="str">
            <v>SG-Ifx-07/2024</v>
          </cell>
          <cell r="K2435" t="str">
            <v>Settled</v>
          </cell>
        </row>
        <row r="2436">
          <cell r="J2436" t="str">
            <v>SG-Ifx-08/2024</v>
          </cell>
          <cell r="K2436" t="str">
            <v>Settled</v>
          </cell>
        </row>
        <row r="2437">
          <cell r="J2437" t="str">
            <v>SG-Ifx-09/2024</v>
          </cell>
          <cell r="K2437" t="str">
            <v>Settled</v>
          </cell>
        </row>
        <row r="2438">
          <cell r="J2438" t="str">
            <v>SG-Ifx-10/2024</v>
          </cell>
          <cell r="K2438" t="str">
            <v>Settled</v>
          </cell>
        </row>
        <row r="2439">
          <cell r="J2439" t="str">
            <v>SG-Ifx-11/2024</v>
          </cell>
          <cell r="K2439" t="str">
            <v>Settled</v>
          </cell>
        </row>
        <row r="2440">
          <cell r="J2440" t="str">
            <v>SG-Ifx-12/2024</v>
          </cell>
          <cell r="K2440" t="str">
            <v>Settled</v>
          </cell>
        </row>
        <row r="2441">
          <cell r="J2441" t="str">
            <v>SG-Ifx-01/2025</v>
          </cell>
          <cell r="K2441" t="str">
            <v>Settled</v>
          </cell>
        </row>
        <row r="2442">
          <cell r="J2442" t="str">
            <v>SG-Ifx-02/2025</v>
          </cell>
          <cell r="K2442" t="str">
            <v>Settled</v>
          </cell>
        </row>
        <row r="2443">
          <cell r="J2443" t="str">
            <v>SG-Ifx-03/2025</v>
          </cell>
          <cell r="K2443" t="str">
            <v>Settled</v>
          </cell>
        </row>
        <row r="2444">
          <cell r="J2444" t="str">
            <v>SG-Ifx-04/2025</v>
          </cell>
          <cell r="K2444" t="str">
            <v>Settled</v>
          </cell>
        </row>
        <row r="2445">
          <cell r="J2445" t="str">
            <v>SG-Ifx-05/2025</v>
          </cell>
          <cell r="K2445" t="str">
            <v>Settled</v>
          </cell>
        </row>
        <row r="2446">
          <cell r="J2446" t="str">
            <v>SG-Ifx-06/2025</v>
          </cell>
          <cell r="K2446" t="str">
            <v>Settled</v>
          </cell>
        </row>
        <row r="2447">
          <cell r="J2447" t="str">
            <v>SG-Ifx-07/2025</v>
          </cell>
          <cell r="K2447" t="str">
            <v>Settled</v>
          </cell>
        </row>
        <row r="2448">
          <cell r="J2448" t="str">
            <v>SG-Ifx-08/2025</v>
          </cell>
          <cell r="K2448" t="str">
            <v>Settled</v>
          </cell>
        </row>
        <row r="2449">
          <cell r="J2449" t="str">
            <v>SG-Ifx-09/2025</v>
          </cell>
          <cell r="K2449" t="str">
            <v>Settled</v>
          </cell>
        </row>
        <row r="2450">
          <cell r="J2450" t="str">
            <v>SG-Ifx-10/2025</v>
          </cell>
          <cell r="K2450" t="str">
            <v>Settled</v>
          </cell>
        </row>
        <row r="2451">
          <cell r="J2451" t="str">
            <v>SG-Ifx-11/2025</v>
          </cell>
          <cell r="K2451" t="str">
            <v>Settled</v>
          </cell>
        </row>
        <row r="2452">
          <cell r="J2452" t="str">
            <v>SG-Ifx-12/2025</v>
          </cell>
          <cell r="K2452" t="str">
            <v>Settled</v>
          </cell>
        </row>
        <row r="2453">
          <cell r="J2453" t="str">
            <v>SG-Ifx-01/2026</v>
          </cell>
          <cell r="K2453" t="str">
            <v>Settled</v>
          </cell>
        </row>
        <row r="2454">
          <cell r="J2454" t="str">
            <v>SG-Ifx-02/2026</v>
          </cell>
          <cell r="K2454" t="str">
            <v>Settled</v>
          </cell>
        </row>
        <row r="2455">
          <cell r="J2455" t="str">
            <v>SG-Ifx-03/2026</v>
          </cell>
          <cell r="K2455" t="str">
            <v>Settled</v>
          </cell>
        </row>
        <row r="2456">
          <cell r="J2456" t="str">
            <v>SG-Ifx-04/2026</v>
          </cell>
          <cell r="K2456" t="str">
            <v>Settled</v>
          </cell>
        </row>
        <row r="2457">
          <cell r="J2457" t="str">
            <v>SG-Ifx-05/2026</v>
          </cell>
          <cell r="K2457" t="str">
            <v>Settled</v>
          </cell>
        </row>
        <row r="2458">
          <cell r="J2458" t="str">
            <v>SG-Iia Technologies-01/2023</v>
          </cell>
          <cell r="K2458" t="str">
            <v>Settled</v>
          </cell>
        </row>
        <row r="2459">
          <cell r="J2459" t="str">
            <v>SG-Index Standard Dmcc-11/2022</v>
          </cell>
          <cell r="K2459" t="str">
            <v>Settled</v>
          </cell>
        </row>
        <row r="2460">
          <cell r="J2460" t="str">
            <v>SG-Index Standard Dmcc-12/2022</v>
          </cell>
          <cell r="K2460" t="str">
            <v>Settled</v>
          </cell>
        </row>
        <row r="2461">
          <cell r="J2461" t="str">
            <v>SG-Index Standard Dmcc-01/2023</v>
          </cell>
          <cell r="K2461" t="str">
            <v>Settled</v>
          </cell>
        </row>
        <row r="2462">
          <cell r="J2462" t="str">
            <v>SG-IndexStDmcc-02/2023</v>
          </cell>
          <cell r="K2462" t="str">
            <v>Settled</v>
          </cell>
        </row>
        <row r="2463">
          <cell r="J2463" t="str">
            <v>SG-IndexStDmcc-03/2023</v>
          </cell>
          <cell r="K2463" t="str">
            <v>Settled</v>
          </cell>
        </row>
        <row r="2464">
          <cell r="J2464" t="str">
            <v>SG-IndexStDmcc-04/2023</v>
          </cell>
          <cell r="K2464" t="str">
            <v>Settled</v>
          </cell>
        </row>
        <row r="2465">
          <cell r="J2465" t="str">
            <v>SG-IndexStDmcc-05/2023</v>
          </cell>
          <cell r="K2465" t="str">
            <v>Settled</v>
          </cell>
        </row>
        <row r="2466">
          <cell r="J2466" t="str">
            <v>SG-IndexStDmcc-06/2023</v>
          </cell>
          <cell r="K2466" t="str">
            <v>Settled</v>
          </cell>
        </row>
        <row r="2467">
          <cell r="J2467" t="str">
            <v>SG-IndexStDmcc-07/2023</v>
          </cell>
          <cell r="K2467" t="str">
            <v>Settled</v>
          </cell>
        </row>
        <row r="2468">
          <cell r="J2468" t="str">
            <v>SG -IndexStDmcc-08/2023</v>
          </cell>
          <cell r="K2468" t="str">
            <v>Settled</v>
          </cell>
        </row>
        <row r="2469">
          <cell r="J2469" t="str">
            <v>SG-IndexStDmcc-09/2023</v>
          </cell>
          <cell r="K2469" t="str">
            <v>Settled</v>
          </cell>
        </row>
        <row r="2470">
          <cell r="J2470" t="str">
            <v>SG-IndexStDmcc-10/2023</v>
          </cell>
          <cell r="K2470" t="str">
            <v>Settled</v>
          </cell>
        </row>
        <row r="2471">
          <cell r="J2471" t="str">
            <v>SG-IndexStDmcc-11/2023</v>
          </cell>
          <cell r="K2471" t="str">
            <v>Settled</v>
          </cell>
        </row>
        <row r="2472">
          <cell r="J2472" t="str">
            <v>SG-IndexStDmcc-12/2023</v>
          </cell>
          <cell r="K2472" t="str">
            <v>Settled</v>
          </cell>
        </row>
        <row r="2473">
          <cell r="J2473" t="str">
            <v>SG-IndexStDmcc-01/2024</v>
          </cell>
          <cell r="K2473" t="str">
            <v>Settled</v>
          </cell>
        </row>
        <row r="2474">
          <cell r="J2474" t="str">
            <v>SG-IndexStDmcc-02/2024</v>
          </cell>
          <cell r="K2474" t="str">
            <v>Settled</v>
          </cell>
        </row>
        <row r="2475">
          <cell r="J2475" t="str">
            <v>SG-IndexStDmcc-03/2024</v>
          </cell>
          <cell r="K2475" t="str">
            <v>Settled</v>
          </cell>
        </row>
        <row r="2476">
          <cell r="J2476" t="str">
            <v>SG-IndexStDmcc-04/2024</v>
          </cell>
          <cell r="K2476" t="str">
            <v>Settled</v>
          </cell>
        </row>
        <row r="2477">
          <cell r="J2477" t="str">
            <v>SG-CN-IndexStDmcc-03-2024</v>
          </cell>
          <cell r="K2477" t="str">
            <v>Settled</v>
          </cell>
        </row>
        <row r="2478">
          <cell r="J2478" t="str">
            <v>SG-CN-IndexStDmcc-04-2024</v>
          </cell>
          <cell r="K2478" t="str">
            <v>Settled</v>
          </cell>
        </row>
        <row r="2479">
          <cell r="J2479" t="str">
            <v>SG-indigo-01/2024</v>
          </cell>
          <cell r="K2479" t="str">
            <v>Settled</v>
          </cell>
        </row>
        <row r="2480">
          <cell r="J2480" t="str">
            <v>SG-inshorts pte. ltd.-11/2022</v>
          </cell>
          <cell r="K2480" t="str">
            <v>Settled</v>
          </cell>
        </row>
        <row r="2481">
          <cell r="J2481" t="str">
            <v>SG-inshorts pte. ltd.-01/2023</v>
          </cell>
          <cell r="K2481" t="str">
            <v>Settled</v>
          </cell>
        </row>
        <row r="2482">
          <cell r="J2482" t="str">
            <v>SG-inshorts-03/2023</v>
          </cell>
          <cell r="K2482" t="str">
            <v>Settled</v>
          </cell>
        </row>
        <row r="2483">
          <cell r="J2483" t="str">
            <v>HK-Ipaylinks-11/2022</v>
          </cell>
          <cell r="K2483" t="str">
            <v>Settled</v>
          </cell>
        </row>
        <row r="2484">
          <cell r="J2484" t="str">
            <v>HK-Ipaylinks-12/2022</v>
          </cell>
          <cell r="K2484" t="str">
            <v>Settled</v>
          </cell>
        </row>
        <row r="2485">
          <cell r="J2485" t="str">
            <v>HK-Ipaylinks-01/2023</v>
          </cell>
          <cell r="K2485" t="str">
            <v>Settled</v>
          </cell>
        </row>
        <row r="2486">
          <cell r="J2486" t="str">
            <v>HK-Ipaylinks-02/2023</v>
          </cell>
          <cell r="K2486" t="str">
            <v>Settled</v>
          </cell>
        </row>
        <row r="2487">
          <cell r="J2487" t="str">
            <v>HK-Ipaylinks-03/2023</v>
          </cell>
          <cell r="K2487" t="str">
            <v>Settled</v>
          </cell>
        </row>
        <row r="2488">
          <cell r="J2488" t="str">
            <v>HK-ipaylinks-04/2023</v>
          </cell>
          <cell r="K2488" t="str">
            <v>Settled</v>
          </cell>
        </row>
        <row r="2489">
          <cell r="J2489" t="str">
            <v>HK-ipaylinks-05/2023</v>
          </cell>
          <cell r="K2489" t="str">
            <v>Settled</v>
          </cell>
        </row>
        <row r="2490">
          <cell r="J2490" t="str">
            <v>HK-ipaylinks-06/2023</v>
          </cell>
          <cell r="K2490" t="str">
            <v>Settled</v>
          </cell>
        </row>
        <row r="2491">
          <cell r="J2491" t="str">
            <v>HK-ipaylinks-07/2023</v>
          </cell>
          <cell r="K2491" t="str">
            <v>Settled</v>
          </cell>
        </row>
        <row r="2492">
          <cell r="J2492" t="str">
            <v>HK -ipaylinks-08/2023</v>
          </cell>
          <cell r="K2492" t="str">
            <v>Settled</v>
          </cell>
        </row>
        <row r="2493">
          <cell r="J2493" t="str">
            <v>HK-ipaylinks-09/2023</v>
          </cell>
          <cell r="K2493" t="str">
            <v>Settled</v>
          </cell>
        </row>
        <row r="2494">
          <cell r="J2494" t="str">
            <v>HK-ipaylinks-10/2023</v>
          </cell>
          <cell r="K2494" t="str">
            <v>Settled</v>
          </cell>
        </row>
        <row r="2495">
          <cell r="J2495" t="str">
            <v>HK-ipaylinks-11/2023</v>
          </cell>
          <cell r="K2495" t="str">
            <v>Settled</v>
          </cell>
        </row>
        <row r="2496">
          <cell r="J2496" t="str">
            <v>HK-ipaylinks-12/2023</v>
          </cell>
          <cell r="K2496" t="str">
            <v>Settled</v>
          </cell>
        </row>
        <row r="2497">
          <cell r="J2497" t="str">
            <v>HK-ipaylinks-01/2024</v>
          </cell>
          <cell r="K2497" t="str">
            <v>Settled</v>
          </cell>
        </row>
        <row r="2498">
          <cell r="J2498" t="str">
            <v>HK-ipaylinks-02/2024</v>
          </cell>
          <cell r="K2498" t="str">
            <v>Settled</v>
          </cell>
        </row>
        <row r="2499">
          <cell r="J2499" t="str">
            <v>HK-ipaylinks-03/2024</v>
          </cell>
          <cell r="K2499" t="str">
            <v>Settled</v>
          </cell>
        </row>
        <row r="2500">
          <cell r="J2500" t="str">
            <v>HK-ipaylinks-04/2024</v>
          </cell>
          <cell r="K2500" t="str">
            <v>Settled</v>
          </cell>
        </row>
        <row r="2501">
          <cell r="J2501" t="str">
            <v>HK-ipaylinks-05/2024</v>
          </cell>
          <cell r="K2501" t="str">
            <v>Settled</v>
          </cell>
        </row>
        <row r="2502">
          <cell r="J2502" t="str">
            <v>HK-ipaylinks-06/2024</v>
          </cell>
          <cell r="K2502" t="str">
            <v>Settled</v>
          </cell>
        </row>
        <row r="2503">
          <cell r="J2503" t="str">
            <v>HK-ipaylinks-07/2024</v>
          </cell>
          <cell r="K2503" t="str">
            <v>Settled</v>
          </cell>
        </row>
        <row r="2504">
          <cell r="J2504" t="str">
            <v>HK-ipaylinks-08/2024</v>
          </cell>
          <cell r="K2504" t="str">
            <v>Settled</v>
          </cell>
        </row>
        <row r="2505">
          <cell r="J2505" t="str">
            <v>HK-ipaylinks-09/2024</v>
          </cell>
          <cell r="K2505" t="str">
            <v>Settled</v>
          </cell>
        </row>
        <row r="2506">
          <cell r="J2506" t="str">
            <v>HK-ipaylinks-10/2024</v>
          </cell>
          <cell r="K2506" t="str">
            <v>Settled</v>
          </cell>
        </row>
        <row r="2507">
          <cell r="J2507" t="str">
            <v>HK-ipaylinks-11/2024</v>
          </cell>
          <cell r="K2507" t="str">
            <v>Settled</v>
          </cell>
        </row>
        <row r="2508">
          <cell r="J2508" t="str">
            <v>HK-ipaylinks-12/2024</v>
          </cell>
          <cell r="K2508" t="str">
            <v>Settled</v>
          </cell>
        </row>
        <row r="2509">
          <cell r="J2509" t="str">
            <v>HK-ipaylinks-01/2025</v>
          </cell>
          <cell r="K2509" t="str">
            <v>Settled</v>
          </cell>
        </row>
        <row r="2510">
          <cell r="J2510" t="str">
            <v>HK-ipaylinks-02/2025</v>
          </cell>
          <cell r="K2510" t="str">
            <v>Settled</v>
          </cell>
        </row>
        <row r="2511">
          <cell r="J2511" t="str">
            <v>HK-ipaylinks-03/2025</v>
          </cell>
          <cell r="K2511" t="str">
            <v>Settled</v>
          </cell>
        </row>
        <row r="2512">
          <cell r="J2512" t="str">
            <v>HK-ipaylinks-04/2025</v>
          </cell>
          <cell r="K2512" t="str">
            <v>Settled</v>
          </cell>
        </row>
        <row r="2513">
          <cell r="J2513" t="str">
            <v>HK-ipaylinks-05/2025</v>
          </cell>
          <cell r="K2513" t="str">
            <v>Settled</v>
          </cell>
        </row>
        <row r="2514">
          <cell r="J2514" t="str">
            <v>HK-ipaylinks-06/2025</v>
          </cell>
          <cell r="K2514" t="str">
            <v>Settled</v>
          </cell>
        </row>
        <row r="2515">
          <cell r="J2515" t="str">
            <v>HK-ipaylinks-07/2025</v>
          </cell>
          <cell r="K2515" t="str">
            <v>Settled</v>
          </cell>
        </row>
        <row r="2516">
          <cell r="J2516" t="str">
            <v>HK-ipaylinks-08/2025</v>
          </cell>
          <cell r="K2516" t="str">
            <v>Settled</v>
          </cell>
        </row>
        <row r="2517">
          <cell r="J2517" t="str">
            <v>HK-ipaylinks-09/2025</v>
          </cell>
          <cell r="K2517" t="str">
            <v>Settled</v>
          </cell>
        </row>
        <row r="2518">
          <cell r="J2518" t="str">
            <v>HK-ipaylinks-10/2025</v>
          </cell>
          <cell r="K2518" t="str">
            <v>Settled</v>
          </cell>
        </row>
        <row r="2519">
          <cell r="J2519" t="str">
            <v>HK-ipaylinks-11/2025</v>
          </cell>
          <cell r="K2519" t="str">
            <v>Settled</v>
          </cell>
        </row>
        <row r="2520">
          <cell r="J2520" t="str">
            <v>HK-ipaylinks-12/2025</v>
          </cell>
          <cell r="K2520" t="str">
            <v>Settled</v>
          </cell>
        </row>
        <row r="2521">
          <cell r="J2521" t="str">
            <v>HK-ipaylinks-01/2026</v>
          </cell>
          <cell r="K2521" t="str">
            <v>Settled</v>
          </cell>
        </row>
        <row r="2522">
          <cell r="J2522" t="str">
            <v>HK-ipaylinks-02/2026</v>
          </cell>
          <cell r="K2522" t="str">
            <v>Settled</v>
          </cell>
        </row>
        <row r="2523">
          <cell r="J2523" t="str">
            <v>HK-ipaylinks-03/2026</v>
          </cell>
          <cell r="K2523" t="str">
            <v>Settled</v>
          </cell>
        </row>
        <row r="2524">
          <cell r="J2524" t="str">
            <v>HK-ipaylinks-04/2026</v>
          </cell>
          <cell r="K2524" t="str">
            <v>Settled</v>
          </cell>
        </row>
        <row r="2525">
          <cell r="J2525" t="str">
            <v>HK-ipaylinks-05/2026</v>
          </cell>
          <cell r="K2525" t="str">
            <v>Settled</v>
          </cell>
        </row>
        <row r="2526">
          <cell r="J2526" t="str">
            <v>SG-Isx financial eu ltd-11/2022</v>
          </cell>
          <cell r="K2526" t="str">
            <v>Settled</v>
          </cell>
        </row>
        <row r="2527">
          <cell r="J2527" t="str">
            <v>SG-Isx financial eu ltd-12/2022</v>
          </cell>
          <cell r="K2527" t="str">
            <v>Settled</v>
          </cell>
        </row>
        <row r="2528">
          <cell r="J2528" t="str">
            <v>SG-Isx financial eu ltd-01/2023</v>
          </cell>
          <cell r="K2528" t="str">
            <v>Settled</v>
          </cell>
        </row>
        <row r="2529">
          <cell r="J2529" t="str">
            <v>SG-Isxfin-02/2023</v>
          </cell>
          <cell r="K2529" t="str">
            <v>Settled</v>
          </cell>
        </row>
        <row r="2530">
          <cell r="J2530" t="str">
            <v>SG-Isxfin-03/2023</v>
          </cell>
          <cell r="K2530" t="str">
            <v>Settled</v>
          </cell>
        </row>
        <row r="2531">
          <cell r="J2531" t="str">
            <v>SG-Isxfin-04/2023</v>
          </cell>
          <cell r="K2531" t="str">
            <v>Settled</v>
          </cell>
        </row>
        <row r="2532">
          <cell r="J2532" t="str">
            <v>SG-Isxfin-05/2023</v>
          </cell>
          <cell r="K2532" t="str">
            <v>Settled</v>
          </cell>
        </row>
        <row r="2533">
          <cell r="J2533" t="str">
            <v>SG-Isxfin-06/2023</v>
          </cell>
          <cell r="K2533" t="str">
            <v>Settled</v>
          </cell>
        </row>
        <row r="2534">
          <cell r="J2534" t="str">
            <v>SG-Isxfin-07/2023</v>
          </cell>
          <cell r="K2534" t="str">
            <v>Settled</v>
          </cell>
        </row>
        <row r="2535">
          <cell r="J2535" t="str">
            <v>SG -Isxfin-08/2023</v>
          </cell>
          <cell r="K2535" t="str">
            <v>Settled</v>
          </cell>
        </row>
        <row r="2536">
          <cell r="J2536" t="str">
            <v>SG-Isxfin-09/2023</v>
          </cell>
          <cell r="K2536" t="str">
            <v>Settled</v>
          </cell>
        </row>
        <row r="2537">
          <cell r="J2537" t="str">
            <v>SG-Isxfin-10/2023</v>
          </cell>
          <cell r="K2537" t="str">
            <v>Settled</v>
          </cell>
        </row>
        <row r="2538">
          <cell r="J2538" t="str">
            <v>SG-Isxfin-11/2023</v>
          </cell>
          <cell r="K2538" t="str">
            <v>Settled</v>
          </cell>
        </row>
        <row r="2539">
          <cell r="J2539" t="str">
            <v>SG-Isxfin-12/2023</v>
          </cell>
          <cell r="K2539" t="str">
            <v>Settled</v>
          </cell>
        </row>
        <row r="2540">
          <cell r="J2540" t="str">
            <v>SG-Isxfin-01/2024</v>
          </cell>
          <cell r="K2540" t="str">
            <v>Settled</v>
          </cell>
        </row>
        <row r="2541">
          <cell r="J2541" t="str">
            <v>SG-Isxfin-02/2024</v>
          </cell>
          <cell r="K2541" t="str">
            <v>Settled</v>
          </cell>
        </row>
        <row r="2542">
          <cell r="J2542" t="str">
            <v>SG-Isxfin-03/2024</v>
          </cell>
          <cell r="K2542" t="str">
            <v>Settled</v>
          </cell>
        </row>
        <row r="2543">
          <cell r="J2543" t="str">
            <v>SG-Isxfin-04/2024</v>
          </cell>
          <cell r="K2543" t="str">
            <v>Settled</v>
          </cell>
        </row>
        <row r="2544">
          <cell r="J2544" t="str">
            <v>SG-Isxfin-05/2024</v>
          </cell>
          <cell r="K2544" t="str">
            <v>Settled</v>
          </cell>
        </row>
        <row r="2545">
          <cell r="J2545" t="str">
            <v>SG-Isxfin-06/2024</v>
          </cell>
          <cell r="K2545" t="str">
            <v>Settled</v>
          </cell>
        </row>
        <row r="2546">
          <cell r="J2546" t="str">
            <v>SG-Isxfin-07/2024</v>
          </cell>
          <cell r="K2546" t="str">
            <v>Settled</v>
          </cell>
        </row>
        <row r="2547">
          <cell r="J2547" t="str">
            <v>SG-Isxfin-08/2024</v>
          </cell>
          <cell r="K2547" t="str">
            <v>Settled</v>
          </cell>
        </row>
        <row r="2548">
          <cell r="J2548" t="str">
            <v>SG-Isxfin-09/2024</v>
          </cell>
          <cell r="K2548" t="str">
            <v>Settled</v>
          </cell>
        </row>
        <row r="2549">
          <cell r="J2549" t="str">
            <v>SG-Isxfin-10/2024</v>
          </cell>
          <cell r="K2549" t="str">
            <v>Settled</v>
          </cell>
        </row>
        <row r="2550">
          <cell r="J2550" t="str">
            <v>SG-Isxfin-11/2024</v>
          </cell>
          <cell r="K2550" t="str">
            <v>Settled</v>
          </cell>
        </row>
        <row r="2551">
          <cell r="J2551" t="str">
            <v>SG-Isxfin-12/2024</v>
          </cell>
          <cell r="K2551" t="str">
            <v>Settled</v>
          </cell>
        </row>
        <row r="2552">
          <cell r="J2552" t="str">
            <v>SG-Isxfin-01/2025</v>
          </cell>
          <cell r="K2552" t="str">
            <v>Settled</v>
          </cell>
        </row>
        <row r="2553">
          <cell r="J2553" t="str">
            <v>SG-Isxfin-02/2025</v>
          </cell>
          <cell r="K2553" t="str">
            <v>Settled</v>
          </cell>
        </row>
        <row r="2554">
          <cell r="J2554" t="str">
            <v>SG-Isxfin-03/2025</v>
          </cell>
          <cell r="K2554" t="str">
            <v>Settled</v>
          </cell>
        </row>
        <row r="2555">
          <cell r="J2555" t="str">
            <v>SG-Isxfin-04/2025</v>
          </cell>
          <cell r="K2555" t="str">
            <v>Settled</v>
          </cell>
        </row>
        <row r="2556">
          <cell r="J2556" t="str">
            <v>SG-Isxfin-05/2025</v>
          </cell>
          <cell r="K2556" t="str">
            <v>Settled</v>
          </cell>
        </row>
        <row r="2557">
          <cell r="J2557" t="str">
            <v>SG-Isxfin-06/2025</v>
          </cell>
          <cell r="K2557" t="str">
            <v>Settled</v>
          </cell>
        </row>
        <row r="2558">
          <cell r="J2558" t="str">
            <v>SG-Isxfin-07/2025</v>
          </cell>
          <cell r="K2558" t="str">
            <v>Settled</v>
          </cell>
        </row>
        <row r="2559">
          <cell r="J2559" t="str">
            <v>SG-Isxfin-08/2025</v>
          </cell>
          <cell r="K2559" t="str">
            <v>Settled</v>
          </cell>
        </row>
        <row r="2560">
          <cell r="J2560" t="str">
            <v>SG-Isxfin-09/2025</v>
          </cell>
          <cell r="K2560" t="str">
            <v>Settled</v>
          </cell>
        </row>
        <row r="2561">
          <cell r="J2561" t="str">
            <v>SG-Isxfin-10/2025</v>
          </cell>
          <cell r="K2561" t="str">
            <v>Settled</v>
          </cell>
        </row>
        <row r="2562">
          <cell r="J2562" t="str">
            <v>SG-Isxfin-11/2025</v>
          </cell>
          <cell r="K2562" t="str">
            <v>Settled</v>
          </cell>
        </row>
        <row r="2563">
          <cell r="J2563" t="str">
            <v>SG-Isxfin-12/2025</v>
          </cell>
          <cell r="K2563" t="str">
            <v>Settled</v>
          </cell>
        </row>
        <row r="2564">
          <cell r="J2564" t="str">
            <v>SG-Isxfin-01/2026</v>
          </cell>
          <cell r="K2564" t="str">
            <v>Net Off</v>
          </cell>
        </row>
        <row r="2565">
          <cell r="J2565" t="str">
            <v>SG-CN-Isxfin-01-2026</v>
          </cell>
          <cell r="K2565" t="str">
            <v>Net Off</v>
          </cell>
        </row>
        <row r="2566">
          <cell r="J2566" t="str">
            <v>SG-Jainesis-11/2022</v>
          </cell>
          <cell r="K2566" t="str">
            <v>Settled</v>
          </cell>
        </row>
        <row r="2567">
          <cell r="J2567" t="str">
            <v>SG-Jainesis-12/2022</v>
          </cell>
          <cell r="K2567" t="str">
            <v>Settled</v>
          </cell>
        </row>
        <row r="2568">
          <cell r="J2568" t="str">
            <v>SG-Jainesis-01/2023</v>
          </cell>
          <cell r="K2568" t="str">
            <v>Settled</v>
          </cell>
        </row>
        <row r="2569">
          <cell r="J2569" t="str">
            <v>SG-Jainesis-02/2023</v>
          </cell>
          <cell r="K2569" t="str">
            <v>Settled</v>
          </cell>
        </row>
        <row r="2570">
          <cell r="J2570" t="str">
            <v>SG-Jainesis-03/2023</v>
          </cell>
          <cell r="K2570" t="str">
            <v>Settled</v>
          </cell>
        </row>
        <row r="2571">
          <cell r="J2571" t="str">
            <v>SG-Jainesis-04/2023</v>
          </cell>
          <cell r="K2571" t="str">
            <v>Settled</v>
          </cell>
        </row>
        <row r="2572">
          <cell r="J2572" t="str">
            <v>SG-Jainesis-05/2023</v>
          </cell>
          <cell r="K2572" t="str">
            <v>Settled</v>
          </cell>
        </row>
        <row r="2573">
          <cell r="J2573" t="str">
            <v>SG-Jainesis-06/2023</v>
          </cell>
          <cell r="K2573" t="str">
            <v>Settled</v>
          </cell>
        </row>
        <row r="2574">
          <cell r="J2574" t="str">
            <v>SG-Jainesis-07/2023</v>
          </cell>
          <cell r="K2574" t="str">
            <v>Settled</v>
          </cell>
        </row>
        <row r="2575">
          <cell r="J2575" t="str">
            <v>SG -Jainesis-08/2023</v>
          </cell>
          <cell r="K2575" t="str">
            <v>Settled</v>
          </cell>
        </row>
        <row r="2576">
          <cell r="J2576" t="str">
            <v>SG-Jeonbuk-04/2024</v>
          </cell>
          <cell r="K2576" t="str">
            <v>Settled</v>
          </cell>
        </row>
        <row r="2577">
          <cell r="J2577" t="str">
            <v>SG-Jeonbuk-05/2024</v>
          </cell>
          <cell r="K2577" t="str">
            <v>Settled</v>
          </cell>
        </row>
        <row r="2578">
          <cell r="J2578" t="str">
            <v>SG-Jeonbuk-06/2024</v>
          </cell>
          <cell r="K2578" t="str">
            <v>Settled</v>
          </cell>
        </row>
        <row r="2579">
          <cell r="J2579" t="str">
            <v>SG-Jeonbuk-07/2024</v>
          </cell>
          <cell r="K2579" t="str">
            <v>Settled</v>
          </cell>
        </row>
        <row r="2580">
          <cell r="J2580" t="str">
            <v>SG-Jeonbuk-08/2024</v>
          </cell>
          <cell r="K2580" t="str">
            <v>Settled</v>
          </cell>
        </row>
        <row r="2581">
          <cell r="J2581" t="str">
            <v>SG-Jeonbuk-09/2024</v>
          </cell>
          <cell r="K2581" t="str">
            <v>Settled</v>
          </cell>
        </row>
        <row r="2582">
          <cell r="J2582" t="str">
            <v>SG-Jeonbuk-10/2024</v>
          </cell>
          <cell r="K2582" t="str">
            <v>Settled</v>
          </cell>
        </row>
        <row r="2583">
          <cell r="J2583" t="str">
            <v>SG-Jeonbuk-11/2024</v>
          </cell>
          <cell r="K2583" t="str">
            <v>Settled</v>
          </cell>
        </row>
        <row r="2584">
          <cell r="J2584" t="str">
            <v>SG-Jeonbuk-12/2024</v>
          </cell>
          <cell r="K2584" t="str">
            <v>Settled</v>
          </cell>
        </row>
        <row r="2585">
          <cell r="J2585" t="str">
            <v>SG-Jeonbuk-01/2025</v>
          </cell>
          <cell r="K2585" t="str">
            <v>Settled</v>
          </cell>
        </row>
        <row r="2586">
          <cell r="J2586" t="str">
            <v>SG-Jeonbuk-02/2025</v>
          </cell>
          <cell r="K2586" t="str">
            <v>Settled</v>
          </cell>
        </row>
        <row r="2587">
          <cell r="J2587" t="str">
            <v>SG-Jeonbuk-03/2025</v>
          </cell>
          <cell r="K2587" t="str">
            <v>Settled</v>
          </cell>
        </row>
        <row r="2588">
          <cell r="J2588" t="str">
            <v>SG-Jeonbuk-04/2025</v>
          </cell>
          <cell r="K2588" t="str">
            <v>Settled</v>
          </cell>
        </row>
        <row r="2589">
          <cell r="J2589" t="str">
            <v>SG-Jeonbuk-05/2025</v>
          </cell>
          <cell r="K2589" t="str">
            <v>Settled</v>
          </cell>
        </row>
        <row r="2590">
          <cell r="J2590" t="str">
            <v>SG-Jeonbuk-06/2025</v>
          </cell>
          <cell r="K2590" t="str">
            <v>Settled</v>
          </cell>
        </row>
        <row r="2591">
          <cell r="J2591" t="str">
            <v>SG-Jeonbuk-07/2025</v>
          </cell>
          <cell r="K2591" t="str">
            <v>Settled</v>
          </cell>
        </row>
        <row r="2592">
          <cell r="J2592" t="str">
            <v>SG-Jeonbuk-08/2025</v>
          </cell>
          <cell r="K2592" t="str">
            <v>Settled</v>
          </cell>
        </row>
        <row r="2593">
          <cell r="J2593" t="str">
            <v>SG-Jeonbuk-09/2025</v>
          </cell>
          <cell r="K2593" t="str">
            <v>Settled</v>
          </cell>
        </row>
        <row r="2594">
          <cell r="J2594" t="str">
            <v>SG-Jeonbuk-10/2025</v>
          </cell>
          <cell r="K2594" t="str">
            <v>Settled</v>
          </cell>
        </row>
        <row r="2595">
          <cell r="J2595" t="str">
            <v>SG-Jeonbuk-11/2025</v>
          </cell>
          <cell r="K2595" t="str">
            <v>Settled</v>
          </cell>
        </row>
        <row r="2596">
          <cell r="J2596" t="str">
            <v>SG-Jeonbuk-12/2025</v>
          </cell>
          <cell r="K2596" t="str">
            <v>Settled</v>
          </cell>
        </row>
        <row r="2597">
          <cell r="J2597" t="str">
            <v>SG-Jeonbuk-01/2026</v>
          </cell>
          <cell r="K2597" t="str">
            <v>Settled</v>
          </cell>
        </row>
        <row r="2598">
          <cell r="J2598" t="str">
            <v>SG-Jeonbuk-02/2026</v>
          </cell>
          <cell r="K2598" t="str">
            <v>Settled</v>
          </cell>
        </row>
        <row r="2599">
          <cell r="J2599" t="str">
            <v>SG-Jeonbuk-03/2026</v>
          </cell>
          <cell r="K2599" t="str">
            <v>Settled</v>
          </cell>
        </row>
        <row r="2600">
          <cell r="J2600" t="str">
            <v>SG-Jeonbuk-04/2026</v>
          </cell>
          <cell r="K2600" t="str">
            <v>Settled</v>
          </cell>
        </row>
        <row r="2601">
          <cell r="J2601" t="str">
            <v>SG-Jeonbuk-05/2026</v>
          </cell>
          <cell r="K2601" t="str">
            <v>Settled</v>
          </cell>
        </row>
        <row r="2602">
          <cell r="J2602" t="str">
            <v>SG -Karbon united pte. ltd.-01/2022</v>
          </cell>
          <cell r="K2602" t="str">
            <v>Settled</v>
          </cell>
        </row>
        <row r="2603">
          <cell r="J2603" t="str">
            <v>SG -Karbon united pte. ltd.-02/2022</v>
          </cell>
          <cell r="K2603" t="str">
            <v>Settled</v>
          </cell>
        </row>
        <row r="2604">
          <cell r="J2604" t="str">
            <v>SG -Karbon united pte. ltd.-03/2022</v>
          </cell>
          <cell r="K2604" t="str">
            <v>Settled</v>
          </cell>
        </row>
        <row r="2605">
          <cell r="J2605" t="str">
            <v>SG -Karbon united pte. ltd.-07/2022</v>
          </cell>
          <cell r="K2605" t="str">
            <v>Settled</v>
          </cell>
        </row>
        <row r="2606">
          <cell r="J2606" t="str">
            <v>SG-Karbon-08/2022</v>
          </cell>
          <cell r="K2606" t="str">
            <v>Settled</v>
          </cell>
        </row>
        <row r="2607">
          <cell r="J2607" t="str">
            <v>SG-Kasikorn Bank-11/2022</v>
          </cell>
          <cell r="K2607" t="str">
            <v>Settled</v>
          </cell>
        </row>
        <row r="2608">
          <cell r="J2608" t="str">
            <v>SG-Kasikorn Bank-12/2022</v>
          </cell>
          <cell r="K2608" t="str">
            <v>Settled</v>
          </cell>
        </row>
        <row r="2609">
          <cell r="J2609" t="str">
            <v>SG-Kasikorn Bank-01/2023</v>
          </cell>
          <cell r="K2609" t="str">
            <v>Settled</v>
          </cell>
        </row>
        <row r="2610">
          <cell r="J2610" t="str">
            <v>SG-KasikornBank-02/2023</v>
          </cell>
          <cell r="K2610" t="str">
            <v>Settled</v>
          </cell>
        </row>
        <row r="2611">
          <cell r="J2611" t="str">
            <v>SG-KasikornBank-03/2023</v>
          </cell>
          <cell r="K2611" t="str">
            <v>Settled</v>
          </cell>
        </row>
        <row r="2612">
          <cell r="J2612" t="str">
            <v>SG-KasikornBank-04/2023</v>
          </cell>
          <cell r="K2612" t="str">
            <v>Settled</v>
          </cell>
        </row>
        <row r="2613">
          <cell r="J2613" t="str">
            <v>SG-KasikornBank-05/2023</v>
          </cell>
          <cell r="K2613" t="str">
            <v>Settled</v>
          </cell>
        </row>
        <row r="2614">
          <cell r="J2614" t="str">
            <v>SG-KasikornBank-06/2023</v>
          </cell>
          <cell r="K2614" t="str">
            <v>Settled</v>
          </cell>
        </row>
        <row r="2615">
          <cell r="J2615" t="str">
            <v>SG-KasikornBank-07/2023</v>
          </cell>
          <cell r="K2615" t="str">
            <v>Settled</v>
          </cell>
        </row>
        <row r="2616">
          <cell r="J2616" t="str">
            <v>SG -KasikornBank-08/2023</v>
          </cell>
          <cell r="K2616" t="str">
            <v>Settled</v>
          </cell>
        </row>
        <row r="2617">
          <cell r="J2617" t="str">
            <v>SG-KasikornBank-09/2023</v>
          </cell>
          <cell r="K2617" t="str">
            <v>Settled</v>
          </cell>
        </row>
        <row r="2618">
          <cell r="J2618" t="str">
            <v>SG-KasikornBank-10/2023</v>
          </cell>
          <cell r="K2618" t="str">
            <v>Settled</v>
          </cell>
        </row>
        <row r="2619">
          <cell r="J2619" t="str">
            <v>SG-KasikornBank-11/2023</v>
          </cell>
          <cell r="K2619" t="str">
            <v>Settled</v>
          </cell>
        </row>
        <row r="2620">
          <cell r="J2620" t="str">
            <v>SG-KasikornBank-12/2023</v>
          </cell>
          <cell r="K2620" t="str">
            <v>Settled</v>
          </cell>
        </row>
        <row r="2621">
          <cell r="J2621" t="str">
            <v>SG-KasikornBank-01/2024</v>
          </cell>
          <cell r="K2621" t="str">
            <v>Settled</v>
          </cell>
        </row>
        <row r="2622">
          <cell r="J2622" t="str">
            <v>SG-KasikornBank-02/2024</v>
          </cell>
          <cell r="K2622" t="str">
            <v>Settled</v>
          </cell>
        </row>
        <row r="2623">
          <cell r="J2623" t="str">
            <v>SG-KasikornBank-03/2024</v>
          </cell>
          <cell r="K2623" t="str">
            <v>Settled</v>
          </cell>
        </row>
        <row r="2624">
          <cell r="J2624" t="str">
            <v>SG-KasikornBank-04/2024</v>
          </cell>
          <cell r="K2624" t="str">
            <v>Settled</v>
          </cell>
        </row>
        <row r="2625">
          <cell r="J2625" t="str">
            <v>SG-KasikornBank-05/2024</v>
          </cell>
          <cell r="K2625" t="str">
            <v>Settled</v>
          </cell>
        </row>
        <row r="2626">
          <cell r="J2626" t="str">
            <v>SG-KasikornBank-06/2024</v>
          </cell>
          <cell r="K2626" t="str">
            <v>Settled</v>
          </cell>
        </row>
        <row r="2627">
          <cell r="J2627" t="str">
            <v>SG-KasikornBank-07/2024</v>
          </cell>
          <cell r="K2627" t="str">
            <v>Settled</v>
          </cell>
        </row>
        <row r="2628">
          <cell r="J2628" t="str">
            <v>SG-KasikornBank-08/2024</v>
          </cell>
          <cell r="K2628" t="str">
            <v>Settled</v>
          </cell>
        </row>
        <row r="2629">
          <cell r="J2629" t="str">
            <v>SG-KasikornBank-09/2024</v>
          </cell>
          <cell r="K2629" t="str">
            <v>Settled</v>
          </cell>
        </row>
        <row r="2630">
          <cell r="J2630" t="str">
            <v>SG-KasikornBank-10/2024</v>
          </cell>
          <cell r="K2630" t="str">
            <v>Settled</v>
          </cell>
        </row>
        <row r="2631">
          <cell r="J2631" t="str">
            <v>SG-KasikornBank-11/2024</v>
          </cell>
          <cell r="K2631" t="str">
            <v>Settled</v>
          </cell>
        </row>
        <row r="2632">
          <cell r="J2632" t="str">
            <v>SG-KasikornBank-12/2024</v>
          </cell>
          <cell r="K2632" t="str">
            <v>Settled</v>
          </cell>
        </row>
        <row r="2633">
          <cell r="J2633" t="str">
            <v>SG-KasikornBank-01/2025</v>
          </cell>
          <cell r="K2633" t="str">
            <v>Settled</v>
          </cell>
        </row>
        <row r="2634">
          <cell r="J2634" t="str">
            <v>SG-KasikornBank-02/2025</v>
          </cell>
          <cell r="K2634" t="str">
            <v>Settled</v>
          </cell>
        </row>
        <row r="2635">
          <cell r="J2635" t="str">
            <v>SG-KasikornBank-03/2025</v>
          </cell>
          <cell r="K2635" t="str">
            <v>Settled</v>
          </cell>
        </row>
        <row r="2636">
          <cell r="J2636" t="str">
            <v>SG-KasikornBank-04/2025</v>
          </cell>
          <cell r="K2636" t="str">
            <v>Settled</v>
          </cell>
        </row>
        <row r="2637">
          <cell r="J2637" t="str">
            <v>SG-KasikornBank-05/2025</v>
          </cell>
          <cell r="K2637" t="str">
            <v>Settled</v>
          </cell>
        </row>
        <row r="2638">
          <cell r="J2638" t="str">
            <v>SG-KasikornBank-06/2025</v>
          </cell>
          <cell r="K2638" t="str">
            <v>Settled</v>
          </cell>
        </row>
        <row r="2639">
          <cell r="J2639" t="str">
            <v>SG-KasikornBank-07/2025</v>
          </cell>
          <cell r="K2639" t="str">
            <v>Settled</v>
          </cell>
        </row>
        <row r="2640">
          <cell r="J2640" t="str">
            <v>SG-KasikornBank-08/2025</v>
          </cell>
          <cell r="K2640" t="str">
            <v>Settled</v>
          </cell>
        </row>
        <row r="2641">
          <cell r="J2641" t="str">
            <v>SG-KasikornBank-09/2025</v>
          </cell>
          <cell r="K2641" t="str">
            <v>Settled</v>
          </cell>
        </row>
        <row r="2642">
          <cell r="J2642" t="str">
            <v>SG-KasikornBank-10/2025</v>
          </cell>
          <cell r="K2642" t="str">
            <v>Settled</v>
          </cell>
        </row>
        <row r="2643">
          <cell r="J2643" t="str">
            <v>SG-KasikornBank-11/2025</v>
          </cell>
          <cell r="K2643" t="str">
            <v>Settled</v>
          </cell>
        </row>
        <row r="2644">
          <cell r="J2644" t="str">
            <v>SG-KasikornBank-12/2025</v>
          </cell>
          <cell r="K2644" t="str">
            <v>Settled</v>
          </cell>
        </row>
        <row r="2645">
          <cell r="J2645" t="str">
            <v>SG-KasikornBank-01/2026</v>
          </cell>
          <cell r="K2645" t="str">
            <v>Settled</v>
          </cell>
        </row>
        <row r="2646">
          <cell r="J2646" t="str">
            <v>SG-KasikornBank-02/2026</v>
          </cell>
          <cell r="K2646" t="str">
            <v>Settled</v>
          </cell>
        </row>
        <row r="2647">
          <cell r="J2647" t="str">
            <v>SG-KasikornBank-03/2026</v>
          </cell>
          <cell r="K2647" t="str">
            <v>Settled</v>
          </cell>
        </row>
        <row r="2648">
          <cell r="J2648" t="str">
            <v>SG-KasikornBank-04/2026</v>
          </cell>
          <cell r="K2648" t="str">
            <v>Settled</v>
          </cell>
        </row>
        <row r="2649">
          <cell r="J2649" t="str">
            <v>SG-KasikornBank-05/2026</v>
          </cell>
          <cell r="K2649" t="str">
            <v>Settled</v>
          </cell>
        </row>
        <row r="2650">
          <cell r="J2650" t="str">
            <v>AU-kina bank-11/2022</v>
          </cell>
          <cell r="K2650" t="str">
            <v>Settled</v>
          </cell>
        </row>
        <row r="2651">
          <cell r="J2651" t="str">
            <v>AU-kina bank-12/2022</v>
          </cell>
          <cell r="K2651" t="str">
            <v>Settled</v>
          </cell>
        </row>
        <row r="2652">
          <cell r="J2652" t="str">
            <v>AU-kina bank-01/2023</v>
          </cell>
          <cell r="K2652" t="str">
            <v>Settled</v>
          </cell>
        </row>
        <row r="2653">
          <cell r="J2653" t="str">
            <v>AU-kina bank-02/2023</v>
          </cell>
          <cell r="K2653" t="str">
            <v>Settled</v>
          </cell>
        </row>
        <row r="2654">
          <cell r="J2654" t="str">
            <v>AU-kina bank-03/2023</v>
          </cell>
          <cell r="K2654" t="str">
            <v>Settled</v>
          </cell>
        </row>
        <row r="2655">
          <cell r="J2655" t="str">
            <v>AU-kina bank-04/2023</v>
          </cell>
          <cell r="K2655" t="str">
            <v>Settled</v>
          </cell>
        </row>
        <row r="2656">
          <cell r="J2656" t="str">
            <v>AU-kina bank-05/2023</v>
          </cell>
          <cell r="K2656" t="str">
            <v>Settled</v>
          </cell>
        </row>
        <row r="2657">
          <cell r="J2657" t="str">
            <v>AU-kina bank-06/2023</v>
          </cell>
          <cell r="K2657" t="str">
            <v>Settled</v>
          </cell>
        </row>
        <row r="2658">
          <cell r="J2658" t="str">
            <v>AU-kina bank-07/2023</v>
          </cell>
          <cell r="K2658" t="str">
            <v>Settled</v>
          </cell>
        </row>
        <row r="2659">
          <cell r="J2659" t="str">
            <v>AU -kina bank-08/2023</v>
          </cell>
          <cell r="K2659" t="str">
            <v>Settled</v>
          </cell>
        </row>
        <row r="2660">
          <cell r="J2660" t="str">
            <v>AU-kina bank-09/2023</v>
          </cell>
          <cell r="K2660" t="str">
            <v>Settled</v>
          </cell>
        </row>
        <row r="2661">
          <cell r="J2661" t="str">
            <v>AU-kina bank-10/2023</v>
          </cell>
          <cell r="K2661" t="str">
            <v>Settled</v>
          </cell>
        </row>
        <row r="2662">
          <cell r="J2662" t="str">
            <v>AU-kina bank-11/2023</v>
          </cell>
          <cell r="K2662" t="str">
            <v>Settled</v>
          </cell>
        </row>
        <row r="2663">
          <cell r="J2663" t="str">
            <v>AU-kina bank-12/2023</v>
          </cell>
          <cell r="K2663" t="str">
            <v>Settled</v>
          </cell>
        </row>
        <row r="2664">
          <cell r="J2664" t="str">
            <v>AU-kina bank-01/2024</v>
          </cell>
          <cell r="K2664" t="str">
            <v>Settled</v>
          </cell>
        </row>
        <row r="2665">
          <cell r="J2665" t="str">
            <v>AU-kina bank-02/2024</v>
          </cell>
          <cell r="K2665" t="str">
            <v>Settled</v>
          </cell>
        </row>
        <row r="2666">
          <cell r="J2666" t="str">
            <v>AU-kina bank-03/2024</v>
          </cell>
          <cell r="K2666" t="str">
            <v>Settled</v>
          </cell>
        </row>
        <row r="2667">
          <cell r="J2667" t="str">
            <v>AU-kina bank-04/2024</v>
          </cell>
          <cell r="K2667" t="str">
            <v>Settled</v>
          </cell>
        </row>
        <row r="2668">
          <cell r="J2668" t="str">
            <v>AU-kina bank-05/2024</v>
          </cell>
          <cell r="K2668" t="str">
            <v>Settled</v>
          </cell>
        </row>
        <row r="2669">
          <cell r="J2669" t="str">
            <v>AU-kina bank-06/2024</v>
          </cell>
          <cell r="K2669" t="str">
            <v>Settled</v>
          </cell>
        </row>
        <row r="2670">
          <cell r="J2670" t="str">
            <v>AU-kina bank-07/2024</v>
          </cell>
          <cell r="K2670" t="str">
            <v>Settled</v>
          </cell>
        </row>
        <row r="2671">
          <cell r="J2671" t="str">
            <v>AU-kina bank-08/2024</v>
          </cell>
          <cell r="K2671" t="str">
            <v>Settled</v>
          </cell>
        </row>
        <row r="2672">
          <cell r="J2672" t="str">
            <v>AU-kina bank-09/2024</v>
          </cell>
          <cell r="K2672" t="str">
            <v>Settled</v>
          </cell>
        </row>
        <row r="2673">
          <cell r="J2673" t="str">
            <v>AU-kina bank-10/2024</v>
          </cell>
          <cell r="K2673" t="str">
            <v>Settled</v>
          </cell>
        </row>
        <row r="2674">
          <cell r="J2674" t="str">
            <v>AU-kina bank-11/2024</v>
          </cell>
          <cell r="K2674" t="str">
            <v>Settled</v>
          </cell>
        </row>
        <row r="2675">
          <cell r="J2675" t="str">
            <v>AU-kina bank-12/2024</v>
          </cell>
          <cell r="K2675" t="str">
            <v>Settled</v>
          </cell>
        </row>
        <row r="2676">
          <cell r="J2676" t="str">
            <v>AU-kina bank-01/2025</v>
          </cell>
          <cell r="K2676" t="str">
            <v>Settled</v>
          </cell>
        </row>
        <row r="2677">
          <cell r="J2677" t="str">
            <v>AU-kina bank-02/2025</v>
          </cell>
          <cell r="K2677" t="str">
            <v>Settled</v>
          </cell>
        </row>
        <row r="2678">
          <cell r="J2678" t="str">
            <v>AU-kina bank-03/2025</v>
          </cell>
          <cell r="K2678" t="str">
            <v>Settled</v>
          </cell>
        </row>
        <row r="2679">
          <cell r="J2679" t="str">
            <v>AU-kina bank-04/2025</v>
          </cell>
          <cell r="K2679" t="str">
            <v>Settled</v>
          </cell>
        </row>
        <row r="2680">
          <cell r="J2680" t="str">
            <v>AU-kina bank-05/2025</v>
          </cell>
          <cell r="K2680" t="str">
            <v>Settled</v>
          </cell>
        </row>
        <row r="2681">
          <cell r="J2681" t="str">
            <v>AU-kina bank-06/2025</v>
          </cell>
          <cell r="K2681" t="str">
            <v>Settled</v>
          </cell>
        </row>
        <row r="2682">
          <cell r="J2682" t="str">
            <v>AU-kina bank-07/2025</v>
          </cell>
          <cell r="K2682" t="str">
            <v>Settled</v>
          </cell>
        </row>
        <row r="2683">
          <cell r="J2683" t="str">
            <v>AU-kina bank-08/2025</v>
          </cell>
          <cell r="K2683" t="str">
            <v>Settled</v>
          </cell>
        </row>
        <row r="2684">
          <cell r="J2684" t="str">
            <v>AU-kina bank-09/2025</v>
          </cell>
          <cell r="K2684" t="str">
            <v>Settled</v>
          </cell>
        </row>
        <row r="2685">
          <cell r="J2685" t="str">
            <v>AU-kina bank-10/2025</v>
          </cell>
          <cell r="K2685" t="str">
            <v>Settled</v>
          </cell>
        </row>
        <row r="2686">
          <cell r="J2686" t="str">
            <v>AU-kina bank-11/2025</v>
          </cell>
          <cell r="K2686" t="str">
            <v>Settled</v>
          </cell>
        </row>
        <row r="2687">
          <cell r="J2687" t="str">
            <v>AU-kina bank-12/2025</v>
          </cell>
          <cell r="K2687" t="str">
            <v>Settled</v>
          </cell>
        </row>
        <row r="2688">
          <cell r="J2688" t="str">
            <v>AU-kina bank-01/2026</v>
          </cell>
          <cell r="K2688" t="str">
            <v>Settled</v>
          </cell>
        </row>
        <row r="2689">
          <cell r="J2689" t="str">
            <v>AU-kina bank-02/2026</v>
          </cell>
          <cell r="K2689" t="str">
            <v>Settled</v>
          </cell>
        </row>
        <row r="2690">
          <cell r="J2690" t="str">
            <v>AU-kina bank-03/2026</v>
          </cell>
          <cell r="K2690" t="str">
            <v>Settled</v>
          </cell>
        </row>
        <row r="2691">
          <cell r="J2691" t="str">
            <v>AU-kina bank-04/2026</v>
          </cell>
          <cell r="K2691" t="str">
            <v>Settled</v>
          </cell>
        </row>
        <row r="2692">
          <cell r="J2692" t="str">
            <v>AU-kina bank-05/2026</v>
          </cell>
          <cell r="K2692" t="str">
            <v>Settled</v>
          </cell>
        </row>
        <row r="2693">
          <cell r="J2693" t="str">
            <v>SG-Klasha-02/2024</v>
          </cell>
          <cell r="K2693" t="str">
            <v>Settled</v>
          </cell>
        </row>
        <row r="2694">
          <cell r="J2694" t="str">
            <v>SG-Klasha-03/2024</v>
          </cell>
          <cell r="K2694" t="str">
            <v>Settled</v>
          </cell>
        </row>
        <row r="2695">
          <cell r="J2695" t="str">
            <v>SG-Klasha-04/2024</v>
          </cell>
          <cell r="K2695" t="str">
            <v>Settled</v>
          </cell>
        </row>
        <row r="2696">
          <cell r="J2696" t="str">
            <v>SG-Klasha-05/2024</v>
          </cell>
          <cell r="K2696" t="str">
            <v>Settled</v>
          </cell>
        </row>
        <row r="2697">
          <cell r="J2697" t="str">
            <v>SG-Klasha-06/2024</v>
          </cell>
          <cell r="K2697" t="str">
            <v>Settled</v>
          </cell>
        </row>
        <row r="2698">
          <cell r="J2698" t="str">
            <v>SG -Klasha-11/2023</v>
          </cell>
          <cell r="K2698" t="str">
            <v>Settled</v>
          </cell>
        </row>
        <row r="2699">
          <cell r="J2699" t="str">
            <v>SG-Klasha-01/2024</v>
          </cell>
          <cell r="K2699" t="str">
            <v>Settled</v>
          </cell>
        </row>
        <row r="2700">
          <cell r="J2700" t="str">
            <v>SG-Klasha-07/2024</v>
          </cell>
          <cell r="K2700" t="str">
            <v>Settled</v>
          </cell>
        </row>
        <row r="2701">
          <cell r="J2701" t="str">
            <v>SG-Klasha-08/2024</v>
          </cell>
          <cell r="K2701" t="str">
            <v>Settled</v>
          </cell>
        </row>
        <row r="2702">
          <cell r="J2702" t="str">
            <v>SG-Klasha-09/2024</v>
          </cell>
          <cell r="K2702" t="str">
            <v>Settled</v>
          </cell>
        </row>
        <row r="2703">
          <cell r="J2703" t="str">
            <v>SG-Klasha-10/2024</v>
          </cell>
          <cell r="K2703" t="str">
            <v>Settled</v>
          </cell>
        </row>
        <row r="2704">
          <cell r="J2704" t="str">
            <v>SG-Klasha-11/2024</v>
          </cell>
          <cell r="K2704" t="str">
            <v>Settled</v>
          </cell>
        </row>
        <row r="2705">
          <cell r="J2705" t="str">
            <v>SG-klu tech-08/2022</v>
          </cell>
          <cell r="K2705" t="str">
            <v>Waived Off</v>
          </cell>
        </row>
        <row r="2706">
          <cell r="J2706" t="str">
            <v>SG-klu tech-09/2022</v>
          </cell>
          <cell r="K2706" t="str">
            <v>Waived Off</v>
          </cell>
        </row>
        <row r="2707">
          <cell r="J2707" t="str">
            <v>SG-klu tech-10/2022</v>
          </cell>
          <cell r="K2707" t="str">
            <v>Waived Off</v>
          </cell>
        </row>
        <row r="2708">
          <cell r="J2708" t="str">
            <v>SG-klu tech-11/2022</v>
          </cell>
          <cell r="K2708" t="str">
            <v>Waived Off</v>
          </cell>
        </row>
        <row r="2709">
          <cell r="J2709" t="str">
            <v>SG-klu tech-12/2022</v>
          </cell>
          <cell r="K2709" t="str">
            <v>Waived Off</v>
          </cell>
        </row>
        <row r="2710">
          <cell r="J2710" t="str">
            <v>SG-klu tech-01/2023</v>
          </cell>
          <cell r="K2710" t="str">
            <v>Waived Off</v>
          </cell>
        </row>
        <row r="2711">
          <cell r="J2711" t="str">
            <v>SG-klu tech-02/2023</v>
          </cell>
          <cell r="K2711" t="str">
            <v>Waived Off</v>
          </cell>
        </row>
        <row r="2712">
          <cell r="J2712" t="str">
            <v>SG-klu tech-04/2023</v>
          </cell>
          <cell r="K2712" t="str">
            <v>Settled</v>
          </cell>
        </row>
        <row r="2713">
          <cell r="J2713" t="str">
            <v>SG-klu tech-05/2023</v>
          </cell>
          <cell r="K2713" t="str">
            <v>Settled</v>
          </cell>
        </row>
        <row r="2714">
          <cell r="J2714" t="str">
            <v>SG-klu tech-06/2023</v>
          </cell>
          <cell r="K2714" t="str">
            <v>Settled</v>
          </cell>
        </row>
        <row r="2715">
          <cell r="J2715" t="str">
            <v>SG-klu tech-07/2023</v>
          </cell>
          <cell r="K2715" t="str">
            <v>Settled</v>
          </cell>
        </row>
        <row r="2716">
          <cell r="J2716" t="str">
            <v>SG -klu tech-08/2023</v>
          </cell>
          <cell r="K2716" t="str">
            <v>Settled</v>
          </cell>
        </row>
        <row r="2717">
          <cell r="J2717" t="str">
            <v>SG-klu tech-09/2023</v>
          </cell>
          <cell r="K2717" t="str">
            <v>Settled</v>
          </cell>
        </row>
        <row r="2718">
          <cell r="J2718" t="str">
            <v>SG-klu tech-10/2023</v>
          </cell>
          <cell r="K2718" t="str">
            <v>Settled</v>
          </cell>
        </row>
        <row r="2719">
          <cell r="J2719" t="str">
            <v>SG-klu tech-11/2023</v>
          </cell>
          <cell r="K2719" t="str">
            <v>Settled</v>
          </cell>
        </row>
        <row r="2720">
          <cell r="J2720" t="str">
            <v>SG-klu tech-12/2023</v>
          </cell>
          <cell r="K2720" t="str">
            <v>Settled</v>
          </cell>
        </row>
        <row r="2721">
          <cell r="J2721" t="str">
            <v>SG-klu tech-01/2024</v>
          </cell>
          <cell r="K2721" t="str">
            <v>Settled</v>
          </cell>
        </row>
        <row r="2722">
          <cell r="J2722" t="str">
            <v>SG-klu tech-02/2024</v>
          </cell>
          <cell r="K2722" t="str">
            <v>Settled</v>
          </cell>
        </row>
        <row r="2723">
          <cell r="J2723" t="str">
            <v>SG-klu tech-03/2024</v>
          </cell>
          <cell r="K2723" t="str">
            <v>Settled</v>
          </cell>
        </row>
        <row r="2724">
          <cell r="J2724" t="str">
            <v>SG-klu tech-04/2024</v>
          </cell>
          <cell r="K2724" t="str">
            <v>Settled</v>
          </cell>
        </row>
        <row r="2725">
          <cell r="J2725" t="str">
            <v>SG-klu tech-05/2024</v>
          </cell>
          <cell r="K2725" t="str">
            <v>Settled</v>
          </cell>
        </row>
        <row r="2726">
          <cell r="J2726" t="str">
            <v>SG-klu tech-06/2024</v>
          </cell>
          <cell r="K2726" t="str">
            <v>Settled</v>
          </cell>
        </row>
        <row r="2727">
          <cell r="J2727" t="str">
            <v>SG-klu tech-07/2024</v>
          </cell>
          <cell r="K2727" t="str">
            <v>Settled</v>
          </cell>
        </row>
        <row r="2728">
          <cell r="J2728" t="str">
            <v>SG-klu tech-08/2024</v>
          </cell>
          <cell r="K2728" t="str">
            <v>Settled</v>
          </cell>
        </row>
        <row r="2729">
          <cell r="J2729" t="str">
            <v>SG-klu tech-09/2024</v>
          </cell>
          <cell r="K2729" t="str">
            <v>Settled</v>
          </cell>
        </row>
        <row r="2730">
          <cell r="J2730" t="str">
            <v>SG-klu tech-10/2024</v>
          </cell>
          <cell r="K2730" t="str">
            <v>Settled</v>
          </cell>
        </row>
        <row r="2731">
          <cell r="J2731" t="str">
            <v>SG-klu tech-11/2024</v>
          </cell>
          <cell r="K2731" t="str">
            <v>Settled</v>
          </cell>
        </row>
        <row r="2732">
          <cell r="J2732" t="str">
            <v>SG-klu tech-12/2024</v>
          </cell>
          <cell r="K2732" t="str">
            <v>Settled</v>
          </cell>
        </row>
        <row r="2733">
          <cell r="J2733" t="str">
            <v>SG-klu tech-01/2025</v>
          </cell>
          <cell r="K2733" t="str">
            <v>Settled</v>
          </cell>
        </row>
        <row r="2734">
          <cell r="J2734" t="str">
            <v>SG-klu tech-02/2025</v>
          </cell>
          <cell r="K2734" t="str">
            <v>Settled</v>
          </cell>
        </row>
        <row r="2735">
          <cell r="J2735" t="str">
            <v>SG-klu tech-03/2025</v>
          </cell>
          <cell r="K2735" t="str">
            <v>Settled</v>
          </cell>
        </row>
        <row r="2736">
          <cell r="J2736" t="str">
            <v>SG-klu tech-04/2025</v>
          </cell>
          <cell r="K2736" t="str">
            <v>Settled</v>
          </cell>
        </row>
        <row r="2737">
          <cell r="J2737" t="str">
            <v>SG-klu tech-05/2025</v>
          </cell>
          <cell r="K2737" t="str">
            <v>Settled</v>
          </cell>
        </row>
        <row r="2738">
          <cell r="J2738" t="str">
            <v>SG-klu tech-06/2025</v>
          </cell>
          <cell r="K2738" t="str">
            <v>Settled</v>
          </cell>
        </row>
        <row r="2739">
          <cell r="J2739" t="str">
            <v>SG-klu tech-07/2025</v>
          </cell>
          <cell r="K2739" t="str">
            <v>Settled</v>
          </cell>
        </row>
        <row r="2740">
          <cell r="J2740" t="str">
            <v>SG-klu tech-08/2025</v>
          </cell>
          <cell r="K2740" t="str">
            <v>Settled</v>
          </cell>
        </row>
        <row r="2741">
          <cell r="J2741" t="str">
            <v>SG-klu tech-09/2025</v>
          </cell>
          <cell r="K2741" t="str">
            <v>Settled</v>
          </cell>
        </row>
        <row r="2742">
          <cell r="J2742" t="str">
            <v>SG-klu tech-10/2025</v>
          </cell>
          <cell r="K2742" t="str">
            <v>Settled</v>
          </cell>
        </row>
        <row r="2743">
          <cell r="J2743" t="str">
            <v>SG-klu tech-11/2025</v>
          </cell>
          <cell r="K2743" t="str">
            <v>Settled</v>
          </cell>
        </row>
        <row r="2744">
          <cell r="J2744" t="str">
            <v>SG-klu tech-12/2025</v>
          </cell>
          <cell r="K2744" t="str">
            <v>Settled</v>
          </cell>
        </row>
        <row r="2745">
          <cell r="J2745" t="str">
            <v>SG-klu tech-01/2026</v>
          </cell>
          <cell r="K2745" t="str">
            <v>Settled</v>
          </cell>
        </row>
        <row r="2746">
          <cell r="J2746" t="str">
            <v>SG-klu tech-02/2026</v>
          </cell>
          <cell r="K2746" t="str">
            <v>Settled</v>
          </cell>
        </row>
        <row r="2747">
          <cell r="J2747" t="str">
            <v>SG-klu tech-03/2026</v>
          </cell>
          <cell r="K2747" t="str">
            <v>Settled</v>
          </cell>
        </row>
        <row r="2748">
          <cell r="J2748" t="str">
            <v>SG-klu tech-04/2026</v>
          </cell>
          <cell r="K2748" t="str">
            <v>Settled</v>
          </cell>
        </row>
        <row r="2749">
          <cell r="J2749" t="str">
            <v>SG-klu tech-05/2026</v>
          </cell>
          <cell r="K2749" t="str">
            <v>Settled</v>
          </cell>
        </row>
        <row r="2750">
          <cell r="J2750" t="str">
            <v>CA-Knox-02/2023</v>
          </cell>
          <cell r="K2750" t="str">
            <v>Settled</v>
          </cell>
        </row>
        <row r="2751">
          <cell r="J2751" t="str">
            <v>CA-Knox-03/2023</v>
          </cell>
          <cell r="K2751" t="str">
            <v>Settled</v>
          </cell>
        </row>
        <row r="2752">
          <cell r="J2752" t="str">
            <v>CA-Knox-04/2023</v>
          </cell>
          <cell r="K2752" t="str">
            <v>Settled</v>
          </cell>
        </row>
        <row r="2753">
          <cell r="J2753" t="str">
            <v>CA -Knox-05/2023</v>
          </cell>
          <cell r="K2753" t="str">
            <v>Settled</v>
          </cell>
        </row>
        <row r="2754">
          <cell r="J2754" t="str">
            <v>CA-Knox-05/2023</v>
          </cell>
          <cell r="K2754" t="str">
            <v>Settled</v>
          </cell>
        </row>
        <row r="2755">
          <cell r="J2755" t="str">
            <v>CA-Knox-06/2023</v>
          </cell>
          <cell r="K2755" t="str">
            <v>Settled</v>
          </cell>
        </row>
        <row r="2756">
          <cell r="J2756" t="str">
            <v>CA-Knox-07/2023</v>
          </cell>
          <cell r="K2756" t="str">
            <v>Settled</v>
          </cell>
        </row>
        <row r="2757">
          <cell r="J2757" t="str">
            <v>CA -Knox-08/2023</v>
          </cell>
          <cell r="K2757" t="str">
            <v>Settled</v>
          </cell>
        </row>
        <row r="2758">
          <cell r="J2758" t="str">
            <v>CA-Knox-01/2024</v>
          </cell>
          <cell r="K2758" t="str">
            <v>Settled</v>
          </cell>
        </row>
        <row r="2759">
          <cell r="J2759" t="str">
            <v>CA-Knox-02/2024</v>
          </cell>
          <cell r="K2759" t="str">
            <v>Settled</v>
          </cell>
        </row>
        <row r="2760">
          <cell r="J2760" t="str">
            <v>CA-Knox-03/2024</v>
          </cell>
          <cell r="K2760" t="str">
            <v>Settled</v>
          </cell>
        </row>
        <row r="2761">
          <cell r="J2761" t="str">
            <v>CA-Knox-04/2024</v>
          </cell>
          <cell r="K2761" t="str">
            <v>Settled</v>
          </cell>
        </row>
        <row r="2762">
          <cell r="J2762" t="str">
            <v>CA-Knox-05/2024</v>
          </cell>
          <cell r="K2762" t="str">
            <v>Settled</v>
          </cell>
        </row>
        <row r="2763">
          <cell r="J2763" t="str">
            <v>CA-CN-Knox-10-2024</v>
          </cell>
          <cell r="K2763" t="str">
            <v>Settled</v>
          </cell>
        </row>
        <row r="2764">
          <cell r="J2764" t="str">
            <v>CA-Knox-09/2023</v>
          </cell>
          <cell r="K2764" t="str">
            <v>Settled</v>
          </cell>
        </row>
        <row r="2765">
          <cell r="J2765" t="str">
            <v>CA-Knox-10/2023</v>
          </cell>
          <cell r="K2765" t="str">
            <v>Settled</v>
          </cell>
        </row>
        <row r="2766">
          <cell r="J2766" t="str">
            <v>CA-Knox-11/2023</v>
          </cell>
          <cell r="K2766" t="str">
            <v>Settled</v>
          </cell>
        </row>
        <row r="2767">
          <cell r="J2767" t="str">
            <v>CA-Knox-12/2023</v>
          </cell>
          <cell r="K2767" t="str">
            <v>Settled</v>
          </cell>
        </row>
        <row r="2768">
          <cell r="J2768" t="str">
            <v>SG-krung thai bank public company limited	-11/2022</v>
          </cell>
          <cell r="K2768" t="str">
            <v>Settled</v>
          </cell>
        </row>
        <row r="2769">
          <cell r="J2769" t="str">
            <v>SG-krung thai bank public company limited-12/2022</v>
          </cell>
          <cell r="K2769" t="str">
            <v>Settled</v>
          </cell>
        </row>
        <row r="2770">
          <cell r="J2770" t="str">
            <v>SG-krung thai bank public company limited-01/2023</v>
          </cell>
          <cell r="K2770" t="str">
            <v>Settled</v>
          </cell>
        </row>
        <row r="2771">
          <cell r="J2771" t="str">
            <v>SG-krungthai-02/2023</v>
          </cell>
          <cell r="K2771" t="str">
            <v>Settled</v>
          </cell>
        </row>
        <row r="2772">
          <cell r="J2772" t="str">
            <v>SG-krungthai-03/2023</v>
          </cell>
          <cell r="K2772" t="str">
            <v>Settled</v>
          </cell>
        </row>
        <row r="2773">
          <cell r="J2773" t="str">
            <v>SG-krungthai-04/2023</v>
          </cell>
          <cell r="K2773" t="str">
            <v>Settled</v>
          </cell>
        </row>
        <row r="2774">
          <cell r="J2774" t="str">
            <v>SG-krungthai-05/2023</v>
          </cell>
          <cell r="K2774" t="str">
            <v>Settled</v>
          </cell>
        </row>
        <row r="2775">
          <cell r="J2775" t="str">
            <v>SG-krungthai-06/2023</v>
          </cell>
          <cell r="K2775" t="str">
            <v>Settled</v>
          </cell>
        </row>
        <row r="2776">
          <cell r="J2776" t="str">
            <v>SG-krungthai-07/2023</v>
          </cell>
          <cell r="K2776" t="str">
            <v>Settled</v>
          </cell>
        </row>
        <row r="2777">
          <cell r="J2777" t="str">
            <v>SG -krungthai-08/2023</v>
          </cell>
          <cell r="K2777" t="str">
            <v>Settled</v>
          </cell>
        </row>
        <row r="2778">
          <cell r="J2778" t="str">
            <v>SG-krungthai-09/2023</v>
          </cell>
          <cell r="K2778" t="str">
            <v>Settled</v>
          </cell>
        </row>
        <row r="2779">
          <cell r="J2779" t="str">
            <v>SG-krungthai-10/2023</v>
          </cell>
          <cell r="K2779" t="str">
            <v>Settled</v>
          </cell>
        </row>
        <row r="2780">
          <cell r="J2780" t="str">
            <v>SG-krungthai-11/2023</v>
          </cell>
          <cell r="K2780" t="str">
            <v>Settled</v>
          </cell>
        </row>
        <row r="2781">
          <cell r="J2781" t="str">
            <v>SG-krungthai-12/2023</v>
          </cell>
          <cell r="K2781" t="str">
            <v>Settled</v>
          </cell>
        </row>
        <row r="2782">
          <cell r="J2782" t="str">
            <v>SG-krungthai-01/2024</v>
          </cell>
          <cell r="K2782" t="str">
            <v>Settled</v>
          </cell>
        </row>
        <row r="2783">
          <cell r="J2783" t="str">
            <v>SG-krungthai-02/2024</v>
          </cell>
          <cell r="K2783" t="str">
            <v>Settled</v>
          </cell>
        </row>
        <row r="2784">
          <cell r="J2784" t="str">
            <v>SG-krungthai-03/2024</v>
          </cell>
          <cell r="K2784" t="str">
            <v>Settled</v>
          </cell>
        </row>
        <row r="2785">
          <cell r="J2785" t="str">
            <v>SG-krungthai-04/2024</v>
          </cell>
          <cell r="K2785" t="str">
            <v>Settled</v>
          </cell>
        </row>
        <row r="2786">
          <cell r="J2786" t="str">
            <v>SG-krungthai-05/2024</v>
          </cell>
          <cell r="K2786" t="str">
            <v>Settled</v>
          </cell>
        </row>
        <row r="2787">
          <cell r="J2787" t="str">
            <v>SG-krungthai-06/2024</v>
          </cell>
          <cell r="K2787" t="str">
            <v>Settled</v>
          </cell>
        </row>
        <row r="2788">
          <cell r="J2788" t="str">
            <v>SG-krungthai-07/2024</v>
          </cell>
          <cell r="K2788" t="str">
            <v>Settled</v>
          </cell>
        </row>
        <row r="2789">
          <cell r="J2789" t="str">
            <v>SG-krungthai-08/2024</v>
          </cell>
          <cell r="K2789" t="str">
            <v>Settled</v>
          </cell>
        </row>
        <row r="2790">
          <cell r="J2790" t="str">
            <v>SG-krungthai-09/2024</v>
          </cell>
          <cell r="K2790" t="str">
            <v>Settled</v>
          </cell>
        </row>
        <row r="2791">
          <cell r="J2791" t="str">
            <v>SG-krungthai-10/2024</v>
          </cell>
          <cell r="K2791" t="str">
            <v>Settled</v>
          </cell>
        </row>
        <row r="2792">
          <cell r="J2792" t="str">
            <v>SG-krungthai-11/2024</v>
          </cell>
          <cell r="K2792" t="str">
            <v>Settled</v>
          </cell>
        </row>
        <row r="2793">
          <cell r="J2793" t="str">
            <v>SG-krungthai-12/2024</v>
          </cell>
          <cell r="K2793" t="str">
            <v>Settled</v>
          </cell>
        </row>
        <row r="2794">
          <cell r="J2794" t="str">
            <v>SG-krungthai-01/2025</v>
          </cell>
          <cell r="K2794" t="str">
            <v>Settled</v>
          </cell>
        </row>
        <row r="2795">
          <cell r="J2795" t="str">
            <v>SG-krungthai-02/2025</v>
          </cell>
          <cell r="K2795" t="str">
            <v>Settled</v>
          </cell>
        </row>
        <row r="2796">
          <cell r="J2796" t="str">
            <v>SG-krungthai-03/2025</v>
          </cell>
          <cell r="K2796" t="str">
            <v>Settled</v>
          </cell>
        </row>
        <row r="2797">
          <cell r="J2797" t="str">
            <v>SG-krungthai-04/2025</v>
          </cell>
          <cell r="K2797" t="str">
            <v>Settled</v>
          </cell>
        </row>
        <row r="2798">
          <cell r="J2798" t="str">
            <v>SG-krungthai-05/2025</v>
          </cell>
          <cell r="K2798" t="str">
            <v>Settled</v>
          </cell>
        </row>
        <row r="2799">
          <cell r="J2799" t="str">
            <v>SG-krungthai-06/2025</v>
          </cell>
          <cell r="K2799" t="str">
            <v>Settled</v>
          </cell>
        </row>
        <row r="2800">
          <cell r="J2800" t="str">
            <v>SG-krungthai-07/2025</v>
          </cell>
          <cell r="K2800" t="str">
            <v>Settled</v>
          </cell>
        </row>
        <row r="2801">
          <cell r="J2801" t="str">
            <v>SG-krungthai-08/2025</v>
          </cell>
          <cell r="K2801" t="str">
            <v>Settled</v>
          </cell>
        </row>
        <row r="2802">
          <cell r="J2802" t="str">
            <v>SG-krungthai-09/2025</v>
          </cell>
          <cell r="K2802" t="str">
            <v>Settled</v>
          </cell>
        </row>
        <row r="2803">
          <cell r="J2803" t="str">
            <v>SG-krungthai-10/2025</v>
          </cell>
          <cell r="K2803" t="str">
            <v>Settled</v>
          </cell>
        </row>
        <row r="2804">
          <cell r="J2804" t="str">
            <v>SG-krungthai-11/2025</v>
          </cell>
          <cell r="K2804" t="str">
            <v>Settled</v>
          </cell>
        </row>
        <row r="2805">
          <cell r="J2805" t="str">
            <v>SG-krungthai-12/2025</v>
          </cell>
          <cell r="K2805" t="str">
            <v>Settled</v>
          </cell>
        </row>
        <row r="2806">
          <cell r="J2806" t="str">
            <v>SG-krungthai-01/2026</v>
          </cell>
          <cell r="K2806" t="str">
            <v>Settled</v>
          </cell>
        </row>
        <row r="2807">
          <cell r="J2807" t="str">
            <v>SG-krungthai-02/2026</v>
          </cell>
          <cell r="K2807" t="str">
            <v>Settled</v>
          </cell>
        </row>
        <row r="2808">
          <cell r="J2808" t="str">
            <v>SG-krungthai-04/2026</v>
          </cell>
          <cell r="K2808" t="str">
            <v>Settled</v>
          </cell>
        </row>
        <row r="2809">
          <cell r="J2809" t="str">
            <v>SG-krungthai-05/2026</v>
          </cell>
          <cell r="K2809" t="str">
            <v>Settled</v>
          </cell>
        </row>
        <row r="2810">
          <cell r="J2810" t="str">
            <v>AU -Laverne-10/2023</v>
          </cell>
          <cell r="K2810" t="str">
            <v>Settled</v>
          </cell>
        </row>
        <row r="2811">
          <cell r="J2811" t="str">
            <v>AU-Laverne-08/2024</v>
          </cell>
          <cell r="K2811" t="str">
            <v>Settled</v>
          </cell>
        </row>
        <row r="2812">
          <cell r="J2812" t="str">
            <v>AU-Laverne-09/2024</v>
          </cell>
          <cell r="K2812" t="str">
            <v>Settled</v>
          </cell>
        </row>
        <row r="2813">
          <cell r="J2813" t="str">
            <v>AU-Laverne-10/2024</v>
          </cell>
          <cell r="K2813" t="str">
            <v>Settled</v>
          </cell>
        </row>
        <row r="2814">
          <cell r="J2814" t="str">
            <v>AU-Laverne-11/2024</v>
          </cell>
          <cell r="K2814" t="str">
            <v>Settled</v>
          </cell>
        </row>
        <row r="2815">
          <cell r="J2815" t="str">
            <v>AU-Laverne-12/2024</v>
          </cell>
          <cell r="K2815" t="str">
            <v>Settled</v>
          </cell>
        </row>
        <row r="2816">
          <cell r="J2816" t="str">
            <v>AU-Laverne-01/2025</v>
          </cell>
          <cell r="K2816" t="str">
            <v>Settled</v>
          </cell>
        </row>
        <row r="2817">
          <cell r="J2817" t="str">
            <v>SG-Lemonway-11/2022</v>
          </cell>
          <cell r="K2817" t="str">
            <v>Settled</v>
          </cell>
        </row>
        <row r="2818">
          <cell r="J2818" t="str">
            <v>SG-Lemonway-12/2022</v>
          </cell>
          <cell r="K2818" t="str">
            <v>Settled</v>
          </cell>
        </row>
        <row r="2819">
          <cell r="J2819" t="str">
            <v>SG-Lemonway-01/2023</v>
          </cell>
          <cell r="K2819" t="str">
            <v>Settled</v>
          </cell>
        </row>
        <row r="2820">
          <cell r="J2820" t="str">
            <v>SG-Lemonway-02/2023</v>
          </cell>
          <cell r="K2820" t="str">
            <v>Settled</v>
          </cell>
        </row>
        <row r="2821">
          <cell r="J2821" t="str">
            <v>SG-Lemonway-03/2023</v>
          </cell>
          <cell r="K2821" t="str">
            <v>Settled</v>
          </cell>
        </row>
        <row r="2822">
          <cell r="J2822" t="str">
            <v>SG-Lemonway-04/2023</v>
          </cell>
          <cell r="K2822" t="str">
            <v>Settled</v>
          </cell>
        </row>
        <row r="2823">
          <cell r="J2823" t="str">
            <v>SG-Lemonway-05/2023</v>
          </cell>
          <cell r="K2823" t="str">
            <v>Settled</v>
          </cell>
        </row>
        <row r="2824">
          <cell r="J2824" t="str">
            <v>SG-Lemonway-06/2023</v>
          </cell>
          <cell r="K2824" t="str">
            <v>Settled</v>
          </cell>
        </row>
        <row r="2825">
          <cell r="J2825" t="str">
            <v>SG-Lemonway-07/2023</v>
          </cell>
          <cell r="K2825" t="str">
            <v>Settled</v>
          </cell>
        </row>
        <row r="2826">
          <cell r="J2826" t="str">
            <v>SG -Lemonway-08/2023</v>
          </cell>
          <cell r="K2826" t="str">
            <v>Settled</v>
          </cell>
        </row>
        <row r="2827">
          <cell r="J2827" t="str">
            <v>SG-Lemonway-09/2023</v>
          </cell>
          <cell r="K2827" t="str">
            <v>Settled</v>
          </cell>
        </row>
        <row r="2828">
          <cell r="J2828" t="str">
            <v>SG-Lemonway-10/2023</v>
          </cell>
          <cell r="K2828" t="str">
            <v>Settled</v>
          </cell>
        </row>
        <row r="2829">
          <cell r="J2829" t="str">
            <v>SG-Lemonway-11/2023</v>
          </cell>
          <cell r="K2829" t="str">
            <v>Settled</v>
          </cell>
        </row>
        <row r="2830">
          <cell r="J2830" t="str">
            <v>SG-Lemonway-12/2023</v>
          </cell>
          <cell r="K2830" t="str">
            <v>Settled</v>
          </cell>
        </row>
        <row r="2831">
          <cell r="J2831" t="str">
            <v>SG-Lemonway-01/2024</v>
          </cell>
          <cell r="K2831" t="str">
            <v>Settled</v>
          </cell>
        </row>
        <row r="2832">
          <cell r="J2832" t="str">
            <v>SG-Lemonway-02/2024</v>
          </cell>
          <cell r="K2832" t="str">
            <v>Settled</v>
          </cell>
        </row>
        <row r="2833">
          <cell r="J2833" t="str">
            <v>SG-Lemonway-03/2024</v>
          </cell>
          <cell r="K2833" t="str">
            <v>Settled</v>
          </cell>
        </row>
        <row r="2834">
          <cell r="J2834" t="str">
            <v>SG-Lemonway-04/2024</v>
          </cell>
          <cell r="K2834" t="str">
            <v>Settled</v>
          </cell>
        </row>
        <row r="2835">
          <cell r="J2835" t="str">
            <v>SG-Lemonway-05/2024</v>
          </cell>
          <cell r="K2835" t="str">
            <v>Settled</v>
          </cell>
        </row>
        <row r="2836">
          <cell r="J2836" t="str">
            <v>SG-Lemonway-06/2024</v>
          </cell>
          <cell r="K2836" t="str">
            <v>Settled</v>
          </cell>
        </row>
        <row r="2837">
          <cell r="J2837" t="str">
            <v>SG-Lemonway-07/2024</v>
          </cell>
          <cell r="K2837" t="str">
            <v>Settled</v>
          </cell>
        </row>
        <row r="2838">
          <cell r="J2838" t="str">
            <v>SG-Lemonway-08/2024</v>
          </cell>
          <cell r="K2838" t="str">
            <v>Settled</v>
          </cell>
        </row>
        <row r="2839">
          <cell r="J2839" t="str">
            <v>SG-Lemonway-09/2024</v>
          </cell>
          <cell r="K2839" t="str">
            <v>Settled</v>
          </cell>
        </row>
        <row r="2840">
          <cell r="J2840" t="str">
            <v>SG-Lemonway-10/2024</v>
          </cell>
          <cell r="K2840" t="str">
            <v>Settled</v>
          </cell>
        </row>
        <row r="2841">
          <cell r="J2841" t="str">
            <v>SG-Lemonway-11/2024</v>
          </cell>
          <cell r="K2841" t="str">
            <v>Settled</v>
          </cell>
        </row>
        <row r="2842">
          <cell r="J2842" t="str">
            <v>SG-Lemonway-12/2024</v>
          </cell>
          <cell r="K2842" t="str">
            <v>Settled</v>
          </cell>
        </row>
        <row r="2843">
          <cell r="J2843" t="str">
            <v>SG-Lemonway-01/2025</v>
          </cell>
          <cell r="K2843" t="str">
            <v>Settled</v>
          </cell>
        </row>
        <row r="2844">
          <cell r="J2844" t="str">
            <v>SG-Lemonway-04/2025</v>
          </cell>
          <cell r="K2844" t="str">
            <v>Settled</v>
          </cell>
        </row>
        <row r="2845">
          <cell r="J2845" t="str">
            <v>SG-Lemonway-05/2025</v>
          </cell>
          <cell r="K2845" t="str">
            <v>Settled</v>
          </cell>
        </row>
        <row r="2846">
          <cell r="J2846" t="str">
            <v>SG-Lemonway-06/2025</v>
          </cell>
          <cell r="K2846" t="str">
            <v>Settled</v>
          </cell>
        </row>
        <row r="2847">
          <cell r="J2847" t="str">
            <v>SG-Lemonway-07/2025</v>
          </cell>
          <cell r="K2847" t="str">
            <v>Settled</v>
          </cell>
        </row>
        <row r="2848">
          <cell r="J2848" t="str">
            <v>SG-Lemonway-08/2025</v>
          </cell>
          <cell r="K2848" t="str">
            <v>Settled</v>
          </cell>
        </row>
        <row r="2849">
          <cell r="J2849" t="str">
            <v>SG-Lemonway-09/2025</v>
          </cell>
          <cell r="K2849" t="str">
            <v>Settled</v>
          </cell>
        </row>
        <row r="2850">
          <cell r="J2850" t="str">
            <v>SG-Lemonway-10/2025</v>
          </cell>
          <cell r="K2850" t="str">
            <v>Settled</v>
          </cell>
        </row>
        <row r="2851">
          <cell r="J2851" t="str">
            <v>SG-Lemonway-11/2025</v>
          </cell>
          <cell r="K2851" t="str">
            <v>Settled</v>
          </cell>
        </row>
        <row r="2852">
          <cell r="J2852" t="str">
            <v>SG-Lemonway-12/2025</v>
          </cell>
          <cell r="K2852" t="str">
            <v>Settled</v>
          </cell>
        </row>
        <row r="2853">
          <cell r="J2853" t="str">
            <v>SG-Lemonway-01/2026</v>
          </cell>
          <cell r="K2853" t="str">
            <v>Settled</v>
          </cell>
        </row>
        <row r="2854">
          <cell r="J2854" t="str">
            <v>SG-Lemonway-02/2026</v>
          </cell>
          <cell r="K2854" t="str">
            <v>Settled</v>
          </cell>
        </row>
        <row r="2855">
          <cell r="J2855" t="str">
            <v>SG-Lemonway-03/2026</v>
          </cell>
          <cell r="K2855" t="str">
            <v>Settled</v>
          </cell>
        </row>
        <row r="2856">
          <cell r="J2856" t="str">
            <v>SG-Lemonway-04/2026</v>
          </cell>
          <cell r="K2856" t="str">
            <v>Settled</v>
          </cell>
        </row>
        <row r="2857">
          <cell r="J2857" t="str">
            <v>SG-Lemonway-05/2026</v>
          </cell>
          <cell r="K2857" t="str">
            <v>Overdue</v>
          </cell>
        </row>
        <row r="2858">
          <cell r="J2858" t="str">
            <v>SG-Lemonway-02/2025</v>
          </cell>
          <cell r="K2858" t="str">
            <v>Settled</v>
          </cell>
        </row>
        <row r="2859">
          <cell r="J2859" t="str">
            <v>SG-Lemonway-03/2025</v>
          </cell>
          <cell r="K2859" t="str">
            <v>Settled</v>
          </cell>
        </row>
        <row r="2860">
          <cell r="J2860" t="str">
            <v>SG-Lifetrack Medical Systems-12/2022</v>
          </cell>
          <cell r="K2860" t="str">
            <v>Settled</v>
          </cell>
        </row>
        <row r="2861">
          <cell r="J2861" t="str">
            <v>SG-Lifetrack Medical Systems-01/2023</v>
          </cell>
          <cell r="K2861" t="str">
            <v>Settled</v>
          </cell>
        </row>
        <row r="2862">
          <cell r="J2862" t="str">
            <v>SG-LifetrackMed-02/2023</v>
          </cell>
          <cell r="K2862" t="str">
            <v>Settled</v>
          </cell>
        </row>
        <row r="2863">
          <cell r="J2863" t="str">
            <v>SG-LifetrackMed-03/2023</v>
          </cell>
          <cell r="K2863" t="str">
            <v>Settled</v>
          </cell>
        </row>
        <row r="2864">
          <cell r="J2864" t="str">
            <v>SG-LifetrackMed-04/2023</v>
          </cell>
          <cell r="K2864" t="str">
            <v>Settled</v>
          </cell>
        </row>
        <row r="2865">
          <cell r="J2865" t="str">
            <v>SG-LifetrackMed-05/2023</v>
          </cell>
          <cell r="K2865" t="str">
            <v>Settled</v>
          </cell>
        </row>
        <row r="2866">
          <cell r="J2866" t="str">
            <v>SG-LifetrackMed-06/2023</v>
          </cell>
          <cell r="K2866" t="str">
            <v>Settled</v>
          </cell>
        </row>
        <row r="2867">
          <cell r="J2867" t="str">
            <v>SG-LifetrackMed-07/2023</v>
          </cell>
          <cell r="K2867" t="str">
            <v>Settled</v>
          </cell>
        </row>
        <row r="2868">
          <cell r="J2868" t="str">
            <v>SG -LifetrackMed-08/2023</v>
          </cell>
          <cell r="K2868" t="str">
            <v>Settled</v>
          </cell>
        </row>
        <row r="2869">
          <cell r="J2869" t="str">
            <v>SG-LifetrackMed-09/2023</v>
          </cell>
          <cell r="K2869" t="str">
            <v>Settled</v>
          </cell>
        </row>
        <row r="2870">
          <cell r="J2870" t="str">
            <v>SG-LifetrackMed-10/2023</v>
          </cell>
          <cell r="K2870" t="str">
            <v>Settled</v>
          </cell>
        </row>
        <row r="2871">
          <cell r="J2871" t="str">
            <v>SG-LifetrackMed-11/2023</v>
          </cell>
          <cell r="K2871" t="str">
            <v>Settled</v>
          </cell>
        </row>
        <row r="2872">
          <cell r="J2872" t="str">
            <v>SG-Loihi Technology Pte. Ltd.-11/2022</v>
          </cell>
          <cell r="K2872" t="str">
            <v>Settled</v>
          </cell>
        </row>
        <row r="2873">
          <cell r="J2873" t="str">
            <v>SG-Loihi Technology Pte. Ltd.-12/2022</v>
          </cell>
          <cell r="K2873" t="str">
            <v>Settled</v>
          </cell>
        </row>
        <row r="2874">
          <cell r="J2874" t="str">
            <v>SG-Loihi Technology Pte. Ltd.-01/2023</v>
          </cell>
          <cell r="K2874" t="str">
            <v>Settled</v>
          </cell>
        </row>
        <row r="2875">
          <cell r="J2875" t="str">
            <v>SG-LoihiTech-02/2023</v>
          </cell>
          <cell r="K2875" t="str">
            <v>Settled</v>
          </cell>
        </row>
        <row r="2876">
          <cell r="J2876" t="str">
            <v>SG-LoihiTech-03/2023</v>
          </cell>
          <cell r="K2876" t="str">
            <v>Settled</v>
          </cell>
        </row>
        <row r="2877">
          <cell r="J2877" t="str">
            <v>SG-LoihiTech-04/2023</v>
          </cell>
          <cell r="K2877" t="str">
            <v>Settled</v>
          </cell>
        </row>
        <row r="2878">
          <cell r="J2878" t="str">
            <v>SG-LoihiTech-05/2023</v>
          </cell>
          <cell r="K2878" t="str">
            <v>Settled</v>
          </cell>
        </row>
        <row r="2879">
          <cell r="J2879" t="str">
            <v>SG-LoihiTech-06/2023</v>
          </cell>
          <cell r="K2879" t="str">
            <v>Settled</v>
          </cell>
        </row>
        <row r="2880">
          <cell r="J2880" t="str">
            <v>SG-LoihiTech-07/2023</v>
          </cell>
          <cell r="K2880" t="str">
            <v>Settled</v>
          </cell>
        </row>
        <row r="2881">
          <cell r="J2881" t="str">
            <v>SG -LoihiTech-08/2023</v>
          </cell>
          <cell r="K2881" t="str">
            <v>Settled</v>
          </cell>
        </row>
        <row r="2882">
          <cell r="J2882" t="str">
            <v>SG-LoihiTech-09/2023</v>
          </cell>
          <cell r="K2882" t="str">
            <v>Settled</v>
          </cell>
        </row>
        <row r="2883">
          <cell r="J2883" t="str">
            <v>SG-LoihiTech-10/2023</v>
          </cell>
          <cell r="K2883" t="str">
            <v>Settled</v>
          </cell>
        </row>
        <row r="2884">
          <cell r="J2884" t="str">
            <v>SG-LoihiTech-11/2023</v>
          </cell>
          <cell r="K2884" t="str">
            <v>Settled</v>
          </cell>
        </row>
        <row r="2885">
          <cell r="J2885" t="str">
            <v>SG-LoihiTech-12/2023</v>
          </cell>
          <cell r="K2885" t="str">
            <v>Settled</v>
          </cell>
        </row>
        <row r="2886">
          <cell r="J2886" t="str">
            <v>SG-LoihiTech-01/2024</v>
          </cell>
          <cell r="K2886" t="str">
            <v>Settled</v>
          </cell>
        </row>
        <row r="2887">
          <cell r="J2887" t="str">
            <v>SG-LoihiTech-02/2024</v>
          </cell>
          <cell r="K2887" t="str">
            <v>Settled</v>
          </cell>
        </row>
        <row r="2888">
          <cell r="J2888" t="str">
            <v>SG-LoihiTech-03/2024</v>
          </cell>
          <cell r="K2888" t="str">
            <v>Settled</v>
          </cell>
        </row>
        <row r="2889">
          <cell r="J2889" t="str">
            <v>SG-LoihiTech-04/2024</v>
          </cell>
          <cell r="K2889" t="str">
            <v>Settled</v>
          </cell>
        </row>
        <row r="2890">
          <cell r="J2890" t="str">
            <v>SG-LoihiTech-05/2024</v>
          </cell>
          <cell r="K2890" t="str">
            <v>Settled</v>
          </cell>
        </row>
        <row r="2891">
          <cell r="J2891" t="str">
            <v>SG-LoihiTech-06/2024</v>
          </cell>
          <cell r="K2891" t="str">
            <v>Settled</v>
          </cell>
        </row>
        <row r="2892">
          <cell r="J2892" t="str">
            <v>SG-LoihiTech-07/2024</v>
          </cell>
          <cell r="K2892" t="str">
            <v>Settled</v>
          </cell>
        </row>
        <row r="2893">
          <cell r="J2893" t="str">
            <v>SG-LoihiTech-08/2024</v>
          </cell>
          <cell r="K2893" t="str">
            <v>Settled</v>
          </cell>
        </row>
        <row r="2894">
          <cell r="J2894" t="str">
            <v>SG-LoihiTech-09/2024</v>
          </cell>
          <cell r="K2894" t="str">
            <v>Settled</v>
          </cell>
        </row>
        <row r="2895">
          <cell r="J2895" t="str">
            <v>SG-LoihiTech-10/2024</v>
          </cell>
          <cell r="K2895" t="str">
            <v>Settled</v>
          </cell>
        </row>
        <row r="2896">
          <cell r="J2896" t="str">
            <v>SG-LoihiTech-11/2024</v>
          </cell>
          <cell r="K2896" t="str">
            <v>Settled</v>
          </cell>
        </row>
        <row r="2897">
          <cell r="J2897" t="str">
            <v>SG-LoihiTech-12/2024</v>
          </cell>
          <cell r="K2897" t="str">
            <v>Settled</v>
          </cell>
        </row>
        <row r="2898">
          <cell r="J2898" t="str">
            <v>SG-LoihiTech-01/2025</v>
          </cell>
          <cell r="K2898" t="str">
            <v>Settled</v>
          </cell>
        </row>
        <row r="2899">
          <cell r="J2899" t="str">
            <v>SG-LoihiTech-02/2025</v>
          </cell>
          <cell r="K2899" t="str">
            <v>Settled</v>
          </cell>
        </row>
        <row r="2900">
          <cell r="J2900" t="str">
            <v>SG-LoihiTech-03/2025</v>
          </cell>
          <cell r="K2900" t="str">
            <v>Settled</v>
          </cell>
        </row>
        <row r="2901">
          <cell r="J2901" t="str">
            <v>SG-LoihiTech-04/2025</v>
          </cell>
          <cell r="K2901" t="str">
            <v>Settled</v>
          </cell>
        </row>
        <row r="2902">
          <cell r="J2902" t="str">
            <v>SG-LoihiTech-05/2025</v>
          </cell>
          <cell r="K2902" t="str">
            <v>Settled</v>
          </cell>
        </row>
        <row r="2903">
          <cell r="J2903" t="str">
            <v>SG-LoihiTech-06/2025</v>
          </cell>
          <cell r="K2903" t="str">
            <v>Settled</v>
          </cell>
        </row>
        <row r="2904">
          <cell r="J2904" t="str">
            <v>SG-LoihiTech-07/2025</v>
          </cell>
          <cell r="K2904" t="str">
            <v>Settled</v>
          </cell>
        </row>
        <row r="2905">
          <cell r="J2905" t="str">
            <v>SG-LoihiTech-08/2025</v>
          </cell>
          <cell r="K2905" t="str">
            <v>Settled</v>
          </cell>
        </row>
        <row r="2906">
          <cell r="J2906" t="str">
            <v>SG-LoihiTech-09/2025</v>
          </cell>
          <cell r="K2906" t="str">
            <v>Settled</v>
          </cell>
        </row>
        <row r="2907">
          <cell r="J2907" t="str">
            <v>SG-LoihiTech-10/2025</v>
          </cell>
          <cell r="K2907" t="str">
            <v>Settled</v>
          </cell>
        </row>
        <row r="2908">
          <cell r="J2908" t="str">
            <v>SG-LoihiTech-11/2025</v>
          </cell>
          <cell r="K2908" t="str">
            <v>Settled</v>
          </cell>
        </row>
        <row r="2909">
          <cell r="J2909" t="str">
            <v>SG-LoihiTech-12/2025</v>
          </cell>
          <cell r="K2909" t="str">
            <v>Settled</v>
          </cell>
        </row>
        <row r="2910">
          <cell r="J2910" t="str">
            <v>SG-LoihiTech-01/2026</v>
          </cell>
          <cell r="K2910" t="str">
            <v>Settled</v>
          </cell>
        </row>
        <row r="2911">
          <cell r="J2911" t="str">
            <v>SG-LoihiTech-02/2026</v>
          </cell>
          <cell r="K2911" t="str">
            <v>Settled</v>
          </cell>
        </row>
        <row r="2912">
          <cell r="J2912" t="str">
            <v>SG-LoihiTech-03/2026</v>
          </cell>
          <cell r="K2912" t="str">
            <v>Settled</v>
          </cell>
        </row>
        <row r="2913">
          <cell r="J2913" t="str">
            <v>SG-CN-LoihiTech-04-2026</v>
          </cell>
          <cell r="K2913" t="str">
            <v>Settled</v>
          </cell>
        </row>
        <row r="2914">
          <cell r="J2914" t="str">
            <v>SG-LoihiTech-04/2026</v>
          </cell>
          <cell r="K2914" t="str">
            <v>Settled</v>
          </cell>
        </row>
        <row r="2915">
          <cell r="J2915" t="str">
            <v>SG-CN-LoihiTech-05-2026</v>
          </cell>
          <cell r="K2915" t="str">
            <v>Settled</v>
          </cell>
        </row>
        <row r="2916">
          <cell r="J2916" t="str">
            <v>SG-LoihiTech-05/2026</v>
          </cell>
          <cell r="K2916" t="str">
            <v>Settled</v>
          </cell>
        </row>
        <row r="2917">
          <cell r="J2917" t="str">
            <v>CA -Maple Digital-01/2024</v>
          </cell>
          <cell r="K2917" t="str">
            <v>Settled</v>
          </cell>
        </row>
        <row r="2918">
          <cell r="J2918" t="str">
            <v>CA-Maple Digital-04/2024</v>
          </cell>
          <cell r="K2918" t="str">
            <v>Settled</v>
          </cell>
        </row>
        <row r="2919">
          <cell r="J2919" t="str">
            <v>CA-Maple Digital-05/2024</v>
          </cell>
          <cell r="K2919" t="str">
            <v>Settled</v>
          </cell>
        </row>
        <row r="2920">
          <cell r="J2920" t="str">
            <v>CA-Maple Digital-06/2024</v>
          </cell>
          <cell r="K2920" t="str">
            <v>Settled</v>
          </cell>
        </row>
        <row r="2921">
          <cell r="J2921" t="str">
            <v>CA-Maple Digital-07/2024</v>
          </cell>
          <cell r="K2921" t="str">
            <v>Settled</v>
          </cell>
        </row>
        <row r="2922">
          <cell r="J2922" t="str">
            <v>CA-Maple Digital-08/2024</v>
          </cell>
          <cell r="K2922" t="str">
            <v>Settled</v>
          </cell>
        </row>
        <row r="2923">
          <cell r="J2923" t="str">
            <v>CA-Maple Digital-09/2024</v>
          </cell>
          <cell r="K2923" t="str">
            <v>Settled</v>
          </cell>
        </row>
        <row r="2924">
          <cell r="J2924" t="str">
            <v>CA-Maple Digital-10/2024</v>
          </cell>
          <cell r="K2924" t="str">
            <v>Settled</v>
          </cell>
        </row>
        <row r="2925">
          <cell r="J2925" t="str">
            <v>CA-Maple Digital-11/2024</v>
          </cell>
          <cell r="K2925" t="str">
            <v>Settled</v>
          </cell>
        </row>
        <row r="2926">
          <cell r="J2926" t="str">
            <v>CA-Maple Digital-12/2024</v>
          </cell>
          <cell r="K2926" t="str">
            <v>Settled</v>
          </cell>
        </row>
        <row r="2927">
          <cell r="J2927" t="str">
            <v>CA-Maple Digital-01/2025</v>
          </cell>
          <cell r="K2927" t="str">
            <v>Settled</v>
          </cell>
        </row>
        <row r="2928">
          <cell r="J2928" t="str">
            <v>CA-Maple Digital-02/2025</v>
          </cell>
          <cell r="K2928" t="str">
            <v>Settled</v>
          </cell>
        </row>
        <row r="2929">
          <cell r="J2929" t="str">
            <v>CA-Maple Digital-03/2025</v>
          </cell>
          <cell r="K2929" t="str">
            <v>Settled</v>
          </cell>
        </row>
        <row r="2930">
          <cell r="J2930" t="str">
            <v>CA-Maple Digital-04/2025</v>
          </cell>
          <cell r="K2930" t="str">
            <v>Settled</v>
          </cell>
        </row>
        <row r="2931">
          <cell r="J2931" t="str">
            <v>CA-Maple Digital-05/2025</v>
          </cell>
          <cell r="K2931" t="str">
            <v>Settled</v>
          </cell>
        </row>
        <row r="2932">
          <cell r="J2932" t="str">
            <v>CA-Maple Digital-06/2025</v>
          </cell>
          <cell r="K2932" t="str">
            <v>Settled</v>
          </cell>
        </row>
        <row r="2933">
          <cell r="J2933" t="str">
            <v>CA-Maple Digital-07/2025</v>
          </cell>
          <cell r="K2933" t="str">
            <v>Settled</v>
          </cell>
        </row>
        <row r="2934">
          <cell r="J2934" t="str">
            <v>CA-Maple Digital-08/2025</v>
          </cell>
          <cell r="K2934" t="str">
            <v>Settled</v>
          </cell>
        </row>
        <row r="2935">
          <cell r="J2935" t="str">
            <v>CA-Maple Digital-09/2025</v>
          </cell>
          <cell r="K2935" t="str">
            <v>Settled</v>
          </cell>
        </row>
        <row r="2936">
          <cell r="J2936" t="str">
            <v>CA-Maple Digital-10/2025</v>
          </cell>
          <cell r="K2936" t="str">
            <v>Settled</v>
          </cell>
        </row>
        <row r="2937">
          <cell r="J2937" t="str">
            <v>CA-Maple Digital-11/2025</v>
          </cell>
          <cell r="K2937" t="str">
            <v>Settled</v>
          </cell>
        </row>
        <row r="2938">
          <cell r="J2938" t="str">
            <v>CA-Maple Digital-12/2025</v>
          </cell>
          <cell r="K2938" t="str">
            <v>Settled</v>
          </cell>
        </row>
        <row r="2939">
          <cell r="J2939" t="str">
            <v>CA-Maple Digital-01/2026</v>
          </cell>
          <cell r="K2939" t="str">
            <v>Settled</v>
          </cell>
        </row>
        <row r="2940">
          <cell r="J2940" t="str">
            <v>CA-Maple Digital-02/2026</v>
          </cell>
          <cell r="K2940" t="str">
            <v>Settled</v>
          </cell>
        </row>
        <row r="2941">
          <cell r="J2941" t="str">
            <v>CA-Maple Digital-03/2026</v>
          </cell>
          <cell r="K2941" t="str">
            <v>Settled</v>
          </cell>
        </row>
        <row r="2942">
          <cell r="J2942" t="str">
            <v>CA-Maple Digital-04/2026</v>
          </cell>
          <cell r="K2942" t="str">
            <v>Settled</v>
          </cell>
        </row>
        <row r="2943">
          <cell r="J2943" t="str">
            <v>CA-Maple Digital-05/2026</v>
          </cell>
          <cell r="K2943" t="str">
            <v>Settled</v>
          </cell>
        </row>
        <row r="2944">
          <cell r="J2944" t="str">
            <v>SG-Mashreq-11/2022</v>
          </cell>
          <cell r="K2944" t="str">
            <v>Settled</v>
          </cell>
        </row>
        <row r="2945">
          <cell r="J2945" t="str">
            <v>SG-Mashreq-12/2022</v>
          </cell>
          <cell r="K2945" t="str">
            <v>Settled</v>
          </cell>
        </row>
        <row r="2946">
          <cell r="J2946" t="str">
            <v>SG-Mashreq-01/2023</v>
          </cell>
          <cell r="K2946" t="str">
            <v>Settled</v>
          </cell>
        </row>
        <row r="2947">
          <cell r="J2947" t="str">
            <v>SG-Mashreq-02/2023</v>
          </cell>
          <cell r="K2947" t="str">
            <v>Settled</v>
          </cell>
        </row>
        <row r="2948">
          <cell r="J2948" t="str">
            <v>SG-Mashreq-03/2023</v>
          </cell>
          <cell r="K2948" t="str">
            <v>Settled</v>
          </cell>
        </row>
        <row r="2949">
          <cell r="J2949" t="str">
            <v>SG-Mashreq-04/2023</v>
          </cell>
          <cell r="K2949" t="str">
            <v>Settled</v>
          </cell>
        </row>
        <row r="2950">
          <cell r="J2950" t="str">
            <v>SG-Mashreq-05/2023</v>
          </cell>
          <cell r="K2950" t="str">
            <v>Settled</v>
          </cell>
        </row>
        <row r="2951">
          <cell r="J2951" t="str">
            <v>SG-Mashreq-06/2023</v>
          </cell>
          <cell r="K2951" t="str">
            <v>Settled</v>
          </cell>
        </row>
        <row r="2952">
          <cell r="J2952" t="str">
            <v>SG-Mashreq-07/2023</v>
          </cell>
          <cell r="K2952" t="str">
            <v>Settled</v>
          </cell>
        </row>
        <row r="2953">
          <cell r="J2953" t="str">
            <v>SG -Mashreq-08/2023</v>
          </cell>
          <cell r="K2953" t="str">
            <v>Settled</v>
          </cell>
        </row>
        <row r="2954">
          <cell r="J2954" t="str">
            <v>SG-Mashreq-09/2023</v>
          </cell>
          <cell r="K2954" t="str">
            <v>Settled</v>
          </cell>
        </row>
        <row r="2955">
          <cell r="J2955" t="str">
            <v>SG-Mashreq-10/2023</v>
          </cell>
          <cell r="K2955" t="str">
            <v>Settled</v>
          </cell>
        </row>
        <row r="2956">
          <cell r="J2956" t="str">
            <v>SG-Mashreq-11/2023</v>
          </cell>
          <cell r="K2956" t="str">
            <v>Settled</v>
          </cell>
        </row>
        <row r="2957">
          <cell r="J2957" t="str">
            <v>SG-Mashreq-12/2023</v>
          </cell>
          <cell r="K2957" t="str">
            <v>Settled</v>
          </cell>
        </row>
        <row r="2958">
          <cell r="J2958" t="str">
            <v>SG-Mashreq-01/2024</v>
          </cell>
          <cell r="K2958" t="str">
            <v>Settled</v>
          </cell>
        </row>
        <row r="2959">
          <cell r="J2959" t="str">
            <v>SG-Mashreq-02/2024</v>
          </cell>
          <cell r="K2959" t="str">
            <v>Settled</v>
          </cell>
        </row>
        <row r="2960">
          <cell r="J2960" t="str">
            <v>SG-Mashreq-03/2024</v>
          </cell>
          <cell r="K2960" t="str">
            <v>Settled</v>
          </cell>
        </row>
        <row r="2961">
          <cell r="J2961" t="str">
            <v>SG-Mashreq-04/2024</v>
          </cell>
          <cell r="K2961" t="str">
            <v>Settled</v>
          </cell>
        </row>
        <row r="2962">
          <cell r="J2962" t="str">
            <v>SG-Mashreq-05/2024</v>
          </cell>
          <cell r="K2962" t="str">
            <v>Settled</v>
          </cell>
        </row>
        <row r="2963">
          <cell r="J2963" t="str">
            <v>SG-Mashreq-06/2024</v>
          </cell>
          <cell r="K2963" t="str">
            <v>Settled</v>
          </cell>
        </row>
        <row r="2964">
          <cell r="J2964" t="str">
            <v>SG-Mashreq-07/2024</v>
          </cell>
          <cell r="K2964" t="str">
            <v>Settled</v>
          </cell>
        </row>
        <row r="2965">
          <cell r="J2965" t="str">
            <v>SG-Mashreq-08/2024</v>
          </cell>
          <cell r="K2965" t="str">
            <v>Settled</v>
          </cell>
        </row>
        <row r="2966">
          <cell r="J2966" t="str">
            <v>SG-Mashreq-09/2024</v>
          </cell>
          <cell r="K2966" t="str">
            <v>Settled</v>
          </cell>
        </row>
        <row r="2967">
          <cell r="J2967" t="str">
            <v>SG-Mashreq-10/2024</v>
          </cell>
          <cell r="K2967" t="str">
            <v>Settled</v>
          </cell>
        </row>
        <row r="2968">
          <cell r="J2968" t="str">
            <v>SG-Mashreq-11/2024</v>
          </cell>
          <cell r="K2968" t="str">
            <v>Settled</v>
          </cell>
        </row>
        <row r="2969">
          <cell r="J2969" t="str">
            <v>SG-Mashreq-12/2024</v>
          </cell>
          <cell r="K2969" t="str">
            <v>Settled</v>
          </cell>
        </row>
        <row r="2970">
          <cell r="J2970" t="str">
            <v>SG-Mashreq-01/2025</v>
          </cell>
          <cell r="K2970" t="str">
            <v>Settled</v>
          </cell>
        </row>
        <row r="2971">
          <cell r="J2971" t="str">
            <v>SG-Mashreq-02/2025</v>
          </cell>
          <cell r="K2971" t="str">
            <v>Settled</v>
          </cell>
        </row>
        <row r="2972">
          <cell r="J2972" t="str">
            <v>SG-Mashreq-03/2025</v>
          </cell>
          <cell r="K2972" t="str">
            <v>Settled</v>
          </cell>
        </row>
        <row r="2973">
          <cell r="J2973" t="str">
            <v>SG-Mashreq-04/2025</v>
          </cell>
          <cell r="K2973" t="str">
            <v>Settled</v>
          </cell>
        </row>
        <row r="2974">
          <cell r="J2974" t="str">
            <v>SG-Mashreq-05/2025</v>
          </cell>
          <cell r="K2974" t="str">
            <v>Settled</v>
          </cell>
        </row>
        <row r="2975">
          <cell r="J2975" t="str">
            <v>SG-Mashreq-06/2025</v>
          </cell>
          <cell r="K2975" t="str">
            <v>Settled</v>
          </cell>
        </row>
        <row r="2976">
          <cell r="J2976" t="str">
            <v>SG-Mashreq-07/2025</v>
          </cell>
          <cell r="K2976" t="str">
            <v>Settled</v>
          </cell>
        </row>
        <row r="2977">
          <cell r="J2977" t="str">
            <v>SG-Mashreq-08/2025</v>
          </cell>
          <cell r="K2977" t="str">
            <v>Settled</v>
          </cell>
        </row>
        <row r="2978">
          <cell r="J2978" t="str">
            <v>SG-Mashreq-09/2025</v>
          </cell>
          <cell r="K2978" t="str">
            <v>Settled</v>
          </cell>
        </row>
        <row r="2979">
          <cell r="J2979" t="str">
            <v>SG-Mashreq-10/2025</v>
          </cell>
          <cell r="K2979" t="str">
            <v>Settled</v>
          </cell>
        </row>
        <row r="2980">
          <cell r="J2980" t="str">
            <v>SG-Mashreq-11/2025</v>
          </cell>
          <cell r="K2980" t="str">
            <v>Settled</v>
          </cell>
        </row>
        <row r="2981">
          <cell r="J2981" t="str">
            <v>SG-Mashreq-12/2025</v>
          </cell>
          <cell r="K2981" t="str">
            <v>Settled</v>
          </cell>
        </row>
        <row r="2982">
          <cell r="J2982" t="str">
            <v>SG-Mashreq-01/2026</v>
          </cell>
          <cell r="K2982" t="str">
            <v>Settled</v>
          </cell>
        </row>
        <row r="2983">
          <cell r="J2983" t="str">
            <v>SG-Mashreq-02/2026</v>
          </cell>
          <cell r="K2983" t="str">
            <v>Settled</v>
          </cell>
        </row>
        <row r="2984">
          <cell r="J2984" t="str">
            <v>SG-Mashreq-03/2026</v>
          </cell>
          <cell r="K2984" t="str">
            <v>Settled</v>
          </cell>
        </row>
        <row r="2985">
          <cell r="J2985" t="str">
            <v>SG-Mashreq-04/2026</v>
          </cell>
          <cell r="K2985" t="str">
            <v>Settled</v>
          </cell>
        </row>
        <row r="2986">
          <cell r="J2986" t="str">
            <v>SG-Mashreq-05/2026</v>
          </cell>
          <cell r="K2986" t="str">
            <v>Settled</v>
          </cell>
        </row>
        <row r="2987">
          <cell r="J2987" t="str">
            <v>SG-MassPay Inc.-02/2024</v>
          </cell>
          <cell r="K2987" t="str">
            <v>Settled</v>
          </cell>
        </row>
        <row r="2988">
          <cell r="J2988" t="str">
            <v>SG-MassPay Inc.-09/2023</v>
          </cell>
          <cell r="K2988" t="str">
            <v>Settled</v>
          </cell>
        </row>
        <row r="2989">
          <cell r="J2989" t="str">
            <v>SG-MassPay Inc.-10/2023</v>
          </cell>
          <cell r="K2989" t="str">
            <v>Settled</v>
          </cell>
        </row>
        <row r="2990">
          <cell r="J2990" t="str">
            <v>SG-MassPay Inc.-11/2023</v>
          </cell>
          <cell r="K2990" t="str">
            <v>Settled</v>
          </cell>
        </row>
        <row r="2991">
          <cell r="J2991" t="str">
            <v>SG-MassPay Inc.-12/2023</v>
          </cell>
          <cell r="K2991" t="str">
            <v>Settled</v>
          </cell>
        </row>
        <row r="2992">
          <cell r="J2992" t="str">
            <v>SG-MassPay Inc.-01/2024</v>
          </cell>
          <cell r="K2992" t="str">
            <v>Settled</v>
          </cell>
        </row>
        <row r="2993">
          <cell r="J2993" t="str">
            <v>SG-CN-MassPay Inc.-12-2023</v>
          </cell>
          <cell r="K2993" t="str">
            <v>Settled</v>
          </cell>
        </row>
        <row r="2994">
          <cell r="J2994" t="str">
            <v>SG-MassPay Inc.-03/2024</v>
          </cell>
          <cell r="K2994" t="str">
            <v>Settled</v>
          </cell>
        </row>
        <row r="2995">
          <cell r="J2995" t="str">
            <v>SG-MassPay Inc.-04/2024</v>
          </cell>
          <cell r="K2995" t="str">
            <v>Settled</v>
          </cell>
        </row>
        <row r="2996">
          <cell r="J2996" t="str">
            <v>SG-MassPay Inc.-05/2024</v>
          </cell>
          <cell r="K2996" t="str">
            <v>Settled</v>
          </cell>
        </row>
        <row r="2997">
          <cell r="J2997" t="str">
            <v>SG-CN-MassPay Inc.-05-2024</v>
          </cell>
          <cell r="K2997" t="str">
            <v>Settled</v>
          </cell>
        </row>
        <row r="2998">
          <cell r="J2998" t="str">
            <v>SG-MassPay Inc.-06/2024</v>
          </cell>
          <cell r="K2998" t="str">
            <v>Settled</v>
          </cell>
        </row>
        <row r="2999">
          <cell r="J2999" t="str">
            <v>SG-MassPay Inc.-07/2024</v>
          </cell>
          <cell r="K2999" t="str">
            <v>Settled</v>
          </cell>
        </row>
        <row r="3000">
          <cell r="J3000" t="str">
            <v>SG-MassPay Inc.-08/2024</v>
          </cell>
          <cell r="K3000" t="str">
            <v>Settled</v>
          </cell>
        </row>
        <row r="3001">
          <cell r="J3001" t="str">
            <v>SG-MassPay Inc.-09/2024</v>
          </cell>
          <cell r="K3001" t="str">
            <v>Settled</v>
          </cell>
        </row>
        <row r="3002">
          <cell r="J3002" t="str">
            <v>SG-MassPay Inc.-10/2024</v>
          </cell>
          <cell r="K3002" t="str">
            <v>Settled</v>
          </cell>
        </row>
        <row r="3003">
          <cell r="J3003" t="str">
            <v>SG-MassPay Inc.-11/2024</v>
          </cell>
          <cell r="K3003" t="str">
            <v>Settled</v>
          </cell>
        </row>
        <row r="3004">
          <cell r="J3004" t="str">
            <v>SG-MassPay Inc.-12/2024</v>
          </cell>
          <cell r="K3004" t="str">
            <v>Settled</v>
          </cell>
        </row>
        <row r="3005">
          <cell r="J3005" t="str">
            <v>SG-MassPay Inc.-01/2025</v>
          </cell>
          <cell r="K3005" t="str">
            <v>Settled</v>
          </cell>
        </row>
        <row r="3006">
          <cell r="J3006" t="str">
            <v>SG-MassPay Inc.-02/2025</v>
          </cell>
          <cell r="K3006" t="str">
            <v>Settled</v>
          </cell>
        </row>
        <row r="3007">
          <cell r="J3007" t="str">
            <v>SG-MassPay Inc.-03/2025</v>
          </cell>
          <cell r="K3007" t="str">
            <v>Settled</v>
          </cell>
        </row>
        <row r="3008">
          <cell r="J3008" t="str">
            <v>SG-MassPay Inc.-04/2025</v>
          </cell>
          <cell r="K3008" t="str">
            <v>Settled</v>
          </cell>
        </row>
        <row r="3009">
          <cell r="J3009" t="str">
            <v>SG-MassPay Inc.-05/2025</v>
          </cell>
          <cell r="K3009" t="str">
            <v>Settled</v>
          </cell>
        </row>
        <row r="3010">
          <cell r="J3010" t="str">
            <v>SG-MassPay Inc.-06/2025</v>
          </cell>
          <cell r="K3010" t="str">
            <v>Settled</v>
          </cell>
        </row>
        <row r="3011">
          <cell r="J3011" t="str">
            <v>SG-MassPay Inc.-07/2025</v>
          </cell>
          <cell r="K3011" t="str">
            <v>Settled</v>
          </cell>
        </row>
        <row r="3012">
          <cell r="J3012" t="str">
            <v>SG-MassPay Inc.-08/2025</v>
          </cell>
          <cell r="K3012" t="str">
            <v>Settled</v>
          </cell>
        </row>
        <row r="3013">
          <cell r="J3013" t="str">
            <v>SG-MassPay Inc.-09/2025</v>
          </cell>
          <cell r="K3013" t="str">
            <v>Settled</v>
          </cell>
        </row>
        <row r="3014">
          <cell r="J3014" t="str">
            <v>SG-MassPay Inc.-10/2025</v>
          </cell>
          <cell r="K3014" t="str">
            <v>Settled</v>
          </cell>
        </row>
        <row r="3015">
          <cell r="J3015" t="str">
            <v>SG-MassPay Inc.-11/2025</v>
          </cell>
          <cell r="K3015" t="str">
            <v>Settled</v>
          </cell>
        </row>
        <row r="3016">
          <cell r="J3016" t="str">
            <v>SG-MassPay Inc.-12/2025</v>
          </cell>
          <cell r="K3016" t="str">
            <v>Settled</v>
          </cell>
        </row>
        <row r="3017">
          <cell r="J3017" t="str">
            <v>SG-MassPay Inc.-01/2026</v>
          </cell>
          <cell r="K3017" t="str">
            <v>Settled</v>
          </cell>
        </row>
        <row r="3018">
          <cell r="J3018" t="str">
            <v>SG-MassPay Inc.-02/2026</v>
          </cell>
          <cell r="K3018" t="str">
            <v>Settled</v>
          </cell>
        </row>
        <row r="3019">
          <cell r="J3019" t="str">
            <v>SG-MassPay Inc.-03/2026</v>
          </cell>
          <cell r="K3019" t="str">
            <v>Settled</v>
          </cell>
        </row>
        <row r="3020">
          <cell r="J3020" t="str">
            <v>SG-MassPay Inc.-04/2026</v>
          </cell>
          <cell r="K3020" t="str">
            <v>Settled</v>
          </cell>
        </row>
        <row r="3021">
          <cell r="J3021" t="str">
            <v>SG-MassPay Inc.-05/2026</v>
          </cell>
          <cell r="K3021" t="str">
            <v>Settled</v>
          </cell>
        </row>
        <row r="3022">
          <cell r="J3022" t="str">
            <v>SG-CN-Mastercard-05-2026</v>
          </cell>
          <cell r="K3022" t="str">
            <v>Settled</v>
          </cell>
        </row>
        <row r="3023">
          <cell r="J3023" t="str">
            <v>SG-Mastercard Transaction Services (Europe) SA-11/2022</v>
          </cell>
          <cell r="K3023" t="str">
            <v>Settled</v>
          </cell>
        </row>
        <row r="3024">
          <cell r="J3024" t="str">
            <v>SG-Mastercard Transaction Services (Europe) SA-12/2022</v>
          </cell>
          <cell r="K3024" t="str">
            <v>Settled</v>
          </cell>
        </row>
        <row r="3025">
          <cell r="J3025" t="str">
            <v>SG-Mastercard Transaction Services (Europe) SA-01/2023</v>
          </cell>
          <cell r="K3025" t="str">
            <v>Settled</v>
          </cell>
        </row>
        <row r="3026">
          <cell r="J3026" t="str">
            <v>SG-Mastercard-02/2023</v>
          </cell>
          <cell r="K3026" t="str">
            <v>Settled</v>
          </cell>
        </row>
        <row r="3027">
          <cell r="J3027" t="str">
            <v>SG-Mastercard-03/2023</v>
          </cell>
          <cell r="K3027" t="str">
            <v>Settled</v>
          </cell>
        </row>
        <row r="3028">
          <cell r="J3028" t="str">
            <v>SG-Mastercard-04/2023</v>
          </cell>
          <cell r="K3028" t="str">
            <v>Settled</v>
          </cell>
        </row>
        <row r="3029">
          <cell r="J3029" t="str">
            <v>SG-Mastercard-05/2023</v>
          </cell>
          <cell r="K3029" t="str">
            <v>Settled</v>
          </cell>
        </row>
        <row r="3030">
          <cell r="J3030" t="str">
            <v>SG-Mastercard-06/2023</v>
          </cell>
          <cell r="K3030" t="str">
            <v>Settled</v>
          </cell>
        </row>
        <row r="3031">
          <cell r="J3031" t="str">
            <v>SG-Mastercard-07/2023</v>
          </cell>
          <cell r="K3031" t="str">
            <v>Settled</v>
          </cell>
        </row>
        <row r="3032">
          <cell r="J3032" t="str">
            <v>SG -Mastercard-08/2023</v>
          </cell>
          <cell r="K3032" t="str">
            <v>Settled</v>
          </cell>
        </row>
        <row r="3033">
          <cell r="J3033" t="str">
            <v>SG-Mastercard-09/2023</v>
          </cell>
          <cell r="K3033" t="str">
            <v>Settled</v>
          </cell>
        </row>
        <row r="3034">
          <cell r="J3034" t="str">
            <v>SG-Mastercard-10/2023</v>
          </cell>
          <cell r="K3034" t="str">
            <v>Settled</v>
          </cell>
        </row>
        <row r="3035">
          <cell r="J3035" t="str">
            <v>SG-Mastercard-11/2023</v>
          </cell>
          <cell r="K3035" t="str">
            <v>Settled</v>
          </cell>
        </row>
        <row r="3036">
          <cell r="J3036" t="str">
            <v>SG-Mastercard-12/2023</v>
          </cell>
          <cell r="K3036" t="str">
            <v>Settled</v>
          </cell>
        </row>
        <row r="3037">
          <cell r="J3037" t="str">
            <v>SG-Mastercard-01/2024</v>
          </cell>
          <cell r="K3037" t="str">
            <v>Settled</v>
          </cell>
        </row>
        <row r="3038">
          <cell r="J3038" t="str">
            <v>SG-Mastercard-02/2024</v>
          </cell>
          <cell r="K3038" t="str">
            <v>Settled</v>
          </cell>
        </row>
        <row r="3039">
          <cell r="J3039" t="str">
            <v>SG-Mastercard-03/2024</v>
          </cell>
          <cell r="K3039" t="str">
            <v>Settled</v>
          </cell>
        </row>
        <row r="3040">
          <cell r="J3040" t="str">
            <v>SG-Mastercard-04/2024</v>
          </cell>
          <cell r="K3040" t="str">
            <v>Settled</v>
          </cell>
        </row>
        <row r="3041">
          <cell r="J3041" t="str">
            <v>SG-Mastercard-05/2024</v>
          </cell>
          <cell r="K3041" t="str">
            <v>Settled</v>
          </cell>
        </row>
        <row r="3042">
          <cell r="J3042" t="str">
            <v>SG-Mastercard-06/2024</v>
          </cell>
          <cell r="K3042" t="str">
            <v>Settled</v>
          </cell>
        </row>
        <row r="3043">
          <cell r="J3043" t="str">
            <v>SG-Mastercard-07/2024</v>
          </cell>
          <cell r="K3043" t="str">
            <v>Settled</v>
          </cell>
        </row>
        <row r="3044">
          <cell r="J3044" t="str">
            <v>SG-Mastercard-08/2024</v>
          </cell>
          <cell r="K3044" t="str">
            <v>Settled</v>
          </cell>
        </row>
        <row r="3045">
          <cell r="J3045" t="str">
            <v>SG-Mastercard-09/2024</v>
          </cell>
          <cell r="K3045" t="str">
            <v>Settled</v>
          </cell>
        </row>
        <row r="3046">
          <cell r="J3046" t="str">
            <v>SG-Mastercard-10/2024</v>
          </cell>
          <cell r="K3046" t="str">
            <v>Settled</v>
          </cell>
        </row>
        <row r="3047">
          <cell r="J3047" t="str">
            <v>SG-Mastercard-11/2024</v>
          </cell>
          <cell r="K3047" t="str">
            <v>Settled</v>
          </cell>
        </row>
        <row r="3048">
          <cell r="J3048" t="str">
            <v>SG-Mastercard-12/2024</v>
          </cell>
          <cell r="K3048" t="str">
            <v>Settled</v>
          </cell>
        </row>
        <row r="3049">
          <cell r="J3049" t="str">
            <v>SG-Mastercard-01/2025</v>
          </cell>
          <cell r="K3049" t="str">
            <v>Settled</v>
          </cell>
        </row>
        <row r="3050">
          <cell r="J3050" t="str">
            <v>SG-Mastercard-02/2025</v>
          </cell>
          <cell r="K3050" t="str">
            <v>Settled</v>
          </cell>
        </row>
        <row r="3051">
          <cell r="J3051" t="str">
            <v>SG-Mastercard-03/2025</v>
          </cell>
          <cell r="K3051" t="str">
            <v>Settled</v>
          </cell>
        </row>
        <row r="3052">
          <cell r="J3052" t="str">
            <v>SG-Mastercard-04/2025</v>
          </cell>
          <cell r="K3052" t="str">
            <v>Settled</v>
          </cell>
        </row>
        <row r="3053">
          <cell r="J3053" t="str">
            <v>SG-Mastercard-05/2025</v>
          </cell>
          <cell r="K3053" t="str">
            <v>Settled</v>
          </cell>
        </row>
        <row r="3054">
          <cell r="J3054" t="str">
            <v>SG-Mastercard-06/2025</v>
          </cell>
          <cell r="K3054" t="str">
            <v>Settled</v>
          </cell>
        </row>
        <row r="3055">
          <cell r="J3055" t="str">
            <v>SG-Mastercard-07/2025</v>
          </cell>
          <cell r="K3055" t="str">
            <v>Settled</v>
          </cell>
        </row>
        <row r="3056">
          <cell r="J3056" t="str">
            <v>SG-Mastercard-08/2025</v>
          </cell>
          <cell r="K3056" t="str">
            <v>Settled</v>
          </cell>
        </row>
        <row r="3057">
          <cell r="J3057" t="str">
            <v>SG-Mastercard-09/2025</v>
          </cell>
          <cell r="K3057" t="str">
            <v>Settled</v>
          </cell>
        </row>
        <row r="3058">
          <cell r="J3058" t="str">
            <v>SG-Mastercard-10/2025</v>
          </cell>
          <cell r="K3058" t="str">
            <v>Settled</v>
          </cell>
        </row>
        <row r="3059">
          <cell r="J3059" t="str">
            <v>SG-Mastercard-11/2025</v>
          </cell>
          <cell r="K3059" t="str">
            <v>Settled</v>
          </cell>
        </row>
        <row r="3060">
          <cell r="J3060" t="str">
            <v>SG-Mastercard-12/2025</v>
          </cell>
          <cell r="K3060" t="str">
            <v>Settled</v>
          </cell>
        </row>
        <row r="3061">
          <cell r="J3061" t="str">
            <v>SG-Mastercard-01/2026</v>
          </cell>
          <cell r="K3061" t="str">
            <v>Settled</v>
          </cell>
        </row>
        <row r="3062">
          <cell r="J3062" t="str">
            <v>SG-CN-Mastercard-12-2025</v>
          </cell>
          <cell r="K3062" t="str">
            <v>Settled</v>
          </cell>
        </row>
        <row r="3063">
          <cell r="J3063" t="str">
            <v>SG-DN-Mastercard-01-2026</v>
          </cell>
          <cell r="K3063" t="str">
            <v>Settled</v>
          </cell>
        </row>
        <row r="3064">
          <cell r="J3064" t="str">
            <v>SG-CN-Mastercard-01-2026</v>
          </cell>
          <cell r="K3064" t="str">
            <v>Settled</v>
          </cell>
        </row>
        <row r="3065">
          <cell r="J3065" t="str">
            <v>SG-Mastercard-02/2026</v>
          </cell>
          <cell r="K3065" t="str">
            <v>Settled</v>
          </cell>
        </row>
        <row r="3066">
          <cell r="J3066" t="str">
            <v>SG-DN-Mastercard-02-2026</v>
          </cell>
          <cell r="K3066" t="str">
            <v>Settled</v>
          </cell>
        </row>
        <row r="3067">
          <cell r="J3067" t="str">
            <v>SG-Mastercard-03/2026</v>
          </cell>
          <cell r="K3067" t="str">
            <v>Settled</v>
          </cell>
        </row>
        <row r="3068">
          <cell r="J3068" t="str">
            <v>SG-CN-Mastercard-04-2026</v>
          </cell>
          <cell r="K3068" t="str">
            <v>Settled</v>
          </cell>
        </row>
        <row r="3069">
          <cell r="J3069" t="str">
            <v>SG-Mastercard-04/2026</v>
          </cell>
          <cell r="K3069" t="str">
            <v>Settled</v>
          </cell>
        </row>
        <row r="3070">
          <cell r="J3070" t="str">
            <v>SG-Mastercard-05/2026</v>
          </cell>
          <cell r="K3070" t="str">
            <v>Settled</v>
          </cell>
        </row>
        <row r="3071">
          <cell r="J3071" t="str">
            <v>SG-Maytower S.L.-11/2022</v>
          </cell>
          <cell r="K3071" t="str">
            <v>Settled</v>
          </cell>
        </row>
        <row r="3072">
          <cell r="J3072" t="str">
            <v>SG-Maytower S.L.-12/2022</v>
          </cell>
          <cell r="K3072" t="str">
            <v>Settled</v>
          </cell>
        </row>
        <row r="3073">
          <cell r="J3073" t="str">
            <v>SG-Maytower S.L.-01/2023</v>
          </cell>
          <cell r="K3073" t="str">
            <v>Settled</v>
          </cell>
        </row>
        <row r="3074">
          <cell r="J3074" t="str">
            <v>SG-Maytower-02/2023</v>
          </cell>
          <cell r="K3074" t="str">
            <v>Settled</v>
          </cell>
        </row>
        <row r="3075">
          <cell r="J3075" t="str">
            <v>SG-Maytower-03/2023</v>
          </cell>
          <cell r="K3075" t="str">
            <v>Settled</v>
          </cell>
        </row>
        <row r="3076">
          <cell r="J3076" t="str">
            <v>SG-Maytower-04/2023</v>
          </cell>
          <cell r="K3076" t="str">
            <v>Settled</v>
          </cell>
        </row>
        <row r="3077">
          <cell r="J3077" t="str">
            <v>SG-Maytower-05/2023</v>
          </cell>
          <cell r="K3077" t="str">
            <v>Settled</v>
          </cell>
        </row>
        <row r="3078">
          <cell r="J3078" t="str">
            <v>SG-Maytower-06/2023</v>
          </cell>
          <cell r="K3078" t="str">
            <v>Settled</v>
          </cell>
        </row>
        <row r="3079">
          <cell r="J3079" t="str">
            <v>SG-Maytower-07/2023</v>
          </cell>
          <cell r="K3079" t="str">
            <v>Settled</v>
          </cell>
        </row>
        <row r="3080">
          <cell r="J3080" t="str">
            <v>SG -Maytower-08/2023</v>
          </cell>
          <cell r="K3080" t="str">
            <v>Settled</v>
          </cell>
        </row>
        <row r="3081">
          <cell r="J3081" t="str">
            <v>SG-Maytower-09/2023</v>
          </cell>
          <cell r="K3081" t="str">
            <v>Settled</v>
          </cell>
        </row>
        <row r="3082">
          <cell r="J3082" t="str">
            <v>SG-Maytower-10/2023</v>
          </cell>
          <cell r="K3082" t="str">
            <v>Settled</v>
          </cell>
        </row>
        <row r="3083">
          <cell r="J3083" t="str">
            <v>SG-Maytower-11/2023</v>
          </cell>
          <cell r="K3083" t="str">
            <v>Settled</v>
          </cell>
        </row>
        <row r="3084">
          <cell r="J3084" t="str">
            <v>SG-Maytower-12/2023</v>
          </cell>
          <cell r="K3084" t="str">
            <v>Settled</v>
          </cell>
        </row>
        <row r="3085">
          <cell r="J3085" t="str">
            <v>SG-Maytower-01/2024</v>
          </cell>
          <cell r="K3085" t="str">
            <v>Settled</v>
          </cell>
        </row>
        <row r="3086">
          <cell r="J3086" t="str">
            <v>SG-Maytower-02/2024</v>
          </cell>
          <cell r="K3086" t="str">
            <v>Settled</v>
          </cell>
        </row>
        <row r="3087">
          <cell r="J3087" t="str">
            <v>SG-Maytower-03/2024</v>
          </cell>
          <cell r="K3087" t="str">
            <v>Settled</v>
          </cell>
        </row>
        <row r="3088">
          <cell r="J3088" t="str">
            <v>SG-Maytower-04/2024</v>
          </cell>
          <cell r="K3088" t="str">
            <v>Settled</v>
          </cell>
        </row>
        <row r="3089">
          <cell r="J3089" t="str">
            <v>SG-Maytower-05/2024</v>
          </cell>
          <cell r="K3089" t="str">
            <v>Settled</v>
          </cell>
        </row>
        <row r="3090">
          <cell r="J3090" t="str">
            <v>SG-Maytower-06/2024</v>
          </cell>
          <cell r="K3090" t="str">
            <v>Settled</v>
          </cell>
        </row>
        <row r="3091">
          <cell r="J3091" t="str">
            <v>SG-Maytower-07/2024</v>
          </cell>
          <cell r="K3091" t="str">
            <v>Settled</v>
          </cell>
        </row>
        <row r="3092">
          <cell r="J3092" t="str">
            <v>SG-Maytower-08/2024</v>
          </cell>
          <cell r="K3092" t="str">
            <v>Settled</v>
          </cell>
        </row>
        <row r="3093">
          <cell r="J3093" t="str">
            <v>SG-Maytower-09/2024</v>
          </cell>
          <cell r="K3093" t="str">
            <v>Settled</v>
          </cell>
        </row>
        <row r="3094">
          <cell r="J3094" t="str">
            <v>SG-Maytower-10/2024</v>
          </cell>
          <cell r="K3094" t="str">
            <v>Settled</v>
          </cell>
        </row>
        <row r="3095">
          <cell r="J3095" t="str">
            <v>SG-mediamart-11/2023</v>
          </cell>
          <cell r="K3095" t="str">
            <v>Settled</v>
          </cell>
        </row>
        <row r="3096">
          <cell r="J3096" t="str">
            <v>SG-mercantile-07/2023</v>
          </cell>
          <cell r="K3096" t="str">
            <v>Settled</v>
          </cell>
        </row>
        <row r="3097">
          <cell r="J3097" t="str">
            <v>SG-mercantile-09/2023</v>
          </cell>
          <cell r="K3097" t="str">
            <v>Settled</v>
          </cell>
        </row>
        <row r="3098">
          <cell r="J3098" t="str">
            <v>SG-mercantile-01/2024</v>
          </cell>
          <cell r="K3098" t="str">
            <v>Settled</v>
          </cell>
        </row>
        <row r="3099">
          <cell r="J3099" t="str">
            <v>SG-mideia-11/2023</v>
          </cell>
          <cell r="K3099" t="str">
            <v>Settled</v>
          </cell>
        </row>
        <row r="3100">
          <cell r="J3100" t="str">
            <v>SG-Modern exchange co llc-11/2022</v>
          </cell>
          <cell r="K3100" t="str">
            <v>Settled</v>
          </cell>
        </row>
        <row r="3101">
          <cell r="J3101" t="str">
            <v>SG-Modern exchange co llc-12/2022</v>
          </cell>
          <cell r="K3101" t="str">
            <v>Settled</v>
          </cell>
        </row>
        <row r="3102">
          <cell r="J3102" t="str">
            <v>SG-Modern exchange co llc-01/2023</v>
          </cell>
          <cell r="K3102" t="str">
            <v>Settled</v>
          </cell>
        </row>
        <row r="3103">
          <cell r="J3103" t="str">
            <v>SG-Modernex-02/2023</v>
          </cell>
          <cell r="K3103" t="str">
            <v>Settled</v>
          </cell>
        </row>
        <row r="3104">
          <cell r="J3104" t="str">
            <v>SG-Modernex-03/2023</v>
          </cell>
          <cell r="K3104" t="str">
            <v>Settled</v>
          </cell>
        </row>
        <row r="3105">
          <cell r="J3105" t="str">
            <v>SG-Modernex-04/2023</v>
          </cell>
          <cell r="K3105" t="str">
            <v>Settled</v>
          </cell>
        </row>
        <row r="3106">
          <cell r="J3106" t="str">
            <v>SG-Modernex-05/2023</v>
          </cell>
          <cell r="K3106" t="str">
            <v>Settled</v>
          </cell>
        </row>
        <row r="3107">
          <cell r="J3107" t="str">
            <v>SG -Modernex-CR-05/2023</v>
          </cell>
          <cell r="K3107" t="str">
            <v>Settled</v>
          </cell>
        </row>
        <row r="3108">
          <cell r="J3108" t="str">
            <v>SG-Modernex-06/2023</v>
          </cell>
          <cell r="K3108" t="str">
            <v>Settled</v>
          </cell>
        </row>
        <row r="3109">
          <cell r="J3109" t="str">
            <v>SG-Modernex-07/2023</v>
          </cell>
          <cell r="K3109" t="str">
            <v>Settled</v>
          </cell>
        </row>
        <row r="3110">
          <cell r="J3110" t="str">
            <v>SG -Modernex-08/2023</v>
          </cell>
          <cell r="K3110" t="str">
            <v>Settled</v>
          </cell>
        </row>
        <row r="3111">
          <cell r="J3111" t="str">
            <v>SG-Modernex-09/2023</v>
          </cell>
          <cell r="K3111" t="str">
            <v>Settled</v>
          </cell>
        </row>
        <row r="3112">
          <cell r="J3112" t="str">
            <v>SG-Modernex-10/2023</v>
          </cell>
          <cell r="K3112" t="str">
            <v>Settled</v>
          </cell>
        </row>
        <row r="3113">
          <cell r="J3113" t="str">
            <v>SG-Modernex-11/2023</v>
          </cell>
          <cell r="K3113" t="str">
            <v>Settled</v>
          </cell>
        </row>
        <row r="3114">
          <cell r="J3114" t="str">
            <v>SG-Modernex-12/2023</v>
          </cell>
          <cell r="K3114" t="str">
            <v>Settled</v>
          </cell>
        </row>
        <row r="3115">
          <cell r="J3115" t="str">
            <v>SG-Modernex-01/2024</v>
          </cell>
          <cell r="K3115" t="str">
            <v>Settled</v>
          </cell>
        </row>
        <row r="3116">
          <cell r="J3116" t="str">
            <v>SG-Modernex-02/2024</v>
          </cell>
          <cell r="K3116" t="str">
            <v>Settled</v>
          </cell>
        </row>
        <row r="3117">
          <cell r="J3117" t="str">
            <v>SG-Modernex-03/2024</v>
          </cell>
          <cell r="K3117" t="str">
            <v>Settled</v>
          </cell>
        </row>
        <row r="3118">
          <cell r="J3118" t="str">
            <v>SG-Modernex-04/2024</v>
          </cell>
          <cell r="K3118" t="str">
            <v>Settled</v>
          </cell>
        </row>
        <row r="3119">
          <cell r="J3119" t="str">
            <v>SG-Modernex-05/2024</v>
          </cell>
          <cell r="K3119" t="str">
            <v>Settled</v>
          </cell>
        </row>
        <row r="3120">
          <cell r="J3120" t="str">
            <v>SG-Modernex-06/2024</v>
          </cell>
          <cell r="K3120" t="str">
            <v>Settled</v>
          </cell>
        </row>
        <row r="3121">
          <cell r="J3121" t="str">
            <v>SG-Modernex-07/2024</v>
          </cell>
          <cell r="K3121" t="str">
            <v>Settled</v>
          </cell>
        </row>
        <row r="3122">
          <cell r="J3122" t="str">
            <v>SG-Modernex-08/2024</v>
          </cell>
          <cell r="K3122" t="str">
            <v>Settled</v>
          </cell>
        </row>
        <row r="3123">
          <cell r="J3123" t="str">
            <v>SG-Modernex-09/2024</v>
          </cell>
          <cell r="K3123" t="str">
            <v>Settled</v>
          </cell>
        </row>
        <row r="3124">
          <cell r="J3124" t="str">
            <v>SG-Modernex-10/2024</v>
          </cell>
          <cell r="K3124" t="str">
            <v>Settled</v>
          </cell>
        </row>
        <row r="3125">
          <cell r="J3125" t="str">
            <v>SG-Modernex-11/2024</v>
          </cell>
          <cell r="K3125" t="str">
            <v>Settled</v>
          </cell>
        </row>
        <row r="3126">
          <cell r="J3126" t="str">
            <v>SG-Modernex-12/2024</v>
          </cell>
          <cell r="K3126" t="str">
            <v>Settled</v>
          </cell>
        </row>
        <row r="3127">
          <cell r="J3127" t="str">
            <v>SG-Modernex-01/2025</v>
          </cell>
          <cell r="K3127" t="str">
            <v>Settled</v>
          </cell>
        </row>
        <row r="3128">
          <cell r="J3128" t="str">
            <v>SG-Modernex-02/2025</v>
          </cell>
          <cell r="K3128" t="str">
            <v>Settled</v>
          </cell>
        </row>
        <row r="3129">
          <cell r="J3129" t="str">
            <v>SG-Modernex-03/2025</v>
          </cell>
          <cell r="K3129" t="str">
            <v>Settled</v>
          </cell>
        </row>
        <row r="3130">
          <cell r="J3130" t="str">
            <v>SG-Modernex-04/2025</v>
          </cell>
          <cell r="K3130" t="str">
            <v>Settled</v>
          </cell>
        </row>
        <row r="3131">
          <cell r="J3131" t="str">
            <v>SG-Modernex-05/2025</v>
          </cell>
          <cell r="K3131" t="str">
            <v>Settled</v>
          </cell>
        </row>
        <row r="3132">
          <cell r="J3132" t="str">
            <v>SG-Modernex-06/2025</v>
          </cell>
          <cell r="K3132" t="str">
            <v>Settled</v>
          </cell>
        </row>
        <row r="3133">
          <cell r="J3133" t="str">
            <v>SG-Modernex-07/2025</v>
          </cell>
          <cell r="K3133" t="str">
            <v>Settled</v>
          </cell>
        </row>
        <row r="3134">
          <cell r="J3134" t="str">
            <v>SG-Modernex-08/2025</v>
          </cell>
          <cell r="K3134" t="str">
            <v>Settled</v>
          </cell>
        </row>
        <row r="3135">
          <cell r="J3135" t="str">
            <v>SG-Modernex-09/2025</v>
          </cell>
          <cell r="K3135" t="str">
            <v>Settled</v>
          </cell>
        </row>
        <row r="3136">
          <cell r="J3136" t="str">
            <v>SG-Modernex-10/2025</v>
          </cell>
          <cell r="K3136" t="str">
            <v>Settled</v>
          </cell>
        </row>
        <row r="3137">
          <cell r="J3137" t="str">
            <v>SG-Modernex-11/2025</v>
          </cell>
          <cell r="K3137" t="str">
            <v>Settled</v>
          </cell>
        </row>
        <row r="3138">
          <cell r="J3138" t="str">
            <v>SG-Modernex-12/2025</v>
          </cell>
          <cell r="K3138" t="str">
            <v>Settled</v>
          </cell>
        </row>
        <row r="3139">
          <cell r="J3139" t="str">
            <v>SG-Modernex-01/2026</v>
          </cell>
          <cell r="K3139" t="str">
            <v>Settled</v>
          </cell>
        </row>
        <row r="3140">
          <cell r="J3140" t="str">
            <v>SG-Modernex-02/2026</v>
          </cell>
          <cell r="K3140" t="str">
            <v>Settled</v>
          </cell>
        </row>
        <row r="3141">
          <cell r="J3141" t="str">
            <v>SG-Modernex-03/2026</v>
          </cell>
          <cell r="K3141" t="str">
            <v>Settled</v>
          </cell>
        </row>
        <row r="3142">
          <cell r="J3142" t="str">
            <v>SG-Modernex-04/2026</v>
          </cell>
          <cell r="K3142" t="str">
            <v>Settled</v>
          </cell>
        </row>
        <row r="3143">
          <cell r="J3143" t="str">
            <v>SG-Modernex-05/2026</v>
          </cell>
          <cell r="K3143" t="str">
            <v>Settled</v>
          </cell>
        </row>
        <row r="3144">
          <cell r="J3144" t="str">
            <v>SG-moin 2-11/2022</v>
          </cell>
          <cell r="K3144" t="str">
            <v>Settled</v>
          </cell>
        </row>
        <row r="3145">
          <cell r="J3145" t="str">
            <v>SG-moin 2-12/2022</v>
          </cell>
          <cell r="K3145" t="str">
            <v>Settled</v>
          </cell>
        </row>
        <row r="3146">
          <cell r="J3146" t="str">
            <v>SG-moin 2-01/2023</v>
          </cell>
          <cell r="K3146" t="str">
            <v>Settled</v>
          </cell>
        </row>
        <row r="3147">
          <cell r="J3147" t="str">
            <v>SG-moin 2-02/2023</v>
          </cell>
          <cell r="K3147" t="str">
            <v>Settled</v>
          </cell>
        </row>
        <row r="3148">
          <cell r="J3148" t="str">
            <v>SG-moin 2-03/2023</v>
          </cell>
          <cell r="K3148" t="str">
            <v>Settled</v>
          </cell>
        </row>
        <row r="3149">
          <cell r="J3149" t="str">
            <v>SG-moin 2-04/2023</v>
          </cell>
          <cell r="K3149" t="str">
            <v>Settled</v>
          </cell>
        </row>
        <row r="3150">
          <cell r="J3150" t="str">
            <v>SG-moin 2-05/2023</v>
          </cell>
          <cell r="K3150" t="str">
            <v>Settled</v>
          </cell>
        </row>
        <row r="3151">
          <cell r="J3151" t="str">
            <v>SG-moin 2-06/2023</v>
          </cell>
          <cell r="K3151" t="str">
            <v>Settled</v>
          </cell>
        </row>
        <row r="3152">
          <cell r="J3152" t="str">
            <v>SG-moin 2-07/2023</v>
          </cell>
          <cell r="K3152" t="str">
            <v>Settled</v>
          </cell>
        </row>
        <row r="3153">
          <cell r="J3153" t="str">
            <v>SG -moin 2-08/2023</v>
          </cell>
          <cell r="K3153" t="str">
            <v>Settled</v>
          </cell>
        </row>
        <row r="3154">
          <cell r="J3154" t="str">
            <v>SG-moin 2-09/2023</v>
          </cell>
          <cell r="K3154" t="str">
            <v>Settled</v>
          </cell>
        </row>
        <row r="3155">
          <cell r="J3155" t="str">
            <v>SG-moin 2-10/2023</v>
          </cell>
          <cell r="K3155" t="str">
            <v>Settled</v>
          </cell>
        </row>
        <row r="3156">
          <cell r="J3156" t="str">
            <v>SG-moin 2-11/2023</v>
          </cell>
          <cell r="K3156" t="str">
            <v>Settled</v>
          </cell>
        </row>
        <row r="3157">
          <cell r="J3157" t="str">
            <v>SG-moin 2-12/2023</v>
          </cell>
          <cell r="K3157" t="str">
            <v>Settled</v>
          </cell>
        </row>
        <row r="3158">
          <cell r="J3158" t="str">
            <v>SG-moin 2-01/2024</v>
          </cell>
          <cell r="K3158" t="str">
            <v>Settled</v>
          </cell>
        </row>
        <row r="3159">
          <cell r="J3159" t="str">
            <v>SG-moin 2-02/2024</v>
          </cell>
          <cell r="K3159" t="str">
            <v>Settled</v>
          </cell>
        </row>
        <row r="3160">
          <cell r="J3160" t="str">
            <v>SG-moin 2-03/2024</v>
          </cell>
          <cell r="K3160" t="str">
            <v>Settled</v>
          </cell>
        </row>
        <row r="3161">
          <cell r="J3161" t="str">
            <v>SG-moin 2-04/2024</v>
          </cell>
          <cell r="K3161" t="str">
            <v>Settled</v>
          </cell>
        </row>
        <row r="3162">
          <cell r="J3162" t="str">
            <v>SG-CN-moin 2-03-2024</v>
          </cell>
          <cell r="K3162" t="str">
            <v>Settled</v>
          </cell>
        </row>
        <row r="3163">
          <cell r="J3163" t="str">
            <v>SG-CN-moin 2-04-2024</v>
          </cell>
          <cell r="K3163" t="str">
            <v>Settled</v>
          </cell>
        </row>
        <row r="3164">
          <cell r="J3164" t="str">
            <v>SG-moin 2-05/2024</v>
          </cell>
          <cell r="K3164" t="str">
            <v>Settled</v>
          </cell>
        </row>
        <row r="3165">
          <cell r="J3165" t="str">
            <v>SG-moin 2-06/2024</v>
          </cell>
          <cell r="K3165" t="str">
            <v>Settled</v>
          </cell>
        </row>
        <row r="3166">
          <cell r="J3166" t="str">
            <v>SG-moin 2-07/2024</v>
          </cell>
          <cell r="K3166" t="str">
            <v>Settled</v>
          </cell>
        </row>
        <row r="3167">
          <cell r="J3167" t="str">
            <v>SG-moin 2-08/2024</v>
          </cell>
          <cell r="K3167" t="str">
            <v>Settled</v>
          </cell>
        </row>
        <row r="3168">
          <cell r="J3168" t="str">
            <v>SG-moin 2-09/2024</v>
          </cell>
          <cell r="K3168" t="str">
            <v>Settled</v>
          </cell>
        </row>
        <row r="3169">
          <cell r="J3169" t="str">
            <v>SG-moin 2-10/2024</v>
          </cell>
          <cell r="K3169" t="str">
            <v>Settled</v>
          </cell>
        </row>
        <row r="3170">
          <cell r="J3170" t="str">
            <v>SG-moin 2-11/2024</v>
          </cell>
          <cell r="K3170" t="str">
            <v>Settled</v>
          </cell>
        </row>
        <row r="3171">
          <cell r="J3171" t="str">
            <v>SG-moin 2-12/2024</v>
          </cell>
          <cell r="K3171" t="str">
            <v>Settled</v>
          </cell>
        </row>
        <row r="3172">
          <cell r="J3172" t="str">
            <v>SG-moin 2-01/2025</v>
          </cell>
          <cell r="K3172" t="str">
            <v>Settled</v>
          </cell>
        </row>
        <row r="3173">
          <cell r="J3173" t="str">
            <v>SG-moin 2-02/2025</v>
          </cell>
          <cell r="K3173" t="str">
            <v>Settled</v>
          </cell>
        </row>
        <row r="3174">
          <cell r="J3174" t="str">
            <v>SG-moin 2-03/2025</v>
          </cell>
          <cell r="K3174" t="str">
            <v>Settled</v>
          </cell>
        </row>
        <row r="3175">
          <cell r="J3175" t="str">
            <v>SG-moin 2-04/2025</v>
          </cell>
          <cell r="K3175" t="str">
            <v>Settled</v>
          </cell>
        </row>
        <row r="3176">
          <cell r="J3176" t="str">
            <v>SG-moin 2-05/2025</v>
          </cell>
          <cell r="K3176" t="str">
            <v>Settled</v>
          </cell>
        </row>
        <row r="3177">
          <cell r="J3177" t="str">
            <v>SG-moin 2-06/2025</v>
          </cell>
          <cell r="K3177" t="str">
            <v>Settled</v>
          </cell>
        </row>
        <row r="3178">
          <cell r="J3178" t="str">
            <v>SG-moin 2-07/2025</v>
          </cell>
          <cell r="K3178" t="str">
            <v>Settled</v>
          </cell>
        </row>
        <row r="3179">
          <cell r="J3179" t="str">
            <v>SG-moin 2-08/2025</v>
          </cell>
          <cell r="K3179" t="str">
            <v>Settled</v>
          </cell>
        </row>
        <row r="3180">
          <cell r="J3180" t="str">
            <v>SG-moin 2-09/2025</v>
          </cell>
          <cell r="K3180" t="str">
            <v>Settled</v>
          </cell>
        </row>
        <row r="3181">
          <cell r="J3181" t="str">
            <v>SG-moin 2-10/2025</v>
          </cell>
          <cell r="K3181" t="str">
            <v>Settled</v>
          </cell>
        </row>
        <row r="3182">
          <cell r="J3182" t="str">
            <v>SG-moin 2-11/2025</v>
          </cell>
          <cell r="K3182" t="str">
            <v>Settled</v>
          </cell>
        </row>
        <row r="3183">
          <cell r="J3183" t="str">
            <v>SG-moin 2-12/2025</v>
          </cell>
          <cell r="K3183" t="str">
            <v>Settled</v>
          </cell>
        </row>
        <row r="3184">
          <cell r="J3184" t="str">
            <v>SG-moin 2-01/2026</v>
          </cell>
          <cell r="K3184" t="str">
            <v>Settled</v>
          </cell>
        </row>
        <row r="3185">
          <cell r="J3185" t="str">
            <v>SG-CN-moin 2-02-2026</v>
          </cell>
          <cell r="K3185" t="str">
            <v>Settled</v>
          </cell>
        </row>
        <row r="3186">
          <cell r="J3186" t="str">
            <v>SG-moin 2-02/2026</v>
          </cell>
          <cell r="K3186" t="str">
            <v>Settled</v>
          </cell>
        </row>
        <row r="3187">
          <cell r="J3187" t="str">
            <v>SG-CN-moin 2-03-2026</v>
          </cell>
          <cell r="K3187" t="str">
            <v>Settled</v>
          </cell>
        </row>
        <row r="3188">
          <cell r="J3188" t="str">
            <v>SG-DN-moin 2-03-2026</v>
          </cell>
          <cell r="K3188" t="str">
            <v>Settled</v>
          </cell>
        </row>
        <row r="3189">
          <cell r="J3189" t="str">
            <v>SG-moin 2-03/2026</v>
          </cell>
          <cell r="K3189" t="str">
            <v>Settled</v>
          </cell>
        </row>
        <row r="3190">
          <cell r="J3190" t="str">
            <v>SG-CN-moin 2-04-2026</v>
          </cell>
          <cell r="K3190" t="str">
            <v>Settled</v>
          </cell>
        </row>
        <row r="3191">
          <cell r="J3191" t="str">
            <v>SG-CN-moin 2-04-2026_1</v>
          </cell>
          <cell r="K3191" t="str">
            <v>Settled</v>
          </cell>
        </row>
        <row r="3192">
          <cell r="J3192" t="str">
            <v>SG-moin 2-04/2026</v>
          </cell>
          <cell r="K3192" t="str">
            <v>Settled</v>
          </cell>
        </row>
        <row r="3193">
          <cell r="J3193" t="str">
            <v>SG-CN-moin 2-05-2026</v>
          </cell>
          <cell r="K3193" t="str">
            <v>Settled</v>
          </cell>
        </row>
        <row r="3194">
          <cell r="J3194" t="str">
            <v>SG-CN-moin 2-05-2026_1</v>
          </cell>
          <cell r="K3194" t="str">
            <v>Settled</v>
          </cell>
        </row>
        <row r="3195">
          <cell r="J3195" t="str">
            <v>SG-moin 2-05/2026</v>
          </cell>
          <cell r="K3195" t="str">
            <v>Settled</v>
          </cell>
        </row>
        <row r="3196">
          <cell r="J3196" t="str">
            <v>SG-CN-Moin inc-01-2026</v>
          </cell>
          <cell r="K3196" t="str">
            <v>Settled</v>
          </cell>
        </row>
        <row r="3197">
          <cell r="J3197" t="str">
            <v>SG-Moin inc-11/2022</v>
          </cell>
          <cell r="K3197" t="str">
            <v>Settled</v>
          </cell>
        </row>
        <row r="3198">
          <cell r="J3198" t="str">
            <v>SG-Moin inc-12/2022</v>
          </cell>
          <cell r="K3198" t="str">
            <v>Settled</v>
          </cell>
        </row>
        <row r="3199">
          <cell r="J3199" t="str">
            <v>SG-Moin inc-01/2023</v>
          </cell>
          <cell r="K3199" t="str">
            <v>Settled</v>
          </cell>
        </row>
        <row r="3200">
          <cell r="J3200" t="str">
            <v>SG-Moin inc-02/2023</v>
          </cell>
          <cell r="K3200" t="str">
            <v>Settled</v>
          </cell>
        </row>
        <row r="3201">
          <cell r="J3201" t="str">
            <v>SG-Moin inc-03/2023</v>
          </cell>
          <cell r="K3201" t="str">
            <v>Settled</v>
          </cell>
        </row>
        <row r="3202">
          <cell r="J3202" t="str">
            <v>SG-Moin inc-04/2023</v>
          </cell>
          <cell r="K3202" t="str">
            <v>Settled</v>
          </cell>
        </row>
        <row r="3203">
          <cell r="J3203" t="str">
            <v>SG-Moin inc-05/2023</v>
          </cell>
          <cell r="K3203" t="str">
            <v>Settled</v>
          </cell>
        </row>
        <row r="3204">
          <cell r="J3204" t="str">
            <v>SG-Moin inc-06/2023</v>
          </cell>
          <cell r="K3204" t="str">
            <v>Settled</v>
          </cell>
        </row>
        <row r="3205">
          <cell r="J3205" t="str">
            <v>SG-Moin inc-07/2023</v>
          </cell>
          <cell r="K3205" t="str">
            <v>Settled</v>
          </cell>
        </row>
        <row r="3206">
          <cell r="J3206" t="str">
            <v>SG -Moin inc-CR-06/2023</v>
          </cell>
          <cell r="K3206" t="str">
            <v>Settled</v>
          </cell>
        </row>
        <row r="3207">
          <cell r="J3207" t="str">
            <v>SG -Moin inc-08/2023</v>
          </cell>
          <cell r="K3207" t="str">
            <v>Settled</v>
          </cell>
        </row>
        <row r="3208">
          <cell r="J3208" t="str">
            <v>SG-Moin inc-09/2023</v>
          </cell>
          <cell r="K3208" t="str">
            <v>Settled</v>
          </cell>
        </row>
        <row r="3209">
          <cell r="J3209" t="str">
            <v>SG-Moin inc-10/2023</v>
          </cell>
          <cell r="K3209" t="str">
            <v>Settled</v>
          </cell>
        </row>
        <row r="3210">
          <cell r="J3210" t="str">
            <v>SG-Moin inc-11/2023</v>
          </cell>
          <cell r="K3210" t="str">
            <v>Settled</v>
          </cell>
        </row>
        <row r="3211">
          <cell r="J3211" t="str">
            <v>SG-Moin inc-12/2023</v>
          </cell>
          <cell r="K3211" t="str">
            <v>Settled</v>
          </cell>
        </row>
        <row r="3212">
          <cell r="J3212" t="str">
            <v>SG-Moin inc-01/2024</v>
          </cell>
          <cell r="K3212" t="str">
            <v>Settled</v>
          </cell>
        </row>
        <row r="3213">
          <cell r="J3213" t="str">
            <v>SG-Moin inc-02/2024</v>
          </cell>
          <cell r="K3213" t="str">
            <v>Settled</v>
          </cell>
        </row>
        <row r="3214">
          <cell r="J3214" t="str">
            <v>SG-Moin inc-03/2024</v>
          </cell>
          <cell r="K3214" t="str">
            <v>Settled</v>
          </cell>
        </row>
        <row r="3215">
          <cell r="J3215" t="str">
            <v>SG-CN-Moin inc-03-2024</v>
          </cell>
          <cell r="K3215" t="str">
            <v>Settled</v>
          </cell>
        </row>
        <row r="3216">
          <cell r="J3216" t="str">
            <v>SG-Moin inc-04/2024</v>
          </cell>
          <cell r="K3216" t="str">
            <v>Settled</v>
          </cell>
        </row>
        <row r="3217">
          <cell r="J3217" t="str">
            <v>SG-Moin inc-05/2024</v>
          </cell>
          <cell r="K3217" t="str">
            <v>Settled</v>
          </cell>
        </row>
        <row r="3218">
          <cell r="J3218" t="str">
            <v>SG-Moin inc-06/2024</v>
          </cell>
          <cell r="K3218" t="str">
            <v>Settled</v>
          </cell>
        </row>
        <row r="3219">
          <cell r="J3219" t="str">
            <v>SG-Moin inc-07/2024</v>
          </cell>
          <cell r="K3219" t="str">
            <v>Settled</v>
          </cell>
        </row>
        <row r="3220">
          <cell r="J3220" t="str">
            <v>SG-Moin inc-08/2024</v>
          </cell>
          <cell r="K3220" t="str">
            <v>Settled</v>
          </cell>
        </row>
        <row r="3221">
          <cell r="J3221" t="str">
            <v>SG-Moin inc-09/2024</v>
          </cell>
          <cell r="K3221" t="str">
            <v>Settled</v>
          </cell>
        </row>
        <row r="3222">
          <cell r="J3222" t="str">
            <v>SG-Moin inc-10/2024</v>
          </cell>
          <cell r="K3222" t="str">
            <v>Settled</v>
          </cell>
        </row>
        <row r="3223">
          <cell r="J3223" t="str">
            <v>SG-CN-Moin inc-10-2024</v>
          </cell>
          <cell r="K3223" t="str">
            <v>Settled</v>
          </cell>
        </row>
        <row r="3224">
          <cell r="J3224" t="str">
            <v>SG-Moin inc-11/2024</v>
          </cell>
          <cell r="K3224" t="str">
            <v>Settled</v>
          </cell>
        </row>
        <row r="3225">
          <cell r="J3225" t="str">
            <v>SG-Moin inc-12/2024</v>
          </cell>
          <cell r="K3225" t="str">
            <v>Settled</v>
          </cell>
        </row>
        <row r="3226">
          <cell r="J3226" t="str">
            <v>SG-Moin inc-01/2025</v>
          </cell>
          <cell r="K3226" t="str">
            <v>Settled</v>
          </cell>
        </row>
        <row r="3227">
          <cell r="J3227" t="str">
            <v>SG-CN-Moin inc-01-2025</v>
          </cell>
          <cell r="K3227" t="str">
            <v>Settled</v>
          </cell>
        </row>
        <row r="3228">
          <cell r="J3228" t="str">
            <v>SG-Moin inc-02/2025</v>
          </cell>
          <cell r="K3228" t="str">
            <v>Settled</v>
          </cell>
        </row>
        <row r="3229">
          <cell r="J3229" t="str">
            <v>SG-CN-Moin inc-02-2025</v>
          </cell>
          <cell r="K3229" t="str">
            <v>Settled</v>
          </cell>
        </row>
        <row r="3230">
          <cell r="J3230" t="str">
            <v>SG-Moin inc-03/2025</v>
          </cell>
          <cell r="K3230" t="str">
            <v>Settled</v>
          </cell>
        </row>
        <row r="3231">
          <cell r="J3231" t="str">
            <v>SG-CN-Moin inc-03-2025</v>
          </cell>
          <cell r="K3231" t="str">
            <v>Settled</v>
          </cell>
        </row>
        <row r="3232">
          <cell r="J3232" t="str">
            <v>SG-Moin inc-04/2025</v>
          </cell>
          <cell r="K3232" t="str">
            <v>Settled</v>
          </cell>
        </row>
        <row r="3233">
          <cell r="J3233" t="str">
            <v>SG-CN-Moin inc-04-2025</v>
          </cell>
          <cell r="K3233" t="str">
            <v>Settled</v>
          </cell>
        </row>
        <row r="3234">
          <cell r="J3234" t="str">
            <v>SG-CN-Moin inc-05-2025</v>
          </cell>
          <cell r="K3234" t="str">
            <v>Settled</v>
          </cell>
        </row>
        <row r="3235">
          <cell r="J3235" t="str">
            <v>SG-Moin inc-05/2025</v>
          </cell>
          <cell r="K3235" t="str">
            <v>Settled</v>
          </cell>
        </row>
        <row r="3236">
          <cell r="J3236" t="str">
            <v>SG-Moin inc-06/2025</v>
          </cell>
          <cell r="K3236" t="str">
            <v>Settled</v>
          </cell>
        </row>
        <row r="3237">
          <cell r="J3237" t="str">
            <v>SG-Moin inc-07/2025</v>
          </cell>
          <cell r="K3237" t="str">
            <v>Settled</v>
          </cell>
        </row>
        <row r="3238">
          <cell r="J3238" t="str">
            <v>SG-Moin inc-08/2025</v>
          </cell>
          <cell r="K3238" t="str">
            <v>Settled</v>
          </cell>
        </row>
        <row r="3239">
          <cell r="J3239" t="str">
            <v>SG-Moin inc-09/2025</v>
          </cell>
          <cell r="K3239" t="str">
            <v>Settled</v>
          </cell>
        </row>
        <row r="3240">
          <cell r="J3240" t="str">
            <v>SG-Moin inc-10/2025</v>
          </cell>
          <cell r="K3240" t="str">
            <v>Settled</v>
          </cell>
        </row>
        <row r="3241">
          <cell r="J3241" t="str">
            <v>SG-Moin inc-11/2025</v>
          </cell>
          <cell r="K3241" t="str">
            <v>Settled</v>
          </cell>
        </row>
        <row r="3242">
          <cell r="J3242" t="str">
            <v>SG-Moin inc-12/2025</v>
          </cell>
          <cell r="K3242" t="str">
            <v>Settled</v>
          </cell>
        </row>
        <row r="3243">
          <cell r="J3243" t="str">
            <v>SG-Moin inc-01/2026</v>
          </cell>
          <cell r="K3243" t="str">
            <v>Settled</v>
          </cell>
        </row>
        <row r="3244">
          <cell r="J3244" t="str">
            <v>SG-Monex-07/2024</v>
          </cell>
          <cell r="K3244" t="str">
            <v>Settled</v>
          </cell>
        </row>
        <row r="3245">
          <cell r="J3245" t="str">
            <v>SG-Monex-08/2024</v>
          </cell>
          <cell r="K3245" t="str">
            <v>Settled</v>
          </cell>
        </row>
        <row r="3246">
          <cell r="J3246" t="str">
            <v>SG-Monex-09/2024</v>
          </cell>
          <cell r="K3246" t="str">
            <v>Settled</v>
          </cell>
        </row>
        <row r="3247">
          <cell r="J3247" t="str">
            <v>SG-Monex-10/2024</v>
          </cell>
          <cell r="K3247" t="str">
            <v>Settled</v>
          </cell>
        </row>
        <row r="3248">
          <cell r="J3248" t="str">
            <v>SG-Monex-11/2024</v>
          </cell>
          <cell r="K3248" t="str">
            <v>Settled</v>
          </cell>
        </row>
        <row r="3249">
          <cell r="J3249" t="str">
            <v>SG-Monex-12/2024</v>
          </cell>
          <cell r="K3249" t="str">
            <v>Settled</v>
          </cell>
        </row>
        <row r="3250">
          <cell r="J3250" t="str">
            <v>SG-Monex-01/2025</v>
          </cell>
          <cell r="K3250" t="str">
            <v>Settled</v>
          </cell>
        </row>
        <row r="3251">
          <cell r="J3251" t="str">
            <v>SG-Monex-02/2025</v>
          </cell>
          <cell r="K3251" t="str">
            <v>Settled</v>
          </cell>
        </row>
        <row r="3252">
          <cell r="J3252" t="str">
            <v>SG-Monex-03/2025</v>
          </cell>
          <cell r="K3252" t="str">
            <v>Settled</v>
          </cell>
        </row>
        <row r="3253">
          <cell r="J3253" t="str">
            <v>SG-Monex-04/2025</v>
          </cell>
          <cell r="K3253" t="str">
            <v>Settled</v>
          </cell>
        </row>
        <row r="3254">
          <cell r="J3254" t="str">
            <v>SG-Monex-05/2025</v>
          </cell>
          <cell r="K3254" t="str">
            <v>Settled</v>
          </cell>
        </row>
        <row r="3255">
          <cell r="J3255" t="str">
            <v>SG-Monex-06/2025</v>
          </cell>
          <cell r="K3255" t="str">
            <v>Settled</v>
          </cell>
        </row>
        <row r="3256">
          <cell r="J3256" t="str">
            <v>SG-Monex-07/2025</v>
          </cell>
          <cell r="K3256" t="str">
            <v>Settled</v>
          </cell>
        </row>
        <row r="3257">
          <cell r="J3257" t="str">
            <v>SG-Monex-08/2025</v>
          </cell>
          <cell r="K3257" t="str">
            <v>Settled</v>
          </cell>
        </row>
        <row r="3258">
          <cell r="J3258" t="str">
            <v>SG-Monex-09/2025</v>
          </cell>
          <cell r="K3258" t="str">
            <v>Settled</v>
          </cell>
        </row>
        <row r="3259">
          <cell r="J3259" t="str">
            <v>SG-Monex-10/2025</v>
          </cell>
          <cell r="K3259" t="str">
            <v>Settled</v>
          </cell>
        </row>
        <row r="3260">
          <cell r="J3260" t="str">
            <v>SG-Monex-11/2025</v>
          </cell>
          <cell r="K3260" t="str">
            <v>Settled</v>
          </cell>
        </row>
        <row r="3261">
          <cell r="J3261" t="str">
            <v>SG-Monex-12/2025</v>
          </cell>
          <cell r="K3261" t="str">
            <v>Settled</v>
          </cell>
        </row>
        <row r="3262">
          <cell r="J3262" t="str">
            <v>SG-Monex-01/2026</v>
          </cell>
          <cell r="K3262" t="str">
            <v>Settled</v>
          </cell>
        </row>
        <row r="3263">
          <cell r="J3263" t="str">
            <v>SG-Monex-02/2026</v>
          </cell>
          <cell r="K3263" t="str">
            <v>Settled</v>
          </cell>
        </row>
        <row r="3264">
          <cell r="J3264" t="str">
            <v>SG-Monex-03/2026</v>
          </cell>
          <cell r="K3264" t="str">
            <v>Settled</v>
          </cell>
        </row>
        <row r="3265">
          <cell r="J3265" t="str">
            <v>SG-Monex-04/2026</v>
          </cell>
          <cell r="K3265" t="str">
            <v>Settled</v>
          </cell>
        </row>
        <row r="3266">
          <cell r="J3266" t="str">
            <v>SG-Monex-05/2026</v>
          </cell>
          <cell r="K3266" t="str">
            <v>Settled</v>
          </cell>
        </row>
        <row r="3267">
          <cell r="J3267" t="str">
            <v>AU-MoneyChain-09/2023</v>
          </cell>
          <cell r="K3267" t="str">
            <v>Settled</v>
          </cell>
        </row>
        <row r="3268">
          <cell r="J3268" t="str">
            <v>AU-MoneyChain-10/2023</v>
          </cell>
          <cell r="K3268" t="str">
            <v>Settled</v>
          </cell>
        </row>
        <row r="3269">
          <cell r="J3269" t="str">
            <v>AU-MoneyChain-10/2023</v>
          </cell>
          <cell r="K3269" t="str">
            <v>Settled</v>
          </cell>
        </row>
        <row r="3270">
          <cell r="J3270" t="str">
            <v>AU-MoneyChain-11/2023</v>
          </cell>
          <cell r="K3270" t="str">
            <v>Settled</v>
          </cell>
        </row>
        <row r="3271">
          <cell r="J3271" t="str">
            <v>AU-MoneyChain-12/2023</v>
          </cell>
          <cell r="K3271" t="str">
            <v>Settled</v>
          </cell>
        </row>
        <row r="3272">
          <cell r="J3272" t="str">
            <v>AU-MoneyChain-01/2024</v>
          </cell>
          <cell r="K3272" t="str">
            <v>Settled</v>
          </cell>
        </row>
        <row r="3273">
          <cell r="J3273" t="str">
            <v>AU-MoneyChain-02/2024</v>
          </cell>
          <cell r="K3273" t="str">
            <v>Settled</v>
          </cell>
        </row>
        <row r="3274">
          <cell r="J3274" t="str">
            <v>AU-MoneyChain-03/2024</v>
          </cell>
          <cell r="K3274" t="str">
            <v>Settled</v>
          </cell>
        </row>
        <row r="3275">
          <cell r="J3275" t="str">
            <v>AU-MoneyChain-04/2024</v>
          </cell>
          <cell r="K3275" t="str">
            <v>Settled</v>
          </cell>
        </row>
        <row r="3276">
          <cell r="J3276" t="str">
            <v>AU-MoneyChain-05/2024</v>
          </cell>
          <cell r="K3276" t="str">
            <v>Settled</v>
          </cell>
        </row>
        <row r="3277">
          <cell r="J3277" t="str">
            <v>AU-MoneyChain-02/2025</v>
          </cell>
          <cell r="K3277" t="str">
            <v>Settled</v>
          </cell>
        </row>
        <row r="3278">
          <cell r="J3278" t="str">
            <v>AU-MoneyChain-04/2025</v>
          </cell>
          <cell r="K3278" t="str">
            <v>Settled</v>
          </cell>
        </row>
        <row r="3279">
          <cell r="J3279" t="str">
            <v>AU-CN-MoneyChain-04-2025</v>
          </cell>
          <cell r="K3279" t="str">
            <v>Settled</v>
          </cell>
        </row>
        <row r="3280">
          <cell r="J3280" t="str">
            <v>AU-MoneyChain-05/2025</v>
          </cell>
          <cell r="K3280" t="str">
            <v>Settled</v>
          </cell>
        </row>
        <row r="3281">
          <cell r="J3281" t="str">
            <v>AU-MoneyChain-06/2025</v>
          </cell>
          <cell r="K3281" t="str">
            <v>Settled</v>
          </cell>
        </row>
        <row r="3282">
          <cell r="J3282" t="str">
            <v>AU-MoneyChain-07/2025</v>
          </cell>
          <cell r="K3282" t="str">
            <v>Settled</v>
          </cell>
        </row>
        <row r="3283">
          <cell r="J3283" t="str">
            <v>AU-MoneyChain-08/2025</v>
          </cell>
          <cell r="K3283" t="str">
            <v>Settled</v>
          </cell>
        </row>
        <row r="3284">
          <cell r="J3284" t="str">
            <v>AU-MoneyChain-09/2025</v>
          </cell>
          <cell r="K3284" t="str">
            <v>Settled</v>
          </cell>
        </row>
        <row r="3285">
          <cell r="J3285" t="str">
            <v>AU-MoneyChain-10/2025</v>
          </cell>
          <cell r="K3285" t="str">
            <v>Settled</v>
          </cell>
        </row>
        <row r="3286">
          <cell r="J3286" t="str">
            <v>AU-MoneyChain-11/2025</v>
          </cell>
          <cell r="K3286" t="str">
            <v>Settled</v>
          </cell>
        </row>
        <row r="3287">
          <cell r="J3287" t="str">
            <v>AU-MoneyChain-12/2025</v>
          </cell>
          <cell r="K3287" t="str">
            <v>Settled</v>
          </cell>
        </row>
        <row r="3288">
          <cell r="J3288" t="str">
            <v>AU-MoneyChain-01/2026</v>
          </cell>
          <cell r="K3288" t="str">
            <v>Settled</v>
          </cell>
        </row>
        <row r="3289">
          <cell r="J3289" t="str">
            <v>AU-MoneyChain-02/2026</v>
          </cell>
          <cell r="K3289" t="str">
            <v>Settled</v>
          </cell>
        </row>
        <row r="3290">
          <cell r="J3290" t="str">
            <v>AU-MoneyChain-03/2026</v>
          </cell>
          <cell r="K3290" t="str">
            <v>Settled</v>
          </cell>
        </row>
        <row r="3291">
          <cell r="J3291" t="str">
            <v>AU-MoneyChain-04/2026</v>
          </cell>
          <cell r="K3291" t="str">
            <v>Settled</v>
          </cell>
        </row>
        <row r="3292">
          <cell r="J3292" t="str">
            <v>SG-MoneyCorp Banco-08/2022</v>
          </cell>
          <cell r="K3292" t="str">
            <v>Write Off</v>
          </cell>
        </row>
        <row r="3293">
          <cell r="J3293" t="str">
            <v>SG-MoneyCorp Banco De Cambio S.A-12/2022</v>
          </cell>
          <cell r="K3293" t="str">
            <v>Settled</v>
          </cell>
        </row>
        <row r="3294">
          <cell r="J3294" t="str">
            <v>UK -moneycorp bank-08/2023</v>
          </cell>
          <cell r="K3294" t="str">
            <v>Settled</v>
          </cell>
        </row>
        <row r="3295">
          <cell r="J3295" t="str">
            <v>UK-moneycorp bank-05/2023</v>
          </cell>
          <cell r="K3295" t="str">
            <v>Settled</v>
          </cell>
        </row>
        <row r="3296">
          <cell r="J3296" t="str">
            <v>UK-moneycorp bank-09/2023</v>
          </cell>
          <cell r="K3296" t="str">
            <v>Settled</v>
          </cell>
        </row>
        <row r="3297">
          <cell r="J3297" t="str">
            <v>UK-moneycorp bank-09/2025</v>
          </cell>
          <cell r="K3297" t="str">
            <v>Net Off</v>
          </cell>
        </row>
        <row r="3298">
          <cell r="J3298" t="str">
            <v>UK-CN-moneycorp bank-09/2025</v>
          </cell>
          <cell r="K3298" t="str">
            <v>Net Off</v>
          </cell>
        </row>
        <row r="3299">
          <cell r="J3299" t="str">
            <v>US-MONEYCORP US INC-11/2022</v>
          </cell>
          <cell r="K3299" t="str">
            <v>Settled</v>
          </cell>
        </row>
        <row r="3300">
          <cell r="J3300" t="str">
            <v>US-MONEYCORP US INC-12/2022</v>
          </cell>
          <cell r="K3300" t="str">
            <v>Settled</v>
          </cell>
        </row>
        <row r="3301">
          <cell r="J3301" t="str">
            <v>US-MONEYCORP US INC-01/2023</v>
          </cell>
          <cell r="K3301" t="str">
            <v>Settled</v>
          </cell>
        </row>
        <row r="3302">
          <cell r="J3302" t="str">
            <v>US-MONEYCORPUS-02/2023</v>
          </cell>
          <cell r="K3302" t="str">
            <v>Settled</v>
          </cell>
        </row>
        <row r="3303">
          <cell r="J3303" t="str">
            <v>US-MONEYCORP US INC-03/2023</v>
          </cell>
          <cell r="K3303" t="str">
            <v>Settled</v>
          </cell>
        </row>
        <row r="3304">
          <cell r="J3304" t="str">
            <v>US-MONEYCORP US INC-04/2023</v>
          </cell>
          <cell r="K3304" t="str">
            <v>Settled</v>
          </cell>
        </row>
        <row r="3305">
          <cell r="J3305" t="str">
            <v>US-MONEYCORP US INC-05/2023</v>
          </cell>
          <cell r="K3305" t="str">
            <v>Settled</v>
          </cell>
        </row>
        <row r="3306">
          <cell r="J3306" t="str">
            <v>US-MONEYCORP US INC-06/2023</v>
          </cell>
          <cell r="K3306" t="str">
            <v>Settled</v>
          </cell>
        </row>
        <row r="3307">
          <cell r="J3307" t="str">
            <v>US-MONEYCORP US INC-07/2023</v>
          </cell>
          <cell r="K3307" t="str">
            <v>Settled</v>
          </cell>
        </row>
        <row r="3308">
          <cell r="J3308" t="str">
            <v>US -MONEYCORP US INC-08/2023</v>
          </cell>
          <cell r="K3308" t="str">
            <v>Settled</v>
          </cell>
        </row>
        <row r="3309">
          <cell r="J3309" t="str">
            <v>US-MONEYCORP US INC-09/2023</v>
          </cell>
          <cell r="K3309" t="str">
            <v>Settled</v>
          </cell>
        </row>
        <row r="3310">
          <cell r="J3310" t="str">
            <v>US-MONEYCORP US INC-10/2023</v>
          </cell>
          <cell r="K3310" t="str">
            <v>Settled</v>
          </cell>
        </row>
        <row r="3311">
          <cell r="J3311" t="str">
            <v>US-MONEYCORPUSIN-11/2023</v>
          </cell>
          <cell r="K3311" t="str">
            <v>Settled</v>
          </cell>
        </row>
        <row r="3312">
          <cell r="J3312" t="str">
            <v>US-MONEYCORP US-12/2023</v>
          </cell>
          <cell r="K3312" t="str">
            <v>Settled</v>
          </cell>
        </row>
        <row r="3313">
          <cell r="J3313" t="str">
            <v>US-MONEYCORP US INC-01/2024</v>
          </cell>
          <cell r="K3313" t="str">
            <v>Settled</v>
          </cell>
        </row>
        <row r="3314">
          <cell r="J3314" t="str">
            <v>US-MONEYCORP US INC-02/2024</v>
          </cell>
          <cell r="K3314" t="str">
            <v>Settled</v>
          </cell>
        </row>
        <row r="3315">
          <cell r="J3315" t="str">
            <v>US-MONEYCORP US INC-03/2024</v>
          </cell>
          <cell r="K3315" t="str">
            <v>Settled</v>
          </cell>
        </row>
        <row r="3316">
          <cell r="J3316" t="str">
            <v>US-MONEYCORP US INC-04/2024</v>
          </cell>
          <cell r="K3316" t="str">
            <v>Settled</v>
          </cell>
        </row>
        <row r="3317">
          <cell r="J3317" t="str">
            <v>US-MONEYCORP US INC-05/2024</v>
          </cell>
          <cell r="K3317" t="str">
            <v>Settled</v>
          </cell>
        </row>
        <row r="3318">
          <cell r="J3318" t="str">
            <v>US-MONEYCORP US INC-06/2024</v>
          </cell>
          <cell r="K3318" t="str">
            <v>Settled</v>
          </cell>
        </row>
        <row r="3319">
          <cell r="J3319" t="str">
            <v>US-MONEYCORP US INC-07/2024</v>
          </cell>
          <cell r="K3319" t="str">
            <v>Settled</v>
          </cell>
        </row>
        <row r="3320">
          <cell r="J3320" t="str">
            <v>US-MONEYCORP US INC-08/2024</v>
          </cell>
          <cell r="K3320" t="str">
            <v>Settled</v>
          </cell>
        </row>
        <row r="3321">
          <cell r="J3321" t="str">
            <v>US-MONEYCORP US INC-09/2024</v>
          </cell>
          <cell r="K3321" t="str">
            <v>Settled</v>
          </cell>
        </row>
        <row r="3322">
          <cell r="J3322" t="str">
            <v>US-MONEYCORP US INC-10/2024</v>
          </cell>
          <cell r="K3322" t="str">
            <v>Settled</v>
          </cell>
        </row>
        <row r="3323">
          <cell r="J3323" t="str">
            <v>US-MONEYCORP US INC-11/2024</v>
          </cell>
          <cell r="K3323" t="str">
            <v>Settled</v>
          </cell>
        </row>
        <row r="3324">
          <cell r="J3324" t="str">
            <v>US-MONEYCORP US INC-12/2024</v>
          </cell>
          <cell r="K3324" t="str">
            <v>Settled</v>
          </cell>
        </row>
        <row r="3325">
          <cell r="J3325" t="str">
            <v>US-MONEYCORP US INC-01/2025</v>
          </cell>
          <cell r="K3325" t="str">
            <v>Settled</v>
          </cell>
        </row>
        <row r="3326">
          <cell r="J3326" t="str">
            <v>US-MONEYCORP US INC-02/2025</v>
          </cell>
          <cell r="K3326" t="str">
            <v>Settled</v>
          </cell>
        </row>
        <row r="3327">
          <cell r="J3327" t="str">
            <v>US-MONEYCORP US INC-03/2025</v>
          </cell>
          <cell r="K3327" t="str">
            <v>Settled</v>
          </cell>
        </row>
        <row r="3328">
          <cell r="J3328" t="str">
            <v>US-MONEYCORP US INC-04/2025</v>
          </cell>
          <cell r="K3328" t="str">
            <v>Settled</v>
          </cell>
        </row>
        <row r="3329">
          <cell r="J3329" t="str">
            <v>US-MONEYCORP US INC-05/2025</v>
          </cell>
          <cell r="K3329" t="str">
            <v>Settled</v>
          </cell>
        </row>
        <row r="3330">
          <cell r="J3330" t="str">
            <v>US-MONEYCORP US INC-06/2025</v>
          </cell>
          <cell r="K3330" t="str">
            <v>Settled</v>
          </cell>
        </row>
        <row r="3331">
          <cell r="J3331" t="str">
            <v>US-MONEYCORP US INC-07/2025</v>
          </cell>
          <cell r="K3331" t="str">
            <v>Settled</v>
          </cell>
        </row>
        <row r="3332">
          <cell r="J3332" t="str">
            <v>US-MONEYCORP US INC-08/2025</v>
          </cell>
          <cell r="K3332" t="str">
            <v>Settled</v>
          </cell>
        </row>
        <row r="3333">
          <cell r="J3333" t="str">
            <v>US-MONEYCORP US INC-09/2025</v>
          </cell>
          <cell r="K3333" t="str">
            <v>Settled</v>
          </cell>
        </row>
        <row r="3334">
          <cell r="J3334" t="str">
            <v>US-MONEYCORP US INC-10/2025</v>
          </cell>
          <cell r="K3334" t="str">
            <v>Settled</v>
          </cell>
        </row>
        <row r="3335">
          <cell r="J3335" t="str">
            <v>US-MONEYCORP US INC-11/2025</v>
          </cell>
          <cell r="K3335" t="str">
            <v>Settled</v>
          </cell>
        </row>
        <row r="3336">
          <cell r="J3336" t="str">
            <v>US-MONEYCORP US INC-12/2025</v>
          </cell>
          <cell r="K3336" t="str">
            <v>Settled</v>
          </cell>
        </row>
        <row r="3337">
          <cell r="J3337" t="str">
            <v>US-MONEYCORP US INC-01/2026</v>
          </cell>
          <cell r="K3337" t="str">
            <v>Settled</v>
          </cell>
        </row>
        <row r="3338">
          <cell r="J3338" t="str">
            <v>US-MONEYCORP US INC-02/2026</v>
          </cell>
          <cell r="K3338" t="str">
            <v>Settled</v>
          </cell>
        </row>
        <row r="3339">
          <cell r="J3339" t="str">
            <v>US-MONEYCORP US INC-03/2026</v>
          </cell>
          <cell r="K3339" t="str">
            <v>Settled</v>
          </cell>
        </row>
        <row r="3340">
          <cell r="J3340" t="str">
            <v>US-MONEYCORP US INC-04/2026</v>
          </cell>
          <cell r="K3340" t="str">
            <v>Settled</v>
          </cell>
        </row>
        <row r="3341">
          <cell r="J3341" t="str">
            <v>US-MONEYCORP US INC-05/2026</v>
          </cell>
          <cell r="K3341" t="str">
            <v>Settled</v>
          </cell>
        </row>
        <row r="3342">
          <cell r="J3342" t="str">
            <v>SG -Moneytos-02/2023</v>
          </cell>
          <cell r="K3342" t="str">
            <v>Settled</v>
          </cell>
        </row>
        <row r="3343">
          <cell r="J3343" t="str">
            <v>SG-Moneytos-05/2023</v>
          </cell>
          <cell r="K3343" t="str">
            <v>Settled</v>
          </cell>
        </row>
        <row r="3344">
          <cell r="J3344" t="str">
            <v>SG-Moneytos-06/2023</v>
          </cell>
          <cell r="K3344" t="str">
            <v>Settled</v>
          </cell>
        </row>
        <row r="3345">
          <cell r="J3345" t="str">
            <v>SG-Moneytos-07/2023</v>
          </cell>
          <cell r="K3345" t="str">
            <v>Settled</v>
          </cell>
        </row>
        <row r="3346">
          <cell r="J3346" t="str">
            <v>SG -Moneytos-08/2023</v>
          </cell>
          <cell r="K3346" t="str">
            <v>Settled</v>
          </cell>
        </row>
        <row r="3347">
          <cell r="J3347" t="str">
            <v>SG-Moneytos-09/2023</v>
          </cell>
          <cell r="K3347" t="str">
            <v>Settled</v>
          </cell>
        </row>
        <row r="3348">
          <cell r="J3348" t="str">
            <v>SG-Moneytos-10/2023</v>
          </cell>
          <cell r="K3348" t="str">
            <v>Settled</v>
          </cell>
        </row>
        <row r="3349">
          <cell r="J3349" t="str">
            <v>SG-Moneytos-11/2023</v>
          </cell>
          <cell r="K3349" t="str">
            <v>Reversed</v>
          </cell>
        </row>
        <row r="3350">
          <cell r="J3350" t="str">
            <v>SG-Moneytos-11/2023</v>
          </cell>
          <cell r="K3350" t="str">
            <v>Settled</v>
          </cell>
        </row>
        <row r="3351">
          <cell r="J3351" t="str">
            <v>SG-Moneytos-12/2023</v>
          </cell>
          <cell r="K3351" t="str">
            <v>Settled</v>
          </cell>
        </row>
        <row r="3352">
          <cell r="J3352" t="str">
            <v>SG-Moneytos-01/2024</v>
          </cell>
          <cell r="K3352" t="str">
            <v>Settled</v>
          </cell>
        </row>
        <row r="3353">
          <cell r="J3353" t="str">
            <v>SG-Moneytos-02/2024</v>
          </cell>
          <cell r="K3353" t="str">
            <v>Settled</v>
          </cell>
        </row>
        <row r="3354">
          <cell r="J3354" t="str">
            <v>SG-Moneytos-03/2024</v>
          </cell>
          <cell r="K3354" t="str">
            <v>Settled</v>
          </cell>
        </row>
        <row r="3355">
          <cell r="J3355" t="str">
            <v>SG-Moneytos-04/2024</v>
          </cell>
          <cell r="K3355" t="str">
            <v>Settled</v>
          </cell>
        </row>
        <row r="3356">
          <cell r="J3356" t="str">
            <v>SG-Moneytos-05/2024</v>
          </cell>
          <cell r="K3356" t="str">
            <v>Settled</v>
          </cell>
        </row>
        <row r="3357">
          <cell r="J3357" t="str">
            <v>SG-Moneytos-06/2024</v>
          </cell>
          <cell r="K3357" t="str">
            <v>Settled</v>
          </cell>
        </row>
        <row r="3358">
          <cell r="J3358" t="str">
            <v>SG-Moneytos-07/2024</v>
          </cell>
          <cell r="K3358" t="str">
            <v>Settled</v>
          </cell>
        </row>
        <row r="3359">
          <cell r="J3359" t="str">
            <v>SG-Moneytos-08/2024</v>
          </cell>
          <cell r="K3359" t="str">
            <v>Settled</v>
          </cell>
        </row>
        <row r="3360">
          <cell r="J3360" t="str">
            <v>SG-Moneytos-09/2024</v>
          </cell>
          <cell r="K3360" t="str">
            <v>Settled</v>
          </cell>
        </row>
        <row r="3361">
          <cell r="J3361" t="str">
            <v>SG-Moneytos-10/2024</v>
          </cell>
          <cell r="K3361" t="str">
            <v>Settled</v>
          </cell>
        </row>
        <row r="3362">
          <cell r="J3362" t="str">
            <v>SG-Moneytos-11/2024</v>
          </cell>
          <cell r="K3362" t="str">
            <v>Settled</v>
          </cell>
        </row>
        <row r="3363">
          <cell r="J3363" t="str">
            <v>SG-Moneytos-12/2024</v>
          </cell>
          <cell r="K3363" t="str">
            <v>Settled</v>
          </cell>
        </row>
        <row r="3364">
          <cell r="J3364" t="str">
            <v>SG-Moneytos-01/2025</v>
          </cell>
          <cell r="K3364" t="str">
            <v>Settled</v>
          </cell>
        </row>
        <row r="3365">
          <cell r="J3365" t="str">
            <v>SG-Moneytos-02/2025</v>
          </cell>
          <cell r="K3365" t="str">
            <v>Settled</v>
          </cell>
        </row>
        <row r="3366">
          <cell r="J3366" t="str">
            <v>SG-Moneytos-03/2025</v>
          </cell>
          <cell r="K3366" t="str">
            <v>Settled</v>
          </cell>
        </row>
        <row r="3367">
          <cell r="J3367" t="str">
            <v>SG-Moneytos-04/2025</v>
          </cell>
          <cell r="K3367" t="str">
            <v>Settled</v>
          </cell>
        </row>
        <row r="3368">
          <cell r="J3368" t="str">
            <v>SG-Moneytos-05/2025</v>
          </cell>
          <cell r="K3368" t="str">
            <v>Settled</v>
          </cell>
        </row>
        <row r="3369">
          <cell r="J3369" t="str">
            <v>SG-Moneytos-06/2025</v>
          </cell>
          <cell r="K3369" t="str">
            <v>Settled</v>
          </cell>
        </row>
        <row r="3370">
          <cell r="J3370" t="str">
            <v>SG-Moneytos-07/2025</v>
          </cell>
          <cell r="K3370" t="str">
            <v>Settled</v>
          </cell>
        </row>
        <row r="3371">
          <cell r="J3371" t="str">
            <v>SG-Moneytos-08/2025</v>
          </cell>
          <cell r="K3371" t="str">
            <v>Settled</v>
          </cell>
        </row>
        <row r="3372">
          <cell r="J3372" t="str">
            <v>SG-Moneytos-09/2025</v>
          </cell>
          <cell r="K3372" t="str">
            <v>Settled</v>
          </cell>
        </row>
        <row r="3373">
          <cell r="J3373" t="str">
            <v>SG-Moneytos-10/2025</v>
          </cell>
          <cell r="K3373" t="str">
            <v>Settled</v>
          </cell>
        </row>
        <row r="3374">
          <cell r="J3374" t="str">
            <v>SG-Moneytos-11/2025</v>
          </cell>
          <cell r="K3374" t="str">
            <v>Settled</v>
          </cell>
        </row>
        <row r="3375">
          <cell r="J3375" t="str">
            <v>SG-Moneytos-12/2025</v>
          </cell>
          <cell r="K3375" t="str">
            <v>Settled</v>
          </cell>
        </row>
        <row r="3376">
          <cell r="J3376" t="str">
            <v>SG-Moneytos-01/2026</v>
          </cell>
          <cell r="K3376" t="str">
            <v>Settled</v>
          </cell>
        </row>
        <row r="3377">
          <cell r="J3377" t="str">
            <v>SG-Moneytos-02/2026</v>
          </cell>
          <cell r="K3377" t="str">
            <v>Settled</v>
          </cell>
        </row>
        <row r="3378">
          <cell r="J3378" t="str">
            <v>SG-Moneytos-03/2026</v>
          </cell>
          <cell r="K3378" t="str">
            <v>Settled</v>
          </cell>
        </row>
        <row r="3379">
          <cell r="J3379" t="str">
            <v>SG-Moneytos-04/2026</v>
          </cell>
          <cell r="K3379" t="str">
            <v>Settled</v>
          </cell>
        </row>
        <row r="3380">
          <cell r="J3380" t="str">
            <v>SG-Moneytos-05/2026</v>
          </cell>
          <cell r="K3380" t="str">
            <v>Settled</v>
          </cell>
        </row>
        <row r="3381">
          <cell r="J3381" t="str">
            <v>SG-MooGold Ent-04/2023</v>
          </cell>
          <cell r="K3381" t="str">
            <v>Waived Off</v>
          </cell>
        </row>
        <row r="3382">
          <cell r="J3382" t="str">
            <v>SG-MooGold Ent-05/2023</v>
          </cell>
          <cell r="K3382" t="str">
            <v>Settled</v>
          </cell>
        </row>
        <row r="3383">
          <cell r="J3383" t="str">
            <v>SG-MooGold Ent-06/2023</v>
          </cell>
          <cell r="K3383" t="str">
            <v>Settled</v>
          </cell>
        </row>
        <row r="3384">
          <cell r="J3384" t="str">
            <v>SG-MooGold Ent-07/2023</v>
          </cell>
          <cell r="K3384" t="str">
            <v>Settled</v>
          </cell>
        </row>
        <row r="3385">
          <cell r="J3385" t="str">
            <v>SG -Moogold Sdn Bhd-08/2023</v>
          </cell>
          <cell r="K3385" t="str">
            <v>Settled</v>
          </cell>
        </row>
        <row r="3386">
          <cell r="J3386" t="str">
            <v>SG-Moogold Sdn Bhd-09/2023</v>
          </cell>
          <cell r="K3386" t="str">
            <v>Waived Off</v>
          </cell>
        </row>
        <row r="3387">
          <cell r="J3387" t="str">
            <v>SG-Moogold Sdn Bhd-10/2023</v>
          </cell>
          <cell r="K3387" t="str">
            <v>Waived Off</v>
          </cell>
        </row>
        <row r="3388">
          <cell r="J3388" t="str">
            <v>CA-mtfx inc.-11/2022</v>
          </cell>
          <cell r="K3388" t="str">
            <v>Settled</v>
          </cell>
        </row>
        <row r="3389">
          <cell r="J3389" t="str">
            <v>CA-mtfx inc.-12/2022</v>
          </cell>
          <cell r="K3389" t="str">
            <v>Settled</v>
          </cell>
        </row>
        <row r="3390">
          <cell r="J3390" t="str">
            <v>CA-mtfx inc.-01/2023</v>
          </cell>
          <cell r="K3390" t="str">
            <v>Settled</v>
          </cell>
        </row>
        <row r="3391">
          <cell r="J3391" t="str">
            <v>CA-mtfx inc.-02/2023</v>
          </cell>
          <cell r="K3391" t="str">
            <v>Settled</v>
          </cell>
        </row>
        <row r="3392">
          <cell r="J3392" t="str">
            <v>CA-mtfx inc.-03/2023</v>
          </cell>
          <cell r="K3392" t="str">
            <v>Settled</v>
          </cell>
        </row>
        <row r="3393">
          <cell r="J3393" t="str">
            <v>CA-mtfx inc.-04/2023</v>
          </cell>
          <cell r="K3393" t="str">
            <v>Settled</v>
          </cell>
        </row>
        <row r="3394">
          <cell r="J3394" t="str">
            <v>CA-mtfx inc.-05/2023</v>
          </cell>
          <cell r="K3394" t="str">
            <v>Settled</v>
          </cell>
        </row>
        <row r="3395">
          <cell r="J3395" t="str">
            <v>CA-mtfx inc.-06/2023</v>
          </cell>
          <cell r="K3395" t="str">
            <v>Settled</v>
          </cell>
        </row>
        <row r="3396">
          <cell r="J3396" t="str">
            <v>CA-mtfx inc.-07/2023</v>
          </cell>
          <cell r="K3396" t="str">
            <v>Settled</v>
          </cell>
        </row>
        <row r="3397">
          <cell r="J3397" t="str">
            <v>CA -mtfx inc.-08/2023</v>
          </cell>
          <cell r="K3397" t="str">
            <v>Settled</v>
          </cell>
        </row>
        <row r="3398">
          <cell r="J3398" t="str">
            <v>CA-mtfx inc.-09/2023</v>
          </cell>
          <cell r="K3398" t="str">
            <v>Settled</v>
          </cell>
        </row>
        <row r="3399">
          <cell r="J3399" t="str">
            <v>CA-mtfx inc.-10/2023</v>
          </cell>
          <cell r="K3399" t="str">
            <v>Settled</v>
          </cell>
        </row>
        <row r="3400">
          <cell r="J3400" t="str">
            <v>CA-mtfx inc.-11/2023</v>
          </cell>
          <cell r="K3400" t="str">
            <v>Settled</v>
          </cell>
        </row>
        <row r="3401">
          <cell r="J3401" t="str">
            <v>CA-mtfx inc.-12/2023</v>
          </cell>
          <cell r="K3401" t="str">
            <v>Settled</v>
          </cell>
        </row>
        <row r="3402">
          <cell r="J3402" t="str">
            <v>CA-mtfx inc.-01/2024</v>
          </cell>
          <cell r="K3402" t="str">
            <v>Settled</v>
          </cell>
        </row>
        <row r="3403">
          <cell r="J3403" t="str">
            <v>CA-mtfx inc.-02/2024</v>
          </cell>
          <cell r="K3403" t="str">
            <v>Settled</v>
          </cell>
        </row>
        <row r="3404">
          <cell r="J3404" t="str">
            <v>CA-mtfx inc.-03/2024</v>
          </cell>
          <cell r="K3404" t="str">
            <v>Settled</v>
          </cell>
        </row>
        <row r="3405">
          <cell r="J3405" t="str">
            <v>CA-mtfx inc.-04/2024</v>
          </cell>
          <cell r="K3405" t="str">
            <v>Settled</v>
          </cell>
        </row>
        <row r="3406">
          <cell r="J3406" t="str">
            <v>CA-mtfx inc.-05/2024</v>
          </cell>
          <cell r="K3406" t="str">
            <v>Settled</v>
          </cell>
        </row>
        <row r="3407">
          <cell r="J3407" t="str">
            <v>CA-mtfx inc.-06/2024</v>
          </cell>
          <cell r="K3407" t="str">
            <v>Settled</v>
          </cell>
        </row>
        <row r="3408">
          <cell r="J3408" t="str">
            <v>CA-mtfx inc.-07/2024</v>
          </cell>
          <cell r="K3408" t="str">
            <v>Settled</v>
          </cell>
        </row>
        <row r="3409">
          <cell r="J3409" t="str">
            <v>CA-mtfx inc.-08/2024</v>
          </cell>
          <cell r="K3409" t="str">
            <v>Settled</v>
          </cell>
        </row>
        <row r="3410">
          <cell r="J3410" t="str">
            <v>CA-mtfx inc.-09/2024</v>
          </cell>
          <cell r="K3410" t="str">
            <v>Settled</v>
          </cell>
        </row>
        <row r="3411">
          <cell r="J3411" t="str">
            <v>CA-mtfx inc.-10/2024</v>
          </cell>
          <cell r="K3411" t="str">
            <v>Settled</v>
          </cell>
        </row>
        <row r="3412">
          <cell r="J3412" t="str">
            <v>CA-mtfx inc.-11/2024</v>
          </cell>
          <cell r="K3412" t="str">
            <v>Settled</v>
          </cell>
        </row>
        <row r="3413">
          <cell r="J3413" t="str">
            <v>CA-mtfx inc.-12/2024</v>
          </cell>
          <cell r="K3413" t="str">
            <v>Settled</v>
          </cell>
        </row>
        <row r="3414">
          <cell r="J3414" t="str">
            <v>CA-mtfx inc.-01/2025</v>
          </cell>
          <cell r="K3414" t="str">
            <v>Settled</v>
          </cell>
        </row>
        <row r="3415">
          <cell r="J3415" t="str">
            <v>CA-mtfx inc.-02/2025</v>
          </cell>
          <cell r="K3415" t="str">
            <v>Settled</v>
          </cell>
        </row>
        <row r="3416">
          <cell r="J3416" t="str">
            <v>CA-mtfx inc.-03/2025</v>
          </cell>
          <cell r="K3416" t="str">
            <v>Settled</v>
          </cell>
        </row>
        <row r="3417">
          <cell r="J3417" t="str">
            <v>CA-mtfx inc.-04/2025</v>
          </cell>
          <cell r="K3417" t="str">
            <v>Settled</v>
          </cell>
        </row>
        <row r="3418">
          <cell r="J3418" t="str">
            <v>CA-mtfx inc.-05/2025</v>
          </cell>
          <cell r="K3418" t="str">
            <v>Settled</v>
          </cell>
        </row>
        <row r="3419">
          <cell r="J3419" t="str">
            <v>CA-mtfx inc.-06/2025</v>
          </cell>
          <cell r="K3419" t="str">
            <v>Settled</v>
          </cell>
        </row>
        <row r="3420">
          <cell r="J3420" t="str">
            <v>CA-mtfx inc.-07/2025</v>
          </cell>
          <cell r="K3420" t="str">
            <v>Settled</v>
          </cell>
        </row>
        <row r="3421">
          <cell r="J3421" t="str">
            <v>CA-mtfx inc.-08/2025</v>
          </cell>
          <cell r="K3421" t="str">
            <v>Settled</v>
          </cell>
        </row>
        <row r="3422">
          <cell r="J3422" t="str">
            <v>CA-mtfx inc.-09/2025</v>
          </cell>
          <cell r="K3422" t="str">
            <v>Settled</v>
          </cell>
        </row>
        <row r="3423">
          <cell r="J3423" t="str">
            <v>CA-mtfx inc.-10/2025</v>
          </cell>
          <cell r="K3423" t="str">
            <v>Settled</v>
          </cell>
        </row>
        <row r="3424">
          <cell r="J3424" t="str">
            <v>CA-mtfx inc.-11/2025</v>
          </cell>
          <cell r="K3424" t="str">
            <v>Settled</v>
          </cell>
        </row>
        <row r="3425">
          <cell r="J3425" t="str">
            <v>CA-mtfx inc.-12/2025</v>
          </cell>
          <cell r="K3425" t="str">
            <v>Settled</v>
          </cell>
        </row>
        <row r="3426">
          <cell r="J3426" t="str">
            <v>CA-mtfx inc.-01/2026</v>
          </cell>
          <cell r="K3426" t="str">
            <v>Settled</v>
          </cell>
        </row>
        <row r="3427">
          <cell r="J3427" t="str">
            <v>CA-mtfx inc.-02/2026</v>
          </cell>
          <cell r="K3427" t="str">
            <v>Settled</v>
          </cell>
        </row>
        <row r="3428">
          <cell r="J3428" t="str">
            <v>CA-mtfx inc.-03/2026</v>
          </cell>
          <cell r="K3428" t="str">
            <v>Settled</v>
          </cell>
        </row>
        <row r="3429">
          <cell r="J3429" t="str">
            <v>CA-mtfx inc.-04/2026</v>
          </cell>
          <cell r="K3429" t="str">
            <v>Settled</v>
          </cell>
        </row>
        <row r="3430">
          <cell r="J3430" t="str">
            <v>CA-mtfx inc.-05/2026</v>
          </cell>
          <cell r="K3430" t="str">
            <v>Settled</v>
          </cell>
        </row>
        <row r="3431">
          <cell r="J3431" t="str">
            <v>UK-MYEUPAY-04/2025</v>
          </cell>
          <cell r="K3431" t="str">
            <v>Settled</v>
          </cell>
        </row>
        <row r="3432">
          <cell r="J3432" t="str">
            <v>UK-MYEUPAY-05/2025</v>
          </cell>
          <cell r="K3432" t="str">
            <v>Settled</v>
          </cell>
        </row>
        <row r="3433">
          <cell r="J3433" t="str">
            <v>UK-MYEUPAY-06/2025</v>
          </cell>
          <cell r="K3433" t="str">
            <v>Settled</v>
          </cell>
        </row>
        <row r="3434">
          <cell r="J3434" t="str">
            <v>UK-MYEUPAY-07/2025</v>
          </cell>
          <cell r="K3434" t="str">
            <v>Settled</v>
          </cell>
        </row>
        <row r="3435">
          <cell r="J3435" t="str">
            <v>UK-MYEUPAY-08/2025</v>
          </cell>
          <cell r="K3435" t="str">
            <v>Settled</v>
          </cell>
        </row>
        <row r="3436">
          <cell r="J3436" t="str">
            <v>UK-MYEUPAY-09/2025</v>
          </cell>
          <cell r="K3436" t="str">
            <v>Settled</v>
          </cell>
        </row>
        <row r="3437">
          <cell r="J3437" t="str">
            <v>UK-MYEUPAY-10/2025</v>
          </cell>
          <cell r="K3437" t="str">
            <v>Settled</v>
          </cell>
        </row>
        <row r="3438">
          <cell r="J3438" t="str">
            <v>UK-MYEUPAY-11/2025</v>
          </cell>
          <cell r="K3438" t="str">
            <v>Settled</v>
          </cell>
        </row>
        <row r="3439">
          <cell r="J3439" t="str">
            <v>UK-MYEUPAY-12/2025</v>
          </cell>
          <cell r="K3439" t="str">
            <v>Settled</v>
          </cell>
        </row>
        <row r="3440">
          <cell r="J3440" t="str">
            <v>UK-MYEUPAY-01/2026</v>
          </cell>
          <cell r="K3440" t="str">
            <v>Settled</v>
          </cell>
        </row>
        <row r="3441">
          <cell r="J3441" t="str">
            <v>UK-MYEUPAY-02/2026</v>
          </cell>
          <cell r="K3441" t="str">
            <v>Settled</v>
          </cell>
        </row>
        <row r="3442">
          <cell r="J3442" t="str">
            <v>UK-MYEUPAY-03/2026</v>
          </cell>
          <cell r="K3442" t="str">
            <v>Settled</v>
          </cell>
        </row>
        <row r="3443">
          <cell r="J3443" t="str">
            <v>UK-MYEUPAY-04/2026</v>
          </cell>
          <cell r="K3443" t="str">
            <v>Settled</v>
          </cell>
        </row>
        <row r="3444">
          <cell r="J3444" t="str">
            <v>UK-MYEUPAY-05/2026</v>
          </cell>
          <cell r="K3444" t="str">
            <v>Settled</v>
          </cell>
        </row>
        <row r="3445">
          <cell r="J3445" t="str">
            <v>UK-MY EU PAY LIMITED-11/2022</v>
          </cell>
          <cell r="K3445" t="str">
            <v>Settled</v>
          </cell>
        </row>
        <row r="3446">
          <cell r="J3446" t="str">
            <v>UK-MY EU PAY LIMITED-12/2022</v>
          </cell>
          <cell r="K3446" t="str">
            <v>Settled</v>
          </cell>
        </row>
        <row r="3447">
          <cell r="J3447" t="str">
            <v>UK-MY EU PAY LIMITED-01/2023</v>
          </cell>
          <cell r="K3447" t="str">
            <v>Settled</v>
          </cell>
        </row>
        <row r="3448">
          <cell r="J3448" t="str">
            <v>UK-MYEUPAY-02/2023</v>
          </cell>
          <cell r="K3448" t="str">
            <v>Settled</v>
          </cell>
        </row>
        <row r="3449">
          <cell r="J3449" t="str">
            <v>UK-MYEUPAY-03/2023</v>
          </cell>
          <cell r="K3449" t="str">
            <v>Settled</v>
          </cell>
        </row>
        <row r="3450">
          <cell r="J3450" t="str">
            <v>UK-MYEUPAY-04/2023</v>
          </cell>
          <cell r="K3450" t="str">
            <v>Settled</v>
          </cell>
        </row>
        <row r="3451">
          <cell r="J3451" t="str">
            <v>UK-MYEUPAY-05/2023</v>
          </cell>
          <cell r="K3451" t="str">
            <v>Settled</v>
          </cell>
        </row>
        <row r="3452">
          <cell r="J3452" t="str">
            <v>UK-MYEUPAY-06/2023</v>
          </cell>
          <cell r="K3452" t="str">
            <v>Settled</v>
          </cell>
        </row>
        <row r="3453">
          <cell r="J3453" t="str">
            <v>UK-MYEUPAY-07/2023</v>
          </cell>
          <cell r="K3453" t="str">
            <v>Settled</v>
          </cell>
        </row>
        <row r="3454">
          <cell r="J3454" t="str">
            <v>UK -MYEUPAY-08/2023</v>
          </cell>
          <cell r="K3454" t="str">
            <v>Settled</v>
          </cell>
        </row>
        <row r="3455">
          <cell r="J3455" t="str">
            <v>UK-MYEUPAY-09/2023</v>
          </cell>
          <cell r="K3455" t="str">
            <v>Settled</v>
          </cell>
        </row>
        <row r="3456">
          <cell r="J3456" t="str">
            <v>UK-MYEUPAY-10/2023</v>
          </cell>
          <cell r="K3456" t="str">
            <v>Settled</v>
          </cell>
        </row>
        <row r="3457">
          <cell r="J3457" t="str">
            <v>UK-MYEUPAY-11/2023</v>
          </cell>
          <cell r="K3457" t="str">
            <v>Settled</v>
          </cell>
        </row>
        <row r="3458">
          <cell r="J3458" t="str">
            <v>UK-MYEUPAY-12/2023</v>
          </cell>
          <cell r="K3458" t="str">
            <v>Settled</v>
          </cell>
        </row>
        <row r="3459">
          <cell r="J3459" t="str">
            <v>UK-MYEUPAY-01/2024</v>
          </cell>
          <cell r="K3459" t="str">
            <v>Settled</v>
          </cell>
        </row>
        <row r="3460">
          <cell r="J3460" t="str">
            <v>UK-MYEUPAY-02/2024</v>
          </cell>
          <cell r="K3460" t="str">
            <v>Settled</v>
          </cell>
        </row>
        <row r="3461">
          <cell r="J3461" t="str">
            <v>UK-MYEUPAY-03/2024</v>
          </cell>
          <cell r="K3461" t="str">
            <v>Settled</v>
          </cell>
        </row>
        <row r="3462">
          <cell r="J3462" t="str">
            <v>UK-MYEUPAY-04/2024</v>
          </cell>
          <cell r="K3462" t="str">
            <v>Settled</v>
          </cell>
        </row>
        <row r="3463">
          <cell r="J3463" t="str">
            <v>UK-MYEUPAY-05/2024</v>
          </cell>
          <cell r="K3463" t="str">
            <v>Settled</v>
          </cell>
        </row>
        <row r="3464">
          <cell r="J3464" t="str">
            <v>UK-MYEUPAY-06/2024</v>
          </cell>
          <cell r="K3464" t="str">
            <v>Settled</v>
          </cell>
        </row>
        <row r="3465">
          <cell r="J3465" t="str">
            <v>UK-MYEUPAY-07/2024</v>
          </cell>
          <cell r="K3465" t="str">
            <v>Settled</v>
          </cell>
        </row>
        <row r="3466">
          <cell r="J3466" t="str">
            <v>UK-MYEUPAY-08/2024</v>
          </cell>
          <cell r="K3466" t="str">
            <v>Settled</v>
          </cell>
        </row>
        <row r="3467">
          <cell r="J3467" t="str">
            <v>UK-MYEUPAY-09/2024</v>
          </cell>
          <cell r="K3467" t="str">
            <v>Settled</v>
          </cell>
        </row>
        <row r="3468">
          <cell r="J3468" t="str">
            <v>UK-MYEUPAY-10/2024</v>
          </cell>
          <cell r="K3468" t="str">
            <v>Settled</v>
          </cell>
        </row>
        <row r="3469">
          <cell r="J3469" t="str">
            <v>UK-MYEUPAY-11/2024</v>
          </cell>
          <cell r="K3469" t="str">
            <v>Settled</v>
          </cell>
        </row>
        <row r="3470">
          <cell r="J3470" t="str">
            <v>UK-MYEUPAY-12/2024</v>
          </cell>
          <cell r="K3470" t="str">
            <v>Settled</v>
          </cell>
        </row>
        <row r="3471">
          <cell r="J3471" t="str">
            <v>UK-MYEUPAY-01/2025</v>
          </cell>
          <cell r="K3471" t="str">
            <v>Settled</v>
          </cell>
        </row>
        <row r="3472">
          <cell r="J3472" t="str">
            <v>UK-MYEUPAY-02/2025</v>
          </cell>
          <cell r="K3472" t="str">
            <v>Settled</v>
          </cell>
        </row>
        <row r="3473">
          <cell r="J3473" t="str">
            <v>UK-MYEUPAY-03/2025</v>
          </cell>
          <cell r="K3473" t="str">
            <v>Settled</v>
          </cell>
        </row>
        <row r="3474">
          <cell r="J3474" t="str">
            <v>SG-nauggets technologies pte. Ltd-03/2022</v>
          </cell>
          <cell r="K3474" t="str">
            <v>Settled</v>
          </cell>
        </row>
        <row r="3475">
          <cell r="J3475" t="str">
            <v>SG-nauggets technologies pte. Ltd-04/2022</v>
          </cell>
          <cell r="K3475" t="str">
            <v>Settled</v>
          </cell>
        </row>
        <row r="3476">
          <cell r="J3476" t="str">
            <v>SG-nauggets technologies pte. Ltd-05/2022</v>
          </cell>
          <cell r="K3476" t="str">
            <v>Settled</v>
          </cell>
        </row>
        <row r="3477">
          <cell r="J3477" t="str">
            <v>SG-nauggets technologies pte. Ltd-06/2022</v>
          </cell>
          <cell r="K3477" t="str">
            <v>Settled</v>
          </cell>
        </row>
        <row r="3478">
          <cell r="J3478" t="str">
            <v>SG-nauggets technologies pte. ltd-11/2022</v>
          </cell>
          <cell r="K3478" t="str">
            <v>Settled</v>
          </cell>
        </row>
        <row r="3479">
          <cell r="J3479" t="str">
            <v>SG-nauggets technologies pte. ltd-12/2022</v>
          </cell>
          <cell r="K3479" t="str">
            <v>Settled</v>
          </cell>
        </row>
        <row r="3480">
          <cell r="J3480" t="str">
            <v>SG-nauggets technologies pte. ltd-01/2023</v>
          </cell>
          <cell r="K3480" t="str">
            <v>Settled</v>
          </cell>
        </row>
        <row r="3481">
          <cell r="J3481" t="str">
            <v>SG-nauggets-02/2023</v>
          </cell>
          <cell r="K3481" t="str">
            <v>Settled</v>
          </cell>
        </row>
        <row r="3482">
          <cell r="J3482" t="str">
            <v>SG-nauggets-03/2023</v>
          </cell>
          <cell r="K3482" t="str">
            <v>Settled</v>
          </cell>
        </row>
        <row r="3483">
          <cell r="J3483" t="str">
            <v>EU-NBINT-02/2023</v>
          </cell>
          <cell r="K3483" t="str">
            <v>Settled</v>
          </cell>
        </row>
        <row r="3484">
          <cell r="J3484" t="str">
            <v>EU-NB (International) Limited-01/2023</v>
          </cell>
          <cell r="K3484" t="str">
            <v>Settled</v>
          </cell>
        </row>
        <row r="3485">
          <cell r="J3485" t="str">
            <v>EU-NBINT-03/2023</v>
          </cell>
          <cell r="K3485" t="str">
            <v>Settled</v>
          </cell>
        </row>
        <row r="3486">
          <cell r="J3486" t="str">
            <v>EU -NBINT-08/2023</v>
          </cell>
          <cell r="K3486" t="str">
            <v>Settled</v>
          </cell>
        </row>
        <row r="3487">
          <cell r="J3487" t="str">
            <v>EU-NBINT-10/2023</v>
          </cell>
          <cell r="K3487" t="str">
            <v>Settled</v>
          </cell>
        </row>
        <row r="3488">
          <cell r="J3488" t="str">
            <v>EU-NBINT-09/2023</v>
          </cell>
          <cell r="K3488" t="str">
            <v>Settled</v>
          </cell>
        </row>
        <row r="3489">
          <cell r="J3489" t="str">
            <v>EU-NBINT-01/2024</v>
          </cell>
          <cell r="K3489" t="str">
            <v>Settled</v>
          </cell>
        </row>
        <row r="3490">
          <cell r="J3490" t="str">
            <v>EU-NBINT-02/2024</v>
          </cell>
          <cell r="K3490" t="str">
            <v>Settled</v>
          </cell>
        </row>
        <row r="3491">
          <cell r="J3491" t="str">
            <v>EU-NBINT-03/2024</v>
          </cell>
          <cell r="K3491" t="str">
            <v>Settled</v>
          </cell>
        </row>
        <row r="3492">
          <cell r="J3492" t="str">
            <v>EU-NBINT-06/2024</v>
          </cell>
          <cell r="K3492" t="str">
            <v>Settled</v>
          </cell>
        </row>
        <row r="3493">
          <cell r="J3493" t="str">
            <v>EU-NBINT-07/2024</v>
          </cell>
          <cell r="K3493" t="str">
            <v>Settled</v>
          </cell>
        </row>
        <row r="3494">
          <cell r="J3494" t="str">
            <v>HK-Neat-11/2022</v>
          </cell>
          <cell r="K3494" t="str">
            <v>Settled</v>
          </cell>
        </row>
        <row r="3495">
          <cell r="J3495" t="str">
            <v>HK-neat-CR-11/2022</v>
          </cell>
          <cell r="K3495" t="str">
            <v>Settled</v>
          </cell>
        </row>
        <row r="3496">
          <cell r="J3496" t="str">
            <v>HK-Neat-12/2022</v>
          </cell>
          <cell r="K3496" t="str">
            <v>Settled</v>
          </cell>
        </row>
        <row r="3497">
          <cell r="J3497" t="str">
            <v>HK-Neat-CR-12/2022</v>
          </cell>
          <cell r="K3497" t="str">
            <v>Settled</v>
          </cell>
        </row>
        <row r="3498">
          <cell r="J3498" t="str">
            <v>HK-neat-01/2023</v>
          </cell>
          <cell r="K3498" t="str">
            <v>Settled</v>
          </cell>
        </row>
        <row r="3499">
          <cell r="J3499" t="str">
            <v>HK-neat-CR-01/2023</v>
          </cell>
          <cell r="K3499" t="str">
            <v>Settled</v>
          </cell>
        </row>
        <row r="3500">
          <cell r="J3500" t="str">
            <v>HK-neat-02/2023</v>
          </cell>
          <cell r="K3500" t="str">
            <v>Settled</v>
          </cell>
        </row>
        <row r="3501">
          <cell r="J3501" t="str">
            <v>HK-neat-CR-02/2023</v>
          </cell>
          <cell r="K3501" t="str">
            <v>Settled</v>
          </cell>
        </row>
        <row r="3502">
          <cell r="J3502" t="str">
            <v>HK-neat-03/2023</v>
          </cell>
          <cell r="K3502" t="str">
            <v>Settled</v>
          </cell>
        </row>
        <row r="3503">
          <cell r="J3503" t="str">
            <v>HK-neat-CR-03/2023</v>
          </cell>
          <cell r="K3503" t="str">
            <v>Settled</v>
          </cell>
        </row>
        <row r="3504">
          <cell r="J3504" t="str">
            <v>HK-neat-05/2023</v>
          </cell>
          <cell r="K3504" t="str">
            <v>Settled</v>
          </cell>
        </row>
        <row r="3505">
          <cell r="J3505" t="str">
            <v>HK-neat-CR-05/2023</v>
          </cell>
          <cell r="K3505" t="str">
            <v>Settled</v>
          </cell>
        </row>
        <row r="3506">
          <cell r="J3506" t="str">
            <v>SG-netcents technology inc.-11/2022</v>
          </cell>
          <cell r="K3506" t="str">
            <v>Settled</v>
          </cell>
        </row>
        <row r="3507">
          <cell r="J3507" t="str">
            <v>SG-netcents technology inc.-12/2022</v>
          </cell>
          <cell r="K3507" t="str">
            <v>Settled</v>
          </cell>
        </row>
        <row r="3508">
          <cell r="J3508" t="str">
            <v>SG-netcents technology inc.-01/2023</v>
          </cell>
          <cell r="K3508" t="str">
            <v>Settled</v>
          </cell>
        </row>
        <row r="3509">
          <cell r="J3509" t="str">
            <v>SG-netcents-02/2023</v>
          </cell>
          <cell r="K3509" t="str">
            <v>Settled</v>
          </cell>
        </row>
        <row r="3510">
          <cell r="J3510" t="str">
            <v>SG-netcents-03/2023</v>
          </cell>
          <cell r="K3510" t="str">
            <v>Settled</v>
          </cell>
        </row>
        <row r="3511">
          <cell r="J3511" t="str">
            <v>SG-netcents-04/2023</v>
          </cell>
          <cell r="K3511" t="str">
            <v>Settled</v>
          </cell>
        </row>
        <row r="3512">
          <cell r="J3512" t="str">
            <v>SG-netcents-05/2023</v>
          </cell>
          <cell r="K3512" t="str">
            <v>Settled</v>
          </cell>
        </row>
        <row r="3513">
          <cell r="J3513" t="str">
            <v>SG-netcents-06/2023</v>
          </cell>
          <cell r="K3513" t="str">
            <v>Settled</v>
          </cell>
        </row>
        <row r="3514">
          <cell r="J3514" t="str">
            <v>SG-netcents-07/2023</v>
          </cell>
          <cell r="K3514" t="str">
            <v>Settled</v>
          </cell>
        </row>
        <row r="3515">
          <cell r="J3515" t="str">
            <v>SG -netcents-08/2023</v>
          </cell>
          <cell r="K3515" t="str">
            <v>Settled</v>
          </cell>
        </row>
        <row r="3516">
          <cell r="J3516" t="str">
            <v>SG-netcents-09/2023</v>
          </cell>
          <cell r="K3516" t="str">
            <v>Settled</v>
          </cell>
        </row>
        <row r="3517">
          <cell r="J3517" t="str">
            <v>SG-netcents-10/2023</v>
          </cell>
          <cell r="K3517" t="str">
            <v>Settled</v>
          </cell>
        </row>
        <row r="3518">
          <cell r="J3518" t="str">
            <v>SG-netcents-11/2023</v>
          </cell>
          <cell r="K3518" t="str">
            <v>Settled</v>
          </cell>
        </row>
        <row r="3519">
          <cell r="J3519" t="str">
            <v>SG-netcents-12/2023</v>
          </cell>
          <cell r="K3519" t="str">
            <v>Settled</v>
          </cell>
        </row>
        <row r="3520">
          <cell r="J3520" t="str">
            <v>SG-netcents-01/2024</v>
          </cell>
          <cell r="K3520" t="str">
            <v>Settled</v>
          </cell>
        </row>
        <row r="3521">
          <cell r="J3521" t="str">
            <v>SG-netcents-02/2024</v>
          </cell>
          <cell r="K3521" t="str">
            <v>Settled</v>
          </cell>
        </row>
        <row r="3522">
          <cell r="J3522" t="str">
            <v>SG-netcents-03/2024</v>
          </cell>
          <cell r="K3522" t="str">
            <v>Settled</v>
          </cell>
        </row>
        <row r="3523">
          <cell r="J3523" t="str">
            <v>SG-netcents-04/2024</v>
          </cell>
          <cell r="K3523" t="str">
            <v>Settled</v>
          </cell>
        </row>
        <row r="3524">
          <cell r="J3524" t="str">
            <v>SG-CN-netcents-04-2024</v>
          </cell>
          <cell r="K3524" t="str">
            <v>Settled</v>
          </cell>
        </row>
        <row r="3525">
          <cell r="J3525" t="str">
            <v>SG-new horizon global trading-12/2022</v>
          </cell>
          <cell r="K3525" t="str">
            <v>Settled</v>
          </cell>
        </row>
        <row r="3526">
          <cell r="J3526" t="str">
            <v>SG-new horizon global trading-01/2023</v>
          </cell>
          <cell r="K3526" t="str">
            <v>Settled</v>
          </cell>
        </row>
        <row r="3527">
          <cell r="J3527" t="str">
            <v>SG-newhorizon-02/2023</v>
          </cell>
          <cell r="K3527" t="str">
            <v>Settled</v>
          </cell>
        </row>
        <row r="3528">
          <cell r="J3528" t="str">
            <v>SG-newhorizon-03/2023</v>
          </cell>
          <cell r="K3528" t="str">
            <v>Settled</v>
          </cell>
        </row>
        <row r="3529">
          <cell r="J3529" t="str">
            <v>SG-newhorizon-04/2023</v>
          </cell>
          <cell r="K3529" t="str">
            <v>Settled</v>
          </cell>
        </row>
        <row r="3530">
          <cell r="J3530" t="str">
            <v>SG-newhorizon-05/2023</v>
          </cell>
          <cell r="K3530" t="str">
            <v>Settled</v>
          </cell>
        </row>
        <row r="3531">
          <cell r="J3531" t="str">
            <v>SG-newhorizon-06/2023</v>
          </cell>
          <cell r="K3531" t="str">
            <v>Settled</v>
          </cell>
        </row>
        <row r="3532">
          <cell r="J3532" t="str">
            <v>SG-newhorizon-07/2023</v>
          </cell>
          <cell r="K3532" t="str">
            <v>Settled</v>
          </cell>
        </row>
        <row r="3533">
          <cell r="J3533" t="str">
            <v>SG -newhorizon-08/2023</v>
          </cell>
          <cell r="K3533" t="str">
            <v>Settled</v>
          </cell>
        </row>
        <row r="3534">
          <cell r="J3534" t="str">
            <v>SG-newhorizon-09/2023</v>
          </cell>
          <cell r="K3534" t="str">
            <v>Settled</v>
          </cell>
        </row>
        <row r="3535">
          <cell r="J3535" t="str">
            <v>SG-new horizon global-11/2022</v>
          </cell>
          <cell r="K3535" t="str">
            <v>Settled</v>
          </cell>
        </row>
        <row r="3536">
          <cell r="J3536" t="str">
            <v>SG-New Retail International Pte. Ltd.-12/2022</v>
          </cell>
          <cell r="K3536" t="str">
            <v>Settled</v>
          </cell>
        </row>
        <row r="3537">
          <cell r="J3537" t="str">
            <v>SG-New Retail International Pte. Ltd.-01/2023</v>
          </cell>
          <cell r="K3537" t="str">
            <v>Settled</v>
          </cell>
        </row>
        <row r="3538">
          <cell r="J3538" t="str">
            <v>SG-NewRetailInt-02/2023</v>
          </cell>
          <cell r="K3538" t="str">
            <v>Waived Off</v>
          </cell>
        </row>
        <row r="3539">
          <cell r="J3539" t="str">
            <v>SG-NewRetailInt-03/2023</v>
          </cell>
          <cell r="K3539" t="str">
            <v>Waived Off</v>
          </cell>
        </row>
        <row r="3540">
          <cell r="J3540" t="str">
            <v>SG-NewRetailInt-03/2023</v>
          </cell>
          <cell r="K3540" t="str">
            <v>Settled</v>
          </cell>
        </row>
        <row r="3541">
          <cell r="J3541" t="str">
            <v>SG-NewretailInt/ptwebuy-04/2023</v>
          </cell>
          <cell r="K3541" t="str">
            <v>Waived Off</v>
          </cell>
        </row>
        <row r="3542">
          <cell r="J3542" t="str">
            <v>SG-NewRetailInt-05/2023</v>
          </cell>
          <cell r="K3542" t="str">
            <v>Waived Off</v>
          </cell>
        </row>
        <row r="3543">
          <cell r="J3543" t="str">
            <v>SG-NewRetailInt-06/2023</v>
          </cell>
          <cell r="K3543" t="str">
            <v>Waived Off</v>
          </cell>
        </row>
        <row r="3544">
          <cell r="J3544" t="str">
            <v>SG-NewRetailInt-04/2023</v>
          </cell>
          <cell r="K3544" t="str">
            <v>Settled</v>
          </cell>
        </row>
        <row r="3545">
          <cell r="J3545" t="str">
            <v>SG-NewRetailInt-05/2023</v>
          </cell>
          <cell r="K3545" t="str">
            <v>Settled</v>
          </cell>
        </row>
        <row r="3546">
          <cell r="J3546" t="str">
            <v>SG-NewRetailInt-07/2023</v>
          </cell>
          <cell r="K3546" t="str">
            <v>Settled</v>
          </cell>
        </row>
        <row r="3547">
          <cell r="J3547" t="str">
            <v>SG -NewRetailInt-08/2023</v>
          </cell>
          <cell r="K3547" t="str">
            <v>Settled</v>
          </cell>
        </row>
        <row r="3548">
          <cell r="J3548" t="str">
            <v>SG-NewRetailInt-09/2023</v>
          </cell>
          <cell r="K3548" t="str">
            <v>Settled</v>
          </cell>
        </row>
        <row r="3549">
          <cell r="J3549" t="str">
            <v>SG-NewRetailInt-10/2023</v>
          </cell>
          <cell r="K3549" t="str">
            <v>Settled</v>
          </cell>
        </row>
        <row r="3550">
          <cell r="J3550" t="str">
            <v>SG-NewRetailInt-11/2023</v>
          </cell>
          <cell r="K3550" t="str">
            <v>Settled</v>
          </cell>
        </row>
        <row r="3551">
          <cell r="J3551" t="str">
            <v>SG-NewRetailInt-02/2023</v>
          </cell>
          <cell r="K3551" t="str">
            <v>Settled</v>
          </cell>
        </row>
        <row r="3552">
          <cell r="J3552" t="str">
            <v>AU -Nexpay-12/2023</v>
          </cell>
          <cell r="K3552" t="str">
            <v>Settled</v>
          </cell>
        </row>
        <row r="3553">
          <cell r="J3553" t="str">
            <v>AU-Nexpay-12/2023</v>
          </cell>
          <cell r="K3553" t="str">
            <v>Settled</v>
          </cell>
        </row>
        <row r="3554">
          <cell r="J3554" t="str">
            <v>AU-Nexpay-01/2024</v>
          </cell>
          <cell r="K3554" t="str">
            <v>Settled</v>
          </cell>
        </row>
        <row r="3555">
          <cell r="J3555" t="str">
            <v>AU-Nexpay-02/2024</v>
          </cell>
          <cell r="K3555" t="str">
            <v>Settled</v>
          </cell>
        </row>
        <row r="3556">
          <cell r="J3556" t="str">
            <v>AU-Nexpay-03/2024</v>
          </cell>
          <cell r="K3556" t="str">
            <v>Settled</v>
          </cell>
        </row>
        <row r="3557">
          <cell r="J3557" t="str">
            <v>AU-Nexpay-04/2024</v>
          </cell>
          <cell r="K3557" t="str">
            <v>Settled</v>
          </cell>
        </row>
        <row r="3558">
          <cell r="J3558" t="str">
            <v>AU-Nexpay-05/2024</v>
          </cell>
          <cell r="K3558" t="str">
            <v>Settled</v>
          </cell>
        </row>
        <row r="3559">
          <cell r="J3559" t="str">
            <v>AU-Nexpay-06/2024</v>
          </cell>
          <cell r="K3559" t="str">
            <v>Settled</v>
          </cell>
        </row>
        <row r="3560">
          <cell r="J3560" t="str">
            <v>AU-Nexpay-07/2024</v>
          </cell>
          <cell r="K3560" t="str">
            <v>Settled</v>
          </cell>
        </row>
        <row r="3561">
          <cell r="J3561" t="str">
            <v>AU-Nexpay-08/2024</v>
          </cell>
          <cell r="K3561" t="str">
            <v>Settled</v>
          </cell>
        </row>
        <row r="3562">
          <cell r="J3562" t="str">
            <v>AU-Nexpay-09/2024</v>
          </cell>
          <cell r="K3562" t="str">
            <v>Settled</v>
          </cell>
        </row>
        <row r="3563">
          <cell r="J3563" t="str">
            <v>AU-CN-Nexpay-09-2024</v>
          </cell>
          <cell r="K3563" t="str">
            <v>Settled</v>
          </cell>
        </row>
        <row r="3564">
          <cell r="J3564" t="str">
            <v>AU-Nexpay-10/2024</v>
          </cell>
          <cell r="K3564" t="str">
            <v>Settled</v>
          </cell>
        </row>
        <row r="3565">
          <cell r="J3565" t="str">
            <v>AU-Nexpay-11/2024</v>
          </cell>
          <cell r="K3565" t="str">
            <v>Settled</v>
          </cell>
        </row>
        <row r="3566">
          <cell r="J3566" t="str">
            <v>AU-Nexpay-12/2024</v>
          </cell>
          <cell r="K3566" t="str">
            <v>Settled</v>
          </cell>
        </row>
        <row r="3567">
          <cell r="J3567" t="str">
            <v>AU-Nexpay-01/2025</v>
          </cell>
          <cell r="K3567" t="str">
            <v>Settled</v>
          </cell>
        </row>
        <row r="3568">
          <cell r="J3568" t="str">
            <v>AU-Nexpay-02/2025</v>
          </cell>
          <cell r="K3568" t="str">
            <v>Settled</v>
          </cell>
        </row>
        <row r="3569">
          <cell r="J3569" t="str">
            <v>AU-Nexpay-03/2025</v>
          </cell>
          <cell r="K3569" t="str">
            <v>Settled</v>
          </cell>
        </row>
        <row r="3570">
          <cell r="J3570" t="str">
            <v>AU-Nexpay-04/2025</v>
          </cell>
          <cell r="K3570" t="str">
            <v>Settled</v>
          </cell>
        </row>
        <row r="3571">
          <cell r="J3571" t="str">
            <v>AU-Nexpay-05/2025</v>
          </cell>
          <cell r="K3571" t="str">
            <v>Settled</v>
          </cell>
        </row>
        <row r="3572">
          <cell r="J3572" t="str">
            <v>AU-Nexpay-06/2025</v>
          </cell>
          <cell r="K3572" t="str">
            <v>Settled</v>
          </cell>
        </row>
        <row r="3573">
          <cell r="J3573" t="str">
            <v>AU-Nexpay-07/2025</v>
          </cell>
          <cell r="K3573" t="str">
            <v>Settled</v>
          </cell>
        </row>
        <row r="3574">
          <cell r="J3574" t="str">
            <v>AU-Nexpay-08/2025</v>
          </cell>
          <cell r="K3574" t="str">
            <v>Settled</v>
          </cell>
        </row>
        <row r="3575">
          <cell r="J3575" t="str">
            <v>AU-Nexpay-09/2025</v>
          </cell>
          <cell r="K3575" t="str">
            <v>Settled</v>
          </cell>
        </row>
        <row r="3576">
          <cell r="J3576" t="str">
            <v>AU-CN-Nexpay-10-2025</v>
          </cell>
          <cell r="K3576" t="str">
            <v>Settled</v>
          </cell>
        </row>
        <row r="3577">
          <cell r="J3577" t="str">
            <v>AU-Nexpay-10/2025</v>
          </cell>
          <cell r="K3577" t="str">
            <v>Settled</v>
          </cell>
        </row>
        <row r="3578">
          <cell r="J3578" t="str">
            <v>AU-Nexpay-11/2025</v>
          </cell>
          <cell r="K3578" t="str">
            <v>Settled</v>
          </cell>
        </row>
        <row r="3579">
          <cell r="J3579" t="str">
            <v>AU-Nexpay-12/2025</v>
          </cell>
          <cell r="K3579" t="str">
            <v>Settled</v>
          </cell>
        </row>
        <row r="3580">
          <cell r="J3580" t="str">
            <v>AU-Nexpay-01/2026</v>
          </cell>
          <cell r="K3580" t="str">
            <v>Settled</v>
          </cell>
        </row>
        <row r="3581">
          <cell r="J3581" t="str">
            <v>AU-Nexpay-02/2026</v>
          </cell>
          <cell r="K3581" t="str">
            <v>Settled</v>
          </cell>
        </row>
        <row r="3582">
          <cell r="J3582" t="str">
            <v>AU-Nexpay-03/2026</v>
          </cell>
          <cell r="K3582" t="str">
            <v>Settled</v>
          </cell>
        </row>
        <row r="3583">
          <cell r="J3583" t="str">
            <v>AU-Nexpay-04/2026</v>
          </cell>
          <cell r="K3583" t="str">
            <v>Settled</v>
          </cell>
        </row>
        <row r="3584">
          <cell r="J3584" t="str">
            <v>AU-Nexpay-05/2026</v>
          </cell>
          <cell r="K3584" t="str">
            <v>Settled</v>
          </cell>
        </row>
        <row r="3585">
          <cell r="J3585" t="str">
            <v>HK -Aruba Transfer (HK) Limited-11/2022</v>
          </cell>
          <cell r="K3585" t="str">
            <v>Settled</v>
          </cell>
        </row>
        <row r="3586">
          <cell r="J3586" t="str">
            <v>HK-9 Lions Gate Limited-12/2022</v>
          </cell>
          <cell r="K3586" t="str">
            <v>Settled</v>
          </cell>
        </row>
        <row r="3587">
          <cell r="J3587" t="str">
            <v>HK-9 Lions Gate Limited-01/2023</v>
          </cell>
          <cell r="K3587" t="str">
            <v>Settled</v>
          </cell>
        </row>
        <row r="3588">
          <cell r="J3588" t="str">
            <v>HK-9Lions-02/2023</v>
          </cell>
          <cell r="K3588" t="str">
            <v>Settled</v>
          </cell>
        </row>
        <row r="3589">
          <cell r="J3589" t="str">
            <v>SG-Nityo-07/2022</v>
          </cell>
          <cell r="K3589" t="str">
            <v>Settled</v>
          </cell>
        </row>
        <row r="3590">
          <cell r="J3590" t="str">
            <v>SG-Nityo-10/2022</v>
          </cell>
          <cell r="K3590" t="str">
            <v>Settled</v>
          </cell>
        </row>
        <row r="3591">
          <cell r="J3591" t="str">
            <v>SG-SG-Nityo infotech services-11/2022</v>
          </cell>
          <cell r="K3591" t="str">
            <v>Settled</v>
          </cell>
        </row>
        <row r="3592">
          <cell r="J3592" t="str">
            <v>SG-nityo infotech services-12/2022</v>
          </cell>
          <cell r="K3592" t="str">
            <v>Settled</v>
          </cell>
        </row>
        <row r="3593">
          <cell r="J3593" t="str">
            <v>SG-nityo infotech services-01/2023</v>
          </cell>
          <cell r="K3593" t="str">
            <v>Settled</v>
          </cell>
        </row>
        <row r="3594">
          <cell r="J3594" t="str">
            <v>SG-nityo-06/2023</v>
          </cell>
          <cell r="K3594" t="str">
            <v>Settled</v>
          </cell>
        </row>
        <row r="3595">
          <cell r="J3595" t="str">
            <v>SG-nityo-07/2023</v>
          </cell>
          <cell r="K3595" t="str">
            <v>Settled</v>
          </cell>
        </row>
        <row r="3596">
          <cell r="J3596" t="str">
            <v>SG -nityo-08/2023</v>
          </cell>
          <cell r="K3596" t="str">
            <v>Settled</v>
          </cell>
        </row>
        <row r="3597">
          <cell r="J3597" t="str">
            <v>SG-nityo-02/2023</v>
          </cell>
          <cell r="K3597" t="str">
            <v>Settled</v>
          </cell>
        </row>
        <row r="3598">
          <cell r="J3598" t="str">
            <v>SG-nityo-03/2023</v>
          </cell>
          <cell r="K3598" t="str">
            <v>Settled</v>
          </cell>
        </row>
        <row r="3599">
          <cell r="J3599" t="str">
            <v>SG-nityo-04/2023</v>
          </cell>
          <cell r="K3599" t="str">
            <v>Settled</v>
          </cell>
        </row>
        <row r="3600">
          <cell r="J3600" t="str">
            <v>SG-nityo-05/2023</v>
          </cell>
          <cell r="K3600" t="str">
            <v>Settled</v>
          </cell>
        </row>
        <row r="3601">
          <cell r="J3601" t="str">
            <v>SG-nityo-09/2023-Pro rata</v>
          </cell>
          <cell r="K3601" t="str">
            <v>Settled</v>
          </cell>
        </row>
        <row r="3602">
          <cell r="J3602" t="str">
            <v>SG-nityo-09/2023</v>
          </cell>
          <cell r="K3602" t="str">
            <v>Settled</v>
          </cell>
        </row>
        <row r="3603">
          <cell r="J3603" t="str">
            <v>SG-nityo-10/2023</v>
          </cell>
          <cell r="K3603" t="str">
            <v>Settled</v>
          </cell>
        </row>
        <row r="3604">
          <cell r="J3604" t="str">
            <v>SG-nityo-11/2023</v>
          </cell>
          <cell r="K3604" t="str">
            <v>Settled</v>
          </cell>
        </row>
        <row r="3605">
          <cell r="J3605" t="str">
            <v>SG-nityo-12/2023</v>
          </cell>
          <cell r="K3605" t="str">
            <v>Settled</v>
          </cell>
        </row>
        <row r="3606">
          <cell r="J3606" t="str">
            <v>SG-nityo-01/2024</v>
          </cell>
          <cell r="K3606" t="str">
            <v>Settled</v>
          </cell>
        </row>
        <row r="3607">
          <cell r="J3607" t="str">
            <v>SG-nityo-02/2024</v>
          </cell>
          <cell r="K3607" t="str">
            <v>Settled</v>
          </cell>
        </row>
        <row r="3608">
          <cell r="J3608" t="str">
            <v>SG-nityo-03/2024</v>
          </cell>
          <cell r="K3608" t="str">
            <v>Settled</v>
          </cell>
        </row>
        <row r="3609">
          <cell r="J3609" t="str">
            <v>SG-nityo-04/2024</v>
          </cell>
          <cell r="K3609" t="str">
            <v>Settled</v>
          </cell>
        </row>
        <row r="3610">
          <cell r="J3610" t="str">
            <v>SG-nityo-05/2024</v>
          </cell>
          <cell r="K3610" t="str">
            <v>Settled</v>
          </cell>
        </row>
        <row r="3611">
          <cell r="J3611" t="str">
            <v>SG-nityo-06/2024</v>
          </cell>
          <cell r="K3611" t="str">
            <v>Settled</v>
          </cell>
        </row>
        <row r="3612">
          <cell r="J3612" t="str">
            <v>SG-nityo-07/2024</v>
          </cell>
          <cell r="K3612" t="str">
            <v>Settled</v>
          </cell>
        </row>
        <row r="3613">
          <cell r="J3613" t="str">
            <v>SG-nityo-08/2024</v>
          </cell>
          <cell r="K3613" t="str">
            <v>Settled</v>
          </cell>
        </row>
        <row r="3614">
          <cell r="J3614" t="str">
            <v>SG-nityo-09/2024</v>
          </cell>
          <cell r="K3614" t="str">
            <v>Settled</v>
          </cell>
        </row>
        <row r="3615">
          <cell r="J3615" t="str">
            <v>SG-nityo-10/2024</v>
          </cell>
          <cell r="K3615" t="str">
            <v>Settled</v>
          </cell>
        </row>
        <row r="3616">
          <cell r="J3616" t="str">
            <v>SG-nityo-11/2024</v>
          </cell>
          <cell r="K3616" t="str">
            <v>Settled</v>
          </cell>
        </row>
        <row r="3617">
          <cell r="J3617" t="str">
            <v>SG-nityo-12/2024</v>
          </cell>
          <cell r="K3617" t="str">
            <v>Settled</v>
          </cell>
        </row>
        <row r="3618">
          <cell r="J3618" t="str">
            <v>SG-nityo-01/2025</v>
          </cell>
          <cell r="K3618" t="str">
            <v>Settled</v>
          </cell>
        </row>
        <row r="3619">
          <cell r="J3619" t="str">
            <v>SG-nityo-02/2025</v>
          </cell>
          <cell r="K3619" t="str">
            <v>Settled</v>
          </cell>
        </row>
        <row r="3620">
          <cell r="J3620" t="str">
            <v>SG-nityo-03/2025</v>
          </cell>
          <cell r="K3620" t="str">
            <v>Settled</v>
          </cell>
        </row>
        <row r="3621">
          <cell r="J3621" t="str">
            <v>SG-nityo-04/2025</v>
          </cell>
          <cell r="K3621" t="str">
            <v>Settled</v>
          </cell>
        </row>
        <row r="3622">
          <cell r="J3622" t="str">
            <v>SG-nityo-05/2025</v>
          </cell>
          <cell r="K3622" t="str">
            <v>Settled</v>
          </cell>
        </row>
        <row r="3623">
          <cell r="J3623" t="str">
            <v>SG-nityo-06/2025</v>
          </cell>
          <cell r="K3623" t="str">
            <v>Settled</v>
          </cell>
        </row>
        <row r="3624">
          <cell r="J3624" t="str">
            <v>SG-nityo-07/2025</v>
          </cell>
          <cell r="K3624" t="str">
            <v>Settled</v>
          </cell>
        </row>
        <row r="3625">
          <cell r="J3625" t="str">
            <v>SG-nityo-08/2025</v>
          </cell>
          <cell r="K3625" t="str">
            <v>Settled</v>
          </cell>
        </row>
        <row r="3626">
          <cell r="J3626" t="str">
            <v>SG-nityo-09/2025</v>
          </cell>
          <cell r="K3626" t="str">
            <v>Settled</v>
          </cell>
        </row>
        <row r="3627">
          <cell r="J3627" t="str">
            <v>SG-nityo-10/2025</v>
          </cell>
          <cell r="K3627" t="str">
            <v>Settled</v>
          </cell>
        </row>
        <row r="3628">
          <cell r="J3628" t="str">
            <v>SG-nityo-11/2025</v>
          </cell>
          <cell r="K3628" t="str">
            <v>Settled</v>
          </cell>
        </row>
        <row r="3629">
          <cell r="J3629" t="str">
            <v>SG-nityo-12/2025</v>
          </cell>
          <cell r="K3629" t="str">
            <v>Settled</v>
          </cell>
        </row>
        <row r="3630">
          <cell r="J3630" t="str">
            <v>SG-nityo-01/2026</v>
          </cell>
          <cell r="K3630" t="str">
            <v>Settled</v>
          </cell>
        </row>
        <row r="3631">
          <cell r="J3631" t="str">
            <v>SG-nityo-02/2026</v>
          </cell>
          <cell r="K3631" t="str">
            <v>Settled</v>
          </cell>
        </row>
        <row r="3632">
          <cell r="J3632" t="str">
            <v>SG-nityo-03/2026</v>
          </cell>
          <cell r="K3632" t="str">
            <v>Settled</v>
          </cell>
        </row>
        <row r="3633">
          <cell r="J3633" t="str">
            <v>SG-nityo-04/2026</v>
          </cell>
          <cell r="K3633" t="str">
            <v>Settled</v>
          </cell>
        </row>
        <row r="3634">
          <cell r="J3634" t="str">
            <v>SG-nityo-05/2026</v>
          </cell>
          <cell r="K3634" t="str">
            <v>Settled</v>
          </cell>
        </row>
        <row r="3635">
          <cell r="J3635" t="str">
            <v>SG-Novelship Pte. Ltd.-12/2022</v>
          </cell>
          <cell r="K3635" t="str">
            <v>Write Off</v>
          </cell>
        </row>
        <row r="3636">
          <cell r="J3636" t="str">
            <v>SG-Novelship-03/2023</v>
          </cell>
          <cell r="K3636" t="str">
            <v>Write Off</v>
          </cell>
        </row>
        <row r="3637">
          <cell r="J3637" t="str">
            <v>SG-Novum Financial Technologies-01/2023</v>
          </cell>
          <cell r="K3637" t="str">
            <v>Settled</v>
          </cell>
        </row>
        <row r="3638">
          <cell r="J3638" t="str">
            <v>SG-NovumFinTech-02/2023</v>
          </cell>
          <cell r="K3638" t="str">
            <v>Settled</v>
          </cell>
        </row>
        <row r="3639">
          <cell r="J3639" t="str">
            <v>SG-NovumFinTech-03/2023</v>
          </cell>
          <cell r="K3639" t="str">
            <v>Settled</v>
          </cell>
        </row>
        <row r="3640">
          <cell r="J3640" t="str">
            <v>SG-NovumFinTech-04/2023</v>
          </cell>
          <cell r="K3640" t="str">
            <v>Settled</v>
          </cell>
        </row>
        <row r="3641">
          <cell r="J3641" t="str">
            <v>SG-NovumFinTech-05/2023</v>
          </cell>
          <cell r="K3641" t="str">
            <v>Settled</v>
          </cell>
        </row>
        <row r="3642">
          <cell r="J3642" t="str">
            <v>SG-NovumFinTech-06/2023</v>
          </cell>
          <cell r="K3642" t="str">
            <v>Settled</v>
          </cell>
        </row>
        <row r="3643">
          <cell r="J3643" t="str">
            <v>SG-NovumFinTech-07/2023</v>
          </cell>
          <cell r="K3643" t="str">
            <v>Settled</v>
          </cell>
        </row>
        <row r="3644">
          <cell r="J3644" t="str">
            <v>SG -NovumFinTech-08/2023</v>
          </cell>
          <cell r="K3644" t="str">
            <v>Settled</v>
          </cell>
        </row>
        <row r="3645">
          <cell r="J3645" t="str">
            <v>SG-NovumFinTech-09/2023</v>
          </cell>
          <cell r="K3645" t="str">
            <v>Settled</v>
          </cell>
        </row>
        <row r="3646">
          <cell r="J3646" t="str">
            <v>SG-NovumFinTech-10/2023</v>
          </cell>
          <cell r="K3646" t="str">
            <v>Settled</v>
          </cell>
        </row>
        <row r="3647">
          <cell r="J3647" t="str">
            <v>SG-NovumFinTech-11/2023</v>
          </cell>
          <cell r="K3647" t="str">
            <v>Settled</v>
          </cell>
        </row>
        <row r="3648">
          <cell r="J3648" t="str">
            <v>SG-NovumFinTech-12/2023</v>
          </cell>
          <cell r="K3648" t="str">
            <v>Settled</v>
          </cell>
        </row>
        <row r="3649">
          <cell r="J3649" t="str">
            <v>SG-NovumFinTech-01/2024</v>
          </cell>
          <cell r="K3649" t="str">
            <v>Settled</v>
          </cell>
        </row>
        <row r="3650">
          <cell r="J3650" t="str">
            <v>SG-NovumFinTech-02/2024</v>
          </cell>
          <cell r="K3650" t="str">
            <v>Settled</v>
          </cell>
        </row>
        <row r="3651">
          <cell r="J3651" t="str">
            <v>SG-NovumFinTech-03/2024</v>
          </cell>
          <cell r="K3651" t="str">
            <v>Settled</v>
          </cell>
        </row>
        <row r="3652">
          <cell r="J3652" t="str">
            <v>SG-NovumFinTech-04/2024</v>
          </cell>
          <cell r="K3652" t="str">
            <v>Settled</v>
          </cell>
        </row>
        <row r="3653">
          <cell r="J3653" t="str">
            <v>SG-NovumFinTech-05/2024</v>
          </cell>
          <cell r="K3653" t="str">
            <v>Settled</v>
          </cell>
        </row>
        <row r="3654">
          <cell r="J3654" t="str">
            <v>SG-NovumFinTech-06/2024</v>
          </cell>
          <cell r="K3654" t="str">
            <v>Settled</v>
          </cell>
        </row>
        <row r="3655">
          <cell r="J3655" t="str">
            <v>SG-NovumFinTech-07/2024</v>
          </cell>
          <cell r="K3655" t="str">
            <v>Settled</v>
          </cell>
        </row>
        <row r="3656">
          <cell r="J3656" t="str">
            <v>SG-NovumFinTech-08/2024</v>
          </cell>
          <cell r="K3656" t="str">
            <v>Settled</v>
          </cell>
        </row>
        <row r="3657">
          <cell r="J3657" t="str">
            <v>SG-NovumFinTech-09/2024</v>
          </cell>
          <cell r="K3657" t="str">
            <v>Settled</v>
          </cell>
        </row>
        <row r="3658">
          <cell r="J3658" t="str">
            <v>SG-NovumFinTech-10/2024</v>
          </cell>
          <cell r="K3658" t="str">
            <v>Settled</v>
          </cell>
        </row>
        <row r="3659">
          <cell r="J3659" t="str">
            <v>SG-NovumFinTech-11/2024</v>
          </cell>
          <cell r="K3659" t="str">
            <v>Settled</v>
          </cell>
        </row>
        <row r="3660">
          <cell r="J3660" t="str">
            <v>SG-NovumFinTech-12/2024</v>
          </cell>
          <cell r="K3660" t="str">
            <v>Settled</v>
          </cell>
        </row>
        <row r="3661">
          <cell r="J3661" t="str">
            <v>SG-NovumFinTech-01/2025</v>
          </cell>
          <cell r="K3661" t="str">
            <v>Settled</v>
          </cell>
        </row>
        <row r="3662">
          <cell r="J3662" t="str">
            <v>SG-NovumFinTech-02/2025</v>
          </cell>
          <cell r="K3662" t="str">
            <v>Settled</v>
          </cell>
        </row>
        <row r="3663">
          <cell r="J3663" t="str">
            <v>SG-NovumFinTech-03/2025</v>
          </cell>
          <cell r="K3663" t="str">
            <v>Settled</v>
          </cell>
        </row>
        <row r="3664">
          <cell r="J3664" t="str">
            <v>SG-NovumFinTech-04/2025</v>
          </cell>
          <cell r="K3664" t="str">
            <v>Settled</v>
          </cell>
        </row>
        <row r="3665">
          <cell r="J3665" t="str">
            <v>SG-NovumFinTech-05/2025</v>
          </cell>
          <cell r="K3665" t="str">
            <v>Settled</v>
          </cell>
        </row>
        <row r="3666">
          <cell r="J3666" t="str">
            <v>SG-NovumFinTech-06/2025</v>
          </cell>
          <cell r="K3666" t="str">
            <v>Settled</v>
          </cell>
        </row>
        <row r="3667">
          <cell r="J3667" t="str">
            <v>SG-NovumFinTech-07/2025</v>
          </cell>
          <cell r="K3667" t="str">
            <v>Settled</v>
          </cell>
        </row>
        <row r="3668">
          <cell r="J3668" t="str">
            <v>SG-NovumFinTech-08/2025</v>
          </cell>
          <cell r="K3668" t="str">
            <v>Settled</v>
          </cell>
        </row>
        <row r="3669">
          <cell r="J3669" t="str">
            <v>SG-NovumFinTech-09/2025</v>
          </cell>
          <cell r="K3669" t="str">
            <v>Settled</v>
          </cell>
        </row>
        <row r="3670">
          <cell r="J3670" t="str">
            <v>SG-NovumFinTech-10/2025</v>
          </cell>
          <cell r="K3670" t="str">
            <v>Settled</v>
          </cell>
        </row>
        <row r="3671">
          <cell r="J3671" t="str">
            <v>SG-NovumFinTech-11/2025</v>
          </cell>
          <cell r="K3671" t="str">
            <v>Settled</v>
          </cell>
        </row>
        <row r="3672">
          <cell r="J3672" t="str">
            <v>SG-NovumFinTech-12/2025</v>
          </cell>
          <cell r="K3672" t="str">
            <v>Settled</v>
          </cell>
        </row>
        <row r="3673">
          <cell r="J3673" t="str">
            <v>SG-NovumFinTech-01/2026</v>
          </cell>
          <cell r="K3673" t="str">
            <v>Settled</v>
          </cell>
        </row>
        <row r="3674">
          <cell r="J3674" t="str">
            <v>SG-NovumFinTech-02/2026</v>
          </cell>
          <cell r="K3674" t="str">
            <v>Settled</v>
          </cell>
        </row>
        <row r="3675">
          <cell r="J3675" t="str">
            <v>SG-NovumFinTech-03/2026</v>
          </cell>
          <cell r="K3675" t="str">
            <v>Settled</v>
          </cell>
        </row>
        <row r="3676">
          <cell r="J3676" t="str">
            <v>SG-NovumFinTech-04/2026</v>
          </cell>
          <cell r="K3676" t="str">
            <v>Settled</v>
          </cell>
        </row>
        <row r="3677">
          <cell r="J3677" t="str">
            <v>SG-NovumFinTech-05/2026</v>
          </cell>
          <cell r="K3677" t="str">
            <v>Settled</v>
          </cell>
        </row>
        <row r="3678">
          <cell r="J3678" t="str">
            <v>SG-nsKnox-09/2023</v>
          </cell>
          <cell r="K3678" t="str">
            <v>Settled</v>
          </cell>
        </row>
        <row r="3679">
          <cell r="J3679" t="str">
            <v>SG-nsKnox-10/2023</v>
          </cell>
          <cell r="K3679" t="str">
            <v>Settled</v>
          </cell>
        </row>
        <row r="3680">
          <cell r="J3680" t="str">
            <v>SG-nsKnox-11/2023</v>
          </cell>
          <cell r="K3680" t="str">
            <v>Settled</v>
          </cell>
        </row>
        <row r="3681">
          <cell r="J3681" t="str">
            <v>SG-nsKnox-12/2023</v>
          </cell>
          <cell r="K3681" t="str">
            <v>Settled</v>
          </cell>
        </row>
        <row r="3682">
          <cell r="J3682" t="str">
            <v>SG-nsKnox-01/2024</v>
          </cell>
          <cell r="K3682" t="str">
            <v>Settled</v>
          </cell>
        </row>
        <row r="3683">
          <cell r="J3683" t="str">
            <v>SG-nsKnox-02-2024</v>
          </cell>
          <cell r="K3683" t="str">
            <v>Settled</v>
          </cell>
        </row>
        <row r="3684">
          <cell r="J3684" t="str">
            <v>SG-nsKnox-02/2024</v>
          </cell>
          <cell r="K3684" t="str">
            <v>Settled</v>
          </cell>
        </row>
        <row r="3685">
          <cell r="J3685" t="str">
            <v>SG-nsKnox-03/2024</v>
          </cell>
          <cell r="K3685" t="str">
            <v>Settled</v>
          </cell>
        </row>
        <row r="3686">
          <cell r="J3686" t="str">
            <v>SG-nsKnox-04/2024</v>
          </cell>
          <cell r="K3686" t="str">
            <v>Settled</v>
          </cell>
        </row>
        <row r="3687">
          <cell r="J3687" t="str">
            <v>SG-nsKnox-05/2024</v>
          </cell>
          <cell r="K3687" t="str">
            <v>Settled</v>
          </cell>
        </row>
        <row r="3688">
          <cell r="J3688" t="str">
            <v>SG-nsKnox-06/2024</v>
          </cell>
          <cell r="K3688" t="str">
            <v>Settled</v>
          </cell>
        </row>
        <row r="3689">
          <cell r="J3689" t="str">
            <v>SG-nsKnox-07/2024</v>
          </cell>
          <cell r="K3689" t="str">
            <v>Settled</v>
          </cell>
        </row>
        <row r="3690">
          <cell r="J3690" t="str">
            <v>SG-nsKnox-08/2024</v>
          </cell>
          <cell r="K3690" t="str">
            <v>Settled</v>
          </cell>
        </row>
        <row r="3691">
          <cell r="J3691" t="str">
            <v>SG-nsKnox-09/2024</v>
          </cell>
          <cell r="K3691" t="str">
            <v>Settled</v>
          </cell>
        </row>
        <row r="3692">
          <cell r="J3692" t="str">
            <v>SG-nsKnox-10/2024</v>
          </cell>
          <cell r="K3692" t="str">
            <v>Settled</v>
          </cell>
        </row>
        <row r="3693">
          <cell r="J3693" t="str">
            <v>SG-nsKnox-11/2024</v>
          </cell>
          <cell r="K3693" t="str">
            <v>Settled</v>
          </cell>
        </row>
        <row r="3694">
          <cell r="J3694" t="str">
            <v>SG-nsKnox-12/2024</v>
          </cell>
          <cell r="K3694" t="str">
            <v>Settled</v>
          </cell>
        </row>
        <row r="3695">
          <cell r="J3695" t="str">
            <v>SG-nsKnox-01/2025</v>
          </cell>
          <cell r="K3695" t="str">
            <v>Settled</v>
          </cell>
        </row>
        <row r="3696">
          <cell r="J3696" t="str">
            <v>SG-nsKnox-02/2025</v>
          </cell>
          <cell r="K3696" t="str">
            <v>Settled</v>
          </cell>
        </row>
        <row r="3697">
          <cell r="J3697" t="str">
            <v>SG-nsKnox-03/2025</v>
          </cell>
          <cell r="K3697" t="str">
            <v>Settled</v>
          </cell>
        </row>
        <row r="3698">
          <cell r="J3698" t="str">
            <v>SG-nsKnox-04/2025</v>
          </cell>
          <cell r="K3698" t="str">
            <v>Settled</v>
          </cell>
        </row>
        <row r="3699">
          <cell r="J3699" t="str">
            <v>SG-nsKnox-05/2025</v>
          </cell>
          <cell r="K3699" t="str">
            <v>Settled</v>
          </cell>
        </row>
        <row r="3700">
          <cell r="J3700" t="str">
            <v>SG-nsKnox-06/2025</v>
          </cell>
          <cell r="K3700" t="str">
            <v>Settled</v>
          </cell>
        </row>
        <row r="3701">
          <cell r="J3701" t="str">
            <v>SG-nsKnox-07/2025</v>
          </cell>
          <cell r="K3701" t="str">
            <v>Settled</v>
          </cell>
        </row>
        <row r="3702">
          <cell r="J3702" t="str">
            <v>SG-nsKnox-08/2025</v>
          </cell>
          <cell r="K3702" t="str">
            <v>Settled</v>
          </cell>
        </row>
        <row r="3703">
          <cell r="J3703" t="str">
            <v>SG-nsKnox-09/2025</v>
          </cell>
          <cell r="K3703" t="str">
            <v>Settled</v>
          </cell>
        </row>
        <row r="3704">
          <cell r="J3704" t="str">
            <v>SG-nsKnox-10/2025</v>
          </cell>
          <cell r="K3704" t="str">
            <v>Settled</v>
          </cell>
        </row>
        <row r="3705">
          <cell r="J3705" t="str">
            <v>SG-nsKnox-11/2025</v>
          </cell>
          <cell r="K3705" t="str">
            <v>Settled</v>
          </cell>
        </row>
        <row r="3706">
          <cell r="J3706" t="str">
            <v>SG-nsKnox-12/2025</v>
          </cell>
          <cell r="K3706" t="str">
            <v>Settled</v>
          </cell>
        </row>
        <row r="3707">
          <cell r="J3707" t="str">
            <v>SG-nsKnox-01/2026</v>
          </cell>
          <cell r="K3707" t="str">
            <v>Settled</v>
          </cell>
        </row>
        <row r="3708">
          <cell r="J3708" t="str">
            <v>SG-nsKnox-02/2026</v>
          </cell>
          <cell r="K3708" t="str">
            <v>Settled</v>
          </cell>
        </row>
        <row r="3709">
          <cell r="J3709" t="str">
            <v>SG-nsKnox-03/2026</v>
          </cell>
          <cell r="K3709" t="str">
            <v>Settled</v>
          </cell>
        </row>
        <row r="3710">
          <cell r="J3710" t="str">
            <v>SG-nsKnox-04/2026</v>
          </cell>
          <cell r="K3710" t="str">
            <v>Settled</v>
          </cell>
        </row>
        <row r="3711">
          <cell r="J3711" t="str">
            <v>SG-nsKnox-05/2026</v>
          </cell>
          <cell r="K3711" t="str">
            <v>Settled</v>
          </cell>
        </row>
        <row r="3712">
          <cell r="J3712" t="str">
            <v>SG-nutrisource pte. ltd.-11/2022</v>
          </cell>
          <cell r="K3712" t="str">
            <v>Settled</v>
          </cell>
        </row>
        <row r="3713">
          <cell r="J3713" t="str">
            <v>SG-nutrisource-12/2022</v>
          </cell>
          <cell r="K3713" t="str">
            <v>Settled</v>
          </cell>
        </row>
        <row r="3714">
          <cell r="J3714" t="str">
            <v>SG-Nuvei-05/2024</v>
          </cell>
          <cell r="K3714" t="str">
            <v>Settled</v>
          </cell>
        </row>
        <row r="3715">
          <cell r="J3715" t="str">
            <v>SG-Nuvei-06/2024</v>
          </cell>
          <cell r="K3715" t="str">
            <v>Settled</v>
          </cell>
        </row>
        <row r="3716">
          <cell r="J3716" t="str">
            <v>SG-Nuvei-07/2024</v>
          </cell>
          <cell r="K3716" t="str">
            <v>Settled</v>
          </cell>
        </row>
        <row r="3717">
          <cell r="J3717" t="str">
            <v>SG-Nuvei-08/2024</v>
          </cell>
          <cell r="K3717" t="str">
            <v>Settled</v>
          </cell>
        </row>
        <row r="3718">
          <cell r="J3718" t="str">
            <v>SG-Nuvei-09/2024</v>
          </cell>
          <cell r="K3718" t="str">
            <v>Settled</v>
          </cell>
        </row>
        <row r="3719">
          <cell r="J3719" t="str">
            <v>SG-Nuvei-10/2024</v>
          </cell>
          <cell r="K3719" t="str">
            <v>Settled</v>
          </cell>
        </row>
        <row r="3720">
          <cell r="J3720" t="str">
            <v>SG-Nuvei-11/2024</v>
          </cell>
          <cell r="K3720" t="str">
            <v>Settled</v>
          </cell>
        </row>
        <row r="3721">
          <cell r="J3721" t="str">
            <v>SG-Nuvei-12/2024</v>
          </cell>
          <cell r="K3721" t="str">
            <v>Settled</v>
          </cell>
        </row>
        <row r="3722">
          <cell r="J3722" t="str">
            <v>SG-Nuvei-01/2025</v>
          </cell>
          <cell r="K3722" t="str">
            <v>Settled</v>
          </cell>
        </row>
        <row r="3723">
          <cell r="J3723" t="str">
            <v>SG-Nuvei-03/2025</v>
          </cell>
          <cell r="K3723" t="str">
            <v>Settled</v>
          </cell>
        </row>
        <row r="3724">
          <cell r="J3724" t="str">
            <v>SG-Nuvei-04/2025</v>
          </cell>
          <cell r="K3724" t="str">
            <v>Settled</v>
          </cell>
        </row>
        <row r="3725">
          <cell r="J3725" t="str">
            <v>SG-Nuvei-05/2025</v>
          </cell>
          <cell r="K3725" t="str">
            <v>Settled</v>
          </cell>
        </row>
        <row r="3726">
          <cell r="J3726" t="str">
            <v>SG-Nuvei-06/2025</v>
          </cell>
          <cell r="K3726" t="str">
            <v>Settled</v>
          </cell>
        </row>
        <row r="3727">
          <cell r="J3727" t="str">
            <v>SG-Nuvei-07/2025</v>
          </cell>
          <cell r="K3727" t="str">
            <v>Settled</v>
          </cell>
        </row>
        <row r="3728">
          <cell r="J3728" t="str">
            <v>SG-Nuvei-08/2025</v>
          </cell>
          <cell r="K3728" t="str">
            <v>Settled</v>
          </cell>
        </row>
        <row r="3729">
          <cell r="J3729" t="str">
            <v>SG-Nuvei-09/2025</v>
          </cell>
          <cell r="K3729" t="str">
            <v>Settled</v>
          </cell>
        </row>
        <row r="3730">
          <cell r="J3730" t="str">
            <v>SG-Nuvei-10/2025</v>
          </cell>
          <cell r="K3730" t="str">
            <v>Settled</v>
          </cell>
        </row>
        <row r="3731">
          <cell r="J3731" t="str">
            <v>SG-Nuvei-11/2025</v>
          </cell>
          <cell r="K3731" t="str">
            <v>Settled</v>
          </cell>
        </row>
        <row r="3732">
          <cell r="J3732" t="str">
            <v>SG-Nuvei-12/2025</v>
          </cell>
          <cell r="K3732" t="str">
            <v>Settled</v>
          </cell>
        </row>
        <row r="3733">
          <cell r="J3733" t="str">
            <v>SG-Nuvei-01/2026</v>
          </cell>
          <cell r="K3733" t="str">
            <v>Settled</v>
          </cell>
        </row>
        <row r="3734">
          <cell r="J3734" t="str">
            <v>SG-Nuvei-02/2026</v>
          </cell>
          <cell r="K3734" t="str">
            <v>Settled</v>
          </cell>
        </row>
        <row r="3735">
          <cell r="J3735" t="str">
            <v>SG-Nuvei-03/2026</v>
          </cell>
          <cell r="K3735" t="str">
            <v>Settled</v>
          </cell>
        </row>
        <row r="3736">
          <cell r="J3736" t="str">
            <v>SG-Nuvei-04/2026</v>
          </cell>
          <cell r="K3736" t="str">
            <v>Settled</v>
          </cell>
        </row>
        <row r="3737">
          <cell r="J3737" t="str">
            <v>SG-Nuvei-05/2026</v>
          </cell>
          <cell r="K3737" t="str">
            <v>Settled</v>
          </cell>
        </row>
        <row r="3738">
          <cell r="J3738" t="str">
            <v>SG-Nuvei-02/2025</v>
          </cell>
          <cell r="K3738" t="str">
            <v>Settled</v>
          </cell>
        </row>
        <row r="3739">
          <cell r="J3739" t="str">
            <v>SG-oceanus group limited-12/2022</v>
          </cell>
          <cell r="K3739" t="str">
            <v>Settled</v>
          </cell>
        </row>
        <row r="3740">
          <cell r="J3740" t="str">
            <v>SG-oceanusgroup-02/2023</v>
          </cell>
          <cell r="K3740" t="str">
            <v>Settled</v>
          </cell>
        </row>
        <row r="3741">
          <cell r="J3741" t="str">
            <v>SG-oceanusgroup-04/2023</v>
          </cell>
          <cell r="K3741" t="str">
            <v>Settled</v>
          </cell>
        </row>
        <row r="3742">
          <cell r="J3742" t="str">
            <v>SG-oceanusgroup-06/2023</v>
          </cell>
          <cell r="K3742" t="str">
            <v>Settled</v>
          </cell>
        </row>
        <row r="3743">
          <cell r="J3743" t="str">
            <v>SG-ocwen-11/2023</v>
          </cell>
          <cell r="K3743" t="str">
            <v>Settled</v>
          </cell>
        </row>
        <row r="3744">
          <cell r="J3744" t="str">
            <v>SG-Ofx-11/2022</v>
          </cell>
          <cell r="K3744" t="str">
            <v>Settled</v>
          </cell>
        </row>
        <row r="3745">
          <cell r="J3745" t="str">
            <v>SG-Ofx-12/2022</v>
          </cell>
          <cell r="K3745" t="str">
            <v>Settled</v>
          </cell>
        </row>
        <row r="3746">
          <cell r="J3746" t="str">
            <v>SG-Ofx-01/2023</v>
          </cell>
          <cell r="K3746" t="str">
            <v>Settled</v>
          </cell>
        </row>
        <row r="3747">
          <cell r="J3747" t="str">
            <v>SG-Ofx-02/2023</v>
          </cell>
          <cell r="K3747" t="str">
            <v>Settled</v>
          </cell>
        </row>
        <row r="3748">
          <cell r="J3748" t="str">
            <v>SG-Ofx-03/2023</v>
          </cell>
          <cell r="K3748" t="str">
            <v>Settled</v>
          </cell>
        </row>
        <row r="3749">
          <cell r="J3749" t="str">
            <v>SG-Ofx-04/2023</v>
          </cell>
          <cell r="K3749" t="str">
            <v>Settled</v>
          </cell>
        </row>
        <row r="3750">
          <cell r="J3750" t="str">
            <v>SG-Ofx-05/2023</v>
          </cell>
          <cell r="K3750" t="str">
            <v>Settled</v>
          </cell>
        </row>
        <row r="3751">
          <cell r="J3751" t="str">
            <v>SG-Ofx-06/2023</v>
          </cell>
          <cell r="K3751" t="str">
            <v>Settled</v>
          </cell>
        </row>
        <row r="3752">
          <cell r="J3752" t="str">
            <v>SG-Ofx-07/2023</v>
          </cell>
          <cell r="K3752" t="str">
            <v>Settled</v>
          </cell>
        </row>
        <row r="3753">
          <cell r="J3753" t="str">
            <v>SG -Ofx-08/2023</v>
          </cell>
          <cell r="K3753" t="str">
            <v>Settled</v>
          </cell>
        </row>
        <row r="3754">
          <cell r="J3754" t="str">
            <v>SG-Ofx-09/2023</v>
          </cell>
          <cell r="K3754" t="str">
            <v>Settled</v>
          </cell>
        </row>
        <row r="3755">
          <cell r="J3755" t="str">
            <v>SG-Ofx-10/2023</v>
          </cell>
          <cell r="K3755" t="str">
            <v>Settled</v>
          </cell>
        </row>
        <row r="3756">
          <cell r="J3756" t="str">
            <v>SG-Ofx-11/2023</v>
          </cell>
          <cell r="K3756" t="str">
            <v>Settled</v>
          </cell>
        </row>
        <row r="3757">
          <cell r="J3757" t="str">
            <v>SG-Ofx-12/2023</v>
          </cell>
          <cell r="K3757" t="str">
            <v>Settled</v>
          </cell>
        </row>
        <row r="3758">
          <cell r="J3758" t="str">
            <v>SG-Ofx-01/2024</v>
          </cell>
          <cell r="K3758" t="str">
            <v>Settled</v>
          </cell>
        </row>
        <row r="3759">
          <cell r="J3759" t="str">
            <v>SG-Ofx-02/2024</v>
          </cell>
          <cell r="K3759" t="str">
            <v>Settled</v>
          </cell>
        </row>
        <row r="3760">
          <cell r="J3760" t="str">
            <v>SG-Ofx-03/2024</v>
          </cell>
          <cell r="K3760" t="str">
            <v>Settled</v>
          </cell>
        </row>
        <row r="3761">
          <cell r="J3761" t="str">
            <v>SG-Ofx-04/2024</v>
          </cell>
          <cell r="K3761" t="str">
            <v>Settled</v>
          </cell>
        </row>
        <row r="3762">
          <cell r="J3762" t="str">
            <v>SG-Ofx-05/2024</v>
          </cell>
          <cell r="K3762" t="str">
            <v>Settled</v>
          </cell>
        </row>
        <row r="3763">
          <cell r="J3763" t="str">
            <v>SG-Ofx-06/2024</v>
          </cell>
          <cell r="K3763" t="str">
            <v>Settled</v>
          </cell>
        </row>
        <row r="3764">
          <cell r="J3764" t="str">
            <v>SG-Ofx-07/2024</v>
          </cell>
          <cell r="K3764" t="str">
            <v>Settled</v>
          </cell>
        </row>
        <row r="3765">
          <cell r="J3765" t="str">
            <v>SG-Ofx-08/2024</v>
          </cell>
          <cell r="K3765" t="str">
            <v>Settled</v>
          </cell>
        </row>
        <row r="3766">
          <cell r="J3766" t="str">
            <v>SG-Ofx-09/2024</v>
          </cell>
          <cell r="K3766" t="str">
            <v>Settled</v>
          </cell>
        </row>
        <row r="3767">
          <cell r="J3767" t="str">
            <v>SG-Ofx-10/2024</v>
          </cell>
          <cell r="K3767" t="str">
            <v>Settled</v>
          </cell>
        </row>
        <row r="3768">
          <cell r="J3768" t="str">
            <v>SG-Ofx-11/2024</v>
          </cell>
          <cell r="K3768" t="str">
            <v>Settled</v>
          </cell>
        </row>
        <row r="3769">
          <cell r="J3769" t="str">
            <v>SG-Ofx-12/2024</v>
          </cell>
          <cell r="K3769" t="str">
            <v>Settled</v>
          </cell>
        </row>
        <row r="3770">
          <cell r="J3770" t="str">
            <v>SG-Ofx-01/2025</v>
          </cell>
          <cell r="K3770" t="str">
            <v>Settled</v>
          </cell>
        </row>
        <row r="3771">
          <cell r="J3771" t="str">
            <v>SG-Ofx-02/2025</v>
          </cell>
          <cell r="K3771" t="str">
            <v>Settled</v>
          </cell>
        </row>
        <row r="3772">
          <cell r="J3772" t="str">
            <v>SG-Ofx-03/2025</v>
          </cell>
          <cell r="K3772" t="str">
            <v>Settled</v>
          </cell>
        </row>
        <row r="3773">
          <cell r="J3773" t="str">
            <v>SG-Ofx-04/2025</v>
          </cell>
          <cell r="K3773" t="str">
            <v>Settled</v>
          </cell>
        </row>
        <row r="3774">
          <cell r="J3774" t="str">
            <v>SG-Ofx-05/2025</v>
          </cell>
          <cell r="K3774" t="str">
            <v>Settled</v>
          </cell>
        </row>
        <row r="3775">
          <cell r="J3775" t="str">
            <v>SG-Ofx-06/2025</v>
          </cell>
          <cell r="K3775" t="str">
            <v>Settled</v>
          </cell>
        </row>
        <row r="3776">
          <cell r="J3776" t="str">
            <v>SG-Ofx-07/2025</v>
          </cell>
          <cell r="K3776" t="str">
            <v>Settled</v>
          </cell>
        </row>
        <row r="3777">
          <cell r="J3777" t="str">
            <v>SG-Ofx-08/2025</v>
          </cell>
          <cell r="K3777" t="str">
            <v>Settled</v>
          </cell>
        </row>
        <row r="3778">
          <cell r="J3778" t="str">
            <v>SG-Ofx-09/2025</v>
          </cell>
          <cell r="K3778" t="str">
            <v>Settled</v>
          </cell>
        </row>
        <row r="3779">
          <cell r="J3779" t="str">
            <v>SG-Ofx-10/2025</v>
          </cell>
          <cell r="K3779" t="str">
            <v>Settled</v>
          </cell>
        </row>
        <row r="3780">
          <cell r="J3780" t="str">
            <v>SG-Ofx-11/2025</v>
          </cell>
          <cell r="K3780" t="str">
            <v>Settled</v>
          </cell>
        </row>
        <row r="3781">
          <cell r="J3781" t="str">
            <v>SG-Ofx-12/2025</v>
          </cell>
          <cell r="K3781" t="str">
            <v>Settled</v>
          </cell>
        </row>
        <row r="3782">
          <cell r="J3782" t="str">
            <v>SG-Ofx-01/2026</v>
          </cell>
          <cell r="K3782" t="str">
            <v>Settled</v>
          </cell>
        </row>
        <row r="3783">
          <cell r="J3783" t="str">
            <v>SG-Ofx-02/2026</v>
          </cell>
          <cell r="K3783" t="str">
            <v>Settled</v>
          </cell>
        </row>
        <row r="3784">
          <cell r="J3784" t="str">
            <v>SG-Ofx-03/2026</v>
          </cell>
          <cell r="K3784" t="str">
            <v>Settled</v>
          </cell>
        </row>
        <row r="3785">
          <cell r="J3785" t="str">
            <v>SG-Ofx-04/2026</v>
          </cell>
          <cell r="K3785" t="str">
            <v>Settled</v>
          </cell>
        </row>
        <row r="3786">
          <cell r="J3786" t="str">
            <v>SG-Ofx-05/2026</v>
          </cell>
          <cell r="K3786" t="str">
            <v>Settled</v>
          </cell>
        </row>
        <row r="3787">
          <cell r="J3787" t="str">
            <v>SG-Om Distribuidora-09/2023</v>
          </cell>
          <cell r="K3787" t="str">
            <v>Settled</v>
          </cell>
        </row>
        <row r="3788">
          <cell r="J3788" t="str">
            <v>SG -Om Distribuidora-10/2023</v>
          </cell>
          <cell r="K3788" t="str">
            <v>Settled</v>
          </cell>
        </row>
        <row r="3789">
          <cell r="J3789" t="str">
            <v>SG-Om Distribuidora-10/2023</v>
          </cell>
          <cell r="K3789" t="str">
            <v>Settled</v>
          </cell>
        </row>
        <row r="3790">
          <cell r="J3790" t="str">
            <v>SG-Om Distribuidora-11/2023</v>
          </cell>
          <cell r="K3790" t="str">
            <v>Settled</v>
          </cell>
        </row>
        <row r="3791">
          <cell r="J3791" t="str">
            <v>SG-Om Distribuidora-12/2023</v>
          </cell>
          <cell r="K3791" t="str">
            <v>Settled</v>
          </cell>
        </row>
        <row r="3792">
          <cell r="J3792" t="str">
            <v>SG-Om Distribuidora-01/2024</v>
          </cell>
          <cell r="K3792" t="str">
            <v>Settled</v>
          </cell>
        </row>
        <row r="3793">
          <cell r="J3793" t="str">
            <v>SG-Om Distribuidora-02/2024</v>
          </cell>
          <cell r="K3793" t="str">
            <v>Settled</v>
          </cell>
        </row>
        <row r="3794">
          <cell r="J3794" t="str">
            <v>SG-Om Distribuidora-03/2024</v>
          </cell>
          <cell r="K3794" t="str">
            <v>Settled</v>
          </cell>
        </row>
        <row r="3795">
          <cell r="J3795" t="str">
            <v>SG-Om Distribuidora-04/2024</v>
          </cell>
          <cell r="K3795" t="str">
            <v>Settled</v>
          </cell>
        </row>
        <row r="3796">
          <cell r="J3796" t="str">
            <v>SG-Om Distribuidora-05/2024</v>
          </cell>
          <cell r="K3796" t="str">
            <v>Settled</v>
          </cell>
        </row>
        <row r="3797">
          <cell r="J3797" t="str">
            <v>SG-Om Distribuidora-06/2024</v>
          </cell>
          <cell r="K3797" t="str">
            <v>Settled</v>
          </cell>
        </row>
        <row r="3798">
          <cell r="J3798" t="str">
            <v>SG-Om Distribuidora-07/2024</v>
          </cell>
          <cell r="K3798" t="str">
            <v>Settled</v>
          </cell>
        </row>
        <row r="3799">
          <cell r="J3799" t="str">
            <v>SG-Om Distribuidora-08/2024</v>
          </cell>
          <cell r="K3799" t="str">
            <v>Settled</v>
          </cell>
        </row>
        <row r="3800">
          <cell r="J3800" t="str">
            <v>SG-CN-Om Distribuidora-08-2024</v>
          </cell>
          <cell r="K3800" t="str">
            <v>Settled</v>
          </cell>
        </row>
        <row r="3801">
          <cell r="J3801" t="str">
            <v>SG-Omipay-11/2022</v>
          </cell>
          <cell r="K3801" t="str">
            <v>Settled</v>
          </cell>
        </row>
        <row r="3802">
          <cell r="J3802" t="str">
            <v>SG-Omipay-12/2022</v>
          </cell>
          <cell r="K3802" t="str">
            <v>Settled</v>
          </cell>
        </row>
        <row r="3803">
          <cell r="J3803" t="str">
            <v>SG-Omipay-01/2023</v>
          </cell>
          <cell r="K3803" t="str">
            <v>Settled</v>
          </cell>
        </row>
        <row r="3804">
          <cell r="J3804" t="str">
            <v>SG-Omipay-02/2023</v>
          </cell>
          <cell r="K3804" t="str">
            <v>Settled</v>
          </cell>
        </row>
        <row r="3805">
          <cell r="J3805" t="str">
            <v>SG-Omipay-03/2023</v>
          </cell>
          <cell r="K3805" t="str">
            <v>Settled</v>
          </cell>
        </row>
        <row r="3806">
          <cell r="J3806" t="str">
            <v>SG-Omipay-04/2023</v>
          </cell>
          <cell r="K3806" t="str">
            <v>Settled</v>
          </cell>
        </row>
        <row r="3807">
          <cell r="J3807" t="str">
            <v>SG-Omipay-05/2023</v>
          </cell>
          <cell r="K3807" t="str">
            <v>Settled</v>
          </cell>
        </row>
        <row r="3808">
          <cell r="J3808" t="str">
            <v>SG-Omipay-06/2023</v>
          </cell>
          <cell r="K3808" t="str">
            <v>Settled</v>
          </cell>
        </row>
        <row r="3809">
          <cell r="J3809" t="str">
            <v>SG-Omipay-07/2023</v>
          </cell>
          <cell r="K3809" t="str">
            <v>Settled</v>
          </cell>
        </row>
        <row r="3810">
          <cell r="J3810" t="str">
            <v>SG -Omipay-08/2023</v>
          </cell>
          <cell r="K3810" t="str">
            <v>Settled</v>
          </cell>
        </row>
        <row r="3811">
          <cell r="J3811" t="str">
            <v>SG-Omipay-09/2023</v>
          </cell>
          <cell r="K3811" t="str">
            <v>Settled</v>
          </cell>
        </row>
        <row r="3812">
          <cell r="J3812" t="str">
            <v>SG-Omipay-DN-08/2023</v>
          </cell>
          <cell r="K3812" t="str">
            <v>Settled</v>
          </cell>
        </row>
        <row r="3813">
          <cell r="J3813" t="str">
            <v>SG-Omipay-10/2023</v>
          </cell>
          <cell r="K3813" t="str">
            <v>Settled</v>
          </cell>
        </row>
        <row r="3814">
          <cell r="J3814" t="str">
            <v>SG-Omipay-11/2023</v>
          </cell>
          <cell r="K3814" t="str">
            <v>Settled</v>
          </cell>
        </row>
        <row r="3815">
          <cell r="J3815" t="str">
            <v>SG-Omipay-12/2023</v>
          </cell>
          <cell r="K3815" t="str">
            <v>Settled</v>
          </cell>
        </row>
        <row r="3816">
          <cell r="J3816" t="str">
            <v>SG-Omipay-01/2024</v>
          </cell>
          <cell r="K3816" t="str">
            <v>Settled</v>
          </cell>
        </row>
        <row r="3817">
          <cell r="J3817" t="str">
            <v>SG-Omipay-02/2024</v>
          </cell>
          <cell r="K3817" t="str">
            <v>Settled</v>
          </cell>
        </row>
        <row r="3818">
          <cell r="J3818" t="str">
            <v>SG-Omipay-03/2024</v>
          </cell>
          <cell r="K3818" t="str">
            <v>Settled</v>
          </cell>
        </row>
        <row r="3819">
          <cell r="J3819" t="str">
            <v>SG-Omipay-04/2024</v>
          </cell>
          <cell r="K3819" t="str">
            <v>Settled</v>
          </cell>
        </row>
        <row r="3820">
          <cell r="J3820" t="str">
            <v>SG-Omipay-05/2024</v>
          </cell>
          <cell r="K3820" t="str">
            <v>Settled</v>
          </cell>
        </row>
        <row r="3821">
          <cell r="J3821" t="str">
            <v>SG-Omipay-06/2024</v>
          </cell>
          <cell r="K3821" t="str">
            <v>Settled</v>
          </cell>
        </row>
        <row r="3822">
          <cell r="J3822" t="str">
            <v>SG-Omipay-07/2024</v>
          </cell>
          <cell r="K3822" t="str">
            <v>Settled</v>
          </cell>
        </row>
        <row r="3823">
          <cell r="J3823" t="str">
            <v>SG-Omipay-08/2024</v>
          </cell>
          <cell r="K3823" t="str">
            <v>Settled</v>
          </cell>
        </row>
        <row r="3824">
          <cell r="J3824" t="str">
            <v>SG-Omipay-09/2024</v>
          </cell>
          <cell r="K3824" t="str">
            <v>Settled</v>
          </cell>
        </row>
        <row r="3825">
          <cell r="J3825" t="str">
            <v>SG-Omipay-10/2024</v>
          </cell>
          <cell r="K3825" t="str">
            <v>Settled</v>
          </cell>
        </row>
        <row r="3826">
          <cell r="J3826" t="str">
            <v>SG-Omipay-11/2024</v>
          </cell>
          <cell r="K3826" t="str">
            <v>Settled</v>
          </cell>
        </row>
        <row r="3827">
          <cell r="J3827" t="str">
            <v>SG-Omipay-12/2024</v>
          </cell>
          <cell r="K3827" t="str">
            <v>Settled</v>
          </cell>
        </row>
        <row r="3828">
          <cell r="J3828" t="str">
            <v>SG-Omipay-01/2025</v>
          </cell>
          <cell r="K3828" t="str">
            <v>Settled</v>
          </cell>
        </row>
        <row r="3829">
          <cell r="J3829" t="str">
            <v>SG-Omipay-02/2025</v>
          </cell>
          <cell r="K3829" t="str">
            <v>Settled</v>
          </cell>
        </row>
        <row r="3830">
          <cell r="J3830" t="str">
            <v>SG-Omipay-03/2025</v>
          </cell>
          <cell r="K3830" t="str">
            <v>Settled</v>
          </cell>
        </row>
        <row r="3831">
          <cell r="J3831" t="str">
            <v>SG-Omipay-04/2025</v>
          </cell>
          <cell r="K3831" t="str">
            <v>Settled</v>
          </cell>
        </row>
        <row r="3832">
          <cell r="J3832" t="str">
            <v>SG-Omipay-05/2025</v>
          </cell>
          <cell r="K3832" t="str">
            <v>Settled</v>
          </cell>
        </row>
        <row r="3833">
          <cell r="J3833" t="str">
            <v>SG-Omipay-06/2025</v>
          </cell>
          <cell r="K3833" t="str">
            <v>Settled</v>
          </cell>
        </row>
        <row r="3834">
          <cell r="J3834" t="str">
            <v>SG-Omipay-07/2025</v>
          </cell>
          <cell r="K3834" t="str">
            <v>Settled</v>
          </cell>
        </row>
        <row r="3835">
          <cell r="J3835" t="str">
            <v>SG-Omipay-08/2025</v>
          </cell>
          <cell r="K3835" t="str">
            <v>Settled</v>
          </cell>
        </row>
        <row r="3836">
          <cell r="J3836" t="str">
            <v>SG-Omipay-09/2025</v>
          </cell>
          <cell r="K3836" t="str">
            <v>Settled</v>
          </cell>
        </row>
        <row r="3837">
          <cell r="J3837" t="str">
            <v>SG-Omipay-10/2025</v>
          </cell>
          <cell r="K3837" t="str">
            <v>Settled</v>
          </cell>
        </row>
        <row r="3838">
          <cell r="J3838" t="str">
            <v>SG-Omipay-11/2025</v>
          </cell>
          <cell r="K3838" t="str">
            <v>Settled</v>
          </cell>
        </row>
        <row r="3839">
          <cell r="J3839" t="str">
            <v>SG-Omipay-12/2025</v>
          </cell>
          <cell r="K3839" t="str">
            <v>Settled</v>
          </cell>
        </row>
        <row r="3840">
          <cell r="J3840" t="str">
            <v>SG-Omipay-01/2026</v>
          </cell>
          <cell r="K3840" t="str">
            <v>Settled</v>
          </cell>
        </row>
        <row r="3841">
          <cell r="J3841" t="str">
            <v>SG-Omipay-02/2026</v>
          </cell>
          <cell r="K3841" t="str">
            <v>Settled</v>
          </cell>
        </row>
        <row r="3842">
          <cell r="J3842" t="str">
            <v>SG-Omipay-03/2026</v>
          </cell>
          <cell r="K3842" t="str">
            <v>Settled</v>
          </cell>
        </row>
        <row r="3843">
          <cell r="J3843" t="str">
            <v>SG-Omipay-04/2026</v>
          </cell>
          <cell r="K3843" t="str">
            <v>Settled</v>
          </cell>
        </row>
        <row r="3844">
          <cell r="J3844" t="str">
            <v>SG-Omipay-05/2026</v>
          </cell>
          <cell r="K3844" t="str">
            <v>Settled</v>
          </cell>
        </row>
        <row r="3845">
          <cell r="J3845" t="str">
            <v>SG-one incorp-11/2023</v>
          </cell>
          <cell r="K3845" t="str">
            <v>Settled</v>
          </cell>
        </row>
        <row r="3846">
          <cell r="J3846" t="str">
            <v>SG -OrbisBlockchain-05/2023</v>
          </cell>
          <cell r="K3846" t="str">
            <v>Settled</v>
          </cell>
        </row>
        <row r="3847">
          <cell r="J3847" t="str">
            <v>SG-OWLPAY HOLDINGS-09/2022</v>
          </cell>
          <cell r="K3847" t="str">
            <v>Settled</v>
          </cell>
        </row>
        <row r="3848">
          <cell r="J3848" t="str">
            <v>SG-OWLPAY HOLDINGS-10/2022</v>
          </cell>
          <cell r="K3848" t="str">
            <v>Settled</v>
          </cell>
        </row>
        <row r="3849">
          <cell r="J3849" t="str">
            <v>SG-OWLPAY HOLDINGS PTE. LTD-11/2022</v>
          </cell>
          <cell r="K3849" t="str">
            <v>Settled</v>
          </cell>
        </row>
        <row r="3850">
          <cell r="J3850" t="str">
            <v>SG-OWLPAY HOLDINGS PTE. LTD-12/2022</v>
          </cell>
          <cell r="K3850" t="str">
            <v>Settled</v>
          </cell>
        </row>
        <row r="3851">
          <cell r="J3851" t="str">
            <v>SG-OWLPAY HOLDINGS PTE. LTD-01/2023</v>
          </cell>
          <cell r="K3851" t="str">
            <v>Settled</v>
          </cell>
        </row>
        <row r="3852">
          <cell r="J3852" t="str">
            <v>SG-OWLPAY-02/2023</v>
          </cell>
          <cell r="K3852" t="str">
            <v>Settled</v>
          </cell>
        </row>
        <row r="3853">
          <cell r="J3853" t="str">
            <v>SG-OWLPAY-03/2023</v>
          </cell>
          <cell r="K3853" t="str">
            <v>Settled</v>
          </cell>
        </row>
        <row r="3854">
          <cell r="J3854" t="str">
            <v>SG-OWLPAY-04/2023</v>
          </cell>
          <cell r="K3854" t="str">
            <v>Settled</v>
          </cell>
        </row>
        <row r="3855">
          <cell r="J3855" t="str">
            <v>SG-OWLPAY-05/2023</v>
          </cell>
          <cell r="K3855" t="str">
            <v>Settled</v>
          </cell>
        </row>
        <row r="3856">
          <cell r="J3856" t="str">
            <v>SG-OWLPAY-06/2023</v>
          </cell>
          <cell r="K3856" t="str">
            <v>Settled</v>
          </cell>
        </row>
        <row r="3857">
          <cell r="J3857" t="str">
            <v>SG-OWLPAY-07/2023</v>
          </cell>
          <cell r="K3857" t="str">
            <v>Waived Off</v>
          </cell>
        </row>
        <row r="3858">
          <cell r="J3858" t="str">
            <v>SG-OYSTER HR, INC.-12/2022</v>
          </cell>
          <cell r="K3858" t="str">
            <v>Settled</v>
          </cell>
        </row>
        <row r="3859">
          <cell r="J3859" t="str">
            <v>SG-OYSTER HR, INC.-01/2023</v>
          </cell>
          <cell r="K3859" t="str">
            <v>Settled</v>
          </cell>
        </row>
        <row r="3860">
          <cell r="J3860" t="str">
            <v>SG-OYSTERHRINC-02/2023</v>
          </cell>
          <cell r="K3860" t="str">
            <v>Settled</v>
          </cell>
        </row>
        <row r="3861">
          <cell r="J3861" t="str">
            <v>SG-OYSTERHRINC-03/2023</v>
          </cell>
          <cell r="K3861" t="str">
            <v>Settled</v>
          </cell>
        </row>
        <row r="3862">
          <cell r="J3862" t="str">
            <v>SG-OYSTERHRINC-04/2023</v>
          </cell>
          <cell r="K3862" t="str">
            <v>Settled</v>
          </cell>
        </row>
        <row r="3863">
          <cell r="J3863" t="str">
            <v>SG-OYSTERHRINC-05/2023</v>
          </cell>
          <cell r="K3863" t="str">
            <v>Settled</v>
          </cell>
        </row>
        <row r="3864">
          <cell r="J3864" t="str">
            <v>SG-OYSTERHRINC-06/2023</v>
          </cell>
          <cell r="K3864" t="str">
            <v>Settled</v>
          </cell>
        </row>
        <row r="3865">
          <cell r="J3865" t="str">
            <v>SG-OYSTERHRINC-07/2023</v>
          </cell>
          <cell r="K3865" t="str">
            <v>Settled</v>
          </cell>
        </row>
        <row r="3866">
          <cell r="J3866" t="str">
            <v>SG -OYSTERHRINC-08/2023</v>
          </cell>
          <cell r="K3866" t="str">
            <v>Settled</v>
          </cell>
        </row>
        <row r="3867">
          <cell r="J3867" t="str">
            <v>SG-OYSTERHRINC-09/2023</v>
          </cell>
          <cell r="K3867" t="str">
            <v>Settled</v>
          </cell>
        </row>
        <row r="3868">
          <cell r="J3868" t="str">
            <v>SG-OYSTERHRINC-10/2023</v>
          </cell>
          <cell r="K3868" t="str">
            <v>Settled</v>
          </cell>
        </row>
        <row r="3869">
          <cell r="J3869" t="str">
            <v>SG-OYSTERHRINC-11/2023</v>
          </cell>
          <cell r="K3869" t="str">
            <v>Settled</v>
          </cell>
        </row>
        <row r="3870">
          <cell r="J3870" t="str">
            <v>SG-OYSTERHRINC-12/2023</v>
          </cell>
          <cell r="K3870" t="str">
            <v>Settled</v>
          </cell>
        </row>
        <row r="3871">
          <cell r="J3871" t="str">
            <v>SG-OYSTERHRINC-01/2024</v>
          </cell>
          <cell r="K3871" t="str">
            <v>Settled</v>
          </cell>
        </row>
        <row r="3872">
          <cell r="J3872" t="str">
            <v>SG-OYSTERHRINC-02/2024</v>
          </cell>
          <cell r="K3872" t="str">
            <v>Settled</v>
          </cell>
        </row>
        <row r="3873">
          <cell r="J3873" t="str">
            <v>SG-OYSTERHRINC-03/2024</v>
          </cell>
          <cell r="K3873" t="str">
            <v>Settled</v>
          </cell>
        </row>
        <row r="3874">
          <cell r="J3874" t="str">
            <v>SG-OYSTERHRINC-04/2024</v>
          </cell>
          <cell r="K3874" t="str">
            <v>Settled</v>
          </cell>
        </row>
        <row r="3875">
          <cell r="J3875" t="str">
            <v>SG-OYSTERHRINC-05/2024</v>
          </cell>
          <cell r="K3875" t="str">
            <v>Settled</v>
          </cell>
        </row>
        <row r="3876">
          <cell r="J3876" t="str">
            <v>SG-OYSTERHRINC-06/2024</v>
          </cell>
          <cell r="K3876" t="str">
            <v>Settled</v>
          </cell>
        </row>
        <row r="3877">
          <cell r="J3877" t="str">
            <v>SG-OYSTERHRINC-07/2024</v>
          </cell>
          <cell r="K3877" t="str">
            <v>Settled</v>
          </cell>
        </row>
        <row r="3878">
          <cell r="J3878" t="str">
            <v>SG-OYSTERHRINC-08/2024</v>
          </cell>
          <cell r="K3878" t="str">
            <v>Settled</v>
          </cell>
        </row>
        <row r="3879">
          <cell r="J3879" t="str">
            <v>SG-OYSTERHRINC-09/2024</v>
          </cell>
          <cell r="K3879" t="str">
            <v>Settled</v>
          </cell>
        </row>
        <row r="3880">
          <cell r="J3880" t="str">
            <v>SG-OYSTERHRINC-10/2024</v>
          </cell>
          <cell r="K3880" t="str">
            <v>Settled</v>
          </cell>
        </row>
        <row r="3881">
          <cell r="J3881" t="str">
            <v>SG-OYSTERHRINC-11/2024</v>
          </cell>
          <cell r="K3881" t="str">
            <v>Settled</v>
          </cell>
        </row>
        <row r="3882">
          <cell r="J3882" t="str">
            <v>SG-OYSTERHRINC-12/2024</v>
          </cell>
          <cell r="K3882" t="str">
            <v>Settled</v>
          </cell>
        </row>
        <row r="3883">
          <cell r="J3883" t="str">
            <v>SG-OYSTERHRINC-01/2025</v>
          </cell>
          <cell r="K3883" t="str">
            <v>Settled</v>
          </cell>
        </row>
        <row r="3884">
          <cell r="J3884" t="str">
            <v>SG-OYSTERHRINC-02/2025</v>
          </cell>
          <cell r="K3884" t="str">
            <v>Settled</v>
          </cell>
        </row>
        <row r="3885">
          <cell r="J3885" t="str">
            <v>SG-OYSTERHRINC-03/2025</v>
          </cell>
          <cell r="K3885" t="str">
            <v>Settled</v>
          </cell>
        </row>
        <row r="3886">
          <cell r="J3886" t="str">
            <v>SG-OYSTERHRINC-04/2025</v>
          </cell>
          <cell r="K3886" t="str">
            <v>Settled</v>
          </cell>
        </row>
        <row r="3887">
          <cell r="J3887" t="str">
            <v>SG-OYSTERHRINC-05/2025</v>
          </cell>
          <cell r="K3887" t="str">
            <v>Settled</v>
          </cell>
        </row>
        <row r="3888">
          <cell r="J3888" t="str">
            <v>SG-OYSTERHRINC-06/2025</v>
          </cell>
          <cell r="K3888" t="str">
            <v>Settled</v>
          </cell>
        </row>
        <row r="3889">
          <cell r="J3889" t="str">
            <v>SG-OYSTERHRINC-07/2025</v>
          </cell>
          <cell r="K3889" t="str">
            <v>Settled</v>
          </cell>
        </row>
        <row r="3890">
          <cell r="J3890" t="str">
            <v>SG-OYSTERHRINC-08/2025</v>
          </cell>
          <cell r="K3890" t="str">
            <v>Settled</v>
          </cell>
        </row>
        <row r="3891">
          <cell r="J3891" t="str">
            <v>SG-OYSTERHRINC-09/2025</v>
          </cell>
          <cell r="K3891" t="str">
            <v>Settled</v>
          </cell>
        </row>
        <row r="3892">
          <cell r="J3892" t="str">
            <v>SG-OYSTERHRINC-10/2025</v>
          </cell>
          <cell r="K3892" t="str">
            <v>Settled</v>
          </cell>
        </row>
        <row r="3893">
          <cell r="J3893" t="str">
            <v>SG-OYSTERHRINC-11/2025</v>
          </cell>
          <cell r="K3893" t="str">
            <v>Settled</v>
          </cell>
        </row>
        <row r="3894">
          <cell r="J3894" t="str">
            <v>SG-OYSTERHRINC-12/2025</v>
          </cell>
          <cell r="K3894" t="str">
            <v>Settled</v>
          </cell>
        </row>
        <row r="3895">
          <cell r="J3895" t="str">
            <v>SG-OYSTERHRINC-01/2026</v>
          </cell>
          <cell r="K3895" t="str">
            <v>Settled</v>
          </cell>
        </row>
        <row r="3896">
          <cell r="J3896" t="str">
            <v>SG-OYSTERHRINC-02/2026</v>
          </cell>
          <cell r="K3896" t="str">
            <v>Settled</v>
          </cell>
        </row>
        <row r="3897">
          <cell r="J3897" t="str">
            <v>SG-OYSTERHRINC-03/2026</v>
          </cell>
          <cell r="K3897" t="str">
            <v>Settled</v>
          </cell>
        </row>
        <row r="3898">
          <cell r="J3898" t="str">
            <v>SG-OYSTERHRINC-04/2026</v>
          </cell>
          <cell r="K3898" t="str">
            <v>Settled</v>
          </cell>
        </row>
        <row r="3899">
          <cell r="J3899" t="str">
            <v>SG-OYSTERHRINC-05/2026</v>
          </cell>
          <cell r="K3899" t="str">
            <v>Settled</v>
          </cell>
        </row>
        <row r="3900">
          <cell r="J3900" t="str">
            <v>SG -OZ CORRETORA-CR-12/2023</v>
          </cell>
          <cell r="K3900" t="str">
            <v>Settled</v>
          </cell>
        </row>
        <row r="3901">
          <cell r="J3901" t="str">
            <v>SG-OZ CORRETORA-09/2023</v>
          </cell>
          <cell r="K3901" t="str">
            <v>Settled</v>
          </cell>
        </row>
        <row r="3902">
          <cell r="J3902" t="str">
            <v>SG-OZ CORRETORA-10/2023</v>
          </cell>
          <cell r="K3902" t="str">
            <v>Settled</v>
          </cell>
        </row>
        <row r="3903">
          <cell r="J3903" t="str">
            <v>SG-OZ CORRETORA-11/2023</v>
          </cell>
          <cell r="K3903" t="str">
            <v>Settled</v>
          </cell>
        </row>
        <row r="3904">
          <cell r="J3904" t="str">
            <v>SG-OZ CORRETORA-12/2023</v>
          </cell>
          <cell r="K3904" t="str">
            <v>Settled</v>
          </cell>
        </row>
        <row r="3905">
          <cell r="J3905" t="str">
            <v>SG -OZ CORRETORA-01/2024</v>
          </cell>
          <cell r="K3905" t="str">
            <v>Settled</v>
          </cell>
        </row>
        <row r="3906">
          <cell r="J3906" t="str">
            <v>SG-OZ CORRETORA-01/2024</v>
          </cell>
          <cell r="K3906" t="str">
            <v>Settled</v>
          </cell>
        </row>
        <row r="3907">
          <cell r="J3907" t="str">
            <v>SG-OZ CORRETORA-02/2024</v>
          </cell>
          <cell r="K3907" t="str">
            <v>Settled</v>
          </cell>
        </row>
        <row r="3908">
          <cell r="J3908" t="str">
            <v>SG-OZ CORRETORA-03/2024</v>
          </cell>
          <cell r="K3908" t="str">
            <v>Settled</v>
          </cell>
        </row>
        <row r="3909">
          <cell r="J3909" t="str">
            <v>SG-OZ CORRETORA-04/2024</v>
          </cell>
          <cell r="K3909" t="str">
            <v>Settled</v>
          </cell>
        </row>
        <row r="3910">
          <cell r="J3910" t="str">
            <v>SG-OZ CORRETORA-05/2024</v>
          </cell>
          <cell r="K3910" t="str">
            <v>Settled</v>
          </cell>
        </row>
        <row r="3911">
          <cell r="J3911" t="str">
            <v>SG-OZ CORRETORA-06/2024</v>
          </cell>
          <cell r="K3911" t="str">
            <v>Settled</v>
          </cell>
        </row>
        <row r="3912">
          <cell r="J3912" t="str">
            <v>SG-OZ CORRETORA-07/2024</v>
          </cell>
          <cell r="K3912" t="str">
            <v>Settled</v>
          </cell>
        </row>
        <row r="3913">
          <cell r="J3913" t="str">
            <v>SG-OZ CORRETORA-08/2024</v>
          </cell>
          <cell r="K3913" t="str">
            <v>Settled</v>
          </cell>
        </row>
        <row r="3914">
          <cell r="J3914" t="str">
            <v>SG-OZ CORRETORA-09/2024</v>
          </cell>
          <cell r="K3914" t="str">
            <v>Settled</v>
          </cell>
        </row>
        <row r="3915">
          <cell r="J3915" t="str">
            <v>SG-OZ CORRETORA-10/2024</v>
          </cell>
          <cell r="K3915" t="str">
            <v>Settled</v>
          </cell>
        </row>
        <row r="3916">
          <cell r="J3916" t="str">
            <v>SG-OZ CORRETORA-11/2024</v>
          </cell>
          <cell r="K3916" t="str">
            <v>Settled</v>
          </cell>
        </row>
        <row r="3917">
          <cell r="J3917" t="str">
            <v>SG-OZ CORRETORA-12/2024</v>
          </cell>
          <cell r="K3917" t="str">
            <v>Settled</v>
          </cell>
        </row>
        <row r="3918">
          <cell r="J3918" t="str">
            <v>SG-OZ CORRETORA-01/2025</v>
          </cell>
          <cell r="K3918" t="str">
            <v>Settled</v>
          </cell>
        </row>
        <row r="3919">
          <cell r="J3919" t="str">
            <v>SG-OZ CORRETORA-02/2025</v>
          </cell>
          <cell r="K3919" t="str">
            <v>Settled</v>
          </cell>
        </row>
        <row r="3920">
          <cell r="J3920" t="str">
            <v>SG-OZ CORRETORA-03/2025</v>
          </cell>
          <cell r="K3920" t="str">
            <v>Settled</v>
          </cell>
        </row>
        <row r="3921">
          <cell r="J3921" t="str">
            <v>SG-OZ CORRETORA-04/2025</v>
          </cell>
          <cell r="K3921" t="str">
            <v>Settled</v>
          </cell>
        </row>
        <row r="3922">
          <cell r="J3922" t="str">
            <v>SG-OZ CORRETORA-05/2025</v>
          </cell>
          <cell r="K3922" t="str">
            <v>Settled</v>
          </cell>
        </row>
        <row r="3923">
          <cell r="J3923" t="str">
            <v>SG-OZ CORRETORA-06/2025</v>
          </cell>
          <cell r="K3923" t="str">
            <v>Settled</v>
          </cell>
        </row>
        <row r="3924">
          <cell r="J3924" t="str">
            <v>SG-OZ CORRETORA-07/2025</v>
          </cell>
          <cell r="K3924" t="str">
            <v>Settled</v>
          </cell>
        </row>
        <row r="3925">
          <cell r="J3925" t="str">
            <v>SG-OZ CORRETORA-08/2025</v>
          </cell>
          <cell r="K3925" t="str">
            <v>Settled</v>
          </cell>
        </row>
        <row r="3926">
          <cell r="J3926" t="str">
            <v>SG-OZ CORRETORA-09/2025</v>
          </cell>
          <cell r="K3926" t="str">
            <v>Settled</v>
          </cell>
        </row>
        <row r="3927">
          <cell r="J3927" t="str">
            <v>SG-OZ CORRETORA-10/2025</v>
          </cell>
          <cell r="K3927" t="str">
            <v>Settled</v>
          </cell>
        </row>
        <row r="3928">
          <cell r="J3928" t="str">
            <v>SG-OZ CORRETORA-11/2025</v>
          </cell>
          <cell r="K3928" t="str">
            <v>Settled</v>
          </cell>
        </row>
        <row r="3929">
          <cell r="J3929" t="str">
            <v>SG-PacificBasin-08/2024</v>
          </cell>
          <cell r="K3929" t="str">
            <v>Settled</v>
          </cell>
        </row>
        <row r="3930">
          <cell r="J3930" t="str">
            <v>SG-CN-PacificBasin-08-2024</v>
          </cell>
          <cell r="K3930" t="str">
            <v>Settled</v>
          </cell>
        </row>
        <row r="3931">
          <cell r="J3931" t="str">
            <v>SG-Pacific Basin-10/2022</v>
          </cell>
          <cell r="K3931" t="str">
            <v>Settled</v>
          </cell>
        </row>
        <row r="3932">
          <cell r="J3932" t="str">
            <v>SG-Pacific Basin Shipping (HK) Limited-11/2022</v>
          </cell>
          <cell r="K3932" t="str">
            <v>Settled</v>
          </cell>
        </row>
        <row r="3933">
          <cell r="J3933" t="str">
            <v>SG-Pacific Basin Shipping (HK) Limited-12/2022</v>
          </cell>
          <cell r="K3933" t="str">
            <v>Settled</v>
          </cell>
        </row>
        <row r="3934">
          <cell r="J3934" t="str">
            <v>SG-Pacific Basin Shipping (HK) Limited-01/2023</v>
          </cell>
          <cell r="K3934" t="str">
            <v>Settled</v>
          </cell>
        </row>
        <row r="3935">
          <cell r="J3935" t="str">
            <v>SG-PacificBasin-02/2023</v>
          </cell>
          <cell r="K3935" t="str">
            <v>Settled</v>
          </cell>
        </row>
        <row r="3936">
          <cell r="J3936" t="str">
            <v>SG-PacificBasin-03/2023</v>
          </cell>
          <cell r="K3936" t="str">
            <v>Settled</v>
          </cell>
        </row>
        <row r="3937">
          <cell r="J3937" t="str">
            <v>SG-PacificBasin-04/2023</v>
          </cell>
          <cell r="K3937" t="str">
            <v>Settled</v>
          </cell>
        </row>
        <row r="3938">
          <cell r="J3938" t="str">
            <v>SG-PacificBasin-05/2023</v>
          </cell>
          <cell r="K3938" t="str">
            <v>Settled</v>
          </cell>
        </row>
        <row r="3939">
          <cell r="J3939" t="str">
            <v>SG-PacificBasin-06/2023</v>
          </cell>
          <cell r="K3939" t="str">
            <v>Settled</v>
          </cell>
        </row>
        <row r="3940">
          <cell r="J3940" t="str">
            <v>SG-PacificBasin-07/2023</v>
          </cell>
          <cell r="K3940" t="str">
            <v>Settled</v>
          </cell>
        </row>
        <row r="3941">
          <cell r="J3941" t="str">
            <v>SG -PacificBasin-08/2023</v>
          </cell>
          <cell r="K3941" t="str">
            <v>Settled</v>
          </cell>
        </row>
        <row r="3942">
          <cell r="J3942" t="str">
            <v>SG-PacificBasin-09/2023</v>
          </cell>
          <cell r="K3942" t="str">
            <v>Settled</v>
          </cell>
        </row>
        <row r="3943">
          <cell r="J3943" t="str">
            <v>SG-PacificBasin-10/2023</v>
          </cell>
          <cell r="K3943" t="str">
            <v>Settled</v>
          </cell>
        </row>
        <row r="3944">
          <cell r="J3944" t="str">
            <v>SG-PacificBasin-11/2023</v>
          </cell>
          <cell r="K3944" t="str">
            <v>Settled</v>
          </cell>
        </row>
        <row r="3945">
          <cell r="J3945" t="str">
            <v>SG-PacificBasin-12/2023</v>
          </cell>
          <cell r="K3945" t="str">
            <v>Settled</v>
          </cell>
        </row>
        <row r="3946">
          <cell r="J3946" t="str">
            <v>SG-PacificBasin-01/2024</v>
          </cell>
          <cell r="K3946" t="str">
            <v>Settled</v>
          </cell>
        </row>
        <row r="3947">
          <cell r="J3947" t="str">
            <v>SG-PacificBasin-02/2024</v>
          </cell>
          <cell r="K3947" t="str">
            <v>Settled</v>
          </cell>
        </row>
        <row r="3948">
          <cell r="J3948" t="str">
            <v>SG-PacificBasin-03/2024</v>
          </cell>
          <cell r="K3948" t="str">
            <v>Settled</v>
          </cell>
        </row>
        <row r="3949">
          <cell r="J3949" t="str">
            <v>SG-PacificBasin-04/2024</v>
          </cell>
          <cell r="K3949" t="str">
            <v>Settled</v>
          </cell>
        </row>
        <row r="3950">
          <cell r="J3950" t="str">
            <v>SG-CN-PacificBasin-04-2024</v>
          </cell>
          <cell r="K3950" t="str">
            <v>Settled</v>
          </cell>
        </row>
        <row r="3951">
          <cell r="J3951" t="str">
            <v>SG-PacificBasin-05/2024</v>
          </cell>
          <cell r="K3951" t="str">
            <v>Settled</v>
          </cell>
        </row>
        <row r="3952">
          <cell r="J3952" t="str">
            <v>SG-PacificBasin-06/2024</v>
          </cell>
          <cell r="K3952" t="str">
            <v>Settled</v>
          </cell>
        </row>
        <row r="3953">
          <cell r="J3953" t="str">
            <v>SG-PacificBasin-07/2024</v>
          </cell>
          <cell r="K3953" t="str">
            <v>Settled</v>
          </cell>
        </row>
        <row r="3954">
          <cell r="J3954" t="str">
            <v>SG-PacificBasin-08/2024</v>
          </cell>
          <cell r="K3954" t="str">
            <v>Settled</v>
          </cell>
        </row>
        <row r="3955">
          <cell r="J3955" t="str">
            <v>SG-PacificBasin-09/2024</v>
          </cell>
          <cell r="K3955" t="str">
            <v>Settled</v>
          </cell>
        </row>
        <row r="3956">
          <cell r="J3956" t="str">
            <v>SG-PacificBasin-10/2024</v>
          </cell>
          <cell r="K3956" t="str">
            <v>Settled</v>
          </cell>
        </row>
        <row r="3957">
          <cell r="J3957" t="str">
            <v>SG-PacificBasin-11/2024</v>
          </cell>
          <cell r="K3957" t="str">
            <v>Settled</v>
          </cell>
        </row>
        <row r="3958">
          <cell r="J3958" t="str">
            <v>SG-PacificBasin-12/2024</v>
          </cell>
          <cell r="K3958" t="str">
            <v>Settled</v>
          </cell>
        </row>
        <row r="3959">
          <cell r="J3959" t="str">
            <v>SG-PacificBasin-01/2025</v>
          </cell>
          <cell r="K3959" t="str">
            <v>Settled</v>
          </cell>
        </row>
        <row r="3960">
          <cell r="J3960" t="str">
            <v>SG-PacificBasin-02/2025</v>
          </cell>
          <cell r="K3960" t="str">
            <v>Settled</v>
          </cell>
        </row>
        <row r="3961">
          <cell r="J3961" t="str">
            <v>SG-PacificBasin-03/2025</v>
          </cell>
          <cell r="K3961" t="str">
            <v>Settled</v>
          </cell>
        </row>
        <row r="3962">
          <cell r="J3962" t="str">
            <v>SG-PacificBasin-04/2025</v>
          </cell>
          <cell r="K3962" t="str">
            <v>Settled</v>
          </cell>
        </row>
        <row r="3963">
          <cell r="J3963" t="str">
            <v>SG-PacificBasin-05/2025</v>
          </cell>
          <cell r="K3963" t="str">
            <v>Settled</v>
          </cell>
        </row>
        <row r="3964">
          <cell r="J3964" t="str">
            <v>SG-PacificBasin-06/2025</v>
          </cell>
          <cell r="K3964" t="str">
            <v>Settled</v>
          </cell>
        </row>
        <row r="3965">
          <cell r="J3965" t="str">
            <v>SG-PacificBasin-07/2025</v>
          </cell>
          <cell r="K3965" t="str">
            <v>Settled</v>
          </cell>
        </row>
        <row r="3966">
          <cell r="J3966" t="str">
            <v>SG-PacificBasin-08/2025</v>
          </cell>
          <cell r="K3966" t="str">
            <v>Settled</v>
          </cell>
        </row>
        <row r="3967">
          <cell r="J3967" t="str">
            <v>SG-PacificBasin-09/2025</v>
          </cell>
          <cell r="K3967" t="str">
            <v>Settled</v>
          </cell>
        </row>
        <row r="3968">
          <cell r="J3968" t="str">
            <v>SG-PacificBasin-10/2025</v>
          </cell>
          <cell r="K3968" t="str">
            <v>Settled</v>
          </cell>
        </row>
        <row r="3969">
          <cell r="J3969" t="str">
            <v>SG-PacificBasin-11/2025</v>
          </cell>
          <cell r="K3969" t="str">
            <v>Settled</v>
          </cell>
        </row>
        <row r="3970">
          <cell r="J3970" t="str">
            <v>SG-PacificBasin-12/2025</v>
          </cell>
          <cell r="K3970" t="str">
            <v>Settled</v>
          </cell>
        </row>
        <row r="3971">
          <cell r="J3971" t="str">
            <v>SG-PacificBasin-01/2026</v>
          </cell>
          <cell r="K3971" t="str">
            <v>Settled</v>
          </cell>
        </row>
        <row r="3972">
          <cell r="J3972" t="str">
            <v>SG-PacificBasin-02/2026</v>
          </cell>
          <cell r="K3972" t="str">
            <v>Settled</v>
          </cell>
        </row>
        <row r="3973">
          <cell r="J3973" t="str">
            <v>SG-PacificBasin-03/2026</v>
          </cell>
          <cell r="K3973" t="str">
            <v>Settled</v>
          </cell>
        </row>
        <row r="3974">
          <cell r="J3974" t="str">
            <v>SG-PacificBasin-04/2026</v>
          </cell>
          <cell r="K3974" t="str">
            <v>Settled</v>
          </cell>
        </row>
        <row r="3975">
          <cell r="J3975" t="str">
            <v>SG-PacificBasin-05/2026</v>
          </cell>
          <cell r="K3975" t="str">
            <v>Settled</v>
          </cell>
        </row>
        <row r="3976">
          <cell r="J3976" t="str">
            <v>SG-Panda Communications Corp-11/2022</v>
          </cell>
          <cell r="K3976" t="str">
            <v>Settled</v>
          </cell>
        </row>
        <row r="3977">
          <cell r="J3977" t="str">
            <v>SG-Panda Communications Corp-12/2022</v>
          </cell>
          <cell r="K3977" t="str">
            <v>Settled</v>
          </cell>
        </row>
        <row r="3978">
          <cell r="J3978" t="str">
            <v>SG-Panda Communications Corp-01/2023</v>
          </cell>
          <cell r="K3978" t="str">
            <v>Settled</v>
          </cell>
        </row>
        <row r="3979">
          <cell r="J3979" t="str">
            <v>SG-Panda-02/2023</v>
          </cell>
          <cell r="K3979" t="str">
            <v>Settled</v>
          </cell>
        </row>
        <row r="3980">
          <cell r="J3980" t="str">
            <v>SG-Panda-03/2023</v>
          </cell>
          <cell r="K3980" t="str">
            <v>Settled</v>
          </cell>
        </row>
        <row r="3981">
          <cell r="J3981" t="str">
            <v>SG-Panda-04/2023</v>
          </cell>
          <cell r="K3981" t="str">
            <v>Settled</v>
          </cell>
        </row>
        <row r="3982">
          <cell r="J3982" t="str">
            <v>SG-Panda-05/2023</v>
          </cell>
          <cell r="K3982" t="str">
            <v>Settled</v>
          </cell>
        </row>
        <row r="3983">
          <cell r="J3983" t="str">
            <v>SG-Panda-06/2023</v>
          </cell>
          <cell r="K3983" t="str">
            <v>Settled</v>
          </cell>
        </row>
        <row r="3984">
          <cell r="J3984" t="str">
            <v>SG-Panda-07/2023</v>
          </cell>
          <cell r="K3984" t="str">
            <v>Settled</v>
          </cell>
        </row>
        <row r="3985">
          <cell r="J3985" t="str">
            <v>SG -Panda-08/2023</v>
          </cell>
          <cell r="K3985" t="str">
            <v>Settled</v>
          </cell>
        </row>
        <row r="3986">
          <cell r="J3986" t="str">
            <v>SG-Panda-09/2023</v>
          </cell>
          <cell r="K3986" t="str">
            <v>Settled</v>
          </cell>
        </row>
        <row r="3987">
          <cell r="J3987" t="str">
            <v>SG-Panda-10/2023</v>
          </cell>
          <cell r="K3987" t="str">
            <v>Settled</v>
          </cell>
        </row>
        <row r="3988">
          <cell r="J3988" t="str">
            <v>SG-Panda-11/2023</v>
          </cell>
          <cell r="K3988" t="str">
            <v>Settled</v>
          </cell>
        </row>
        <row r="3989">
          <cell r="J3989" t="str">
            <v>SG-Panda-12/2023</v>
          </cell>
          <cell r="K3989" t="str">
            <v>Settled</v>
          </cell>
        </row>
        <row r="3990">
          <cell r="J3990" t="str">
            <v>SG-Panda-01/2024</v>
          </cell>
          <cell r="K3990" t="str">
            <v>Settled</v>
          </cell>
        </row>
        <row r="3991">
          <cell r="J3991" t="str">
            <v>SG-Panda-02/2024</v>
          </cell>
          <cell r="K3991" t="str">
            <v>Settled</v>
          </cell>
        </row>
        <row r="3992">
          <cell r="J3992" t="str">
            <v>SG-Panda-03/2024</v>
          </cell>
          <cell r="K3992" t="str">
            <v>Settled</v>
          </cell>
        </row>
        <row r="3993">
          <cell r="J3993" t="str">
            <v>SG-Panda-04/2024</v>
          </cell>
          <cell r="K3993" t="str">
            <v>Settled</v>
          </cell>
        </row>
        <row r="3994">
          <cell r="J3994" t="str">
            <v>SG-Panda-05/2024</v>
          </cell>
          <cell r="K3994" t="str">
            <v>Settled</v>
          </cell>
        </row>
        <row r="3995">
          <cell r="J3995" t="str">
            <v>SG-Panda-06/2024</v>
          </cell>
          <cell r="K3995" t="str">
            <v>Settled</v>
          </cell>
        </row>
        <row r="3996">
          <cell r="J3996" t="str">
            <v>SG-Panda-07/2024</v>
          </cell>
          <cell r="K3996" t="str">
            <v>Settled</v>
          </cell>
        </row>
        <row r="3997">
          <cell r="J3997" t="str">
            <v>SG-Panda-08/2024</v>
          </cell>
          <cell r="K3997" t="str">
            <v>Settled</v>
          </cell>
        </row>
        <row r="3998">
          <cell r="J3998" t="str">
            <v>SG-Panda-09/2024</v>
          </cell>
          <cell r="K3998" t="str">
            <v>Settled</v>
          </cell>
        </row>
        <row r="3999">
          <cell r="J3999" t="str">
            <v>SG-Panda-10/2024</v>
          </cell>
          <cell r="K3999" t="str">
            <v>Settled</v>
          </cell>
        </row>
        <row r="4000">
          <cell r="J4000" t="str">
            <v>SG-Panda-11/2024</v>
          </cell>
          <cell r="K4000" t="str">
            <v>Settled</v>
          </cell>
        </row>
        <row r="4001">
          <cell r="J4001" t="str">
            <v>SG-Panda-12/2024</v>
          </cell>
          <cell r="K4001" t="str">
            <v>Settled</v>
          </cell>
        </row>
        <row r="4002">
          <cell r="J4002" t="str">
            <v>SG-Panda-01/2025</v>
          </cell>
          <cell r="K4002" t="str">
            <v>Settled</v>
          </cell>
        </row>
        <row r="4003">
          <cell r="J4003" t="str">
            <v>SG-Panda-02/2025</v>
          </cell>
          <cell r="K4003" t="str">
            <v>Settled</v>
          </cell>
        </row>
        <row r="4004">
          <cell r="J4004" t="str">
            <v>SG-Panda-03/2025</v>
          </cell>
          <cell r="K4004" t="str">
            <v>Settled</v>
          </cell>
        </row>
        <row r="4005">
          <cell r="J4005" t="str">
            <v>SG-Panda-04/2025</v>
          </cell>
          <cell r="K4005" t="str">
            <v>Settled</v>
          </cell>
        </row>
        <row r="4006">
          <cell r="J4006" t="str">
            <v>SG-Panda-05/2025</v>
          </cell>
          <cell r="K4006" t="str">
            <v>Settled</v>
          </cell>
        </row>
        <row r="4007">
          <cell r="J4007" t="str">
            <v>SG-Panda-06/2025</v>
          </cell>
          <cell r="K4007" t="str">
            <v>Settled</v>
          </cell>
        </row>
        <row r="4008">
          <cell r="J4008" t="str">
            <v>SG-Panda-07/2025</v>
          </cell>
          <cell r="K4008" t="str">
            <v>Settled</v>
          </cell>
        </row>
        <row r="4009">
          <cell r="J4009" t="str">
            <v>SG-Panda-08/2025</v>
          </cell>
          <cell r="K4009" t="str">
            <v>Settled</v>
          </cell>
        </row>
        <row r="4010">
          <cell r="J4010" t="str">
            <v>SG-Panda-09/2025</v>
          </cell>
          <cell r="K4010" t="str">
            <v>Settled</v>
          </cell>
        </row>
        <row r="4011">
          <cell r="J4011" t="str">
            <v>SG-Panda-10/2025</v>
          </cell>
          <cell r="K4011" t="str">
            <v>Settled</v>
          </cell>
        </row>
        <row r="4012">
          <cell r="J4012" t="str">
            <v>SG-Panda-11/2025</v>
          </cell>
          <cell r="K4012" t="str">
            <v>Settled</v>
          </cell>
        </row>
        <row r="4013">
          <cell r="J4013" t="str">
            <v>SG-Panda-12/2025</v>
          </cell>
          <cell r="K4013" t="str">
            <v>Settled</v>
          </cell>
        </row>
        <row r="4014">
          <cell r="J4014" t="str">
            <v>SG-Panda-01/2026</v>
          </cell>
          <cell r="K4014" t="str">
            <v>Settled</v>
          </cell>
        </row>
        <row r="4015">
          <cell r="J4015" t="str">
            <v>SG-Panda-02/2026</v>
          </cell>
          <cell r="K4015" t="str">
            <v>Settled</v>
          </cell>
        </row>
        <row r="4016">
          <cell r="J4016" t="str">
            <v>SG-Panda-03/2026</v>
          </cell>
          <cell r="K4016" t="str">
            <v>Settled</v>
          </cell>
        </row>
        <row r="4017">
          <cell r="J4017" t="str">
            <v>SG-Panda-04/2026</v>
          </cell>
          <cell r="K4017" t="str">
            <v>Settled</v>
          </cell>
        </row>
        <row r="4018">
          <cell r="J4018" t="str">
            <v>SG-Panda-05/2026</v>
          </cell>
          <cell r="K4018" t="str">
            <v>Settled</v>
          </cell>
        </row>
        <row r="4019">
          <cell r="J4019" t="str">
            <v>EU-Patent-03/2024</v>
          </cell>
          <cell r="K4019" t="str">
            <v>Settled</v>
          </cell>
        </row>
        <row r="4020">
          <cell r="J4020" t="str">
            <v>EU-Patent-04/2024</v>
          </cell>
          <cell r="K4020" t="str">
            <v>Settled</v>
          </cell>
        </row>
        <row r="4021">
          <cell r="J4021" t="str">
            <v>EU-Patent-05/2024</v>
          </cell>
          <cell r="K4021" t="str">
            <v>Settled</v>
          </cell>
        </row>
        <row r="4022">
          <cell r="J4022" t="str">
            <v>EU-Patent-06/2024</v>
          </cell>
          <cell r="K4022" t="str">
            <v>Settled</v>
          </cell>
        </row>
        <row r="4023">
          <cell r="J4023" t="str">
            <v>EU-CN-Patent-05-2024</v>
          </cell>
          <cell r="K4023" t="str">
            <v>Settled</v>
          </cell>
        </row>
        <row r="4024">
          <cell r="J4024" t="str">
            <v>EU-Patent-07/2024</v>
          </cell>
          <cell r="K4024" t="str">
            <v>Settled</v>
          </cell>
        </row>
        <row r="4025">
          <cell r="J4025" t="str">
            <v>EU-Patent-08/2024</v>
          </cell>
          <cell r="K4025" t="str">
            <v>Settled</v>
          </cell>
        </row>
        <row r="4026">
          <cell r="J4026" t="str">
            <v>EU-Patent-09/2024</v>
          </cell>
          <cell r="K4026" t="str">
            <v>Settled</v>
          </cell>
        </row>
        <row r="4027">
          <cell r="J4027" t="str">
            <v>EU-Patent-10/2024</v>
          </cell>
          <cell r="K4027" t="str">
            <v>Settled</v>
          </cell>
        </row>
        <row r="4028">
          <cell r="J4028" t="str">
            <v>EU-Patent-11/2024</v>
          </cell>
          <cell r="K4028" t="str">
            <v>Settled</v>
          </cell>
        </row>
        <row r="4029">
          <cell r="J4029" t="str">
            <v>EU-CN-Patent-11-2024</v>
          </cell>
          <cell r="K4029" t="str">
            <v>Settled</v>
          </cell>
        </row>
        <row r="4030">
          <cell r="J4030" t="str">
            <v>EU-Patent-12/2024</v>
          </cell>
          <cell r="K4030" t="str">
            <v>Settled</v>
          </cell>
        </row>
        <row r="4031">
          <cell r="J4031" t="str">
            <v>EU-Patent-01/2025</v>
          </cell>
          <cell r="K4031" t="str">
            <v>Settled</v>
          </cell>
        </row>
        <row r="4032">
          <cell r="J4032" t="str">
            <v>EU-Patent-02/2025</v>
          </cell>
          <cell r="K4032" t="str">
            <v>Settled</v>
          </cell>
        </row>
        <row r="4033">
          <cell r="J4033" t="str">
            <v>EU-Patent-03/2025</v>
          </cell>
          <cell r="K4033" t="str">
            <v>Settled</v>
          </cell>
        </row>
        <row r="4034">
          <cell r="J4034" t="str">
            <v>EU-Patent-04/2025</v>
          </cell>
          <cell r="K4034" t="str">
            <v>Settled</v>
          </cell>
        </row>
        <row r="4035">
          <cell r="J4035" t="str">
            <v>EU-Patent-05/2025</v>
          </cell>
          <cell r="K4035" t="str">
            <v>Settled</v>
          </cell>
        </row>
        <row r="4036">
          <cell r="J4036" t="str">
            <v>EU-Patent-06/2025</v>
          </cell>
          <cell r="K4036" t="str">
            <v>Settled</v>
          </cell>
        </row>
        <row r="4037">
          <cell r="J4037" t="str">
            <v>EU-Patent-07/2025</v>
          </cell>
          <cell r="K4037" t="str">
            <v>Settled</v>
          </cell>
        </row>
        <row r="4038">
          <cell r="J4038" t="str">
            <v>EU-Patent-08/2025</v>
          </cell>
          <cell r="K4038" t="str">
            <v>Settled</v>
          </cell>
        </row>
        <row r="4039">
          <cell r="J4039" t="str">
            <v>EU-Patent-09/2025</v>
          </cell>
          <cell r="K4039" t="str">
            <v>Settled</v>
          </cell>
        </row>
        <row r="4040">
          <cell r="J4040" t="str">
            <v>EU-Patent-10/2025</v>
          </cell>
          <cell r="K4040" t="str">
            <v>Settled</v>
          </cell>
        </row>
        <row r="4041">
          <cell r="J4041" t="str">
            <v>EU-Patent-11/2025</v>
          </cell>
          <cell r="K4041" t="str">
            <v>Settled</v>
          </cell>
        </row>
        <row r="4042">
          <cell r="J4042" t="str">
            <v>EU-Patent-12/2025</v>
          </cell>
          <cell r="K4042" t="str">
            <v>Settled</v>
          </cell>
        </row>
        <row r="4043">
          <cell r="J4043" t="str">
            <v>EU-Patent-01/2026</v>
          </cell>
          <cell r="K4043" t="str">
            <v>Settled</v>
          </cell>
        </row>
        <row r="4044">
          <cell r="J4044" t="str">
            <v>EU-Patent-02/2026</v>
          </cell>
          <cell r="K4044" t="str">
            <v>Settled</v>
          </cell>
        </row>
        <row r="4045">
          <cell r="J4045" t="str">
            <v>EU-Patent-03/2026</v>
          </cell>
          <cell r="K4045" t="str">
            <v>Settled</v>
          </cell>
        </row>
        <row r="4046">
          <cell r="J4046" t="str">
            <v>EU-Patent-04/2026</v>
          </cell>
          <cell r="K4046" t="str">
            <v>Settled</v>
          </cell>
        </row>
        <row r="4047">
          <cell r="J4047" t="str">
            <v>EU-Patent-05/2026</v>
          </cell>
          <cell r="K4047" t="str">
            <v>Settled</v>
          </cell>
        </row>
        <row r="4048">
          <cell r="J4048" t="str">
            <v>EU-Patent Renewal-11/2022</v>
          </cell>
          <cell r="K4048" t="str">
            <v>Settled</v>
          </cell>
        </row>
        <row r="4049">
          <cell r="J4049" t="str">
            <v>EU-Patent Renewal-12/2022</v>
          </cell>
          <cell r="K4049" t="str">
            <v>Settled</v>
          </cell>
        </row>
        <row r="4050">
          <cell r="J4050" t="str">
            <v>EU-Patent Renewal-01/2023</v>
          </cell>
          <cell r="K4050" t="str">
            <v>Settled</v>
          </cell>
        </row>
        <row r="4051">
          <cell r="J4051" t="str">
            <v>EU-Patent-02/2023</v>
          </cell>
          <cell r="K4051" t="str">
            <v>Settled</v>
          </cell>
        </row>
        <row r="4052">
          <cell r="J4052" t="str">
            <v>EU-Patent-03/2023</v>
          </cell>
          <cell r="K4052" t="str">
            <v>Settled</v>
          </cell>
        </row>
        <row r="4053">
          <cell r="J4053" t="str">
            <v>EU-Patent-04/2023</v>
          </cell>
          <cell r="K4053" t="str">
            <v>Settled</v>
          </cell>
        </row>
        <row r="4054">
          <cell r="J4054" t="str">
            <v>EU-Patent-05/2023</v>
          </cell>
          <cell r="K4054" t="str">
            <v>Settled</v>
          </cell>
        </row>
        <row r="4055">
          <cell r="J4055" t="str">
            <v>EU-Patent-06/2023</v>
          </cell>
          <cell r="K4055" t="str">
            <v>Settled</v>
          </cell>
        </row>
        <row r="4056">
          <cell r="J4056" t="str">
            <v>EU-Patent-07/2023</v>
          </cell>
          <cell r="K4056" t="str">
            <v>Settled</v>
          </cell>
        </row>
        <row r="4057">
          <cell r="J4057" t="str">
            <v>EU -Patent-08/2023</v>
          </cell>
          <cell r="K4057" t="str">
            <v>Settled</v>
          </cell>
        </row>
        <row r="4058">
          <cell r="J4058" t="str">
            <v>EU-Patent-09/2023</v>
          </cell>
          <cell r="K4058" t="str">
            <v>Settled</v>
          </cell>
        </row>
        <row r="4059">
          <cell r="J4059" t="str">
            <v>EU-Patent-10/2023</v>
          </cell>
          <cell r="K4059" t="str">
            <v>Settled</v>
          </cell>
        </row>
        <row r="4060">
          <cell r="J4060" t="str">
            <v>EU-Patent-11/2023</v>
          </cell>
          <cell r="K4060" t="str">
            <v>Settled</v>
          </cell>
        </row>
        <row r="4061">
          <cell r="J4061" t="str">
            <v>EU-Patent-12/2023</v>
          </cell>
          <cell r="K4061" t="str">
            <v>Settled</v>
          </cell>
        </row>
        <row r="4062">
          <cell r="J4062" t="str">
            <v>EU -Patent-CR-12/2023</v>
          </cell>
          <cell r="K4062" t="str">
            <v>Settled</v>
          </cell>
        </row>
        <row r="4063">
          <cell r="J4063" t="str">
            <v>EU-Patent-01/2024</v>
          </cell>
          <cell r="K4063" t="str">
            <v>Settled</v>
          </cell>
        </row>
        <row r="4064">
          <cell r="J4064" t="str">
            <v>EU -Patent-CR-01/2024</v>
          </cell>
          <cell r="K4064" t="str">
            <v>Settled</v>
          </cell>
        </row>
        <row r="4065">
          <cell r="J4065" t="str">
            <v>EU-Patent-02/2024</v>
          </cell>
          <cell r="K4065" t="str">
            <v>Settled</v>
          </cell>
        </row>
        <row r="4066">
          <cell r="J4066" t="str">
            <v>SG -PAYALLY LTD-12/2021</v>
          </cell>
          <cell r="K4066" t="str">
            <v>Settled</v>
          </cell>
        </row>
        <row r="4067">
          <cell r="J4067" t="str">
            <v>SG -PAYALLY LTD-01/2022</v>
          </cell>
          <cell r="K4067" t="str">
            <v>Settled</v>
          </cell>
        </row>
        <row r="4068">
          <cell r="J4068" t="str">
            <v>SG -PAYALLY LTD-02/2022</v>
          </cell>
          <cell r="K4068" t="str">
            <v>Settled</v>
          </cell>
        </row>
        <row r="4069">
          <cell r="J4069" t="str">
            <v>SG -PAYALLY LTD-03/2022</v>
          </cell>
          <cell r="K4069" t="str">
            <v>Settled</v>
          </cell>
        </row>
        <row r="4070">
          <cell r="J4070" t="str">
            <v>SG -PAYALLY LTD-04/2022</v>
          </cell>
          <cell r="K4070" t="str">
            <v>Settled</v>
          </cell>
        </row>
        <row r="4071">
          <cell r="J4071" t="str">
            <v>SG -PAYALLY LTD-05/2022</v>
          </cell>
          <cell r="K4071" t="str">
            <v>Waived Off</v>
          </cell>
        </row>
        <row r="4072">
          <cell r="J4072" t="str">
            <v>SG -PAYALLY LTD-06/2022</v>
          </cell>
          <cell r="K4072" t="str">
            <v>Waived Off</v>
          </cell>
        </row>
        <row r="4073">
          <cell r="J4073" t="str">
            <v>SG-PAYALLY LTD-08/2022</v>
          </cell>
          <cell r="K4073" t="str">
            <v>Waived Off</v>
          </cell>
        </row>
        <row r="4074">
          <cell r="J4074" t="str">
            <v>SG-PAYALLY LTD-09/2022</v>
          </cell>
          <cell r="K4074" t="str">
            <v>Waived Off</v>
          </cell>
        </row>
        <row r="4075">
          <cell r="J4075" t="str">
            <v>SG-PAYALLY LTD-10/2022</v>
          </cell>
          <cell r="K4075" t="str">
            <v>Waived Off</v>
          </cell>
        </row>
        <row r="4076">
          <cell r="J4076" t="str">
            <v>CA-Payana-07/2024</v>
          </cell>
          <cell r="K4076" t="str">
            <v>Net Off</v>
          </cell>
        </row>
        <row r="4077">
          <cell r="J4077" t="str">
            <v>CA-Payana-08/2024</v>
          </cell>
          <cell r="K4077" t="str">
            <v>Net Off</v>
          </cell>
        </row>
        <row r="4078">
          <cell r="J4078" t="str">
            <v>CA-Payana-09/2024</v>
          </cell>
          <cell r="K4078" t="str">
            <v>Net Off</v>
          </cell>
        </row>
        <row r="4079">
          <cell r="J4079" t="str">
            <v>CA-Payana-10/2024</v>
          </cell>
          <cell r="K4079" t="str">
            <v>Net Off</v>
          </cell>
        </row>
        <row r="4080">
          <cell r="J4080" t="str">
            <v>CA-Payana-11/2024</v>
          </cell>
          <cell r="K4080" t="str">
            <v>Net Off</v>
          </cell>
        </row>
        <row r="4081">
          <cell r="J4081" t="str">
            <v>CA-CN-Payana-02-2025</v>
          </cell>
          <cell r="K4081" t="str">
            <v>Net Off</v>
          </cell>
        </row>
        <row r="4082">
          <cell r="J4082" t="str">
            <v>CA-Payana-09/2023</v>
          </cell>
          <cell r="K4082" t="str">
            <v>Settled</v>
          </cell>
        </row>
        <row r="4083">
          <cell r="J4083" t="str">
            <v>CA-Payana-10/2023</v>
          </cell>
          <cell r="K4083" t="str">
            <v>Settled</v>
          </cell>
        </row>
        <row r="4084">
          <cell r="J4084" t="str">
            <v>CA-Payana-11/2023</v>
          </cell>
          <cell r="K4084" t="str">
            <v>Settled</v>
          </cell>
        </row>
        <row r="4085">
          <cell r="J4085" t="str">
            <v>CA-Payana-06/2024</v>
          </cell>
          <cell r="K4085" t="str">
            <v>Settled</v>
          </cell>
        </row>
        <row r="4086">
          <cell r="J4086" t="str">
            <v>CA-payinone llc-10/2022</v>
          </cell>
          <cell r="K4086" t="str">
            <v>Waived Off</v>
          </cell>
        </row>
        <row r="4087">
          <cell r="J4087" t="str">
            <v>CA-payinone llc-11/2022</v>
          </cell>
          <cell r="K4087" t="str">
            <v>Waived Off</v>
          </cell>
        </row>
        <row r="4088">
          <cell r="J4088" t="str">
            <v>CA-payinone llc-12/2022</v>
          </cell>
          <cell r="K4088" t="str">
            <v>Write Off</v>
          </cell>
        </row>
        <row r="4089">
          <cell r="J4089" t="str">
            <v>CA-payinone llc-01/2023</v>
          </cell>
          <cell r="K4089" t="str">
            <v>Write Off</v>
          </cell>
        </row>
        <row r="4090">
          <cell r="J4090" t="str">
            <v>CA-payinone llc-02/2023</v>
          </cell>
          <cell r="K4090" t="str">
            <v>Write Off</v>
          </cell>
        </row>
        <row r="4091">
          <cell r="J4091" t="str">
            <v>CA-payinone llc-03/2023</v>
          </cell>
          <cell r="K4091" t="str">
            <v>Write Off</v>
          </cell>
        </row>
        <row r="4092">
          <cell r="J4092" t="str">
            <v>CA-payinone llc-04/2023</v>
          </cell>
          <cell r="K4092" t="str">
            <v>Write Off</v>
          </cell>
        </row>
        <row r="4093">
          <cell r="J4093" t="str">
            <v>CA-payinone llc-05/2023</v>
          </cell>
          <cell r="K4093" t="str">
            <v>Write Off</v>
          </cell>
        </row>
        <row r="4094">
          <cell r="J4094" t="str">
            <v>CA-payinone llc-06/2023</v>
          </cell>
          <cell r="K4094" t="str">
            <v>Write Off</v>
          </cell>
        </row>
        <row r="4095">
          <cell r="J4095" t="str">
            <v>CA-payinone llc-07/2023</v>
          </cell>
          <cell r="K4095" t="str">
            <v>Write Off</v>
          </cell>
        </row>
        <row r="4096">
          <cell r="J4096" t="str">
            <v>SG-Payoneer-11/2022</v>
          </cell>
          <cell r="K4096" t="str">
            <v>Settled</v>
          </cell>
        </row>
        <row r="4097">
          <cell r="J4097" t="str">
            <v>SG-Payoneer-12/2022</v>
          </cell>
          <cell r="K4097" t="str">
            <v>Settled</v>
          </cell>
        </row>
        <row r="4098">
          <cell r="J4098" t="str">
            <v>SG-Payoneer-01/2023</v>
          </cell>
          <cell r="K4098" t="str">
            <v>Settled</v>
          </cell>
        </row>
        <row r="4099">
          <cell r="J4099" t="str">
            <v>SG-Payoneer-02/2023</v>
          </cell>
          <cell r="K4099" t="str">
            <v>Settled</v>
          </cell>
        </row>
        <row r="4100">
          <cell r="J4100" t="str">
            <v>SG-Payoneer-03/2023</v>
          </cell>
          <cell r="K4100" t="str">
            <v>Settled</v>
          </cell>
        </row>
        <row r="4101">
          <cell r="J4101" t="str">
            <v>SG-Payoneer-04/2023</v>
          </cell>
          <cell r="K4101" t="str">
            <v>Settled</v>
          </cell>
        </row>
        <row r="4102">
          <cell r="J4102" t="str">
            <v>SG-Payoneer-05/2023</v>
          </cell>
          <cell r="K4102" t="str">
            <v>Settled</v>
          </cell>
        </row>
        <row r="4103">
          <cell r="J4103" t="str">
            <v>SG-Payoneer-06/2023</v>
          </cell>
          <cell r="K4103" t="str">
            <v>Settled</v>
          </cell>
        </row>
        <row r="4104">
          <cell r="J4104" t="str">
            <v>SG-Payoneer-07/2023</v>
          </cell>
          <cell r="K4104" t="str">
            <v>Settled</v>
          </cell>
        </row>
        <row r="4105">
          <cell r="J4105" t="str">
            <v>SG -Payoneer-08/2023</v>
          </cell>
          <cell r="K4105" t="str">
            <v>Settled</v>
          </cell>
        </row>
        <row r="4106">
          <cell r="J4106" t="str">
            <v>SG-Payoneer-09/2023</v>
          </cell>
          <cell r="K4106" t="str">
            <v>Settled</v>
          </cell>
        </row>
        <row r="4107">
          <cell r="J4107" t="str">
            <v>SG-Payoneer-10/2023</v>
          </cell>
          <cell r="K4107" t="str">
            <v>Settled</v>
          </cell>
        </row>
        <row r="4108">
          <cell r="J4108" t="str">
            <v>SG-Payoneer-11/2023</v>
          </cell>
          <cell r="K4108" t="str">
            <v>Settled</v>
          </cell>
        </row>
        <row r="4109">
          <cell r="J4109" t="str">
            <v>SG-Payoneer-12/2023</v>
          </cell>
          <cell r="K4109" t="str">
            <v>Settled</v>
          </cell>
        </row>
        <row r="4110">
          <cell r="J4110" t="str">
            <v>SG-Payoneer-01/2024</v>
          </cell>
          <cell r="K4110" t="str">
            <v>Settled</v>
          </cell>
        </row>
        <row r="4111">
          <cell r="J4111" t="str">
            <v>SG-Payoneer-02/2024</v>
          </cell>
          <cell r="K4111" t="str">
            <v>Settled</v>
          </cell>
        </row>
        <row r="4112">
          <cell r="J4112" t="str">
            <v>SG-Payoneer-03/2024</v>
          </cell>
          <cell r="K4112" t="str">
            <v>Settled</v>
          </cell>
        </row>
        <row r="4113">
          <cell r="J4113" t="str">
            <v>SG-Payoneer-04/2024</v>
          </cell>
          <cell r="K4113" t="str">
            <v>Settled</v>
          </cell>
        </row>
        <row r="4114">
          <cell r="J4114" t="str">
            <v>SG-Payoneer-05/2024</v>
          </cell>
          <cell r="K4114" t="str">
            <v>Settled</v>
          </cell>
        </row>
        <row r="4115">
          <cell r="J4115" t="str">
            <v>SG-Payoneer-06/2024</v>
          </cell>
          <cell r="K4115" t="str">
            <v>Settled</v>
          </cell>
        </row>
        <row r="4116">
          <cell r="J4116" t="str">
            <v>SG-Payoneer-07/2024</v>
          </cell>
          <cell r="K4116" t="str">
            <v>Settled</v>
          </cell>
        </row>
        <row r="4117">
          <cell r="J4117" t="str">
            <v>SG-Payoneer-08/2024</v>
          </cell>
          <cell r="K4117" t="str">
            <v>Settled</v>
          </cell>
        </row>
        <row r="4118">
          <cell r="J4118" t="str">
            <v>SG-Payoneer-09/2024</v>
          </cell>
          <cell r="K4118" t="str">
            <v>Settled</v>
          </cell>
        </row>
        <row r="4119">
          <cell r="J4119" t="str">
            <v>UK-paypugs limited-11/2022</v>
          </cell>
          <cell r="K4119" t="str">
            <v>Settled</v>
          </cell>
        </row>
        <row r="4120">
          <cell r="J4120" t="str">
            <v>UK-paypugs limited-12/2022</v>
          </cell>
          <cell r="K4120" t="str">
            <v>Settled</v>
          </cell>
        </row>
        <row r="4121">
          <cell r="J4121" t="str">
            <v>UK-paypugs limited-01/2023</v>
          </cell>
          <cell r="K4121" t="str">
            <v>Settled</v>
          </cell>
        </row>
        <row r="4122">
          <cell r="J4122" t="str">
            <v>UK-paypugs limited-02/2023</v>
          </cell>
          <cell r="K4122" t="str">
            <v>Settled</v>
          </cell>
        </row>
        <row r="4123">
          <cell r="J4123" t="str">
            <v>UK-paypugs limited-03/2023</v>
          </cell>
          <cell r="K4123" t="str">
            <v>Settled</v>
          </cell>
        </row>
        <row r="4124">
          <cell r="J4124" t="str">
            <v>UK-paypugs limited-04/2023</v>
          </cell>
          <cell r="K4124" t="str">
            <v>Waived Off</v>
          </cell>
        </row>
        <row r="4125">
          <cell r="J4125" t="str">
            <v>UK-paypugs limited-05/2023</v>
          </cell>
          <cell r="K4125" t="str">
            <v>Waived Off</v>
          </cell>
        </row>
        <row r="4126">
          <cell r="J4126" t="str">
            <v>UK-paypugs limited-06/2023</v>
          </cell>
          <cell r="K4126" t="str">
            <v>Waived Off</v>
          </cell>
        </row>
        <row r="4127">
          <cell r="J4127" t="str">
            <v>UK-paypugs limited-07/2023</v>
          </cell>
          <cell r="K4127" t="str">
            <v>Waived Off</v>
          </cell>
        </row>
        <row r="4128">
          <cell r="J4128" t="str">
            <v>US-PayQuicker LLC-06/2023</v>
          </cell>
          <cell r="K4128" t="str">
            <v>Settled</v>
          </cell>
        </row>
        <row r="4129">
          <cell r="J4129" t="str">
            <v>US-PayQuicker LLC-07/2023</v>
          </cell>
          <cell r="K4129" t="str">
            <v>Settled</v>
          </cell>
        </row>
        <row r="4130">
          <cell r="J4130" t="str">
            <v>US-PayQuicker LLC-09/2023</v>
          </cell>
          <cell r="K4130" t="str">
            <v>Settled</v>
          </cell>
        </row>
        <row r="4131">
          <cell r="J4131" t="str">
            <v>US-PayQuicker LLC-05/2024</v>
          </cell>
          <cell r="K4131" t="str">
            <v>Settled</v>
          </cell>
        </row>
        <row r="4132">
          <cell r="J4132" t="str">
            <v>US-CN-PayQuicker LLC-05-2024</v>
          </cell>
          <cell r="K4132" t="str">
            <v>Settled</v>
          </cell>
        </row>
        <row r="4133">
          <cell r="J4133" t="str">
            <v>US-PayQuicker LLC-03/2023</v>
          </cell>
          <cell r="K4133" t="str">
            <v>Settled</v>
          </cell>
        </row>
        <row r="4134">
          <cell r="J4134" t="str">
            <v>US-PayQuicker LLC-04/2023</v>
          </cell>
          <cell r="K4134" t="str">
            <v>Settled</v>
          </cell>
        </row>
        <row r="4135">
          <cell r="J4135" t="str">
            <v>US-PayQuicker LLC-05/2023</v>
          </cell>
          <cell r="K4135" t="str">
            <v>Settled</v>
          </cell>
        </row>
        <row r="4136">
          <cell r="J4136" t="str">
            <v>US-CN-PayQuicker LLC-03-2023</v>
          </cell>
          <cell r="K4136" t="str">
            <v>Settled</v>
          </cell>
        </row>
        <row r="4137">
          <cell r="J4137" t="str">
            <v>HK-Paysafe-11/2022</v>
          </cell>
          <cell r="K4137" t="str">
            <v>Settled</v>
          </cell>
        </row>
        <row r="4138">
          <cell r="J4138" t="str">
            <v>HK-Paysafe-12/2022</v>
          </cell>
          <cell r="K4138" t="str">
            <v>Settled</v>
          </cell>
        </row>
        <row r="4139">
          <cell r="J4139" t="str">
            <v>HK-Paysafe-01/2023</v>
          </cell>
          <cell r="K4139" t="str">
            <v>Settled</v>
          </cell>
        </row>
        <row r="4140">
          <cell r="J4140" t="str">
            <v>HK-Paysafe-02/2023</v>
          </cell>
          <cell r="K4140" t="str">
            <v>Settled</v>
          </cell>
        </row>
        <row r="4141">
          <cell r="J4141" t="str">
            <v>HK-Paysafe-03/2023</v>
          </cell>
          <cell r="K4141" t="str">
            <v>Settled</v>
          </cell>
        </row>
        <row r="4142">
          <cell r="J4142" t="str">
            <v>HK-Paysafe-04/2023</v>
          </cell>
          <cell r="K4142" t="str">
            <v>Settled</v>
          </cell>
        </row>
        <row r="4143">
          <cell r="J4143" t="str">
            <v>HK-Paysafe-05/2023</v>
          </cell>
          <cell r="K4143" t="str">
            <v>Settled</v>
          </cell>
        </row>
        <row r="4144">
          <cell r="J4144" t="str">
            <v>HK-Paysafe-06/2023</v>
          </cell>
          <cell r="K4144" t="str">
            <v>Settled</v>
          </cell>
        </row>
        <row r="4145">
          <cell r="J4145" t="str">
            <v>HK-Paysafe-07/2023</v>
          </cell>
          <cell r="K4145" t="str">
            <v>Settled</v>
          </cell>
        </row>
        <row r="4146">
          <cell r="J4146" t="str">
            <v>HK -Paysafe-08/2023</v>
          </cell>
          <cell r="K4146" t="str">
            <v>Settled</v>
          </cell>
        </row>
        <row r="4147">
          <cell r="J4147" t="str">
            <v>HK-Paysafe-10/2023</v>
          </cell>
          <cell r="K4147" t="str">
            <v>Settled</v>
          </cell>
        </row>
        <row r="4148">
          <cell r="J4148" t="str">
            <v>HK-Paysafe-11/2023</v>
          </cell>
          <cell r="K4148" t="str">
            <v>Settled</v>
          </cell>
        </row>
        <row r="4149">
          <cell r="J4149" t="str">
            <v>HK-Paysafe-12/2023</v>
          </cell>
          <cell r="K4149" t="str">
            <v>Settled</v>
          </cell>
        </row>
        <row r="4150">
          <cell r="J4150" t="str">
            <v>HK-Paysafe-01/2024</v>
          </cell>
          <cell r="K4150" t="str">
            <v>Settled</v>
          </cell>
        </row>
        <row r="4151">
          <cell r="J4151" t="str">
            <v>HK-Paysafe-02/2024</v>
          </cell>
          <cell r="K4151" t="str">
            <v>Settled</v>
          </cell>
        </row>
        <row r="4152">
          <cell r="J4152" t="str">
            <v>HK-Paysafe-03/2024</v>
          </cell>
          <cell r="K4152" t="str">
            <v>Settled</v>
          </cell>
        </row>
        <row r="4153">
          <cell r="J4153" t="str">
            <v>HK-Paysafe-04/2024</v>
          </cell>
          <cell r="K4153" t="str">
            <v>Settled</v>
          </cell>
        </row>
        <row r="4154">
          <cell r="J4154" t="str">
            <v>HK-Paysafe-05/2024</v>
          </cell>
          <cell r="K4154" t="str">
            <v>Settled</v>
          </cell>
        </row>
        <row r="4155">
          <cell r="J4155" t="str">
            <v>HK-Paysafe-06/2024</v>
          </cell>
          <cell r="K4155" t="str">
            <v>Settled</v>
          </cell>
        </row>
        <row r="4156">
          <cell r="J4156" t="str">
            <v>HK-Paysafe-07/2024</v>
          </cell>
          <cell r="K4156" t="str">
            <v>Settled</v>
          </cell>
        </row>
        <row r="4157">
          <cell r="J4157" t="str">
            <v>HK-Paysafe-08/2024</v>
          </cell>
          <cell r="K4157" t="str">
            <v>Settled</v>
          </cell>
        </row>
        <row r="4158">
          <cell r="J4158" t="str">
            <v>HK-Paysafe-09/2024</v>
          </cell>
          <cell r="K4158" t="str">
            <v>Settled</v>
          </cell>
        </row>
        <row r="4159">
          <cell r="J4159" t="str">
            <v>HK-Paysafe-10/2024</v>
          </cell>
          <cell r="K4159" t="str">
            <v>Settled</v>
          </cell>
        </row>
        <row r="4160">
          <cell r="J4160" t="str">
            <v>HK-Paysafe-11/2024</v>
          </cell>
          <cell r="K4160" t="str">
            <v>Settled</v>
          </cell>
        </row>
        <row r="4161">
          <cell r="J4161" t="str">
            <v>HK-Paysafe-12/2024</v>
          </cell>
          <cell r="K4161" t="str">
            <v>Settled</v>
          </cell>
        </row>
        <row r="4162">
          <cell r="J4162" t="str">
            <v>HK-Paysafe-01/2025</v>
          </cell>
          <cell r="K4162" t="str">
            <v>Settled</v>
          </cell>
        </row>
        <row r="4163">
          <cell r="J4163" t="str">
            <v>HK-Paysafe-02/2025</v>
          </cell>
          <cell r="K4163" t="str">
            <v>Settled</v>
          </cell>
        </row>
        <row r="4164">
          <cell r="J4164" t="str">
            <v>HK-Paysafe-03/2025</v>
          </cell>
          <cell r="K4164" t="str">
            <v>Settled</v>
          </cell>
        </row>
        <row r="4165">
          <cell r="J4165" t="str">
            <v>HK-Paysafe-04/2025</v>
          </cell>
          <cell r="K4165" t="str">
            <v>Settled</v>
          </cell>
        </row>
        <row r="4166">
          <cell r="J4166" t="str">
            <v>HK-Paysafe-05/2025</v>
          </cell>
          <cell r="K4166" t="str">
            <v>Settled</v>
          </cell>
        </row>
        <row r="4167">
          <cell r="J4167" t="str">
            <v>HK-Paysafe-06/2025</v>
          </cell>
          <cell r="K4167" t="str">
            <v>Settled</v>
          </cell>
        </row>
        <row r="4168">
          <cell r="J4168" t="str">
            <v>HK-Paysafe-07/2025</v>
          </cell>
          <cell r="K4168" t="str">
            <v>Settled</v>
          </cell>
        </row>
        <row r="4169">
          <cell r="J4169" t="str">
            <v>HK-Paysafe-08/2025</v>
          </cell>
          <cell r="K4169" t="str">
            <v>Settled</v>
          </cell>
        </row>
        <row r="4170">
          <cell r="J4170" t="str">
            <v>HK-Paysafe-09/2025</v>
          </cell>
          <cell r="K4170" t="str">
            <v>Settled</v>
          </cell>
        </row>
        <row r="4171">
          <cell r="J4171" t="str">
            <v>HK-Paysafe-10/2025</v>
          </cell>
          <cell r="K4171" t="str">
            <v>Settled</v>
          </cell>
        </row>
        <row r="4172">
          <cell r="J4172" t="str">
            <v>HK-Paysafe-11/2025</v>
          </cell>
          <cell r="K4172" t="str">
            <v>Settled</v>
          </cell>
        </row>
        <row r="4173">
          <cell r="J4173" t="str">
            <v>HK-Paysafe-12/2025</v>
          </cell>
          <cell r="K4173" t="str">
            <v>Settled</v>
          </cell>
        </row>
        <row r="4174">
          <cell r="J4174" t="str">
            <v>HK-Paysafe-01/2026</v>
          </cell>
          <cell r="K4174" t="str">
            <v>Settled</v>
          </cell>
        </row>
        <row r="4175">
          <cell r="J4175" t="str">
            <v>HK-Paysafe-02/2026</v>
          </cell>
          <cell r="K4175" t="str">
            <v>Settled</v>
          </cell>
        </row>
        <row r="4176">
          <cell r="J4176" t="str">
            <v>HK-Paysafe-03/2026</v>
          </cell>
          <cell r="K4176" t="str">
            <v>Settled</v>
          </cell>
        </row>
        <row r="4177">
          <cell r="J4177" t="str">
            <v>HK-Paysafe-04/2026</v>
          </cell>
          <cell r="K4177" t="str">
            <v>Settled</v>
          </cell>
        </row>
        <row r="4178">
          <cell r="J4178" t="str">
            <v>HK-Paysafe-05/2026</v>
          </cell>
          <cell r="K4178" t="str">
            <v>Settled</v>
          </cell>
        </row>
        <row r="4179">
          <cell r="J4179" t="str">
            <v>HK-Paysafe-09/2023</v>
          </cell>
          <cell r="K4179" t="str">
            <v>Settled</v>
          </cell>
        </row>
        <row r="4180">
          <cell r="J4180" t="str">
            <v>EU-Paysera-11/2022</v>
          </cell>
          <cell r="K4180" t="str">
            <v>Settled</v>
          </cell>
        </row>
        <row r="4181">
          <cell r="J4181" t="str">
            <v>EU-Paysera-12/2022</v>
          </cell>
          <cell r="K4181" t="str">
            <v>Settled</v>
          </cell>
        </row>
        <row r="4182">
          <cell r="J4182" t="str">
            <v>EU-Paysera-01/2023</v>
          </cell>
          <cell r="K4182" t="str">
            <v>Settled</v>
          </cell>
        </row>
        <row r="4183">
          <cell r="J4183" t="str">
            <v>EU-Paysera-02/2023</v>
          </cell>
          <cell r="K4183" t="str">
            <v>Settled</v>
          </cell>
        </row>
        <row r="4184">
          <cell r="J4184" t="str">
            <v>EU-Paysera-03/2023</v>
          </cell>
          <cell r="K4184" t="str">
            <v>Settled</v>
          </cell>
        </row>
        <row r="4185">
          <cell r="J4185" t="str">
            <v>EU-Paysera-04/2023</v>
          </cell>
          <cell r="K4185" t="str">
            <v>Settled</v>
          </cell>
        </row>
        <row r="4186">
          <cell r="J4186" t="str">
            <v>EU-Paysera-05/2023</v>
          </cell>
          <cell r="K4186" t="str">
            <v>Settled</v>
          </cell>
        </row>
        <row r="4187">
          <cell r="J4187" t="str">
            <v>EU-Paysera-06/2023</v>
          </cell>
          <cell r="K4187" t="str">
            <v>Settled</v>
          </cell>
        </row>
        <row r="4188">
          <cell r="J4188" t="str">
            <v>EU-Paysera-07/2023</v>
          </cell>
          <cell r="K4188" t="str">
            <v>Settled</v>
          </cell>
        </row>
        <row r="4189">
          <cell r="J4189" t="str">
            <v>EU -Paysera-08/2023</v>
          </cell>
          <cell r="K4189" t="str">
            <v>Settled</v>
          </cell>
        </row>
        <row r="4190">
          <cell r="J4190" t="str">
            <v>EU-Paysera-09/2023</v>
          </cell>
          <cell r="K4190" t="str">
            <v>Settled</v>
          </cell>
        </row>
        <row r="4191">
          <cell r="J4191" t="str">
            <v>EU-Paysera-10/2023</v>
          </cell>
          <cell r="K4191" t="str">
            <v>Settled</v>
          </cell>
        </row>
        <row r="4192">
          <cell r="J4192" t="str">
            <v>EU-Paysera-11/2023</v>
          </cell>
          <cell r="K4192" t="str">
            <v>Settled</v>
          </cell>
        </row>
        <row r="4193">
          <cell r="J4193" t="str">
            <v>EU-Paysera-12/2023</v>
          </cell>
          <cell r="K4193" t="str">
            <v>Settled</v>
          </cell>
        </row>
        <row r="4194">
          <cell r="J4194" t="str">
            <v>EU-Paysera-01/2024</v>
          </cell>
          <cell r="K4194" t="str">
            <v>Settled</v>
          </cell>
        </row>
        <row r="4195">
          <cell r="J4195" t="str">
            <v>EU-Paysera-02/2024</v>
          </cell>
          <cell r="K4195" t="str">
            <v>Settled</v>
          </cell>
        </row>
        <row r="4196">
          <cell r="J4196" t="str">
            <v>EU-Paysera-03/2024</v>
          </cell>
          <cell r="K4196" t="str">
            <v>Settled</v>
          </cell>
        </row>
        <row r="4197">
          <cell r="J4197" t="str">
            <v>EU-Paysera-04/2024</v>
          </cell>
          <cell r="K4197" t="str">
            <v>Settled</v>
          </cell>
        </row>
        <row r="4198">
          <cell r="J4198" t="str">
            <v>EU-Paysera-05/2024</v>
          </cell>
          <cell r="K4198" t="str">
            <v>Settled</v>
          </cell>
        </row>
        <row r="4199">
          <cell r="J4199" t="str">
            <v>EU-Paysera-06/2024</v>
          </cell>
          <cell r="K4199" t="str">
            <v>Settled</v>
          </cell>
        </row>
        <row r="4200">
          <cell r="J4200" t="str">
            <v>EU-Paysera-07/2024</v>
          </cell>
          <cell r="K4200" t="str">
            <v>Settled</v>
          </cell>
        </row>
        <row r="4201">
          <cell r="J4201" t="str">
            <v>EU-Paysera-08/2024</v>
          </cell>
          <cell r="K4201" t="str">
            <v>Settled</v>
          </cell>
        </row>
        <row r="4202">
          <cell r="J4202" t="str">
            <v>EU-Paysera-09/2024</v>
          </cell>
          <cell r="K4202" t="str">
            <v>Settled</v>
          </cell>
        </row>
        <row r="4203">
          <cell r="J4203" t="str">
            <v>EU-Paysera-10/2024</v>
          </cell>
          <cell r="K4203" t="str">
            <v>Settled</v>
          </cell>
        </row>
        <row r="4204">
          <cell r="J4204" t="str">
            <v>EU-Paysera-11/2024</v>
          </cell>
          <cell r="K4204" t="str">
            <v>Settled</v>
          </cell>
        </row>
        <row r="4205">
          <cell r="J4205" t="str">
            <v>EU-Paysera-12/2024</v>
          </cell>
          <cell r="K4205" t="str">
            <v>Settled</v>
          </cell>
        </row>
        <row r="4206">
          <cell r="J4206" t="str">
            <v>EU-Paysera-01/2025</v>
          </cell>
          <cell r="K4206" t="str">
            <v>Settled</v>
          </cell>
        </row>
        <row r="4207">
          <cell r="J4207" t="str">
            <v>EU-Paysera-02/2025</v>
          </cell>
          <cell r="K4207" t="str">
            <v>Settled</v>
          </cell>
        </row>
        <row r="4208">
          <cell r="J4208" t="str">
            <v>EU-Paysera-03/2025</v>
          </cell>
          <cell r="K4208" t="str">
            <v>Settled</v>
          </cell>
        </row>
        <row r="4209">
          <cell r="J4209" t="str">
            <v>EU-Paysera-04/2025</v>
          </cell>
          <cell r="K4209" t="str">
            <v>Settled</v>
          </cell>
        </row>
        <row r="4210">
          <cell r="J4210" t="str">
            <v>EU-Paysera-05/2025</v>
          </cell>
          <cell r="K4210" t="str">
            <v>Settled</v>
          </cell>
        </row>
        <row r="4211">
          <cell r="J4211" t="str">
            <v>EU-Paysera-06/2025</v>
          </cell>
          <cell r="K4211" t="str">
            <v>Settled</v>
          </cell>
        </row>
        <row r="4212">
          <cell r="J4212" t="str">
            <v>EU-Paysera-07/2025</v>
          </cell>
          <cell r="K4212" t="str">
            <v>Settled</v>
          </cell>
        </row>
        <row r="4213">
          <cell r="J4213" t="str">
            <v>EU-Paysera-08/2025</v>
          </cell>
          <cell r="K4213" t="str">
            <v>Settled</v>
          </cell>
        </row>
        <row r="4214">
          <cell r="J4214" t="str">
            <v>EU-Paysera-09/2025</v>
          </cell>
          <cell r="K4214" t="str">
            <v>Settled</v>
          </cell>
        </row>
        <row r="4215">
          <cell r="J4215" t="str">
            <v>SG -pbm investor services pte ltd-01/2022</v>
          </cell>
          <cell r="K4215" t="str">
            <v>Settled</v>
          </cell>
        </row>
        <row r="4216">
          <cell r="J4216" t="str">
            <v>SG -pbm investor services pte ltd-06/2022</v>
          </cell>
          <cell r="K4216" t="str">
            <v>Settled</v>
          </cell>
        </row>
        <row r="4217">
          <cell r="J4217" t="str">
            <v>SG-pbm-07/2022</v>
          </cell>
          <cell r="K4217" t="str">
            <v>Settled</v>
          </cell>
        </row>
        <row r="4218">
          <cell r="J4218" t="str">
            <v>SG-pbm investor services pte ltd-11/2022</v>
          </cell>
          <cell r="K4218" t="str">
            <v>Settled</v>
          </cell>
        </row>
        <row r="4219">
          <cell r="J4219" t="str">
            <v>SG-pbm investor services pte ltd-01/2023</v>
          </cell>
          <cell r="K4219" t="str">
            <v>Settled</v>
          </cell>
        </row>
        <row r="4220">
          <cell r="J4220" t="str">
            <v>SG-pbm-02/2023</v>
          </cell>
          <cell r="K4220" t="str">
            <v>Settled</v>
          </cell>
        </row>
        <row r="4221">
          <cell r="J4221" t="str">
            <v>SG-pbm-04/2023</v>
          </cell>
          <cell r="K4221" t="str">
            <v>Settled</v>
          </cell>
        </row>
        <row r="4222">
          <cell r="J4222" t="str">
            <v>SG-pbm-06/2023</v>
          </cell>
          <cell r="K4222" t="str">
            <v>Settled</v>
          </cell>
        </row>
        <row r="4223">
          <cell r="J4223" t="str">
            <v>SG-pbm-07/2023</v>
          </cell>
          <cell r="K4223" t="str">
            <v>Settled</v>
          </cell>
        </row>
        <row r="4224">
          <cell r="J4224" t="str">
            <v>SG -pbm-08/2023</v>
          </cell>
          <cell r="K4224" t="str">
            <v>Settled</v>
          </cell>
        </row>
        <row r="4225">
          <cell r="J4225" t="str">
            <v>SG-pbm-12/2023</v>
          </cell>
          <cell r="K4225" t="str">
            <v>Settled</v>
          </cell>
        </row>
        <row r="4226">
          <cell r="J4226" t="str">
            <v>SG-pbm-01/2024</v>
          </cell>
          <cell r="K4226" t="str">
            <v>Settled</v>
          </cell>
        </row>
        <row r="4227">
          <cell r="J4227" t="str">
            <v>SG-pbm-02/2024</v>
          </cell>
          <cell r="K4227" t="str">
            <v>Settled</v>
          </cell>
        </row>
        <row r="4228">
          <cell r="J4228" t="str">
            <v>SG-pbm-03/2024</v>
          </cell>
          <cell r="K4228" t="str">
            <v>Settled</v>
          </cell>
        </row>
        <row r="4229">
          <cell r="J4229" t="str">
            <v>SG-pbm-07/2024</v>
          </cell>
          <cell r="K4229" t="str">
            <v>Settled</v>
          </cell>
        </row>
        <row r="4230">
          <cell r="J4230" t="str">
            <v>SG-pbm-10/2024</v>
          </cell>
          <cell r="K4230" t="str">
            <v>Settled</v>
          </cell>
        </row>
        <row r="4231">
          <cell r="J4231" t="str">
            <v>SG-pbm-11/2024</v>
          </cell>
          <cell r="K4231" t="str">
            <v>Settled</v>
          </cell>
        </row>
        <row r="4232">
          <cell r="J4232" t="str">
            <v>US-PE Global Partners (DBA Payment Earth)-01/2023</v>
          </cell>
          <cell r="K4232" t="str">
            <v>Settled</v>
          </cell>
        </row>
        <row r="4233">
          <cell r="J4233" t="str">
            <v>US -PEGlobalPartners-01/2023</v>
          </cell>
          <cell r="K4233" t="str">
            <v>Settled</v>
          </cell>
        </row>
        <row r="4234">
          <cell r="J4234" t="str">
            <v>US-PEGlobalPartners-02/2023</v>
          </cell>
          <cell r="K4234" t="str">
            <v>Settled</v>
          </cell>
        </row>
        <row r="4235">
          <cell r="J4235" t="str">
            <v>US-PEGlobalPartners-03/2023</v>
          </cell>
          <cell r="K4235" t="str">
            <v>Settled</v>
          </cell>
        </row>
        <row r="4236">
          <cell r="J4236" t="str">
            <v>US-PEGlobalPartners-04/2023</v>
          </cell>
          <cell r="K4236" t="str">
            <v>Settled</v>
          </cell>
        </row>
        <row r="4237">
          <cell r="J4237" t="str">
            <v>US-PEGlobalPartners-05/2023</v>
          </cell>
          <cell r="K4237" t="str">
            <v>Settled</v>
          </cell>
        </row>
        <row r="4238">
          <cell r="J4238" t="str">
            <v>US-PEGlobalPartners-06/2023</v>
          </cell>
          <cell r="K4238" t="str">
            <v>Settled</v>
          </cell>
        </row>
        <row r="4239">
          <cell r="J4239" t="str">
            <v>US-PEGlobalPartners-07/2023</v>
          </cell>
          <cell r="K4239" t="str">
            <v>Settled</v>
          </cell>
        </row>
        <row r="4240">
          <cell r="J4240" t="str">
            <v>US -PEGlobalPartners-08/2023</v>
          </cell>
          <cell r="K4240" t="str">
            <v>Settled</v>
          </cell>
        </row>
        <row r="4241">
          <cell r="J4241" t="str">
            <v>US-PEGlobalPartners-09/2023</v>
          </cell>
          <cell r="K4241" t="str">
            <v>Settled</v>
          </cell>
        </row>
        <row r="4242">
          <cell r="J4242" t="str">
            <v>US-PEGlobalPartners-11/2023</v>
          </cell>
          <cell r="K4242" t="str">
            <v>Settled</v>
          </cell>
        </row>
        <row r="4243">
          <cell r="J4243" t="str">
            <v>US-PEGlobalPartners-10/2023</v>
          </cell>
          <cell r="K4243" t="str">
            <v>Settled</v>
          </cell>
        </row>
        <row r="4244">
          <cell r="J4244" t="str">
            <v>US-PEGlobalPartners-12/2023</v>
          </cell>
          <cell r="K4244" t="str">
            <v>Settled</v>
          </cell>
        </row>
        <row r="4245">
          <cell r="J4245" t="str">
            <v>US-PEGlobalPartners-01/2024</v>
          </cell>
          <cell r="K4245" t="str">
            <v>Settled</v>
          </cell>
        </row>
        <row r="4246">
          <cell r="J4246" t="str">
            <v>US-PEGlobalPartners-02/2024</v>
          </cell>
          <cell r="K4246" t="str">
            <v>Settled</v>
          </cell>
        </row>
        <row r="4247">
          <cell r="J4247" t="str">
            <v>US-PEGlobalPartners-04/2024</v>
          </cell>
          <cell r="K4247" t="str">
            <v>Settled</v>
          </cell>
        </row>
        <row r="4248">
          <cell r="J4248" t="str">
            <v>US-PEGlobalPartners-05/2024</v>
          </cell>
          <cell r="K4248" t="str">
            <v>Settled</v>
          </cell>
        </row>
        <row r="4249">
          <cell r="J4249" t="str">
            <v>US-PEGlobalPartners-06/2024</v>
          </cell>
          <cell r="K4249" t="str">
            <v>Settled</v>
          </cell>
        </row>
        <row r="4250">
          <cell r="J4250" t="str">
            <v>US-PEGlobalPartners-07/2024</v>
          </cell>
          <cell r="K4250" t="str">
            <v>Settled</v>
          </cell>
        </row>
        <row r="4251">
          <cell r="J4251" t="str">
            <v>US-PEGlobalPartners-08/2024</v>
          </cell>
          <cell r="K4251" t="str">
            <v>Settled</v>
          </cell>
        </row>
        <row r="4252">
          <cell r="J4252" t="str">
            <v>US-PEGlobalPartners-09/2024</v>
          </cell>
          <cell r="K4252" t="str">
            <v>Settled</v>
          </cell>
        </row>
        <row r="4253">
          <cell r="J4253" t="str">
            <v>US-PEGlobalPartners-10/2024</v>
          </cell>
          <cell r="K4253" t="str">
            <v>Settled</v>
          </cell>
        </row>
        <row r="4254">
          <cell r="J4254" t="str">
            <v>US-PEGlobalPartners-11/2024</v>
          </cell>
          <cell r="K4254" t="str">
            <v>Settled</v>
          </cell>
        </row>
        <row r="4255">
          <cell r="J4255" t="str">
            <v>US-PEGlobalPartners-12/2024</v>
          </cell>
          <cell r="K4255" t="str">
            <v>Settled</v>
          </cell>
        </row>
        <row r="4256">
          <cell r="J4256" t="str">
            <v>US-PEGlobalPartners-01/2025</v>
          </cell>
          <cell r="K4256" t="str">
            <v>Settled</v>
          </cell>
        </row>
        <row r="4257">
          <cell r="J4257" t="str">
            <v>US-PEGlobalPartners-02/2025</v>
          </cell>
          <cell r="K4257" t="str">
            <v>Settled</v>
          </cell>
        </row>
        <row r="4258">
          <cell r="J4258" t="str">
            <v>US-PEGlobalPartners-03/2025</v>
          </cell>
          <cell r="K4258" t="str">
            <v>Settled</v>
          </cell>
        </row>
        <row r="4259">
          <cell r="J4259" t="str">
            <v>US-PEGlobalPartners-04/2025</v>
          </cell>
          <cell r="K4259" t="str">
            <v>Settled</v>
          </cell>
        </row>
        <row r="4260">
          <cell r="J4260" t="str">
            <v>US-PEGlobalPartners-05/2025</v>
          </cell>
          <cell r="K4260" t="str">
            <v>Settled</v>
          </cell>
        </row>
        <row r="4261">
          <cell r="J4261" t="str">
            <v>US-PEGlobalPartners-06/2025</v>
          </cell>
          <cell r="K4261" t="str">
            <v>Settled</v>
          </cell>
        </row>
        <row r="4262">
          <cell r="J4262" t="str">
            <v>US-PEGlobalPartners-07/2025</v>
          </cell>
          <cell r="K4262" t="str">
            <v>Settled</v>
          </cell>
        </row>
        <row r="4263">
          <cell r="J4263" t="str">
            <v>US-PEGlobalPartners-08/2025</v>
          </cell>
          <cell r="K4263" t="str">
            <v>Settled</v>
          </cell>
        </row>
        <row r="4264">
          <cell r="J4264" t="str">
            <v>US-PEGlobalPartners-09/2025</v>
          </cell>
          <cell r="K4264" t="str">
            <v>Settled</v>
          </cell>
        </row>
        <row r="4265">
          <cell r="J4265" t="str">
            <v>US-PEGlobalPartners-10/2025</v>
          </cell>
          <cell r="K4265" t="str">
            <v>Settled</v>
          </cell>
        </row>
        <row r="4266">
          <cell r="J4266" t="str">
            <v>US-PEGlobalPartners-11/2025</v>
          </cell>
          <cell r="K4266" t="str">
            <v>Settled</v>
          </cell>
        </row>
        <row r="4267">
          <cell r="J4267" t="str">
            <v>US-PEGlobalPartners-12/2025</v>
          </cell>
          <cell r="K4267" t="str">
            <v>Settled</v>
          </cell>
        </row>
        <row r="4268">
          <cell r="J4268" t="str">
            <v>US-PEGlobalPartners-01/2026</v>
          </cell>
          <cell r="K4268" t="str">
            <v>Settled</v>
          </cell>
        </row>
        <row r="4269">
          <cell r="J4269" t="str">
            <v>US-PEGlobalPartners-02/2026</v>
          </cell>
          <cell r="K4269" t="str">
            <v>Settled</v>
          </cell>
        </row>
        <row r="4270">
          <cell r="J4270" t="str">
            <v>US-PEGlobalPartners-03/2026</v>
          </cell>
          <cell r="K4270" t="str">
            <v>Settled</v>
          </cell>
        </row>
        <row r="4271">
          <cell r="J4271" t="str">
            <v>US-PEGlobalPartners-04/2026</v>
          </cell>
          <cell r="K4271" t="str">
            <v>Settled</v>
          </cell>
        </row>
        <row r="4272">
          <cell r="J4272" t="str">
            <v>US-PEGlobalPartners-05/2026</v>
          </cell>
          <cell r="K4272" t="str">
            <v>Settled</v>
          </cell>
        </row>
        <row r="4273">
          <cell r="J4273" t="str">
            <v>SG-peacock container pte ltd-03/2023</v>
          </cell>
          <cell r="K4273" t="str">
            <v>Settled</v>
          </cell>
        </row>
        <row r="4274">
          <cell r="J4274" t="str">
            <v>SG-peacock container pte ltd-04/2023</v>
          </cell>
          <cell r="K4274" t="str">
            <v>Settled</v>
          </cell>
        </row>
        <row r="4275">
          <cell r="J4275" t="str">
            <v>CA-pesapeer incorporated-11/2022</v>
          </cell>
          <cell r="K4275" t="str">
            <v>Settled</v>
          </cell>
        </row>
        <row r="4276">
          <cell r="J4276" t="str">
            <v>CA-pesapeer incorporated-12/2022</v>
          </cell>
          <cell r="K4276" t="str">
            <v>Settled</v>
          </cell>
        </row>
        <row r="4277">
          <cell r="J4277" t="str">
            <v>CA-pesapeer incorporated-01/2023</v>
          </cell>
          <cell r="K4277" t="str">
            <v>Settled</v>
          </cell>
        </row>
        <row r="4278">
          <cell r="J4278" t="str">
            <v>CA-pesapeer-02/2023</v>
          </cell>
          <cell r="K4278" t="str">
            <v>Settled</v>
          </cell>
        </row>
        <row r="4279">
          <cell r="J4279" t="str">
            <v>CA-pesapeer-03/2023</v>
          </cell>
          <cell r="K4279" t="str">
            <v>Settled</v>
          </cell>
        </row>
        <row r="4280">
          <cell r="J4280" t="str">
            <v>CA-pesapeer-04/2023</v>
          </cell>
          <cell r="K4280" t="str">
            <v>Settled</v>
          </cell>
        </row>
        <row r="4281">
          <cell r="J4281" t="str">
            <v>CA-pesapeer-05/2023</v>
          </cell>
          <cell r="K4281" t="str">
            <v>Settled</v>
          </cell>
        </row>
        <row r="4282">
          <cell r="J4282" t="str">
            <v>CA-pesapeer-06/2023</v>
          </cell>
          <cell r="K4282" t="str">
            <v>Settled</v>
          </cell>
        </row>
        <row r="4283">
          <cell r="J4283" t="str">
            <v>CA-pesapeer-07/2023</v>
          </cell>
          <cell r="K4283" t="str">
            <v>Settled</v>
          </cell>
        </row>
        <row r="4284">
          <cell r="J4284" t="str">
            <v>CA -pesapeer-08/2023</v>
          </cell>
          <cell r="K4284" t="str">
            <v>Settled</v>
          </cell>
        </row>
        <row r="4285">
          <cell r="J4285" t="str">
            <v>CA-pesapeer-09/2023</v>
          </cell>
          <cell r="K4285" t="str">
            <v>Settled</v>
          </cell>
        </row>
        <row r="4286">
          <cell r="J4286" t="str">
            <v>CA-pesapeer-10/2023</v>
          </cell>
          <cell r="K4286" t="str">
            <v>Settled</v>
          </cell>
        </row>
        <row r="4287">
          <cell r="J4287" t="str">
            <v>CA-pesapeer-11/2023</v>
          </cell>
          <cell r="K4287" t="str">
            <v>Settled</v>
          </cell>
        </row>
        <row r="4288">
          <cell r="J4288" t="str">
            <v>CA-pesapeer-12/2023</v>
          </cell>
          <cell r="K4288" t="str">
            <v>Settled</v>
          </cell>
        </row>
        <row r="4289">
          <cell r="J4289" t="str">
            <v>CA-pesapeer-01/2024</v>
          </cell>
          <cell r="K4289" t="str">
            <v>Settled</v>
          </cell>
        </row>
        <row r="4290">
          <cell r="J4290" t="str">
            <v>CA-pesapeer-02/2024</v>
          </cell>
          <cell r="K4290" t="str">
            <v>Settled</v>
          </cell>
        </row>
        <row r="4291">
          <cell r="J4291" t="str">
            <v>CA-pesapeer-03/2024</v>
          </cell>
          <cell r="K4291" t="str">
            <v>Settled</v>
          </cell>
        </row>
        <row r="4292">
          <cell r="J4292" t="str">
            <v>CA-pesapeer-04/2024</v>
          </cell>
          <cell r="K4292" t="str">
            <v>Settled</v>
          </cell>
        </row>
        <row r="4293">
          <cell r="J4293" t="str">
            <v>CA-pesapeer-05/2024</v>
          </cell>
          <cell r="K4293" t="str">
            <v>Settled</v>
          </cell>
        </row>
        <row r="4294">
          <cell r="J4294" t="str">
            <v>CA-pesapeer-06/2024</v>
          </cell>
          <cell r="K4294" t="str">
            <v>Settled</v>
          </cell>
        </row>
        <row r="4295">
          <cell r="J4295" t="str">
            <v>CA-pesapeer-07/2024</v>
          </cell>
          <cell r="K4295" t="str">
            <v>Settled</v>
          </cell>
        </row>
        <row r="4296">
          <cell r="J4296" t="str">
            <v>CA-pesapeer-08/2024</v>
          </cell>
          <cell r="K4296" t="str">
            <v>Settled</v>
          </cell>
        </row>
        <row r="4297">
          <cell r="J4297" t="str">
            <v>CA-pesapeer-09/2024</v>
          </cell>
          <cell r="K4297" t="str">
            <v>Settled</v>
          </cell>
        </row>
        <row r="4298">
          <cell r="J4298" t="str">
            <v>CA-pesapeer-10/2024</v>
          </cell>
          <cell r="K4298" t="str">
            <v>Settled</v>
          </cell>
        </row>
        <row r="4299">
          <cell r="J4299" t="str">
            <v>CA-pesapeer-11/2024</v>
          </cell>
          <cell r="K4299" t="str">
            <v>Settled</v>
          </cell>
        </row>
        <row r="4300">
          <cell r="J4300" t="str">
            <v>CA-CN-pesapeer-10-2024</v>
          </cell>
          <cell r="K4300" t="str">
            <v>Settled</v>
          </cell>
        </row>
        <row r="4301">
          <cell r="J4301" t="str">
            <v>CA-CN-pesapeer-11-2024</v>
          </cell>
          <cell r="K4301" t="str">
            <v>Settled</v>
          </cell>
        </row>
        <row r="4302">
          <cell r="J4302" t="str">
            <v>SG-Phillip Bank-11/2022</v>
          </cell>
          <cell r="K4302" t="str">
            <v>Settled</v>
          </cell>
        </row>
        <row r="4303">
          <cell r="J4303" t="str">
            <v>SG-Phillip Bank-CR-11/2022</v>
          </cell>
          <cell r="K4303" t="str">
            <v>Settled</v>
          </cell>
        </row>
        <row r="4304">
          <cell r="J4304" t="str">
            <v>SG-Phillip Bank-12/2022</v>
          </cell>
          <cell r="K4304" t="str">
            <v>Settled</v>
          </cell>
        </row>
        <row r="4305">
          <cell r="J4305" t="str">
            <v>SG-Phillip Bank-CR-12/2022</v>
          </cell>
          <cell r="K4305" t="str">
            <v>Settled</v>
          </cell>
        </row>
        <row r="4306">
          <cell r="J4306" t="str">
            <v>SG-Phillip Bank-01/2023</v>
          </cell>
          <cell r="K4306" t="str">
            <v>Settled</v>
          </cell>
        </row>
        <row r="4307">
          <cell r="J4307" t="str">
            <v>SG-Phillip Bank-CR-01/2023</v>
          </cell>
          <cell r="K4307" t="str">
            <v>Settled</v>
          </cell>
        </row>
        <row r="4308">
          <cell r="J4308" t="str">
            <v>SG-Phillip Bank-02/2023</v>
          </cell>
          <cell r="K4308" t="str">
            <v>Settled</v>
          </cell>
        </row>
        <row r="4309">
          <cell r="J4309" t="str">
            <v>SG-Phillip Bank-CR-02/2023</v>
          </cell>
          <cell r="K4309" t="str">
            <v>Settled</v>
          </cell>
        </row>
        <row r="4310">
          <cell r="J4310" t="str">
            <v>SG-Phillip Bank-03/2023</v>
          </cell>
          <cell r="K4310" t="str">
            <v>Settled</v>
          </cell>
        </row>
        <row r="4311">
          <cell r="J4311" t="str">
            <v>SG-Phillip Bank-CR-03/2023</v>
          </cell>
          <cell r="K4311" t="str">
            <v>Settled</v>
          </cell>
        </row>
        <row r="4312">
          <cell r="J4312" t="str">
            <v>SG-Phillip Bank-04/2023</v>
          </cell>
          <cell r="K4312" t="str">
            <v>Settled</v>
          </cell>
        </row>
        <row r="4313">
          <cell r="J4313" t="str">
            <v>SG-Phillip Bank-CR-04/2023</v>
          </cell>
          <cell r="K4313" t="str">
            <v>Settled</v>
          </cell>
        </row>
        <row r="4314">
          <cell r="J4314" t="str">
            <v>SG-Phillip Bank-05/2023</v>
          </cell>
          <cell r="K4314" t="str">
            <v>Settled</v>
          </cell>
        </row>
        <row r="4315">
          <cell r="J4315" t="str">
            <v>SG-Phillip Bank-CR-05/2023</v>
          </cell>
          <cell r="K4315" t="str">
            <v>Settled</v>
          </cell>
        </row>
        <row r="4316">
          <cell r="J4316" t="str">
            <v>SG-Phillip Bank-06/2023</v>
          </cell>
          <cell r="K4316" t="str">
            <v>Settled</v>
          </cell>
        </row>
        <row r="4317">
          <cell r="J4317" t="str">
            <v>SG-Phillip Bank-CR-06/2023</v>
          </cell>
          <cell r="K4317" t="str">
            <v>Settled</v>
          </cell>
        </row>
        <row r="4318">
          <cell r="J4318" t="str">
            <v>SG-Phillip Bank-07/2023</v>
          </cell>
          <cell r="K4318" t="str">
            <v>Settled</v>
          </cell>
        </row>
        <row r="4319">
          <cell r="J4319" t="str">
            <v>SG-Phillip Bank-CR-07/2023</v>
          </cell>
          <cell r="K4319" t="str">
            <v>Settled</v>
          </cell>
        </row>
        <row r="4320">
          <cell r="J4320" t="str">
            <v>SG -Phillip Bank-08/2023</v>
          </cell>
          <cell r="K4320" t="str">
            <v>Settled</v>
          </cell>
        </row>
        <row r="4321">
          <cell r="J4321" t="str">
            <v>SG -Phillip Bank-CR-08/2023</v>
          </cell>
          <cell r="K4321" t="str">
            <v>Settled</v>
          </cell>
        </row>
        <row r="4322">
          <cell r="J4322" t="str">
            <v>SG-Phillip Bank-09/2023</v>
          </cell>
          <cell r="K4322" t="str">
            <v>Settled</v>
          </cell>
        </row>
        <row r="4323">
          <cell r="J4323" t="str">
            <v>SG-Phillip Bank-CR-09/2023</v>
          </cell>
          <cell r="K4323" t="str">
            <v>Settled</v>
          </cell>
        </row>
        <row r="4324">
          <cell r="J4324" t="str">
            <v>SG-Phillip Bank-11/2023</v>
          </cell>
          <cell r="K4324" t="str">
            <v>Settled</v>
          </cell>
        </row>
        <row r="4325">
          <cell r="J4325" t="str">
            <v>SG-Phillip Bank-CR-11/2023</v>
          </cell>
          <cell r="K4325" t="str">
            <v>Settled</v>
          </cell>
        </row>
        <row r="4326">
          <cell r="J4326" t="str">
            <v>SG-Phillip Bank-12/2023</v>
          </cell>
          <cell r="K4326" t="str">
            <v>Settled</v>
          </cell>
        </row>
        <row r="4327">
          <cell r="J4327" t="str">
            <v>SG-Phillip Bank-01/2024</v>
          </cell>
          <cell r="K4327" t="str">
            <v>Settled</v>
          </cell>
        </row>
        <row r="4328">
          <cell r="J4328" t="str">
            <v>SG-Phillip Bank-CR-01/2024</v>
          </cell>
          <cell r="K4328" t="str">
            <v>Settled</v>
          </cell>
        </row>
        <row r="4329">
          <cell r="J4329" t="str">
            <v>SG-Phillip Bank-02/2024</v>
          </cell>
          <cell r="K4329" t="str">
            <v>Settled</v>
          </cell>
        </row>
        <row r="4330">
          <cell r="J4330" t="str">
            <v>SG-Phillip Bank-CR-02/2024</v>
          </cell>
          <cell r="K4330" t="str">
            <v>Settled</v>
          </cell>
        </row>
        <row r="4331">
          <cell r="J4331" t="str">
            <v>SG-Phillip Bank-03/2024</v>
          </cell>
          <cell r="K4331" t="str">
            <v>Settled</v>
          </cell>
        </row>
        <row r="4332">
          <cell r="J4332" t="str">
            <v>SG-Phillip Bank-04/2024</v>
          </cell>
          <cell r="K4332" t="str">
            <v>Settled</v>
          </cell>
        </row>
        <row r="4333">
          <cell r="J4333" t="str">
            <v>SG-Phillip Bank-CR-04/2024</v>
          </cell>
          <cell r="K4333" t="str">
            <v>Settled</v>
          </cell>
        </row>
        <row r="4334">
          <cell r="J4334" t="str">
            <v>SG-Phillip Bank-05/2024</v>
          </cell>
          <cell r="K4334" t="str">
            <v>Settled</v>
          </cell>
        </row>
        <row r="4335">
          <cell r="J4335" t="str">
            <v>SG-Phillip Bank-06/2024</v>
          </cell>
          <cell r="K4335" t="str">
            <v>Settled</v>
          </cell>
        </row>
        <row r="4336">
          <cell r="J4336" t="str">
            <v>SG-Phillip Bank-CR-06/2024</v>
          </cell>
          <cell r="K4336" t="str">
            <v>Settled</v>
          </cell>
        </row>
        <row r="4337">
          <cell r="J4337" t="str">
            <v>SG-Phillip Bank-07/2024</v>
          </cell>
          <cell r="K4337" t="str">
            <v>Settled</v>
          </cell>
        </row>
        <row r="4338">
          <cell r="J4338" t="str">
            <v>SG-Phillip Bank-CR-07/2024</v>
          </cell>
          <cell r="K4338" t="str">
            <v>Settled</v>
          </cell>
        </row>
        <row r="4339">
          <cell r="J4339" t="str">
            <v>SG-Phillip Bank-08/2024</v>
          </cell>
          <cell r="K4339" t="str">
            <v>Settled</v>
          </cell>
        </row>
        <row r="4340">
          <cell r="J4340" t="str">
            <v>SG-Phillip Bank-09/2024</v>
          </cell>
          <cell r="K4340" t="str">
            <v>Settled</v>
          </cell>
        </row>
        <row r="4341">
          <cell r="J4341" t="str">
            <v>SG-Phillip Bank-CR-09/2024</v>
          </cell>
          <cell r="K4341" t="str">
            <v>Settled</v>
          </cell>
        </row>
        <row r="4342">
          <cell r="J4342" t="str">
            <v>SG-Phillip Bank-10/2024</v>
          </cell>
          <cell r="K4342" t="str">
            <v>Settled</v>
          </cell>
        </row>
        <row r="4343">
          <cell r="J4343" t="str">
            <v>SG-Phillip Bank-CR-10/2024</v>
          </cell>
          <cell r="K4343" t="str">
            <v>Settled</v>
          </cell>
        </row>
        <row r="4344">
          <cell r="J4344" t="str">
            <v>SG-Phillip Bank-11/2024</v>
          </cell>
          <cell r="K4344" t="str">
            <v>Settled</v>
          </cell>
        </row>
        <row r="4345">
          <cell r="J4345" t="str">
            <v>SG-Phillip Bank-CR-12/2024</v>
          </cell>
          <cell r="K4345" t="str">
            <v>Settled</v>
          </cell>
        </row>
        <row r="4346">
          <cell r="J4346" t="str">
            <v>SG-Phillip Bank-12/2024</v>
          </cell>
          <cell r="K4346" t="str">
            <v>Settled</v>
          </cell>
        </row>
        <row r="4347">
          <cell r="J4347" t="str">
            <v>SG-Phillip Bank-01/2025</v>
          </cell>
          <cell r="K4347" t="str">
            <v>Settled</v>
          </cell>
        </row>
        <row r="4348">
          <cell r="J4348" t="str">
            <v>SG-Phillip Bank-02/2025</v>
          </cell>
          <cell r="K4348" t="str">
            <v>Settled</v>
          </cell>
        </row>
        <row r="4349">
          <cell r="J4349" t="str">
            <v>SG-Phillip Bank-CR-02/2025</v>
          </cell>
          <cell r="K4349" t="str">
            <v>Settled</v>
          </cell>
        </row>
        <row r="4350">
          <cell r="J4350" t="str">
            <v>SG-Phillip Bank-03/2025</v>
          </cell>
          <cell r="K4350" t="str">
            <v>Settled</v>
          </cell>
        </row>
        <row r="4351">
          <cell r="J4351" t="str">
            <v>SG-Phillip Bank-04/2025</v>
          </cell>
          <cell r="K4351" t="str">
            <v>Settled</v>
          </cell>
        </row>
        <row r="4352">
          <cell r="J4352" t="str">
            <v>SG-Phillip Bank-05/2025</v>
          </cell>
          <cell r="K4352" t="str">
            <v>Settled</v>
          </cell>
        </row>
        <row r="4353">
          <cell r="J4353" t="str">
            <v>SG-Phillip Bank-CR-05/2025</v>
          </cell>
          <cell r="K4353" t="str">
            <v>Settled</v>
          </cell>
        </row>
        <row r="4354">
          <cell r="J4354" t="str">
            <v>SG-Phillip Bank-06/2025</v>
          </cell>
          <cell r="K4354" t="str">
            <v>Settled</v>
          </cell>
        </row>
        <row r="4355">
          <cell r="J4355" t="str">
            <v>SG-Phillip Bank-07/2025</v>
          </cell>
          <cell r="K4355" t="str">
            <v>Settled</v>
          </cell>
        </row>
        <row r="4356">
          <cell r="J4356" t="str">
            <v>SG-Phillip Bank-08/2025</v>
          </cell>
          <cell r="K4356" t="str">
            <v>Settled</v>
          </cell>
        </row>
        <row r="4357">
          <cell r="J4357" t="str">
            <v>SG-Phillip Bank-09/2025</v>
          </cell>
          <cell r="K4357" t="str">
            <v>Settled</v>
          </cell>
        </row>
        <row r="4358">
          <cell r="J4358" t="str">
            <v>SG-Phillip Bank-CR-09/2025</v>
          </cell>
          <cell r="K4358" t="str">
            <v>Settled</v>
          </cell>
        </row>
        <row r="4359">
          <cell r="J4359" t="str">
            <v>SG-Phillip Bank-10/2025</v>
          </cell>
          <cell r="K4359" t="str">
            <v>Settled</v>
          </cell>
        </row>
        <row r="4360">
          <cell r="J4360" t="str">
            <v>SG-Phillip Bank-CR-10/2025</v>
          </cell>
          <cell r="K4360" t="str">
            <v>Settled</v>
          </cell>
        </row>
        <row r="4361">
          <cell r="J4361" t="str">
            <v>SG-Phillip Bank-11/2025</v>
          </cell>
          <cell r="K4361" t="str">
            <v>Settled</v>
          </cell>
        </row>
        <row r="4362">
          <cell r="J4362" t="str">
            <v>SG-Phillip Bank-CR-11/2025</v>
          </cell>
          <cell r="K4362" t="str">
            <v>Settled</v>
          </cell>
        </row>
        <row r="4363">
          <cell r="J4363" t="str">
            <v>SG-Phillip Bank-12/2025</v>
          </cell>
          <cell r="K4363" t="str">
            <v>Settled</v>
          </cell>
        </row>
        <row r="4364">
          <cell r="J4364" t="str">
            <v>SG-Phillip Bank-CR-12/2025</v>
          </cell>
          <cell r="K4364" t="str">
            <v>Settled</v>
          </cell>
        </row>
        <row r="4365">
          <cell r="J4365" t="str">
            <v>SG-Phillip Bank-01/2026</v>
          </cell>
          <cell r="K4365" t="str">
            <v>Settled</v>
          </cell>
        </row>
        <row r="4366">
          <cell r="J4366" t="str">
            <v>SG-Phillip Bank-02/2026</v>
          </cell>
          <cell r="K4366" t="str">
            <v>Settled</v>
          </cell>
        </row>
        <row r="4367">
          <cell r="J4367" t="str">
            <v>SG-CN-Phillip Bank-02-2026</v>
          </cell>
          <cell r="K4367" t="str">
            <v>Settled</v>
          </cell>
        </row>
        <row r="4368">
          <cell r="J4368" t="str">
            <v>SG-Phillip Bank-03/2026</v>
          </cell>
          <cell r="K4368" t="str">
            <v>Settled</v>
          </cell>
        </row>
        <row r="4369">
          <cell r="J4369" t="str">
            <v>SG-Phillip Bank-04/2026</v>
          </cell>
          <cell r="K4369" t="str">
            <v>Settled</v>
          </cell>
        </row>
        <row r="4370">
          <cell r="J4370" t="str">
            <v>SG-Phillip Bank-05/2026</v>
          </cell>
          <cell r="K4370" t="str">
            <v>Settled</v>
          </cell>
        </row>
        <row r="4371">
          <cell r="J4371" t="str">
            <v>SG-AD-Phnom Penh Commercial Bank Plc.-01-2026</v>
          </cell>
          <cell r="K4371" t="str">
            <v>Settled</v>
          </cell>
        </row>
        <row r="4372">
          <cell r="J4372" t="str">
            <v>SG-Phnom Penh Commercial Bank Plc.-04/2026</v>
          </cell>
          <cell r="K4372" t="str">
            <v>Settled</v>
          </cell>
        </row>
        <row r="4373">
          <cell r="J4373" t="str">
            <v>SG-Phnom Penh Commercial Bank Plc.-05/2026</v>
          </cell>
          <cell r="K4373" t="str">
            <v>Settled</v>
          </cell>
        </row>
        <row r="4374">
          <cell r="J4374" t="str">
            <v>HK-Playerauctions (HK) Co. Limited-04/2023</v>
          </cell>
          <cell r="K4374" t="str">
            <v>Settled</v>
          </cell>
        </row>
        <row r="4375">
          <cell r="J4375" t="str">
            <v>HK -Playerauctions (HK) Co. Limited-05/2023</v>
          </cell>
          <cell r="K4375" t="str">
            <v>Settled</v>
          </cell>
        </row>
        <row r="4376">
          <cell r="J4376" t="str">
            <v>HK-Playerauctions (HK) Co. Limited-05/2023</v>
          </cell>
          <cell r="K4376" t="str">
            <v>Settled</v>
          </cell>
        </row>
        <row r="4377">
          <cell r="J4377" t="str">
            <v>HK-Playerauctions (HK) Co. Limited-06/2023</v>
          </cell>
          <cell r="K4377" t="str">
            <v>Settled</v>
          </cell>
        </row>
        <row r="4378">
          <cell r="J4378" t="str">
            <v>HK-Playerauctions (HK) Co. Limited-07/2023</v>
          </cell>
          <cell r="K4378" t="str">
            <v>Settled</v>
          </cell>
        </row>
        <row r="4379">
          <cell r="J4379" t="str">
            <v>HK -Playerauctions (HK) Co. Limited-08/2023</v>
          </cell>
          <cell r="K4379" t="str">
            <v>Settled</v>
          </cell>
        </row>
        <row r="4380">
          <cell r="J4380" t="str">
            <v>HK-Playerauctions-09/2023</v>
          </cell>
          <cell r="K4380" t="str">
            <v>Settled</v>
          </cell>
        </row>
        <row r="4381">
          <cell r="J4381" t="str">
            <v>HK-Playerauctions-10/2023</v>
          </cell>
          <cell r="K4381" t="str">
            <v>Settled</v>
          </cell>
        </row>
        <row r="4382">
          <cell r="J4382" t="str">
            <v>HK-PlayerauctionsHK-11/2023</v>
          </cell>
          <cell r="K4382" t="str">
            <v>Settled</v>
          </cell>
        </row>
        <row r="4383">
          <cell r="J4383" t="str">
            <v>HK-Playerauctions-12/2023</v>
          </cell>
          <cell r="K4383" t="str">
            <v>Settled</v>
          </cell>
        </row>
        <row r="4384">
          <cell r="J4384" t="str">
            <v>HK-PLAYERAUCTIONS-01/2024</v>
          </cell>
          <cell r="K4384" t="str">
            <v>Settled</v>
          </cell>
        </row>
        <row r="4385">
          <cell r="J4385" t="str">
            <v>HK-PLAYERAUCTIONS-02/2024</v>
          </cell>
          <cell r="K4385" t="str">
            <v>Settled</v>
          </cell>
        </row>
        <row r="4386">
          <cell r="J4386" t="str">
            <v>HK-PLAYERAUCTIONS-03/2024</v>
          </cell>
          <cell r="K4386" t="str">
            <v>Settled</v>
          </cell>
        </row>
        <row r="4387">
          <cell r="J4387" t="str">
            <v>HK-PLAYERAUCTIONS-04/2024</v>
          </cell>
          <cell r="K4387" t="str">
            <v>Settled</v>
          </cell>
        </row>
        <row r="4388">
          <cell r="J4388" t="str">
            <v>HK-PLAYERAUCTIONS-05/2024</v>
          </cell>
          <cell r="K4388" t="str">
            <v>Settled</v>
          </cell>
        </row>
        <row r="4389">
          <cell r="J4389" t="str">
            <v>HK-PLAYERAUCTIONS-06/2024</v>
          </cell>
          <cell r="K4389" t="str">
            <v>Settled</v>
          </cell>
        </row>
        <row r="4390">
          <cell r="J4390" t="str">
            <v>HK-PLAYERAUCTIONS-07/2024</v>
          </cell>
          <cell r="K4390" t="str">
            <v>Settled</v>
          </cell>
        </row>
        <row r="4391">
          <cell r="J4391" t="str">
            <v>HK-Ppsl Paysafe-11/2022</v>
          </cell>
          <cell r="K4391" t="str">
            <v>Settled</v>
          </cell>
        </row>
        <row r="4392">
          <cell r="J4392" t="str">
            <v>HK-Ppsl Paysafe-12/2022</v>
          </cell>
          <cell r="K4392" t="str">
            <v>Settled</v>
          </cell>
        </row>
        <row r="4393">
          <cell r="J4393" t="str">
            <v>HK-Ppsl Paysafe-01/2023</v>
          </cell>
          <cell r="K4393" t="str">
            <v>Settled</v>
          </cell>
        </row>
        <row r="4394">
          <cell r="J4394" t="str">
            <v>HK-Ppsl Paysafe-02/2023</v>
          </cell>
          <cell r="K4394" t="str">
            <v>Settled</v>
          </cell>
        </row>
        <row r="4395">
          <cell r="J4395" t="str">
            <v>HK-Ppsl Paysafe-03/2023</v>
          </cell>
          <cell r="K4395" t="str">
            <v>Settled</v>
          </cell>
        </row>
        <row r="4396">
          <cell r="J4396" t="str">
            <v>HK-Ppsl Paysafe-04/2023</v>
          </cell>
          <cell r="K4396" t="str">
            <v>Settled</v>
          </cell>
        </row>
        <row r="4397">
          <cell r="J4397" t="str">
            <v>HK-Ppsl Paysafe-05/2023</v>
          </cell>
          <cell r="K4397" t="str">
            <v>Settled</v>
          </cell>
        </row>
        <row r="4398">
          <cell r="J4398" t="str">
            <v>HK-Ppsl Paysafe-06/2023</v>
          </cell>
          <cell r="K4398" t="str">
            <v>Settled</v>
          </cell>
        </row>
        <row r="4399">
          <cell r="J4399" t="str">
            <v>HK-Ppsl Paysafe-07/2023</v>
          </cell>
          <cell r="K4399" t="str">
            <v>Settled</v>
          </cell>
        </row>
        <row r="4400">
          <cell r="J4400" t="str">
            <v>HK -Ppsl Paysafe-08/2023</v>
          </cell>
          <cell r="K4400" t="str">
            <v>Settled</v>
          </cell>
        </row>
        <row r="4401">
          <cell r="J4401" t="str">
            <v>HK-Ppsl Paysafe-09/2023</v>
          </cell>
          <cell r="K4401" t="str">
            <v>Settled</v>
          </cell>
        </row>
        <row r="4402">
          <cell r="J4402" t="str">
            <v>HK-Ppsl Paysafe-10/2023</v>
          </cell>
          <cell r="K4402" t="str">
            <v>Settled</v>
          </cell>
        </row>
        <row r="4403">
          <cell r="J4403" t="str">
            <v>HK-Ppsl Paysafe-11/2023</v>
          </cell>
          <cell r="K4403" t="str">
            <v>Settled</v>
          </cell>
        </row>
        <row r="4404">
          <cell r="J4404" t="str">
            <v>HK-Ppsl Paysafe-12/2023</v>
          </cell>
          <cell r="K4404" t="str">
            <v>Settled</v>
          </cell>
        </row>
        <row r="4405">
          <cell r="J4405" t="str">
            <v>HK-Ppsl Paysafe-01/2024</v>
          </cell>
          <cell r="K4405" t="str">
            <v>Settled</v>
          </cell>
        </row>
        <row r="4406">
          <cell r="J4406" t="str">
            <v>HK-Ppsl Paysafe-02/2024</v>
          </cell>
          <cell r="K4406" t="str">
            <v>Settled</v>
          </cell>
        </row>
        <row r="4407">
          <cell r="J4407" t="str">
            <v>HK-Ppsl Paysafe-03/2024</v>
          </cell>
          <cell r="K4407" t="str">
            <v>Settled</v>
          </cell>
        </row>
        <row r="4408">
          <cell r="J4408" t="str">
            <v>HK-Ppsl Paysafe-04/2024</v>
          </cell>
          <cell r="K4408" t="str">
            <v>Settled</v>
          </cell>
        </row>
        <row r="4409">
          <cell r="J4409" t="str">
            <v>HK-Ppsl Paysafe-05/2024</v>
          </cell>
          <cell r="K4409" t="str">
            <v>Settled</v>
          </cell>
        </row>
        <row r="4410">
          <cell r="J4410" t="str">
            <v>HK-Ppsl Paysafe-06/2024</v>
          </cell>
          <cell r="K4410" t="str">
            <v>Settled</v>
          </cell>
        </row>
        <row r="4411">
          <cell r="J4411" t="str">
            <v>HK-Ppsl Paysafe-07/2024</v>
          </cell>
          <cell r="K4411" t="str">
            <v>Settled</v>
          </cell>
        </row>
        <row r="4412">
          <cell r="J4412" t="str">
            <v>HK-Ppsl Paysafe-08/2024</v>
          </cell>
          <cell r="K4412" t="str">
            <v>Settled</v>
          </cell>
        </row>
        <row r="4413">
          <cell r="J4413" t="str">
            <v>HK-Ppsl Paysafe-09/2024</v>
          </cell>
          <cell r="K4413" t="str">
            <v>Settled</v>
          </cell>
        </row>
        <row r="4414">
          <cell r="J4414" t="str">
            <v>HK-Ppsl Paysafe-10/2024</v>
          </cell>
          <cell r="K4414" t="str">
            <v>Settled</v>
          </cell>
        </row>
        <row r="4415">
          <cell r="J4415" t="str">
            <v>HK-Ppsl Paysafe-11/2024</v>
          </cell>
          <cell r="K4415" t="str">
            <v>Settled</v>
          </cell>
        </row>
        <row r="4416">
          <cell r="J4416" t="str">
            <v>HK-Ppsl Paysafe-12/2024</v>
          </cell>
          <cell r="K4416" t="str">
            <v>Settled</v>
          </cell>
        </row>
        <row r="4417">
          <cell r="J4417" t="str">
            <v>HK-Ppsl Paysafe-01/2025</v>
          </cell>
          <cell r="K4417" t="str">
            <v>Settled</v>
          </cell>
        </row>
        <row r="4418">
          <cell r="J4418" t="str">
            <v>HK-Ppsl Paysafe-02/2025</v>
          </cell>
          <cell r="K4418" t="str">
            <v>Settled</v>
          </cell>
        </row>
        <row r="4419">
          <cell r="J4419" t="str">
            <v>HK-Ppsl Paysafe-03/2025</v>
          </cell>
          <cell r="K4419" t="str">
            <v>Settled</v>
          </cell>
        </row>
        <row r="4420">
          <cell r="J4420" t="str">
            <v>HK-Ppsl Paysafe-04/2025</v>
          </cell>
          <cell r="K4420" t="str">
            <v>Settled</v>
          </cell>
        </row>
        <row r="4421">
          <cell r="J4421" t="str">
            <v>HK-Ppsl Paysafe-05/2025</v>
          </cell>
          <cell r="K4421" t="str">
            <v>Settled</v>
          </cell>
        </row>
        <row r="4422">
          <cell r="J4422" t="str">
            <v>HK-Ppsl Paysafe-06/2025</v>
          </cell>
          <cell r="K4422" t="str">
            <v>Settled</v>
          </cell>
        </row>
        <row r="4423">
          <cell r="J4423" t="str">
            <v>HK-Ppsl Paysafe-07/2025</v>
          </cell>
          <cell r="K4423" t="str">
            <v>Settled</v>
          </cell>
        </row>
        <row r="4424">
          <cell r="J4424" t="str">
            <v>HK-Ppsl Paysafe-08/2025</v>
          </cell>
          <cell r="K4424" t="str">
            <v>Settled</v>
          </cell>
        </row>
        <row r="4425">
          <cell r="J4425" t="str">
            <v>HK-Ppsl Paysafe-09/2025</v>
          </cell>
          <cell r="K4425" t="str">
            <v>Settled</v>
          </cell>
        </row>
        <row r="4426">
          <cell r="J4426" t="str">
            <v>HK-Ppsl Paysafe-10/2025</v>
          </cell>
          <cell r="K4426" t="str">
            <v>Settled</v>
          </cell>
        </row>
        <row r="4427">
          <cell r="J4427" t="str">
            <v>HK-Ppsl Paysafe-11/2025</v>
          </cell>
          <cell r="K4427" t="str">
            <v>Settled</v>
          </cell>
        </row>
        <row r="4428">
          <cell r="J4428" t="str">
            <v>HK-Ppsl Paysafe-12/2025</v>
          </cell>
          <cell r="K4428" t="str">
            <v>Settled</v>
          </cell>
        </row>
        <row r="4429">
          <cell r="J4429" t="str">
            <v>HK-Ppsl Paysafe-01/2026</v>
          </cell>
          <cell r="K4429" t="str">
            <v>Settled</v>
          </cell>
        </row>
        <row r="4430">
          <cell r="J4430" t="str">
            <v>HK-Ppsl Paysafe-02/2026</v>
          </cell>
          <cell r="K4430" t="str">
            <v>Settled</v>
          </cell>
        </row>
        <row r="4431">
          <cell r="J4431" t="str">
            <v>HK-Ppsl Paysafe-03/2026</v>
          </cell>
          <cell r="K4431" t="str">
            <v>Settled</v>
          </cell>
        </row>
        <row r="4432">
          <cell r="J4432" t="str">
            <v>HK-Ppsl Paysafe-04/2026</v>
          </cell>
          <cell r="K4432" t="str">
            <v>Settled</v>
          </cell>
        </row>
        <row r="4433">
          <cell r="J4433" t="str">
            <v>HK-Ppsl Paysafe-05/2026</v>
          </cell>
          <cell r="K4433" t="str">
            <v>Settled</v>
          </cell>
        </row>
        <row r="4434">
          <cell r="J4434" t="str">
            <v>HK-Ppsl Skrill-11/2022</v>
          </cell>
          <cell r="K4434" t="str">
            <v>Settled</v>
          </cell>
        </row>
        <row r="4435">
          <cell r="J4435" t="str">
            <v>HK-Ppsl Skrill-12/2022</v>
          </cell>
          <cell r="K4435" t="str">
            <v>Settled</v>
          </cell>
        </row>
        <row r="4436">
          <cell r="J4436" t="str">
            <v>HK-Ppsl Skrill-01/2023</v>
          </cell>
          <cell r="K4436" t="str">
            <v>Settled</v>
          </cell>
        </row>
        <row r="4437">
          <cell r="J4437" t="str">
            <v>HK-Ppsl Skrill-02/2023</v>
          </cell>
          <cell r="K4437" t="str">
            <v>Settled</v>
          </cell>
        </row>
        <row r="4438">
          <cell r="J4438" t="str">
            <v>HK-Ppsl Skrill-03/2023</v>
          </cell>
          <cell r="K4438" t="str">
            <v>Settled</v>
          </cell>
        </row>
        <row r="4439">
          <cell r="J4439" t="str">
            <v>HK-Ppsl Skrill-04/2023</v>
          </cell>
          <cell r="K4439" t="str">
            <v>Settled</v>
          </cell>
        </row>
        <row r="4440">
          <cell r="J4440" t="str">
            <v>HK-Ppsl Skrill-05/2023</v>
          </cell>
          <cell r="K4440" t="str">
            <v>Settled</v>
          </cell>
        </row>
        <row r="4441">
          <cell r="J4441" t="str">
            <v>HK-Ppsl Skrill-06/2023</v>
          </cell>
          <cell r="K4441" t="str">
            <v>Settled</v>
          </cell>
        </row>
        <row r="4442">
          <cell r="J4442" t="str">
            <v>HK-Ppsl Skrill-07/2023</v>
          </cell>
          <cell r="K4442" t="str">
            <v>Settled</v>
          </cell>
        </row>
        <row r="4443">
          <cell r="J4443" t="str">
            <v>HK -Ppsl Skrill-08/2023</v>
          </cell>
          <cell r="K4443" t="str">
            <v>Settled</v>
          </cell>
        </row>
        <row r="4444">
          <cell r="J4444" t="str">
            <v>HK-Ppsl Skrill-09/2023</v>
          </cell>
          <cell r="K4444" t="str">
            <v>Settled</v>
          </cell>
        </row>
        <row r="4445">
          <cell r="J4445" t="str">
            <v>HK-Ppsl Skrill-10/2023</v>
          </cell>
          <cell r="K4445" t="str">
            <v>Settled</v>
          </cell>
        </row>
        <row r="4446">
          <cell r="J4446" t="str">
            <v>HK-Ppsl Skrill-11/2023</v>
          </cell>
          <cell r="K4446" t="str">
            <v>Settled</v>
          </cell>
        </row>
        <row r="4447">
          <cell r="J4447" t="str">
            <v>HK-Ppsl Skrill-12/2023</v>
          </cell>
          <cell r="K4447" t="str">
            <v>Settled</v>
          </cell>
        </row>
        <row r="4448">
          <cell r="J4448" t="str">
            <v>HK-Ppsl Skrill-01/2024</v>
          </cell>
          <cell r="K4448" t="str">
            <v>Settled</v>
          </cell>
        </row>
        <row r="4449">
          <cell r="J4449" t="str">
            <v>HK-Ppsl Skrill-02/2024</v>
          </cell>
          <cell r="K4449" t="str">
            <v>Settled</v>
          </cell>
        </row>
        <row r="4450">
          <cell r="J4450" t="str">
            <v>HK-Ppsl Skrill-03/2024</v>
          </cell>
          <cell r="K4450" t="str">
            <v>Settled</v>
          </cell>
        </row>
        <row r="4451">
          <cell r="J4451" t="str">
            <v>HK-Ppsl Skrill-04/2024</v>
          </cell>
          <cell r="K4451" t="str">
            <v>Settled</v>
          </cell>
        </row>
        <row r="4452">
          <cell r="J4452" t="str">
            <v>HK-Ppsl Skrill-05/2024</v>
          </cell>
          <cell r="K4452" t="str">
            <v>Settled</v>
          </cell>
        </row>
        <row r="4453">
          <cell r="J4453" t="str">
            <v>HK-Ppsl Skrill-06/2024</v>
          </cell>
          <cell r="K4453" t="str">
            <v>Settled</v>
          </cell>
        </row>
        <row r="4454">
          <cell r="J4454" t="str">
            <v>HK-Ppsl Skrill-07/2024</v>
          </cell>
          <cell r="K4454" t="str">
            <v>Settled</v>
          </cell>
        </row>
        <row r="4455">
          <cell r="J4455" t="str">
            <v>HK-Ppsl Skrill-08/2024</v>
          </cell>
          <cell r="K4455" t="str">
            <v>Settled</v>
          </cell>
        </row>
        <row r="4456">
          <cell r="J4456" t="str">
            <v>HK-Ppsl Skrill-09/2024</v>
          </cell>
          <cell r="K4456" t="str">
            <v>Settled</v>
          </cell>
        </row>
        <row r="4457">
          <cell r="J4457" t="str">
            <v>HK-Ppsl Skrill-10/2024</v>
          </cell>
          <cell r="K4457" t="str">
            <v>Settled</v>
          </cell>
        </row>
        <row r="4458">
          <cell r="J4458" t="str">
            <v>HK-Ppsl Skrill-11/2024</v>
          </cell>
          <cell r="K4458" t="str">
            <v>Settled</v>
          </cell>
        </row>
        <row r="4459">
          <cell r="J4459" t="str">
            <v>HK-Ppsl Skrill-12/2024</v>
          </cell>
          <cell r="K4459" t="str">
            <v>Settled</v>
          </cell>
        </row>
        <row r="4460">
          <cell r="J4460" t="str">
            <v>HK-Ppsl Skrill-01/2025</v>
          </cell>
          <cell r="K4460" t="str">
            <v>Settled</v>
          </cell>
        </row>
        <row r="4461">
          <cell r="J4461" t="str">
            <v>HK-Ppsl Skrill-02/2025</v>
          </cell>
          <cell r="K4461" t="str">
            <v>Settled</v>
          </cell>
        </row>
        <row r="4462">
          <cell r="J4462" t="str">
            <v>HK-Ppsl Skrill-03/2025</v>
          </cell>
          <cell r="K4462" t="str">
            <v>Settled</v>
          </cell>
        </row>
        <row r="4463">
          <cell r="J4463" t="str">
            <v>HK-Ppsl Skrill-04/2025</v>
          </cell>
          <cell r="K4463" t="str">
            <v>Settled</v>
          </cell>
        </row>
        <row r="4464">
          <cell r="J4464" t="str">
            <v>HK-Ppsl Skrill-05/2025</v>
          </cell>
          <cell r="K4464" t="str">
            <v>Settled</v>
          </cell>
        </row>
        <row r="4465">
          <cell r="J4465" t="str">
            <v>HK-Ppsl Skrill-06/2025</v>
          </cell>
          <cell r="K4465" t="str">
            <v>Settled</v>
          </cell>
        </row>
        <row r="4466">
          <cell r="J4466" t="str">
            <v>HK-Ppsl Skrill-07/2025</v>
          </cell>
          <cell r="K4466" t="str">
            <v>Settled</v>
          </cell>
        </row>
        <row r="4467">
          <cell r="J4467" t="str">
            <v>HK-Ppsl Skrill-08/2025</v>
          </cell>
          <cell r="K4467" t="str">
            <v>Settled</v>
          </cell>
        </row>
        <row r="4468">
          <cell r="J4468" t="str">
            <v>HK-Ppsl Skrill-09/2025</v>
          </cell>
          <cell r="K4468" t="str">
            <v>Settled</v>
          </cell>
        </row>
        <row r="4469">
          <cell r="J4469" t="str">
            <v>HK-Ppsl Skrill-10/2025</v>
          </cell>
          <cell r="K4469" t="str">
            <v>Settled</v>
          </cell>
        </row>
        <row r="4470">
          <cell r="J4470" t="str">
            <v>HK-Ppsl Skrill-11/2025</v>
          </cell>
          <cell r="K4470" t="str">
            <v>Settled</v>
          </cell>
        </row>
        <row r="4471">
          <cell r="J4471" t="str">
            <v>HK-Ppsl Skrill-12/2025</v>
          </cell>
          <cell r="K4471" t="str">
            <v>Settled</v>
          </cell>
        </row>
        <row r="4472">
          <cell r="J4472" t="str">
            <v>HK-Ppsl Skrill-01/2026</v>
          </cell>
          <cell r="K4472" t="str">
            <v>Settled</v>
          </cell>
        </row>
        <row r="4473">
          <cell r="J4473" t="str">
            <v>HK-Ppsl Skrill-02/2026</v>
          </cell>
          <cell r="K4473" t="str">
            <v>Settled</v>
          </cell>
        </row>
        <row r="4474">
          <cell r="J4474" t="str">
            <v>HK-Ppsl Skrill-03/2026</v>
          </cell>
          <cell r="K4474" t="str">
            <v>Settled</v>
          </cell>
        </row>
        <row r="4475">
          <cell r="J4475" t="str">
            <v>HK-Ppsl Skrill-04/2026</v>
          </cell>
          <cell r="K4475" t="str">
            <v>Settled</v>
          </cell>
        </row>
        <row r="4476">
          <cell r="J4476" t="str">
            <v>HK-Ppsl Skrill-05/2026</v>
          </cell>
          <cell r="K4476" t="str">
            <v>Settled</v>
          </cell>
        </row>
        <row r="4477">
          <cell r="J4477" t="str">
            <v>AU-ProAli-10/2024</v>
          </cell>
          <cell r="K4477" t="str">
            <v>Settled</v>
          </cell>
        </row>
        <row r="4478">
          <cell r="J4478" t="str">
            <v>AU-ProAli-11/2024</v>
          </cell>
          <cell r="K4478" t="str">
            <v>Settled</v>
          </cell>
        </row>
        <row r="4479">
          <cell r="J4479" t="str">
            <v>AU-ProAli-12/2024</v>
          </cell>
          <cell r="K4479" t="str">
            <v>Settled</v>
          </cell>
        </row>
        <row r="4480">
          <cell r="J4480" t="str">
            <v>AU-ProAli-02/2025</v>
          </cell>
          <cell r="K4480" t="str">
            <v>Settled</v>
          </cell>
        </row>
        <row r="4481">
          <cell r="J4481" t="str">
            <v>AU-ProAli-05/2025</v>
          </cell>
          <cell r="K4481" t="str">
            <v>Settled</v>
          </cell>
        </row>
        <row r="4482">
          <cell r="J4482" t="str">
            <v xml:space="preserve">ID-PT Dhanapatra-11/2023_x000D_
</v>
          </cell>
          <cell r="K4482" t="str">
            <v>Settled</v>
          </cell>
        </row>
        <row r="4483">
          <cell r="J4483" t="str">
            <v>ID-PT Dhanapatra-02/2024</v>
          </cell>
          <cell r="K4483" t="str">
            <v>Settled</v>
          </cell>
        </row>
        <row r="4484">
          <cell r="J4484" t="str">
            <v>ID-PT Dhanapatra-CR-05/2024</v>
          </cell>
          <cell r="K4484" t="str">
            <v>Settled</v>
          </cell>
        </row>
        <row r="4485">
          <cell r="J4485" t="str">
            <v>ID-PT Dhanapatra-CR-07/2024</v>
          </cell>
          <cell r="K4485" t="str">
            <v>Settled</v>
          </cell>
        </row>
        <row r="4486">
          <cell r="J4486" t="str">
            <v>ID-PT Dhanapatra-08/2024</v>
          </cell>
          <cell r="K4486" t="str">
            <v>Settled</v>
          </cell>
        </row>
        <row r="4487">
          <cell r="J4487" t="str">
            <v>ID-PT Dhanapatra-10/2024</v>
          </cell>
          <cell r="K4487" t="str">
            <v>Settled</v>
          </cell>
        </row>
        <row r="4488">
          <cell r="J4488" t="str">
            <v>ID-PT Dhanapatra-01/2025</v>
          </cell>
          <cell r="K4488" t="str">
            <v>Settled</v>
          </cell>
        </row>
        <row r="4489">
          <cell r="J4489" t="str">
            <v>ID-DN-PT FLIPTECH-05-2026</v>
          </cell>
          <cell r="K4489" t="str">
            <v>Overdue</v>
          </cell>
        </row>
        <row r="4490">
          <cell r="J4490" t="str">
            <v>ID-PT FLIPTECH-05/2026</v>
          </cell>
          <cell r="K4490" t="str">
            <v>Overdue</v>
          </cell>
        </row>
        <row r="4491">
          <cell r="J4491" t="str">
            <v>ID-PT FLIPTECH LENTERA-08/2022</v>
          </cell>
          <cell r="K4491" t="str">
            <v>Settled</v>
          </cell>
        </row>
        <row r="4492">
          <cell r="J4492" t="str">
            <v>ID-PT FLIPTECH LENTERA-09/2022</v>
          </cell>
          <cell r="K4492" t="str">
            <v>Settled</v>
          </cell>
        </row>
        <row r="4493">
          <cell r="J4493" t="str">
            <v>ID-PT FLIPTECH LENTERA-10/2022</v>
          </cell>
          <cell r="K4493" t="str">
            <v>Settled</v>
          </cell>
        </row>
        <row r="4494">
          <cell r="J4494" t="str">
            <v>ID-PT FLIPTECH LENTERA INSPIRASI PERTIWI-11/2022</v>
          </cell>
          <cell r="K4494" t="str">
            <v>Settled</v>
          </cell>
        </row>
        <row r="4495">
          <cell r="J4495" t="str">
            <v>ID-PT FLIPTECH LENTERA INSPIRASI PERTIWI-12/2022</v>
          </cell>
          <cell r="K4495" t="str">
            <v>Settled</v>
          </cell>
        </row>
        <row r="4496">
          <cell r="J4496" t="str">
            <v>ID-PT FLIPTECH-01/2023</v>
          </cell>
          <cell r="K4496" t="str">
            <v>Settled</v>
          </cell>
        </row>
        <row r="4497">
          <cell r="J4497" t="str">
            <v>ID-PT FLIPTECH-02/2023</v>
          </cell>
          <cell r="K4497" t="str">
            <v>Settled</v>
          </cell>
        </row>
        <row r="4498">
          <cell r="J4498" t="str">
            <v>ID-PT FLIPTECH-03/2023</v>
          </cell>
          <cell r="K4498" t="str">
            <v>Settled</v>
          </cell>
        </row>
        <row r="4499">
          <cell r="J4499" t="str">
            <v>ID-PT FLIPTECH-04/2023</v>
          </cell>
          <cell r="K4499" t="str">
            <v>Settled</v>
          </cell>
        </row>
        <row r="4500">
          <cell r="J4500" t="str">
            <v>ID-PT FLIPTECH-05/2023</v>
          </cell>
          <cell r="K4500" t="str">
            <v>Settled</v>
          </cell>
        </row>
        <row r="4501">
          <cell r="J4501" t="str">
            <v>ID-PT FLIPTECH-06/2023</v>
          </cell>
          <cell r="K4501" t="str">
            <v>Settled</v>
          </cell>
        </row>
        <row r="4502">
          <cell r="J4502" t="str">
            <v>ID-PT FLIPTECH-07/2023</v>
          </cell>
          <cell r="K4502" t="str">
            <v>Settled</v>
          </cell>
        </row>
        <row r="4503">
          <cell r="J4503" t="str">
            <v>ID -PT FLIPTECH-08/2023</v>
          </cell>
          <cell r="K4503" t="str">
            <v>Settled</v>
          </cell>
        </row>
        <row r="4504">
          <cell r="J4504" t="str">
            <v>ID-PT FLIPTECH-09/2023</v>
          </cell>
          <cell r="K4504" t="str">
            <v>Settled</v>
          </cell>
        </row>
        <row r="4505">
          <cell r="J4505" t="str">
            <v>ID-PT FLIPTECH-10/2023</v>
          </cell>
          <cell r="K4505" t="str">
            <v>Settled</v>
          </cell>
        </row>
        <row r="4506">
          <cell r="J4506" t="str">
            <v>ID-PT FLIPTECH-11/2023</v>
          </cell>
          <cell r="K4506" t="str">
            <v>Settled</v>
          </cell>
        </row>
        <row r="4507">
          <cell r="J4507" t="str">
            <v>ID-PT FLIPTECH-12/2023</v>
          </cell>
          <cell r="K4507" t="str">
            <v>Settled</v>
          </cell>
        </row>
        <row r="4508">
          <cell r="J4508" t="str">
            <v>ID-PT FLIPTECH-01/2024</v>
          </cell>
          <cell r="K4508" t="str">
            <v>Settled</v>
          </cell>
        </row>
        <row r="4509">
          <cell r="J4509" t="str">
            <v>ID-PT FLIPTECH-02/2024</v>
          </cell>
          <cell r="K4509" t="str">
            <v>Settled</v>
          </cell>
        </row>
        <row r="4510">
          <cell r="J4510" t="str">
            <v>ID-PT FLIPTECH-03/2024</v>
          </cell>
          <cell r="K4510" t="str">
            <v>Settled</v>
          </cell>
        </row>
        <row r="4511">
          <cell r="J4511" t="str">
            <v>ID-PT FLIPTECH-04/2024</v>
          </cell>
          <cell r="K4511" t="str">
            <v>Settled</v>
          </cell>
        </row>
        <row r="4512">
          <cell r="J4512" t="str">
            <v>ID-PT FLIPTECH-05/2024</v>
          </cell>
          <cell r="K4512" t="str">
            <v>Settled</v>
          </cell>
        </row>
        <row r="4513">
          <cell r="J4513" t="str">
            <v>ID-PT FLIPTECH-06/2024</v>
          </cell>
          <cell r="K4513" t="str">
            <v>Settled</v>
          </cell>
        </row>
        <row r="4514">
          <cell r="J4514" t="str">
            <v>ID-PT FLIPTECH-07/2024</v>
          </cell>
          <cell r="K4514" t="str">
            <v>Settled</v>
          </cell>
        </row>
        <row r="4515">
          <cell r="J4515" t="str">
            <v>ID-PT FLIPTECH-08/2024</v>
          </cell>
          <cell r="K4515" t="str">
            <v>Settled</v>
          </cell>
        </row>
        <row r="4516">
          <cell r="J4516" t="str">
            <v>ID-PT FLIPTECH-09/2024</v>
          </cell>
          <cell r="K4516" t="str">
            <v>Settled</v>
          </cell>
        </row>
        <row r="4517">
          <cell r="J4517" t="str">
            <v>ID-PT FLIPTECH-10/2024</v>
          </cell>
          <cell r="K4517" t="str">
            <v>Settled</v>
          </cell>
        </row>
        <row r="4518">
          <cell r="J4518" t="str">
            <v>ID-PT FLIPTECH-11/2024</v>
          </cell>
          <cell r="K4518" t="str">
            <v>Settled</v>
          </cell>
        </row>
        <row r="4519">
          <cell r="J4519" t="str">
            <v>ID-PT FLIPTECH-12/2024</v>
          </cell>
          <cell r="K4519" t="str">
            <v>Settled</v>
          </cell>
        </row>
        <row r="4520">
          <cell r="J4520" t="str">
            <v>ID-PT FLIPTECH-01/2025</v>
          </cell>
          <cell r="K4520" t="str">
            <v>Settled</v>
          </cell>
        </row>
        <row r="4521">
          <cell r="J4521" t="str">
            <v>ID-PT FLIPTECH-02/2025</v>
          </cell>
          <cell r="K4521" t="str">
            <v>Settled</v>
          </cell>
        </row>
        <row r="4522">
          <cell r="J4522" t="str">
            <v>ID-PT FLIPTECH-03/2025</v>
          </cell>
          <cell r="K4522" t="str">
            <v>Settled</v>
          </cell>
        </row>
        <row r="4523">
          <cell r="J4523" t="str">
            <v>ID-PT FLIPTECH-04/2025</v>
          </cell>
          <cell r="K4523" t="str">
            <v>Settled</v>
          </cell>
        </row>
        <row r="4524">
          <cell r="J4524" t="str">
            <v>ID-PT FLIPTECH-05/2025</v>
          </cell>
          <cell r="K4524" t="str">
            <v>Settled</v>
          </cell>
        </row>
        <row r="4525">
          <cell r="J4525" t="str">
            <v>ID-PT FLIPTECH-06/2025</v>
          </cell>
          <cell r="K4525" t="str">
            <v>Settled</v>
          </cell>
        </row>
        <row r="4526">
          <cell r="J4526" t="str">
            <v>ID-PT FLIPTECH-07/2025</v>
          </cell>
          <cell r="K4526" t="str">
            <v>Settled</v>
          </cell>
        </row>
        <row r="4527">
          <cell r="J4527" t="str">
            <v>ID-PT FLIPTECH-08/2025</v>
          </cell>
          <cell r="K4527" t="str">
            <v>Settled</v>
          </cell>
        </row>
        <row r="4528">
          <cell r="J4528" t="str">
            <v>ID-PT FLIPTECH-09/2025</v>
          </cell>
          <cell r="K4528" t="str">
            <v>Settled</v>
          </cell>
        </row>
        <row r="4529">
          <cell r="J4529" t="str">
            <v>ID-PT FLIPTECH-10/2025</v>
          </cell>
          <cell r="K4529" t="str">
            <v>Settled</v>
          </cell>
        </row>
        <row r="4530">
          <cell r="J4530" t="str">
            <v>ID-PT FLIPTECH-11/2025</v>
          </cell>
          <cell r="K4530" t="str">
            <v>Settled</v>
          </cell>
        </row>
        <row r="4531">
          <cell r="J4531" t="str">
            <v>ID-PT FLIPTECH-12/2025</v>
          </cell>
          <cell r="K4531" t="str">
            <v>Settled</v>
          </cell>
        </row>
        <row r="4532">
          <cell r="J4532" t="str">
            <v>ID-PT FLIPTECH-01/2026</v>
          </cell>
          <cell r="K4532" t="str">
            <v>Settled</v>
          </cell>
        </row>
        <row r="4533">
          <cell r="J4533" t="str">
            <v>ID-PT FLIPTECH-02/2026</v>
          </cell>
          <cell r="K4533" t="str">
            <v>Settled</v>
          </cell>
        </row>
        <row r="4534">
          <cell r="J4534" t="str">
            <v>ID-PT FLIPTECH-03/2026</v>
          </cell>
          <cell r="K4534" t="str">
            <v>Settled</v>
          </cell>
        </row>
        <row r="4535">
          <cell r="J4535" t="str">
            <v>ID-PT FLIPTECH-04/2026</v>
          </cell>
          <cell r="K4535" t="str">
            <v>Settled</v>
          </cell>
        </row>
        <row r="4536">
          <cell r="J4536" t="str">
            <v>ID-Harsya Remitindo-11/2024</v>
          </cell>
          <cell r="K4536" t="str">
            <v>Settled</v>
          </cell>
        </row>
        <row r="4537">
          <cell r="J4537" t="str">
            <v>ID-Harsya Remitindo-12/2024</v>
          </cell>
          <cell r="K4537" t="str">
            <v>Settled</v>
          </cell>
        </row>
        <row r="4538">
          <cell r="J4538" t="str">
            <v>ID-Harsya Remitindo-01/2025</v>
          </cell>
          <cell r="K4538" t="str">
            <v>Settled</v>
          </cell>
        </row>
        <row r="4539">
          <cell r="J4539" t="str">
            <v>ID-Harsya Remitindo-02/2025</v>
          </cell>
          <cell r="K4539" t="str">
            <v>Settled</v>
          </cell>
        </row>
        <row r="4540">
          <cell r="J4540" t="str">
            <v>ID-Harsya Remitindo-03/2025</v>
          </cell>
          <cell r="K4540" t="str">
            <v>Settled</v>
          </cell>
        </row>
        <row r="4541">
          <cell r="J4541" t="str">
            <v>ID-Harsya Remitindo-04/2025</v>
          </cell>
          <cell r="K4541" t="str">
            <v>Settled</v>
          </cell>
        </row>
        <row r="4542">
          <cell r="J4542" t="str">
            <v>ID-Harsya Remitindo-05/2025</v>
          </cell>
          <cell r="K4542" t="str">
            <v>Settled</v>
          </cell>
        </row>
        <row r="4543">
          <cell r="J4543" t="str">
            <v>ID-Harsya Remitindo-06/2025</v>
          </cell>
          <cell r="K4543" t="str">
            <v>Settled</v>
          </cell>
        </row>
        <row r="4544">
          <cell r="J4544" t="str">
            <v>ID-Harsya Remitindo-07/2025</v>
          </cell>
          <cell r="K4544" t="str">
            <v>Settled</v>
          </cell>
        </row>
        <row r="4545">
          <cell r="J4545" t="str">
            <v>ID-Harsya Remitindo-08/2025</v>
          </cell>
          <cell r="K4545" t="str">
            <v>Settled</v>
          </cell>
        </row>
        <row r="4546">
          <cell r="J4546" t="str">
            <v>ID-Harsya Remitindo-09/2025</v>
          </cell>
          <cell r="K4546" t="str">
            <v>Settled</v>
          </cell>
        </row>
        <row r="4547">
          <cell r="J4547" t="str">
            <v>ID-Harsya Remitindo-10/2025</v>
          </cell>
          <cell r="K4547" t="str">
            <v>Settled</v>
          </cell>
        </row>
        <row r="4548">
          <cell r="J4548" t="str">
            <v>ID-Harsya Remitindo-11/2025</v>
          </cell>
          <cell r="K4548" t="str">
            <v>Settled</v>
          </cell>
        </row>
        <row r="4549">
          <cell r="J4549" t="str">
            <v>ID-Harsya Remitindo-12/2025</v>
          </cell>
          <cell r="K4549" t="str">
            <v>Settled</v>
          </cell>
        </row>
        <row r="4550">
          <cell r="J4550" t="str">
            <v>ID-Harsya Remitindo-01/2026</v>
          </cell>
          <cell r="K4550" t="str">
            <v>Settled</v>
          </cell>
        </row>
        <row r="4551">
          <cell r="J4551" t="str">
            <v>ID-Harsya Remitindo-02/2026</v>
          </cell>
          <cell r="K4551" t="str">
            <v>Settled</v>
          </cell>
        </row>
        <row r="4552">
          <cell r="J4552" t="str">
            <v>ID-Harsya Remitindo-03/2026</v>
          </cell>
          <cell r="K4552" t="str">
            <v>Settled</v>
          </cell>
        </row>
        <row r="4553">
          <cell r="J4553" t="str">
            <v>ID-Harsya Remitindo-04/2026</v>
          </cell>
          <cell r="K4553" t="str">
            <v>Settled</v>
          </cell>
        </row>
        <row r="4554">
          <cell r="J4554" t="str">
            <v>ID-Harsya Remitindo-05/2026</v>
          </cell>
          <cell r="K4554" t="str">
            <v>Settled</v>
          </cell>
        </row>
        <row r="4555">
          <cell r="J4555" t="str">
            <v>ID-Koala Remittance-11/2023</v>
          </cell>
          <cell r="K4555" t="str">
            <v>Settled</v>
          </cell>
        </row>
        <row r="4556">
          <cell r="J4556" t="str">
            <v>ID-Koala Remittance-12/2023</v>
          </cell>
          <cell r="K4556" t="str">
            <v>Settled</v>
          </cell>
        </row>
        <row r="4557">
          <cell r="J4557" t="str">
            <v>ID-Koala Remittance-01/2024</v>
          </cell>
          <cell r="K4557" t="str">
            <v>Settled</v>
          </cell>
        </row>
        <row r="4558">
          <cell r="J4558" t="str">
            <v>ID-Koala Remittance-02/2024</v>
          </cell>
          <cell r="K4558" t="str">
            <v>Settled</v>
          </cell>
        </row>
        <row r="4559">
          <cell r="J4559" t="str">
            <v>ID-Koala Remittance-03/2024</v>
          </cell>
          <cell r="K4559" t="str">
            <v>Settled</v>
          </cell>
        </row>
        <row r="4560">
          <cell r="J4560" t="str">
            <v>ID-Koala Remittance-04/2024</v>
          </cell>
          <cell r="K4560" t="str">
            <v>Settled</v>
          </cell>
        </row>
        <row r="4561">
          <cell r="J4561" t="str">
            <v>ID-Koala Remittance-05/2024</v>
          </cell>
          <cell r="K4561" t="str">
            <v>Settled</v>
          </cell>
        </row>
        <row r="4562">
          <cell r="J4562" t="str">
            <v>ID-Koala Remittance-06/2024</v>
          </cell>
          <cell r="K4562" t="str">
            <v>Settled</v>
          </cell>
        </row>
        <row r="4563">
          <cell r="J4563" t="str">
            <v>ID-Koala Remittance-07/2024</v>
          </cell>
          <cell r="K4563" t="str">
            <v>Settled</v>
          </cell>
        </row>
        <row r="4564">
          <cell r="J4564" t="str">
            <v>ID-DN-Koala Remittance-06-2024</v>
          </cell>
          <cell r="K4564" t="str">
            <v>Settled</v>
          </cell>
        </row>
        <row r="4565">
          <cell r="J4565" t="str">
            <v>ID-Koala Remittance-08/2024</v>
          </cell>
          <cell r="K4565" t="str">
            <v>Settled</v>
          </cell>
        </row>
        <row r="4566">
          <cell r="J4566" t="str">
            <v>ID-Koala Remittance-09/2024</v>
          </cell>
          <cell r="K4566" t="str">
            <v>Settled</v>
          </cell>
        </row>
        <row r="4567">
          <cell r="J4567" t="str">
            <v>ID-Koala Remittance-10/2024</v>
          </cell>
          <cell r="K4567" t="str">
            <v>Settled</v>
          </cell>
        </row>
        <row r="4568">
          <cell r="J4568" t="str">
            <v>ID-Koala Remittance-11/2024</v>
          </cell>
          <cell r="K4568" t="str">
            <v>Settled</v>
          </cell>
        </row>
        <row r="4569">
          <cell r="J4569" t="str">
            <v>ID-Koala Remittance-12/2024</v>
          </cell>
          <cell r="K4569" t="str">
            <v>Settled</v>
          </cell>
        </row>
        <row r="4570">
          <cell r="J4570" t="str">
            <v>ID-Koala Remittance-01/2025</v>
          </cell>
          <cell r="K4570" t="str">
            <v>Settled</v>
          </cell>
        </row>
        <row r="4571">
          <cell r="J4571" t="str">
            <v>ID-Koala Remittance-02/2025</v>
          </cell>
          <cell r="K4571" t="str">
            <v>Settled</v>
          </cell>
        </row>
        <row r="4572">
          <cell r="J4572" t="str">
            <v>ID-Koala Remittance-03/2025</v>
          </cell>
          <cell r="K4572" t="str">
            <v>Settled</v>
          </cell>
        </row>
        <row r="4573">
          <cell r="J4573" t="str">
            <v>ID-Koala Remittance-04/2025</v>
          </cell>
          <cell r="K4573" t="str">
            <v>Settled</v>
          </cell>
        </row>
        <row r="4574">
          <cell r="J4574" t="str">
            <v>ID-Koala Remittance-05/2025</v>
          </cell>
          <cell r="K4574" t="str">
            <v>Settled</v>
          </cell>
        </row>
        <row r="4575">
          <cell r="J4575" t="str">
            <v>ID-Koala Remittance-06/2025</v>
          </cell>
          <cell r="K4575" t="str">
            <v>Settled</v>
          </cell>
        </row>
        <row r="4576">
          <cell r="J4576" t="str">
            <v>ID-Koala Remittance-07/2025</v>
          </cell>
          <cell r="K4576" t="str">
            <v>Settled</v>
          </cell>
        </row>
        <row r="4577">
          <cell r="J4577" t="str">
            <v>ID-Koala Remittance-08/2025</v>
          </cell>
          <cell r="K4577" t="str">
            <v>Settled</v>
          </cell>
        </row>
        <row r="4578">
          <cell r="J4578" t="str">
            <v>ID-Koala Remittance-09/2025</v>
          </cell>
          <cell r="K4578" t="str">
            <v>Settled</v>
          </cell>
        </row>
        <row r="4579">
          <cell r="J4579" t="str">
            <v>ID-Koala Remittance-10/2025</v>
          </cell>
          <cell r="K4579" t="str">
            <v>Settled</v>
          </cell>
        </row>
        <row r="4580">
          <cell r="J4580" t="str">
            <v>ID-Koala Remittance-11/2025</v>
          </cell>
          <cell r="K4580" t="str">
            <v>Settled</v>
          </cell>
        </row>
        <row r="4581">
          <cell r="J4581" t="str">
            <v>ID-Koala Remittance-12/2025</v>
          </cell>
          <cell r="K4581" t="str">
            <v>Settled</v>
          </cell>
        </row>
        <row r="4582">
          <cell r="J4582" t="str">
            <v>ID-Koala Remittance-01/2026</v>
          </cell>
          <cell r="K4582" t="str">
            <v>Settled</v>
          </cell>
        </row>
        <row r="4583">
          <cell r="J4583" t="str">
            <v>ID-Koala Remittance-02/2026</v>
          </cell>
          <cell r="K4583" t="str">
            <v>Settled</v>
          </cell>
        </row>
        <row r="4584">
          <cell r="J4584" t="str">
            <v>ID-Koala Remittance-03/2026</v>
          </cell>
          <cell r="K4584" t="str">
            <v>Settled</v>
          </cell>
        </row>
        <row r="4585">
          <cell r="J4585" t="str">
            <v>ID-Koala Remittance-04/2026</v>
          </cell>
          <cell r="K4585" t="str">
            <v>Settled</v>
          </cell>
        </row>
        <row r="4586">
          <cell r="J4586" t="str">
            <v>ID-Koala Remittance-05/2026</v>
          </cell>
          <cell r="K4586" t="str">
            <v>Settled</v>
          </cell>
        </row>
        <row r="4587">
          <cell r="J4587" t="str">
            <v>US-Koal-Verify-04/2025</v>
          </cell>
          <cell r="K4587" t="str">
            <v>Settled</v>
          </cell>
        </row>
        <row r="4588">
          <cell r="J4588" t="str">
            <v>US-Koal-Verify-05/2025</v>
          </cell>
          <cell r="K4588" t="str">
            <v>Settled</v>
          </cell>
        </row>
        <row r="4589">
          <cell r="J4589" t="str">
            <v>US-Koala-Verify-06/2025</v>
          </cell>
          <cell r="K4589" t="str">
            <v>Settled</v>
          </cell>
        </row>
        <row r="4590">
          <cell r="J4590" t="str">
            <v>US-Koala-Verify-07/2025</v>
          </cell>
          <cell r="K4590" t="str">
            <v>Settled</v>
          </cell>
        </row>
        <row r="4591">
          <cell r="J4591" t="str">
            <v>US-Koala-Verify-08/2025</v>
          </cell>
          <cell r="K4591" t="str">
            <v>Settled</v>
          </cell>
        </row>
        <row r="4592">
          <cell r="J4592" t="str">
            <v>US-Koala-Verify-09/2025</v>
          </cell>
          <cell r="K4592" t="str">
            <v>Settled</v>
          </cell>
        </row>
        <row r="4593">
          <cell r="J4593" t="str">
            <v>US-Koala-Verify-10/2025</v>
          </cell>
          <cell r="K4593" t="str">
            <v>Settled</v>
          </cell>
        </row>
        <row r="4594">
          <cell r="J4594" t="str">
            <v>US-Koala-Verify-11/2025</v>
          </cell>
          <cell r="K4594" t="str">
            <v>Settled</v>
          </cell>
        </row>
        <row r="4595">
          <cell r="J4595" t="str">
            <v>US-Koala-Verify-12/2025</v>
          </cell>
          <cell r="K4595" t="str">
            <v>Settled</v>
          </cell>
        </row>
        <row r="4596">
          <cell r="J4596" t="str">
            <v>US-Koala-Verify-01/2026</v>
          </cell>
          <cell r="K4596" t="str">
            <v>Settled</v>
          </cell>
        </row>
        <row r="4597">
          <cell r="J4597" t="str">
            <v>US-Koala-Verify-02/2026</v>
          </cell>
          <cell r="K4597" t="str">
            <v>Settled</v>
          </cell>
        </row>
        <row r="4598">
          <cell r="J4598" t="str">
            <v>US-Koala-Verify-03/2026</v>
          </cell>
          <cell r="K4598" t="str">
            <v>Settled</v>
          </cell>
        </row>
        <row r="4599">
          <cell r="J4599" t="str">
            <v>US-Koala-Verify-04/2026</v>
          </cell>
          <cell r="K4599" t="str">
            <v>Settled</v>
          </cell>
        </row>
        <row r="4600">
          <cell r="J4600" t="str">
            <v>US-Koala-Verify-05/2026</v>
          </cell>
          <cell r="K4600" t="str">
            <v>Settled</v>
          </cell>
        </row>
        <row r="4601">
          <cell r="J4601" t="str">
            <v>ID-PT Kredigram-08/2025</v>
          </cell>
          <cell r="K4601" t="str">
            <v>Settled</v>
          </cell>
        </row>
        <row r="4602">
          <cell r="J4602" t="str">
            <v>ID-PT Kredigram-11/2025</v>
          </cell>
          <cell r="K4602" t="str">
            <v>Settled</v>
          </cell>
        </row>
        <row r="4603">
          <cell r="J4603" t="str">
            <v>ID-Pt mega-07/2022</v>
          </cell>
          <cell r="K4603" t="str">
            <v>Settled</v>
          </cell>
        </row>
        <row r="4604">
          <cell r="J4604" t="str">
            <v>ID-Pt mega-09/2022</v>
          </cell>
          <cell r="K4604" t="str">
            <v>Settled</v>
          </cell>
        </row>
        <row r="4605">
          <cell r="J4605" t="str">
            <v>ID-Pt mega-10/2022</v>
          </cell>
          <cell r="K4605" t="str">
            <v>Settled</v>
          </cell>
        </row>
        <row r="4606">
          <cell r="J4606" t="str">
            <v>ID-Pt mega shopintar indonesia-11/2022</v>
          </cell>
          <cell r="K4606" t="str">
            <v>Settled</v>
          </cell>
        </row>
        <row r="4607">
          <cell r="J4607" t="str">
            <v>ID-Pt mega shopintar indonesia-12/2022</v>
          </cell>
          <cell r="K4607" t="str">
            <v>Settled</v>
          </cell>
        </row>
        <row r="4608">
          <cell r="J4608" t="str">
            <v>ID-Pt mega shopintar indonesia-01/2023</v>
          </cell>
          <cell r="K4608" t="str">
            <v>Settled</v>
          </cell>
        </row>
        <row r="4609">
          <cell r="J4609" t="str">
            <v>ID-Ptmegashop-02/2023</v>
          </cell>
          <cell r="K4609" t="str">
            <v>Settled</v>
          </cell>
        </row>
        <row r="4610">
          <cell r="J4610" t="str">
            <v>ID-Ptmegashop-03/2023</v>
          </cell>
          <cell r="K4610" t="str">
            <v>Settled</v>
          </cell>
        </row>
        <row r="4611">
          <cell r="J4611" t="str">
            <v>ID-Ptmegashop-04/2023</v>
          </cell>
          <cell r="K4611" t="str">
            <v>Settled</v>
          </cell>
        </row>
        <row r="4612">
          <cell r="J4612" t="str">
            <v>ID-Ptmegashop-05/2023</v>
          </cell>
          <cell r="K4612" t="str">
            <v>Settled</v>
          </cell>
        </row>
        <row r="4613">
          <cell r="J4613" t="str">
            <v>ID-Ptmegashop-06/2023</v>
          </cell>
          <cell r="K4613" t="str">
            <v>Settled</v>
          </cell>
        </row>
        <row r="4614">
          <cell r="J4614" t="str">
            <v>ID-Ptmegashop-07/2023</v>
          </cell>
          <cell r="K4614" t="str">
            <v>Settled</v>
          </cell>
        </row>
        <row r="4615">
          <cell r="J4615" t="str">
            <v>ID -Ptmegashop-08/2023</v>
          </cell>
          <cell r="K4615" t="str">
            <v>Settled</v>
          </cell>
        </row>
        <row r="4616">
          <cell r="J4616" t="str">
            <v>ID-Ptmegashop-09/2023</v>
          </cell>
          <cell r="K4616" t="str">
            <v>Settled</v>
          </cell>
        </row>
        <row r="4617">
          <cell r="J4617" t="str">
            <v>ID-CN-Ptmegashop-03-2023</v>
          </cell>
          <cell r="K4617" t="str">
            <v>Settled</v>
          </cell>
        </row>
        <row r="4618">
          <cell r="J4618" t="str">
            <v>ID-CN-Ptmegashop-09-2023</v>
          </cell>
          <cell r="K4618" t="str">
            <v>Settled</v>
          </cell>
        </row>
        <row r="4619">
          <cell r="J4619" t="str">
            <v>ID-PT Midtrans-06/2025</v>
          </cell>
          <cell r="K4619" t="str">
            <v>Settled</v>
          </cell>
        </row>
        <row r="4620">
          <cell r="J4620" t="str">
            <v>ID-PT Midtrans-07/2025</v>
          </cell>
          <cell r="K4620" t="str">
            <v>Settled</v>
          </cell>
        </row>
        <row r="4621">
          <cell r="J4621" t="str">
            <v>ID-PT Midtrans-08/2025</v>
          </cell>
          <cell r="K4621" t="str">
            <v>Settled</v>
          </cell>
        </row>
        <row r="4622">
          <cell r="J4622" t="str">
            <v>ID-PT Midtrans-09/2025</v>
          </cell>
          <cell r="K4622" t="str">
            <v>Settled</v>
          </cell>
        </row>
        <row r="4623">
          <cell r="J4623" t="str">
            <v>ID-PT Midtrans-10/2025</v>
          </cell>
          <cell r="K4623" t="str">
            <v>Settled</v>
          </cell>
        </row>
        <row r="4624">
          <cell r="J4624" t="str">
            <v>ID-PT Midtrans-11/2025</v>
          </cell>
          <cell r="K4624" t="str">
            <v>Settled</v>
          </cell>
        </row>
        <row r="4625">
          <cell r="J4625" t="str">
            <v>ID-PT Midtrans-12/2025</v>
          </cell>
          <cell r="K4625" t="str">
            <v>Settled</v>
          </cell>
        </row>
        <row r="4626">
          <cell r="J4626" t="str">
            <v>ID-PT Midtrans-01/2026</v>
          </cell>
          <cell r="K4626" t="str">
            <v>Settled</v>
          </cell>
        </row>
        <row r="4627">
          <cell r="J4627" t="str">
            <v>ID-PT Midtrans-02/2026</v>
          </cell>
          <cell r="K4627" t="str">
            <v>Settled</v>
          </cell>
        </row>
        <row r="4628">
          <cell r="J4628" t="str">
            <v>ID-PT Midtrans-03/2026</v>
          </cell>
          <cell r="K4628" t="str">
            <v>Settled</v>
          </cell>
        </row>
        <row r="4629">
          <cell r="J4629" t="str">
            <v>ID-PT Midtrans-04/2026</v>
          </cell>
          <cell r="K4629" t="str">
            <v>Overdue</v>
          </cell>
        </row>
        <row r="4630">
          <cell r="J4630" t="str">
            <v>ID-PT Midtrans-05/2026</v>
          </cell>
          <cell r="K4630" t="str">
            <v>Invoice Sent</v>
          </cell>
        </row>
        <row r="4631">
          <cell r="J4631" t="str">
            <v>ID-PT Midtrans-11/2024</v>
          </cell>
          <cell r="K4631" t="str">
            <v>Settled</v>
          </cell>
        </row>
        <row r="4632">
          <cell r="J4632" t="str">
            <v>ID-PT Midtrans-12/2024</v>
          </cell>
          <cell r="K4632" t="str">
            <v>Settled</v>
          </cell>
        </row>
        <row r="4633">
          <cell r="J4633" t="str">
            <v>ID-PT Midtrans-01/2025</v>
          </cell>
          <cell r="K4633" t="str">
            <v>Settled</v>
          </cell>
        </row>
        <row r="4634">
          <cell r="J4634" t="str">
            <v>ID-PT Midtrans-02/2025</v>
          </cell>
          <cell r="K4634" t="str">
            <v>Settled</v>
          </cell>
        </row>
        <row r="4635">
          <cell r="J4635" t="str">
            <v>ID-PT Midtrans-03/2025</v>
          </cell>
          <cell r="K4635" t="str">
            <v>Settled</v>
          </cell>
        </row>
        <row r="4636">
          <cell r="J4636" t="str">
            <v>ID-PT Midtrans-04/2025</v>
          </cell>
          <cell r="K4636" t="str">
            <v>Settled</v>
          </cell>
        </row>
        <row r="4637">
          <cell r="J4637" t="str">
            <v>ID-PT Midtrans-05/2025</v>
          </cell>
          <cell r="K4637" t="str">
            <v>Settled</v>
          </cell>
        </row>
        <row r="4638">
          <cell r="J4638" t="str">
            <v>ID-ptpelita-04/2023</v>
          </cell>
          <cell r="K4638" t="str">
            <v>Settled</v>
          </cell>
        </row>
        <row r="4639">
          <cell r="J4639" t="str">
            <v>ID-ptpelita-03/2023</v>
          </cell>
          <cell r="K4639" t="str">
            <v>Settled</v>
          </cell>
        </row>
        <row r="4640">
          <cell r="J4640" t="str">
            <v>ID-ptpelita-05/2023</v>
          </cell>
          <cell r="K4640" t="str">
            <v>Settled</v>
          </cell>
        </row>
        <row r="4641">
          <cell r="J4641" t="str">
            <v>ID-ptpelita-06/2023</v>
          </cell>
          <cell r="K4641" t="str">
            <v>Settled</v>
          </cell>
        </row>
        <row r="4642">
          <cell r="J4642" t="str">
            <v>ID-ptpelita-07/2023</v>
          </cell>
          <cell r="K4642" t="str">
            <v>Settled</v>
          </cell>
        </row>
        <row r="4643">
          <cell r="J4643" t="str">
            <v>ID -ptpelita-08/2023</v>
          </cell>
          <cell r="K4643" t="str">
            <v>Settled</v>
          </cell>
        </row>
        <row r="4644">
          <cell r="J4644" t="str">
            <v>ID-ptpelita-09/2023</v>
          </cell>
          <cell r="K4644" t="str">
            <v>Settled</v>
          </cell>
        </row>
        <row r="4645">
          <cell r="J4645" t="str">
            <v>ID-ptpelita-10/2023</v>
          </cell>
          <cell r="K4645" t="str">
            <v>Settled</v>
          </cell>
        </row>
        <row r="4646">
          <cell r="J4646" t="str">
            <v>ID-ptpelita-11/2023</v>
          </cell>
          <cell r="K4646" t="str">
            <v>Settled</v>
          </cell>
        </row>
        <row r="4647">
          <cell r="J4647" t="str">
            <v>ID-ptpelita-12/2023</v>
          </cell>
          <cell r="K4647" t="str">
            <v>Settled</v>
          </cell>
        </row>
        <row r="4648">
          <cell r="J4648" t="str">
            <v>ID-ptpelita-01/2024</v>
          </cell>
          <cell r="K4648" t="str">
            <v>Settled</v>
          </cell>
        </row>
        <row r="4649">
          <cell r="J4649" t="str">
            <v>ID-ptpelita-02/2024</v>
          </cell>
          <cell r="K4649" t="str">
            <v>Settled</v>
          </cell>
        </row>
        <row r="4650">
          <cell r="J4650" t="str">
            <v>ID-ptpelita-03/2024</v>
          </cell>
          <cell r="K4650" t="str">
            <v>Settled</v>
          </cell>
        </row>
        <row r="4651">
          <cell r="J4651" t="str">
            <v>ID-ptpelita-04/2024</v>
          </cell>
          <cell r="K4651" t="str">
            <v>Settled</v>
          </cell>
        </row>
        <row r="4652">
          <cell r="J4652" t="str">
            <v>ID-ptpelita-05/2024</v>
          </cell>
          <cell r="K4652" t="str">
            <v>Settled</v>
          </cell>
        </row>
        <row r="4653">
          <cell r="J4653" t="str">
            <v>ID-ptpelita-06/2024</v>
          </cell>
          <cell r="K4653" t="str">
            <v>Settled</v>
          </cell>
        </row>
        <row r="4654">
          <cell r="J4654" t="str">
            <v>ID-ptpelita-07/2024</v>
          </cell>
          <cell r="K4654" t="str">
            <v>Settled</v>
          </cell>
        </row>
        <row r="4655">
          <cell r="J4655" t="str">
            <v>ID-ptpelita-08/2024</v>
          </cell>
          <cell r="K4655" t="str">
            <v>Settled</v>
          </cell>
        </row>
        <row r="4656">
          <cell r="J4656" t="str">
            <v>ID-ptpelita-09/2024</v>
          </cell>
          <cell r="K4656" t="str">
            <v>Settled</v>
          </cell>
        </row>
        <row r="4657">
          <cell r="J4657" t="str">
            <v>ID-ptpelita-10/2024</v>
          </cell>
          <cell r="K4657" t="str">
            <v>Settled</v>
          </cell>
        </row>
        <row r="4658">
          <cell r="J4658" t="str">
            <v>ID-ptpelita-11/2024</v>
          </cell>
          <cell r="K4658" t="str">
            <v>Settled</v>
          </cell>
        </row>
        <row r="4659">
          <cell r="J4659" t="str">
            <v>ID-ptpelita-12/2024</v>
          </cell>
          <cell r="K4659" t="str">
            <v>Settled</v>
          </cell>
        </row>
        <row r="4660">
          <cell r="J4660" t="str">
            <v>ID-ptpelita-01/2025</v>
          </cell>
          <cell r="K4660" t="str">
            <v>Settled</v>
          </cell>
        </row>
        <row r="4661">
          <cell r="J4661" t="str">
            <v>ID-ptpelita-02/2025</v>
          </cell>
          <cell r="K4661" t="str">
            <v>Settled</v>
          </cell>
        </row>
        <row r="4662">
          <cell r="J4662" t="str">
            <v>ID-ptpelita-03/2025</v>
          </cell>
          <cell r="K4662" t="str">
            <v>Settled</v>
          </cell>
        </row>
        <row r="4663">
          <cell r="J4663" t="str">
            <v>ID-ptpelita-05/2025</v>
          </cell>
          <cell r="K4663" t="str">
            <v>Settled</v>
          </cell>
        </row>
        <row r="4664">
          <cell r="J4664" t="str">
            <v>ID-ptpelita-06/2025</v>
          </cell>
          <cell r="K4664" t="str">
            <v>Settled</v>
          </cell>
        </row>
        <row r="4665">
          <cell r="J4665" t="str">
            <v>ID-ptpelita-07/2025</v>
          </cell>
          <cell r="K4665" t="str">
            <v>Settled</v>
          </cell>
        </row>
        <row r="4666">
          <cell r="J4666" t="str">
            <v>ID-ptpelita-08/2025</v>
          </cell>
          <cell r="K4666" t="str">
            <v>Settled</v>
          </cell>
        </row>
        <row r="4667">
          <cell r="J4667" t="str">
            <v>ID-ptpelita-09/2025</v>
          </cell>
          <cell r="K4667" t="str">
            <v>Settled</v>
          </cell>
        </row>
        <row r="4668">
          <cell r="J4668" t="str">
            <v>ID-ptpelita-10/2025</v>
          </cell>
          <cell r="K4668" t="str">
            <v>Settled</v>
          </cell>
        </row>
        <row r="4669">
          <cell r="J4669" t="str">
            <v>ID-ptpelita-11/2025</v>
          </cell>
          <cell r="K4669" t="str">
            <v>Settled</v>
          </cell>
        </row>
        <row r="4670">
          <cell r="J4670" t="str">
            <v>ID-ptpelita-12/2025</v>
          </cell>
          <cell r="K4670" t="str">
            <v>Settled</v>
          </cell>
        </row>
        <row r="4671">
          <cell r="J4671" t="str">
            <v>ID-ptpelita-04/2026</v>
          </cell>
          <cell r="K4671" t="str">
            <v>Overdue</v>
          </cell>
        </row>
        <row r="4672">
          <cell r="J4672" t="str">
            <v>ID-ptpelita-05/2026</v>
          </cell>
          <cell r="K4672" t="str">
            <v>Overdue</v>
          </cell>
        </row>
        <row r="4673">
          <cell r="J4673" t="str">
            <v>ID-PT Reyhan-05/2024</v>
          </cell>
          <cell r="K4673" t="str">
            <v>Settled</v>
          </cell>
        </row>
        <row r="4674">
          <cell r="J4674" t="str">
            <v>ID-PT Reyhan-11/2024</v>
          </cell>
          <cell r="K4674" t="str">
            <v>Settled</v>
          </cell>
        </row>
        <row r="4675">
          <cell r="J4675" t="str">
            <v>ID-PT Reyhan-12/2024</v>
          </cell>
          <cell r="K4675" t="str">
            <v>Settled</v>
          </cell>
        </row>
        <row r="4676">
          <cell r="J4676" t="str">
            <v>ID-PT Reyhan-01/2025</v>
          </cell>
          <cell r="K4676" t="str">
            <v>Settled</v>
          </cell>
        </row>
        <row r="4677">
          <cell r="J4677" t="str">
            <v>ID-PT Reyhan-02/2025</v>
          </cell>
          <cell r="K4677" t="str">
            <v>Settled</v>
          </cell>
        </row>
        <row r="4678">
          <cell r="J4678" t="str">
            <v>ID-PT Transwap Dunamis -10/2024</v>
          </cell>
          <cell r="K4678" t="str">
            <v>Settled</v>
          </cell>
        </row>
        <row r="4679">
          <cell r="J4679" t="str">
            <v>ID-PT Transwap-11/2024</v>
          </cell>
          <cell r="K4679" t="str">
            <v>Settled</v>
          </cell>
        </row>
        <row r="4680">
          <cell r="J4680" t="str">
            <v>ID-PT Transwap-12/2024</v>
          </cell>
          <cell r="K4680" t="str">
            <v>Settled</v>
          </cell>
        </row>
        <row r="4681">
          <cell r="J4681" t="str">
            <v>ID-PT Transwap-01/2025</v>
          </cell>
          <cell r="K4681" t="str">
            <v>Settled</v>
          </cell>
        </row>
        <row r="4682">
          <cell r="J4682" t="str">
            <v>ID-PT Transwap-02/2025</v>
          </cell>
          <cell r="K4682" t="str">
            <v>Settled</v>
          </cell>
        </row>
        <row r="4683">
          <cell r="J4683" t="str">
            <v>ID-PT Transwap-03/2025</v>
          </cell>
          <cell r="K4683" t="str">
            <v>Settled</v>
          </cell>
        </row>
        <row r="4684">
          <cell r="J4684" t="str">
            <v>ID-PT Transwap-04/2025</v>
          </cell>
          <cell r="K4684" t="str">
            <v>Settled</v>
          </cell>
        </row>
        <row r="4685">
          <cell r="J4685" t="str">
            <v>ID-PT Transwap-05/2025</v>
          </cell>
          <cell r="K4685" t="str">
            <v>Settled</v>
          </cell>
        </row>
        <row r="4686">
          <cell r="J4686" t="str">
            <v>ID-PT Transwap-06/2025</v>
          </cell>
          <cell r="K4686" t="str">
            <v>Settled</v>
          </cell>
        </row>
        <row r="4687">
          <cell r="J4687" t="str">
            <v>ID-PT Transwap-07/2025</v>
          </cell>
          <cell r="K4687" t="str">
            <v>Settled</v>
          </cell>
        </row>
        <row r="4688">
          <cell r="J4688" t="str">
            <v>ID-PT Transwap-08/2025</v>
          </cell>
          <cell r="K4688" t="str">
            <v>Settled</v>
          </cell>
        </row>
        <row r="4689">
          <cell r="J4689" t="str">
            <v>ID-PT Transwap-09/2025</v>
          </cell>
          <cell r="K4689" t="str">
            <v>Settled</v>
          </cell>
        </row>
        <row r="4690">
          <cell r="J4690" t="str">
            <v>ID-PT Transwap-10/2025</v>
          </cell>
          <cell r="K4690" t="str">
            <v>Settled</v>
          </cell>
        </row>
        <row r="4691">
          <cell r="J4691" t="str">
            <v>ID-PT Transwap-11/2025</v>
          </cell>
          <cell r="K4691" t="str">
            <v>Settled</v>
          </cell>
        </row>
        <row r="4692">
          <cell r="J4692" t="str">
            <v>ID-PT Transwap-12/2025</v>
          </cell>
          <cell r="K4692" t="str">
            <v>Settled</v>
          </cell>
        </row>
        <row r="4693">
          <cell r="J4693" t="str">
            <v>ID-PT Transwap-01/2026</v>
          </cell>
          <cell r="K4693" t="str">
            <v>Settled</v>
          </cell>
        </row>
        <row r="4694">
          <cell r="J4694" t="str">
            <v>ID-PT Transwap-02/2026</v>
          </cell>
          <cell r="K4694" t="str">
            <v>Settled</v>
          </cell>
        </row>
        <row r="4695">
          <cell r="J4695" t="str">
            <v>ID-PT Transwap-03/2026</v>
          </cell>
          <cell r="K4695" t="str">
            <v>Settled</v>
          </cell>
        </row>
        <row r="4696">
          <cell r="J4696" t="str">
            <v>ID-PT Transwap-04/2026</v>
          </cell>
          <cell r="K4696" t="str">
            <v>Settled</v>
          </cell>
        </row>
        <row r="4697">
          <cell r="J4697" t="str">
            <v>ID-PT Transwap-05/2026</v>
          </cell>
          <cell r="K4697" t="str">
            <v>Settled</v>
          </cell>
        </row>
        <row r="4698">
          <cell r="J4698" t="str">
            <v>ID-PTWEBUY-05/2023</v>
          </cell>
          <cell r="K4698" t="str">
            <v>Settled</v>
          </cell>
        </row>
        <row r="4699">
          <cell r="J4699" t="str">
            <v>ID-PTWEBUY-06/2023</v>
          </cell>
          <cell r="K4699" t="str">
            <v>Settled</v>
          </cell>
        </row>
        <row r="4700">
          <cell r="J4700" t="str">
            <v>ID-PTWEBUY-04/2023</v>
          </cell>
          <cell r="K4700" t="str">
            <v>Settled</v>
          </cell>
        </row>
        <row r="4701">
          <cell r="J4701" t="str">
            <v>ID-PTWEBUY-07/2023</v>
          </cell>
          <cell r="K4701" t="str">
            <v>Settled</v>
          </cell>
        </row>
        <row r="4702">
          <cell r="J4702" t="str">
            <v>ID -PTWEBUY-08/2023</v>
          </cell>
          <cell r="K4702" t="str">
            <v>Settled</v>
          </cell>
        </row>
        <row r="4703">
          <cell r="J4703" t="str">
            <v>ID-PTWEBUY-09/2023</v>
          </cell>
          <cell r="K4703" t="str">
            <v>Settled</v>
          </cell>
        </row>
        <row r="4704">
          <cell r="J4704" t="str">
            <v>ID-PTWEBUY-10/2023</v>
          </cell>
          <cell r="K4704" t="str">
            <v>Settled</v>
          </cell>
        </row>
        <row r="4705">
          <cell r="J4705" t="str">
            <v>ID-PTWEBUY-11/2023</v>
          </cell>
          <cell r="K4705" t="str">
            <v>Settled</v>
          </cell>
        </row>
        <row r="4706">
          <cell r="J4706" t="str">
            <v>ID-PTWEBUY-12/2023</v>
          </cell>
          <cell r="K4706" t="str">
            <v>Settled</v>
          </cell>
        </row>
        <row r="4707">
          <cell r="J4707" t="str">
            <v>ID-PT Worldwide-08/2024</v>
          </cell>
          <cell r="K4707" t="str">
            <v>Settled</v>
          </cell>
        </row>
        <row r="4708">
          <cell r="J4708" t="str">
            <v>ID-PT Worldwide-10/2024</v>
          </cell>
          <cell r="K4708" t="str">
            <v>Settled</v>
          </cell>
        </row>
        <row r="4709">
          <cell r="J4709" t="str">
            <v>ID-PT Worldwide-11/2024</v>
          </cell>
          <cell r="K4709" t="str">
            <v>Settled</v>
          </cell>
        </row>
        <row r="4710">
          <cell r="J4710" t="str">
            <v>ID-PT Worldwide-12/2024</v>
          </cell>
          <cell r="K4710" t="str">
            <v>Settled</v>
          </cell>
        </row>
        <row r="4711">
          <cell r="J4711" t="str">
            <v>ID-PT Worldwide-02/2025</v>
          </cell>
          <cell r="K4711" t="str">
            <v>Settled</v>
          </cell>
        </row>
        <row r="4712">
          <cell r="J4712" t="str">
            <v>ID-PT Worldwide-03/2025</v>
          </cell>
          <cell r="K4712" t="str">
            <v>Settled</v>
          </cell>
        </row>
        <row r="4713">
          <cell r="J4713" t="str">
            <v>ID-PT Worldwide-04/2025</v>
          </cell>
          <cell r="K4713" t="str">
            <v>Settled</v>
          </cell>
        </row>
        <row r="4714">
          <cell r="J4714" t="str">
            <v>ID-PT Worldwide-05/2025</v>
          </cell>
          <cell r="K4714" t="str">
            <v>Settled</v>
          </cell>
        </row>
        <row r="4715">
          <cell r="J4715" t="str">
            <v>ID-PT Worldwide-06/2025</v>
          </cell>
          <cell r="K4715" t="str">
            <v>Settled</v>
          </cell>
        </row>
        <row r="4716">
          <cell r="J4716" t="str">
            <v>ID-PT Worldwide-07/2025</v>
          </cell>
          <cell r="K4716" t="str">
            <v>Settled</v>
          </cell>
        </row>
        <row r="4717">
          <cell r="J4717" t="str">
            <v>ID-PT Worldwide-08/2025</v>
          </cell>
          <cell r="K4717" t="str">
            <v>Settled</v>
          </cell>
        </row>
        <row r="4718">
          <cell r="J4718" t="str">
            <v>ID-PT Worldwide-09/2025</v>
          </cell>
          <cell r="K4718" t="str">
            <v>Settled</v>
          </cell>
        </row>
        <row r="4719">
          <cell r="J4719" t="str">
            <v>ID-PT Worldwide-10/2025</v>
          </cell>
          <cell r="K4719" t="str">
            <v>Settled</v>
          </cell>
        </row>
        <row r="4720">
          <cell r="J4720" t="str">
            <v>ID-PT Worldwide-11/2025</v>
          </cell>
          <cell r="K4720" t="str">
            <v>Settled</v>
          </cell>
        </row>
        <row r="4721">
          <cell r="J4721" t="str">
            <v>ID-PT Worldwide-12/2025</v>
          </cell>
          <cell r="K4721" t="str">
            <v>Settled</v>
          </cell>
        </row>
        <row r="4722">
          <cell r="J4722" t="str">
            <v>ID-PT Worldwide-01/2026</v>
          </cell>
          <cell r="K4722" t="str">
            <v>Settled</v>
          </cell>
        </row>
        <row r="4723">
          <cell r="J4723" t="str">
            <v>ID-PT Worldwide-02/2026</v>
          </cell>
          <cell r="K4723" t="str">
            <v>Settled</v>
          </cell>
        </row>
        <row r="4724">
          <cell r="J4724" t="str">
            <v>ID-PT Worldwide-03/2026</v>
          </cell>
          <cell r="K4724" t="str">
            <v>Settled</v>
          </cell>
        </row>
        <row r="4725">
          <cell r="J4725" t="str">
            <v>ID-PT Worldwide-04/2026</v>
          </cell>
          <cell r="K4725" t="str">
            <v>Settled</v>
          </cell>
        </row>
        <row r="4726">
          <cell r="J4726" t="str">
            <v>ID -pt. coda indonesia-01/2022</v>
          </cell>
          <cell r="K4726" t="str">
            <v>Settled</v>
          </cell>
        </row>
        <row r="4727">
          <cell r="J4727" t="str">
            <v>ID -pt. coda indonesia-02/2022</v>
          </cell>
          <cell r="K4727" t="str">
            <v>Settled</v>
          </cell>
        </row>
        <row r="4728">
          <cell r="J4728" t="str">
            <v>ID -pt. coda indonesia-03/2022</v>
          </cell>
          <cell r="K4728" t="str">
            <v>Settled</v>
          </cell>
        </row>
        <row r="4729">
          <cell r="J4729" t="str">
            <v>ID -pt. coda indonesia-04/2022</v>
          </cell>
          <cell r="K4729" t="str">
            <v>Settled</v>
          </cell>
        </row>
        <row r="4730">
          <cell r="J4730" t="str">
            <v>ID -pt. coda indonesia-05/2022</v>
          </cell>
          <cell r="K4730" t="str">
            <v>Settled</v>
          </cell>
        </row>
        <row r="4731">
          <cell r="J4731" t="str">
            <v>ID -pt. coda indonesia-06/2022</v>
          </cell>
          <cell r="K4731" t="str">
            <v>Settled</v>
          </cell>
        </row>
        <row r="4732">
          <cell r="J4732" t="str">
            <v>ID-pt. coda-07/2022</v>
          </cell>
          <cell r="K4732" t="str">
            <v>Settled</v>
          </cell>
        </row>
        <row r="4733">
          <cell r="J4733" t="str">
            <v>ID-pt. coda-08/2022</v>
          </cell>
          <cell r="K4733" t="str">
            <v>Settled</v>
          </cell>
        </row>
        <row r="4734">
          <cell r="J4734" t="str">
            <v>ID-pt. coda-09/2022</v>
          </cell>
          <cell r="K4734" t="str">
            <v>Settled</v>
          </cell>
        </row>
        <row r="4735">
          <cell r="J4735" t="str">
            <v>ID-pt. coda-10/2022</v>
          </cell>
          <cell r="K4735" t="str">
            <v>Settled</v>
          </cell>
        </row>
        <row r="4736">
          <cell r="J4736" t="str">
            <v>ID -pt. coda indonesia-CR-11/2022</v>
          </cell>
          <cell r="K4736" t="str">
            <v>Settled</v>
          </cell>
        </row>
        <row r="4737">
          <cell r="J4737" t="str">
            <v>ID -pt. coda indonesia-11/2022</v>
          </cell>
          <cell r="K4737" t="str">
            <v>Settled</v>
          </cell>
        </row>
        <row r="4738">
          <cell r="J4738" t="str">
            <v>ID-pt. coda indonesia-CR-01/2023</v>
          </cell>
          <cell r="K4738" t="str">
            <v>Settled</v>
          </cell>
        </row>
        <row r="4739">
          <cell r="J4739" t="str">
            <v>ID-pt. coda indonesia-01/2023</v>
          </cell>
          <cell r="K4739" t="str">
            <v>Settled</v>
          </cell>
        </row>
        <row r="4740">
          <cell r="J4740" t="str">
            <v>SG-pt. top remit-01/2023</v>
          </cell>
          <cell r="K4740" t="str">
            <v>Settled</v>
          </cell>
        </row>
        <row r="4741">
          <cell r="J4741" t="str">
            <v>SG-pt. top remit-02/2023</v>
          </cell>
          <cell r="K4741" t="str">
            <v>Settled</v>
          </cell>
        </row>
        <row r="4742">
          <cell r="J4742" t="str">
            <v>SG-pt. top remit-03/2023</v>
          </cell>
          <cell r="K4742" t="str">
            <v>Settled</v>
          </cell>
        </row>
        <row r="4743">
          <cell r="J4743" t="str">
            <v>SG-pt. top remit-04/2023</v>
          </cell>
          <cell r="K4743" t="str">
            <v>Settled</v>
          </cell>
        </row>
        <row r="4744">
          <cell r="J4744" t="str">
            <v>SG-pt. top remit-05/2023</v>
          </cell>
          <cell r="K4744" t="str">
            <v>Settled</v>
          </cell>
        </row>
        <row r="4745">
          <cell r="J4745" t="str">
            <v>SG-pt. top remit-06/2023</v>
          </cell>
          <cell r="K4745" t="str">
            <v>Settled</v>
          </cell>
        </row>
        <row r="4746">
          <cell r="J4746" t="str">
            <v>SG-pt. top remit-11/2022</v>
          </cell>
          <cell r="K4746" t="str">
            <v>Settled</v>
          </cell>
        </row>
        <row r="4747">
          <cell r="J4747" t="str">
            <v>SG-pt. top remit-12/2022</v>
          </cell>
          <cell r="K4747" t="str">
            <v>Settled</v>
          </cell>
        </row>
        <row r="4748">
          <cell r="J4748" t="str">
            <v>SG-Qatar National Bank (Q.P.S.C.)-07/2025</v>
          </cell>
          <cell r="K4748" t="str">
            <v>Settled</v>
          </cell>
        </row>
        <row r="4749">
          <cell r="J4749" t="str">
            <v>SG-Qatar National Bank (Q.P.S.C.)-08/2025</v>
          </cell>
          <cell r="K4749" t="str">
            <v>Settled</v>
          </cell>
        </row>
        <row r="4750">
          <cell r="J4750" t="str">
            <v>SG-Qatar National Bank (Q.P.S.C.)-09/2025</v>
          </cell>
          <cell r="K4750" t="str">
            <v>Settled</v>
          </cell>
        </row>
        <row r="4751">
          <cell r="J4751" t="str">
            <v>SG-Qatar National Bank (Q.P.S.C.)-10/2025</v>
          </cell>
          <cell r="K4751" t="str">
            <v>Settled</v>
          </cell>
        </row>
        <row r="4752">
          <cell r="J4752" t="str">
            <v>SG-Qatar National Bank (Q.P.S.C.)-11/2025</v>
          </cell>
          <cell r="K4752" t="str">
            <v>Settled</v>
          </cell>
        </row>
        <row r="4753">
          <cell r="J4753" t="str">
            <v>SG-Qatar National Bank (Q.P.S.C.)-12/2025</v>
          </cell>
          <cell r="K4753" t="str">
            <v>Settled</v>
          </cell>
        </row>
        <row r="4754">
          <cell r="J4754" t="str">
            <v>SG-Qatar National Bank (Q.P.S.C.)-01/2026</v>
          </cell>
          <cell r="K4754" t="str">
            <v>Settled</v>
          </cell>
        </row>
        <row r="4755">
          <cell r="J4755" t="str">
            <v>SG-Qatar National Bank (Q.P.S.C.)-02/2026</v>
          </cell>
          <cell r="K4755" t="str">
            <v>Settled</v>
          </cell>
        </row>
        <row r="4756">
          <cell r="J4756" t="str">
            <v>SG-Qatar National Bank (Q.P.S.C.)-03/2026</v>
          </cell>
          <cell r="K4756" t="str">
            <v>Overdue</v>
          </cell>
        </row>
        <row r="4757">
          <cell r="J4757" t="str">
            <v>SG-Qatar National Bank (Q.P.S.C.)-04/2026</v>
          </cell>
          <cell r="K4757" t="str">
            <v>Overdue</v>
          </cell>
        </row>
        <row r="4758">
          <cell r="J4758" t="str">
            <v>SG-Qatar National Bank (Q.P.S.C.)-05/2026</v>
          </cell>
          <cell r="K4758" t="str">
            <v>Overdue</v>
          </cell>
        </row>
        <row r="4759">
          <cell r="J4759" t="str">
            <v>US-AD-Qolo-05-2024</v>
          </cell>
          <cell r="K4759" t="str">
            <v>Settled</v>
          </cell>
        </row>
        <row r="4760">
          <cell r="J4760" t="str">
            <v>US-Qolo-05/2024</v>
          </cell>
          <cell r="K4760" t="str">
            <v>Settled</v>
          </cell>
        </row>
        <row r="4761">
          <cell r="J4761" t="str">
            <v>US-Qolo-06/2024</v>
          </cell>
          <cell r="K4761" t="str">
            <v>Settled</v>
          </cell>
        </row>
        <row r="4762">
          <cell r="J4762" t="str">
            <v>US-Qolo-07/2024</v>
          </cell>
          <cell r="K4762" t="str">
            <v>Settled</v>
          </cell>
        </row>
        <row r="4763">
          <cell r="J4763" t="str">
            <v>US-Qolo-08/2024</v>
          </cell>
          <cell r="K4763" t="str">
            <v>Settled</v>
          </cell>
        </row>
        <row r="4764">
          <cell r="J4764" t="str">
            <v>US-Qolo-09/2024</v>
          </cell>
          <cell r="K4764" t="str">
            <v>Settled</v>
          </cell>
        </row>
        <row r="4765">
          <cell r="J4765" t="str">
            <v>US-Qolo-10/2024</v>
          </cell>
          <cell r="K4765" t="str">
            <v>Settled</v>
          </cell>
        </row>
        <row r="4766">
          <cell r="J4766" t="str">
            <v>US-Qolo-11/2024</v>
          </cell>
          <cell r="K4766" t="str">
            <v>Settled</v>
          </cell>
        </row>
        <row r="4767">
          <cell r="J4767" t="str">
            <v>US-Qolo-12/2024</v>
          </cell>
          <cell r="K4767" t="str">
            <v>Settled</v>
          </cell>
        </row>
        <row r="4768">
          <cell r="J4768" t="str">
            <v>US-Qolo-01/2025</v>
          </cell>
          <cell r="K4768" t="str">
            <v>Settled</v>
          </cell>
        </row>
        <row r="4769">
          <cell r="J4769" t="str">
            <v>US-Qolo-02/2025</v>
          </cell>
          <cell r="K4769" t="str">
            <v>Settled</v>
          </cell>
        </row>
        <row r="4770">
          <cell r="J4770" t="str">
            <v>US-Qolo-03/2025</v>
          </cell>
          <cell r="K4770" t="str">
            <v>Settled</v>
          </cell>
        </row>
        <row r="4771">
          <cell r="J4771" t="str">
            <v>US-Qolo-04/2025</v>
          </cell>
          <cell r="K4771" t="str">
            <v>Settled</v>
          </cell>
        </row>
        <row r="4772">
          <cell r="J4772" t="str">
            <v>US-Qolo-05/2025</v>
          </cell>
          <cell r="K4772" t="str">
            <v>Settled</v>
          </cell>
        </row>
        <row r="4773">
          <cell r="J4773" t="str">
            <v>US-Qolo-06/2025</v>
          </cell>
          <cell r="K4773" t="str">
            <v>Settled</v>
          </cell>
        </row>
        <row r="4774">
          <cell r="J4774" t="str">
            <v>US-Qolo-07/2025</v>
          </cell>
          <cell r="K4774" t="str">
            <v>Settled</v>
          </cell>
        </row>
        <row r="4775">
          <cell r="J4775" t="str">
            <v>US-Qolo-08/2025</v>
          </cell>
          <cell r="K4775" t="str">
            <v>Settled</v>
          </cell>
        </row>
        <row r="4776">
          <cell r="J4776" t="str">
            <v>US-Qolo-09/2025</v>
          </cell>
          <cell r="K4776" t="str">
            <v>Settled</v>
          </cell>
        </row>
        <row r="4777">
          <cell r="J4777" t="str">
            <v>US-Qolo-10/2025</v>
          </cell>
          <cell r="K4777" t="str">
            <v>Settled</v>
          </cell>
        </row>
        <row r="4778">
          <cell r="J4778" t="str">
            <v>US-Qolo-11/2025</v>
          </cell>
          <cell r="K4778" t="str">
            <v>Settled</v>
          </cell>
        </row>
        <row r="4779">
          <cell r="J4779" t="str">
            <v>US-Qolo-12/2025</v>
          </cell>
          <cell r="K4779" t="str">
            <v>Settled</v>
          </cell>
        </row>
        <row r="4780">
          <cell r="J4780" t="str">
            <v>US-Qolo-01/2026</v>
          </cell>
          <cell r="K4780" t="str">
            <v>Settled</v>
          </cell>
        </row>
        <row r="4781">
          <cell r="J4781" t="str">
            <v>US-Qolo-02/2026</v>
          </cell>
          <cell r="K4781" t="str">
            <v>Settled</v>
          </cell>
        </row>
        <row r="4782">
          <cell r="J4782" t="str">
            <v>US-Qolo-03/2026</v>
          </cell>
          <cell r="K4782" t="str">
            <v>Settled</v>
          </cell>
        </row>
        <row r="4783">
          <cell r="J4783" t="str">
            <v>US-Qolo-04/2026</v>
          </cell>
          <cell r="K4783" t="str">
            <v>Settled</v>
          </cell>
        </row>
        <row r="4784">
          <cell r="J4784" t="str">
            <v>US-Qolo-05/2026</v>
          </cell>
          <cell r="K4784" t="str">
            <v>Overdue</v>
          </cell>
        </row>
        <row r="4785">
          <cell r="J4785" t="str">
            <v>US-Qolo-04/2024</v>
          </cell>
          <cell r="K4785" t="str">
            <v>Settled</v>
          </cell>
        </row>
        <row r="4786">
          <cell r="J4786" t="str">
            <v>EU-QUANTFIN-04/2023</v>
          </cell>
          <cell r="K4786" t="str">
            <v>Waived Off</v>
          </cell>
        </row>
        <row r="4787">
          <cell r="J4787" t="str">
            <v>EU-QUANTFIN-05/2023</v>
          </cell>
          <cell r="K4787" t="str">
            <v>Waived Off</v>
          </cell>
        </row>
        <row r="4788">
          <cell r="J4788" t="str">
            <v>EU-QUANTFIN-06/2023</v>
          </cell>
          <cell r="K4788" t="str">
            <v>Waived Off</v>
          </cell>
        </row>
        <row r="4789">
          <cell r="J4789" t="str">
            <v>EU-QUANTFIN-07/2023</v>
          </cell>
          <cell r="K4789" t="str">
            <v>Waived Off</v>
          </cell>
        </row>
        <row r="4790">
          <cell r="J4790" t="str">
            <v>EU-QUANT FINANCIAL LTD-11/2022</v>
          </cell>
          <cell r="K4790" t="str">
            <v>Settled</v>
          </cell>
        </row>
        <row r="4791">
          <cell r="J4791" t="str">
            <v>EU-QUANT FINANCIAL LTD-12/2022</v>
          </cell>
          <cell r="K4791" t="str">
            <v>Settled</v>
          </cell>
        </row>
        <row r="4792">
          <cell r="J4792" t="str">
            <v>EU-QUANT FINANCIAL LTD-01/2023</v>
          </cell>
          <cell r="K4792" t="str">
            <v>Settled</v>
          </cell>
        </row>
        <row r="4793">
          <cell r="J4793" t="str">
            <v>EU-QUANTFIN-02/2023</v>
          </cell>
          <cell r="K4793" t="str">
            <v>Settled</v>
          </cell>
        </row>
        <row r="4794">
          <cell r="J4794" t="str">
            <v>EU-QUANTFIN-03/2023</v>
          </cell>
          <cell r="K4794" t="str">
            <v>Settled</v>
          </cell>
        </row>
        <row r="4795">
          <cell r="J4795" t="str">
            <v>SG-queen bee co., ltd.-11/2022</v>
          </cell>
          <cell r="K4795" t="str">
            <v>Settled</v>
          </cell>
        </row>
        <row r="4796">
          <cell r="J4796" t="str">
            <v>SG-queen bee co., ltd.-12/2022</v>
          </cell>
          <cell r="K4796" t="str">
            <v>Settled</v>
          </cell>
        </row>
        <row r="4797">
          <cell r="J4797" t="str">
            <v>SG-queen bee co., ltd.-01/2023</v>
          </cell>
          <cell r="K4797" t="str">
            <v>Settled</v>
          </cell>
        </row>
        <row r="4798">
          <cell r="J4798" t="str">
            <v>SG-queenbee-02/2023</v>
          </cell>
          <cell r="K4798" t="str">
            <v>Settled</v>
          </cell>
        </row>
        <row r="4799">
          <cell r="J4799" t="str">
            <v>SG-queenbee-03/2023</v>
          </cell>
          <cell r="K4799" t="str">
            <v>Settled</v>
          </cell>
        </row>
        <row r="4800">
          <cell r="J4800" t="str">
            <v>SG-queenbee-04/2023</v>
          </cell>
          <cell r="K4800" t="str">
            <v>Settled</v>
          </cell>
        </row>
        <row r="4801">
          <cell r="J4801" t="str">
            <v>SG-queenbee-05/2023</v>
          </cell>
          <cell r="K4801" t="str">
            <v>Settled</v>
          </cell>
        </row>
        <row r="4802">
          <cell r="J4802" t="str">
            <v>SG-queenbee-06/2023</v>
          </cell>
          <cell r="K4802" t="str">
            <v>Settled</v>
          </cell>
        </row>
        <row r="4803">
          <cell r="J4803" t="str">
            <v>SG-queenbee-07/2023</v>
          </cell>
          <cell r="K4803" t="str">
            <v>Settled</v>
          </cell>
        </row>
        <row r="4804">
          <cell r="J4804" t="str">
            <v>SG -queenbee-08/2023</v>
          </cell>
          <cell r="K4804" t="str">
            <v>Settled</v>
          </cell>
        </row>
        <row r="4805">
          <cell r="J4805" t="str">
            <v>SG-queenbee-09/2023</v>
          </cell>
          <cell r="K4805" t="str">
            <v>Settled</v>
          </cell>
        </row>
        <row r="4806">
          <cell r="J4806" t="str">
            <v>SG-queenbee-10/2023</v>
          </cell>
          <cell r="K4806" t="str">
            <v>Settled</v>
          </cell>
        </row>
        <row r="4807">
          <cell r="J4807" t="str">
            <v>SG-queenbee-11/2023</v>
          </cell>
          <cell r="K4807" t="str">
            <v>Settled</v>
          </cell>
        </row>
        <row r="4808">
          <cell r="J4808" t="str">
            <v>SG-queenbee-12/2023</v>
          </cell>
          <cell r="K4808" t="str">
            <v>Settled</v>
          </cell>
        </row>
        <row r="4809">
          <cell r="J4809" t="str">
            <v>SG -queenbee-CR-12/2023</v>
          </cell>
          <cell r="K4809" t="str">
            <v>Settled</v>
          </cell>
        </row>
        <row r="4810">
          <cell r="J4810" t="str">
            <v>SG-queenbee-01/2024</v>
          </cell>
          <cell r="K4810" t="str">
            <v>Settled</v>
          </cell>
        </row>
        <row r="4811">
          <cell r="J4811" t="str">
            <v>SG-queenbee-02/2024</v>
          </cell>
          <cell r="K4811" t="str">
            <v>Settled</v>
          </cell>
        </row>
        <row r="4812">
          <cell r="J4812" t="str">
            <v>SG-queenbee-03/2024</v>
          </cell>
          <cell r="K4812" t="str">
            <v>Settled</v>
          </cell>
        </row>
        <row r="4813">
          <cell r="J4813" t="str">
            <v>SG-queenbee-04/2024</v>
          </cell>
          <cell r="K4813" t="str">
            <v>Settled</v>
          </cell>
        </row>
        <row r="4814">
          <cell r="J4814" t="str">
            <v>SG-queenbee-05/2024</v>
          </cell>
          <cell r="K4814" t="str">
            <v>Settled</v>
          </cell>
        </row>
        <row r="4815">
          <cell r="J4815" t="str">
            <v>SG-queenbee-06/2024</v>
          </cell>
          <cell r="K4815" t="str">
            <v>Settled</v>
          </cell>
        </row>
        <row r="4816">
          <cell r="J4816" t="str">
            <v>SG-queenbee-07/2024</v>
          </cell>
          <cell r="K4816" t="str">
            <v>Settled</v>
          </cell>
        </row>
        <row r="4817">
          <cell r="J4817" t="str">
            <v>SG-queenbee-08/2024</v>
          </cell>
          <cell r="K4817" t="str">
            <v>Settled</v>
          </cell>
        </row>
        <row r="4818">
          <cell r="J4818" t="str">
            <v>SG-queenbee-09/2024</v>
          </cell>
          <cell r="K4818" t="str">
            <v>Settled</v>
          </cell>
        </row>
        <row r="4819">
          <cell r="J4819" t="str">
            <v>SG-queenbee-10/2024</v>
          </cell>
          <cell r="K4819" t="str">
            <v>Settled</v>
          </cell>
        </row>
        <row r="4820">
          <cell r="J4820" t="str">
            <v>SG-queenbee-11/2024</v>
          </cell>
          <cell r="K4820" t="str">
            <v>Settled</v>
          </cell>
        </row>
        <row r="4821">
          <cell r="J4821" t="str">
            <v>SG-queenbee-12/2024</v>
          </cell>
          <cell r="K4821" t="str">
            <v>Settled</v>
          </cell>
        </row>
        <row r="4822">
          <cell r="J4822" t="str">
            <v>SG-queenbee-01/2025</v>
          </cell>
          <cell r="K4822" t="str">
            <v>Settled</v>
          </cell>
        </row>
        <row r="4823">
          <cell r="J4823" t="str">
            <v>SG-queenbee-02/2025</v>
          </cell>
          <cell r="K4823" t="str">
            <v>Settled</v>
          </cell>
        </row>
        <row r="4824">
          <cell r="J4824" t="str">
            <v>SG-queenbee-03/2025</v>
          </cell>
          <cell r="K4824" t="str">
            <v>Settled</v>
          </cell>
        </row>
        <row r="4825">
          <cell r="J4825" t="str">
            <v>SG-queenbee-04/2025</v>
          </cell>
          <cell r="K4825" t="str">
            <v>Settled</v>
          </cell>
        </row>
        <row r="4826">
          <cell r="J4826" t="str">
            <v>SG-queenbee-05/2025</v>
          </cell>
          <cell r="K4826" t="str">
            <v>Settled</v>
          </cell>
        </row>
        <row r="4827">
          <cell r="J4827" t="str">
            <v>SG-queenbee-06/2025</v>
          </cell>
          <cell r="K4827" t="str">
            <v>Settled</v>
          </cell>
        </row>
        <row r="4828">
          <cell r="J4828" t="str">
            <v>SG-queenbee-07/2025</v>
          </cell>
          <cell r="K4828" t="str">
            <v>Settled</v>
          </cell>
        </row>
        <row r="4829">
          <cell r="J4829" t="str">
            <v>SG-queenbee-08/2025</v>
          </cell>
          <cell r="K4829" t="str">
            <v>Settled</v>
          </cell>
        </row>
        <row r="4830">
          <cell r="J4830" t="str">
            <v>SG-queenbee-09/2025</v>
          </cell>
          <cell r="K4830" t="str">
            <v>Settled</v>
          </cell>
        </row>
        <row r="4831">
          <cell r="J4831" t="str">
            <v>SG-queenbee-10/2025</v>
          </cell>
          <cell r="K4831" t="str">
            <v>Settled</v>
          </cell>
        </row>
        <row r="4832">
          <cell r="J4832" t="str">
            <v>SG-queenbee-11/2025</v>
          </cell>
          <cell r="K4832" t="str">
            <v>Settled</v>
          </cell>
        </row>
        <row r="4833">
          <cell r="J4833" t="str">
            <v>SG-queenbee-12/2025</v>
          </cell>
          <cell r="K4833" t="str">
            <v>Settled</v>
          </cell>
        </row>
        <row r="4834">
          <cell r="J4834" t="str">
            <v>SG-queenbee-01/2026</v>
          </cell>
          <cell r="K4834" t="str">
            <v>Settled</v>
          </cell>
        </row>
        <row r="4835">
          <cell r="J4835" t="str">
            <v>SG-queenbee-02/2026</v>
          </cell>
          <cell r="K4835" t="str">
            <v>Settled</v>
          </cell>
        </row>
        <row r="4836">
          <cell r="J4836" t="str">
            <v>SG-queenbee-03/2026</v>
          </cell>
          <cell r="K4836" t="str">
            <v>Settled</v>
          </cell>
        </row>
        <row r="4837">
          <cell r="J4837" t="str">
            <v>SG-queenbee-04/2026</v>
          </cell>
          <cell r="K4837" t="str">
            <v>Settled</v>
          </cell>
        </row>
        <row r="4838">
          <cell r="J4838" t="str">
            <v>SG-queenbee-05/2026</v>
          </cell>
          <cell r="K4838" t="str">
            <v>Settled</v>
          </cell>
        </row>
        <row r="4839">
          <cell r="J4839" t="str">
            <v>SG-QUINCEDILLA-09/2023</v>
          </cell>
          <cell r="K4839" t="str">
            <v>Settled</v>
          </cell>
        </row>
        <row r="4840">
          <cell r="J4840" t="str">
            <v>SG-QUINCEDILLA-10/2023</v>
          </cell>
          <cell r="K4840" t="str">
            <v>Settled</v>
          </cell>
        </row>
        <row r="4841">
          <cell r="J4841" t="str">
            <v>SG-QUINCEDILLA-11/2023</v>
          </cell>
          <cell r="K4841" t="str">
            <v>Settled</v>
          </cell>
        </row>
        <row r="4842">
          <cell r="J4842" t="str">
            <v>US-quolum, inc-09/2022</v>
          </cell>
          <cell r="K4842" t="str">
            <v>Settled</v>
          </cell>
        </row>
        <row r="4843">
          <cell r="J4843" t="str">
            <v>US-quolum, inc-11/2022</v>
          </cell>
          <cell r="K4843" t="str">
            <v>Settled</v>
          </cell>
        </row>
        <row r="4844">
          <cell r="J4844" t="str">
            <v>US-quolum, inc-12/2022</v>
          </cell>
          <cell r="K4844" t="str">
            <v>Settled</v>
          </cell>
        </row>
        <row r="4845">
          <cell r="J4845" t="str">
            <v>US-quolum, inc-01/2023</v>
          </cell>
          <cell r="K4845" t="str">
            <v>Settled</v>
          </cell>
        </row>
        <row r="4846">
          <cell r="J4846" t="str">
            <v>US-quolum, inc-02/2023</v>
          </cell>
          <cell r="K4846" t="str">
            <v>Settled</v>
          </cell>
        </row>
        <row r="4847">
          <cell r="J4847" t="str">
            <v>US-quolum, inc-03/2023</v>
          </cell>
          <cell r="K4847" t="str">
            <v>Settled</v>
          </cell>
        </row>
        <row r="4848">
          <cell r="J4848" t="str">
            <v>US-quolum, inc-04/2023</v>
          </cell>
          <cell r="K4848" t="str">
            <v>Settled</v>
          </cell>
        </row>
        <row r="4849">
          <cell r="J4849" t="str">
            <v>US-quolum, inc-05/2023</v>
          </cell>
          <cell r="K4849" t="str">
            <v>Settled</v>
          </cell>
        </row>
        <row r="4850">
          <cell r="J4850" t="str">
            <v>US-quolum, inc-06/2023</v>
          </cell>
          <cell r="K4850" t="str">
            <v>Settled</v>
          </cell>
        </row>
        <row r="4851">
          <cell r="J4851" t="str">
            <v>US-quolum, inc-07/2023</v>
          </cell>
          <cell r="K4851" t="str">
            <v>Settled</v>
          </cell>
        </row>
        <row r="4852">
          <cell r="J4852" t="str">
            <v>US -quolum, inc-08/2023</v>
          </cell>
          <cell r="K4852" t="str">
            <v>Settled</v>
          </cell>
        </row>
        <row r="4853">
          <cell r="J4853" t="str">
            <v>US-quolum, inc-09/2023</v>
          </cell>
          <cell r="K4853" t="str">
            <v>Settled</v>
          </cell>
        </row>
        <row r="4854">
          <cell r="J4854" t="str">
            <v>US-quolum, inc-10/2023</v>
          </cell>
          <cell r="K4854" t="str">
            <v>Settled</v>
          </cell>
        </row>
        <row r="4855">
          <cell r="J4855" t="str">
            <v>US-quolum, inc-11/2023</v>
          </cell>
          <cell r="K4855" t="str">
            <v>Settled</v>
          </cell>
        </row>
        <row r="4856">
          <cell r="J4856" t="str">
            <v>US-quolum, inc-12/2023</v>
          </cell>
          <cell r="K4856" t="str">
            <v>Settled</v>
          </cell>
        </row>
        <row r="4857">
          <cell r="J4857" t="str">
            <v>US-quolum, inc-01/2024</v>
          </cell>
          <cell r="K4857" t="str">
            <v>Settled</v>
          </cell>
        </row>
        <row r="4858">
          <cell r="J4858" t="str">
            <v>US-quolum, inc-02/2024</v>
          </cell>
          <cell r="K4858" t="str">
            <v>Settled</v>
          </cell>
        </row>
        <row r="4859">
          <cell r="J4859" t="str">
            <v>SG-raklay security-05/2023</v>
          </cell>
          <cell r="K4859" t="str">
            <v>Settled</v>
          </cell>
        </row>
        <row r="4860">
          <cell r="J4860" t="str">
            <v>SG-raklay security-06/2023</v>
          </cell>
          <cell r="K4860" t="str">
            <v>Settled</v>
          </cell>
        </row>
        <row r="4861">
          <cell r="J4861" t="str">
            <v>SG-raklay security-07/2023</v>
          </cell>
          <cell r="K4861" t="str">
            <v>Settled</v>
          </cell>
        </row>
        <row r="4862">
          <cell r="J4862" t="str">
            <v>SG -raklay security-08/2023</v>
          </cell>
          <cell r="K4862" t="str">
            <v>Settled</v>
          </cell>
        </row>
        <row r="4863">
          <cell r="J4863" t="str">
            <v>SG-raklay security-09/2023</v>
          </cell>
          <cell r="K4863" t="str">
            <v>Settled</v>
          </cell>
        </row>
        <row r="4864">
          <cell r="J4864" t="str">
            <v>SG-raklay security-10/2023</v>
          </cell>
          <cell r="K4864" t="str">
            <v>Settled</v>
          </cell>
        </row>
        <row r="4865">
          <cell r="J4865" t="str">
            <v>SG-raklay security-11/2023</v>
          </cell>
          <cell r="K4865" t="str">
            <v>Reversed</v>
          </cell>
        </row>
        <row r="4866">
          <cell r="J4866" t="str">
            <v>SG -Ramblin Brands-02/2022</v>
          </cell>
          <cell r="K4866" t="str">
            <v>Settled</v>
          </cell>
        </row>
        <row r="4867">
          <cell r="J4867" t="str">
            <v>SG -Ramblin Brands-04/2022</v>
          </cell>
          <cell r="K4867" t="str">
            <v>Settled</v>
          </cell>
        </row>
        <row r="4868">
          <cell r="J4868" t="str">
            <v>SG -Ramblin Brands-06/2022</v>
          </cell>
          <cell r="K4868" t="str">
            <v>Settled</v>
          </cell>
        </row>
        <row r="4869">
          <cell r="J4869" t="str">
            <v>SG-Ramblin-08/2022</v>
          </cell>
          <cell r="K4869" t="str">
            <v>Settled</v>
          </cell>
        </row>
        <row r="4870">
          <cell r="J4870" t="str">
            <v>SG-Ramblin-10/2022</v>
          </cell>
          <cell r="K4870" t="str">
            <v>Settled</v>
          </cell>
        </row>
        <row r="4871">
          <cell r="J4871" t="str">
            <v>SG-Ramblin Brands-12/2022</v>
          </cell>
          <cell r="K4871" t="str">
            <v>Settled</v>
          </cell>
        </row>
        <row r="4872">
          <cell r="J4872" t="str">
            <v>SG-Ramblin-02/2023</v>
          </cell>
          <cell r="K4872" t="str">
            <v>Settled</v>
          </cell>
        </row>
        <row r="4873">
          <cell r="J4873" t="str">
            <v>SG-Ramblin-04/2023</v>
          </cell>
          <cell r="K4873" t="str">
            <v>Settled</v>
          </cell>
        </row>
        <row r="4874">
          <cell r="J4874" t="str">
            <v>SG-Ramblin-06/2023</v>
          </cell>
          <cell r="K4874" t="str">
            <v>Settled</v>
          </cell>
        </row>
        <row r="4875">
          <cell r="J4875" t="str">
            <v>SG -Ramblin-08/2023</v>
          </cell>
          <cell r="K4875" t="str">
            <v>Settled</v>
          </cell>
        </row>
        <row r="4876">
          <cell r="J4876" t="str">
            <v>SG-Rational Fx-11/2022</v>
          </cell>
          <cell r="K4876" t="str">
            <v>Settled</v>
          </cell>
        </row>
        <row r="4877">
          <cell r="J4877" t="str">
            <v>SG-Rational Fx-12/2022</v>
          </cell>
          <cell r="K4877" t="str">
            <v>Settled</v>
          </cell>
        </row>
        <row r="4878">
          <cell r="J4878" t="str">
            <v>SG-Rational Fx-01/2023</v>
          </cell>
          <cell r="K4878" t="str">
            <v>Settled</v>
          </cell>
        </row>
        <row r="4879">
          <cell r="J4879" t="str">
            <v>SG-Rational Fx-02/2023</v>
          </cell>
          <cell r="K4879" t="str">
            <v>Settled</v>
          </cell>
        </row>
        <row r="4880">
          <cell r="J4880" t="str">
            <v>SG-Rational Fx-03/2023</v>
          </cell>
          <cell r="K4880" t="str">
            <v>Settled</v>
          </cell>
        </row>
        <row r="4881">
          <cell r="J4881" t="str">
            <v>SG-Rational Fx-04/2023</v>
          </cell>
          <cell r="K4881" t="str">
            <v>Settled</v>
          </cell>
        </row>
        <row r="4882">
          <cell r="J4882" t="str">
            <v>SG-Rational Fx-05/2023</v>
          </cell>
          <cell r="K4882" t="str">
            <v>Settled</v>
          </cell>
        </row>
        <row r="4883">
          <cell r="J4883" t="str">
            <v>SG-Rational Fx-06/2023</v>
          </cell>
          <cell r="K4883" t="str">
            <v>Settled</v>
          </cell>
        </row>
        <row r="4884">
          <cell r="J4884" t="str">
            <v>SG-Rational Fx-07/2023</v>
          </cell>
          <cell r="K4884" t="str">
            <v>Settled</v>
          </cell>
        </row>
        <row r="4885">
          <cell r="J4885" t="str">
            <v>SG -Rational Fx-08/2023</v>
          </cell>
          <cell r="K4885" t="str">
            <v>Settled</v>
          </cell>
        </row>
        <row r="4886">
          <cell r="J4886" t="str">
            <v>SG-Rational Fx-09/2023</v>
          </cell>
          <cell r="K4886" t="str">
            <v>Waived Off</v>
          </cell>
        </row>
        <row r="4887">
          <cell r="J4887" t="str">
            <v>SG-Rational Fx-10/2023</v>
          </cell>
          <cell r="K4887" t="str">
            <v>Waived Off</v>
          </cell>
        </row>
        <row r="4888">
          <cell r="J4888" t="str">
            <v>SG-Rational Fx-11/2023</v>
          </cell>
          <cell r="K4888" t="str">
            <v>Waived Off</v>
          </cell>
        </row>
        <row r="4889">
          <cell r="J4889" t="str">
            <v>SG -RBP FINTECH PTE LTD-09/2021</v>
          </cell>
          <cell r="K4889" t="str">
            <v>Write Off</v>
          </cell>
        </row>
        <row r="4890">
          <cell r="J4890" t="str">
            <v>SG -RBP FINTECH PTE LTD-01/2022</v>
          </cell>
          <cell r="K4890" t="str">
            <v>Write Off</v>
          </cell>
        </row>
        <row r="4891">
          <cell r="J4891" t="str">
            <v>SG -RBP FINTECH PTE LTD-02/2022</v>
          </cell>
          <cell r="K4891" t="str">
            <v>Write Off</v>
          </cell>
        </row>
        <row r="4892">
          <cell r="J4892" t="str">
            <v>SG -RBP FINTECH PTE LTD-03/2022</v>
          </cell>
          <cell r="K4892" t="str">
            <v>Write Off</v>
          </cell>
        </row>
        <row r="4893">
          <cell r="J4893" t="str">
            <v>SG -RBP FINTECH PTE LTD-04/2022</v>
          </cell>
          <cell r="K4893" t="str">
            <v>Write Off</v>
          </cell>
        </row>
        <row r="4894">
          <cell r="J4894" t="str">
            <v>SG -RBP FINTECH PTE LTD-05/2022</v>
          </cell>
          <cell r="K4894" t="str">
            <v>Write Off</v>
          </cell>
        </row>
        <row r="4895">
          <cell r="J4895" t="str">
            <v>SG -RBP FINTECH PTE LTD-06/2022</v>
          </cell>
          <cell r="K4895" t="str">
            <v>Write Off</v>
          </cell>
        </row>
        <row r="4896">
          <cell r="J4896" t="str">
            <v>SG-RBP-07/2022</v>
          </cell>
          <cell r="K4896" t="str">
            <v>Write Off</v>
          </cell>
        </row>
        <row r="4897">
          <cell r="J4897" t="str">
            <v>SG-RBP-08/2022</v>
          </cell>
          <cell r="K4897" t="str">
            <v>Write Off</v>
          </cell>
        </row>
        <row r="4898">
          <cell r="J4898" t="str">
            <v>SG-RBP-09/2022</v>
          </cell>
          <cell r="K4898" t="str">
            <v>Write Off</v>
          </cell>
        </row>
        <row r="4899">
          <cell r="J4899" t="str">
            <v>SG-RBP-10/2022</v>
          </cell>
          <cell r="K4899" t="str">
            <v>Write Off</v>
          </cell>
        </row>
        <row r="4900">
          <cell r="J4900" t="str">
            <v>SG-RBP FINTECH PTE LTD-11/2022</v>
          </cell>
          <cell r="K4900" t="str">
            <v>Write Off</v>
          </cell>
        </row>
        <row r="4901">
          <cell r="J4901" t="str">
            <v>SG-RBP FINTECH PTE LTD-12/2022</v>
          </cell>
          <cell r="K4901" t="str">
            <v>Write Off</v>
          </cell>
        </row>
        <row r="4902">
          <cell r="J4902" t="str">
            <v>CA-REMIT5-07/2024</v>
          </cell>
          <cell r="K4902" t="str">
            <v>Settled</v>
          </cell>
        </row>
        <row r="4903">
          <cell r="J4903" t="str">
            <v>CA-REMIT5-08/2024</v>
          </cell>
          <cell r="K4903" t="str">
            <v>Settled</v>
          </cell>
        </row>
        <row r="4904">
          <cell r="J4904" t="str">
            <v>CA-AD-REMIT5-09-2024</v>
          </cell>
          <cell r="K4904" t="str">
            <v>Settled</v>
          </cell>
        </row>
        <row r="4905">
          <cell r="J4905" t="str">
            <v>CA-REMIT5-10/2024</v>
          </cell>
          <cell r="K4905" t="str">
            <v>Settled</v>
          </cell>
        </row>
        <row r="4906">
          <cell r="J4906" t="str">
            <v>CA-REMIT5-11/2024</v>
          </cell>
          <cell r="K4906" t="str">
            <v>Settled</v>
          </cell>
        </row>
        <row r="4907">
          <cell r="J4907" t="str">
            <v>CA-REMIT5-12/2024</v>
          </cell>
          <cell r="K4907" t="str">
            <v>Settled</v>
          </cell>
        </row>
        <row r="4908">
          <cell r="J4908" t="str">
            <v>CA-REMIT5-01/2025</v>
          </cell>
          <cell r="K4908" t="str">
            <v>Settled</v>
          </cell>
        </row>
        <row r="4909">
          <cell r="J4909" t="str">
            <v>CA-REMIT5-02/2025</v>
          </cell>
          <cell r="K4909" t="str">
            <v>Settled</v>
          </cell>
        </row>
        <row r="4910">
          <cell r="J4910" t="str">
            <v>CA-REMIT5-03/2025</v>
          </cell>
          <cell r="K4910" t="str">
            <v>Settled</v>
          </cell>
        </row>
        <row r="4911">
          <cell r="J4911" t="str">
            <v>CA-REMIT5-04/2025</v>
          </cell>
          <cell r="K4911" t="str">
            <v>Settled</v>
          </cell>
        </row>
        <row r="4912">
          <cell r="J4912" t="str">
            <v>CA-REMIT5-05/2025</v>
          </cell>
          <cell r="K4912" t="str">
            <v>Settled</v>
          </cell>
        </row>
        <row r="4913">
          <cell r="J4913" t="str">
            <v>CA-REMIT5-06/2025</v>
          </cell>
          <cell r="K4913" t="str">
            <v>Settled</v>
          </cell>
        </row>
        <row r="4914">
          <cell r="J4914" t="str">
            <v>CA-REMIT5-07/2025</v>
          </cell>
          <cell r="K4914" t="str">
            <v>Settled</v>
          </cell>
        </row>
        <row r="4915">
          <cell r="J4915" t="str">
            <v>CA-REMIT5-08/2025</v>
          </cell>
          <cell r="K4915" t="str">
            <v>Settled</v>
          </cell>
        </row>
        <row r="4916">
          <cell r="J4916" t="str">
            <v>CA-REMIT5-09/2025</v>
          </cell>
          <cell r="K4916" t="str">
            <v>Settled</v>
          </cell>
        </row>
        <row r="4917">
          <cell r="J4917" t="str">
            <v>CA-CN-REMIT5-09/2025</v>
          </cell>
          <cell r="K4917" t="str">
            <v>Settled</v>
          </cell>
        </row>
        <row r="4918">
          <cell r="J4918" t="str">
            <v>CA-REMIT5-10/2025</v>
          </cell>
          <cell r="K4918" t="str">
            <v>Settled</v>
          </cell>
        </row>
        <row r="4919">
          <cell r="J4919" t="str">
            <v>CA-REMIT5-11/2025</v>
          </cell>
          <cell r="K4919" t="str">
            <v>Settled</v>
          </cell>
        </row>
        <row r="4920">
          <cell r="J4920" t="str">
            <v>CA-REMIT5-12/2025</v>
          </cell>
          <cell r="K4920" t="str">
            <v>Settled</v>
          </cell>
        </row>
        <row r="4921">
          <cell r="J4921" t="str">
            <v>CA-REMIT5-01/2026</v>
          </cell>
          <cell r="K4921" t="str">
            <v>Settled</v>
          </cell>
        </row>
        <row r="4922">
          <cell r="J4922" t="str">
            <v>CA-REMIT5-02/2026</v>
          </cell>
          <cell r="K4922" t="str">
            <v>Settled</v>
          </cell>
        </row>
        <row r="4923">
          <cell r="J4923" t="str">
            <v>CA-REMIT5-03/2026</v>
          </cell>
          <cell r="K4923" t="str">
            <v>Settled</v>
          </cell>
        </row>
        <row r="4924">
          <cell r="J4924" t="str">
            <v>CA-REMIT5-04/2026</v>
          </cell>
          <cell r="K4924" t="str">
            <v>Settled</v>
          </cell>
        </row>
        <row r="4925">
          <cell r="J4925" t="str">
            <v>CA-REMIT5-05/2026</v>
          </cell>
          <cell r="K4925" t="str">
            <v>Settled</v>
          </cell>
        </row>
        <row r="4926">
          <cell r="J4926" t="str">
            <v>CA -remitware payments canada inc-03/2022</v>
          </cell>
          <cell r="K4926" t="str">
            <v>Waived Off</v>
          </cell>
        </row>
        <row r="4927">
          <cell r="J4927" t="str">
            <v>CA -remitware payments canada inc-04/2022</v>
          </cell>
          <cell r="K4927" t="str">
            <v>Waived Off</v>
          </cell>
        </row>
        <row r="4928">
          <cell r="J4928" t="str">
            <v>CA -remitware payments canada inc-05/2022</v>
          </cell>
          <cell r="K4928" t="str">
            <v>Waived Off</v>
          </cell>
        </row>
        <row r="4929">
          <cell r="J4929" t="str">
            <v>CA -remitware payments canada inc-06/2022</v>
          </cell>
          <cell r="K4929" t="str">
            <v>Waived Off</v>
          </cell>
        </row>
        <row r="4930">
          <cell r="J4930" t="str">
            <v>CA-remitware payments-08/2022</v>
          </cell>
          <cell r="K4930" t="str">
            <v>Waived Off</v>
          </cell>
        </row>
        <row r="4931">
          <cell r="J4931" t="str">
            <v>CA-remitware payments-09/2022</v>
          </cell>
          <cell r="K4931" t="str">
            <v>Waived Off</v>
          </cell>
        </row>
        <row r="4932">
          <cell r="J4932" t="str">
            <v>CA-remitware payments-10/2022</v>
          </cell>
          <cell r="K4932" t="str">
            <v>Waived Off</v>
          </cell>
        </row>
        <row r="4933">
          <cell r="J4933" t="str">
            <v>CA-remitware payments canada inc-11/2022</v>
          </cell>
          <cell r="K4933" t="str">
            <v>Waived Off</v>
          </cell>
        </row>
        <row r="4934">
          <cell r="J4934" t="str">
            <v>CA-remitware payments canada inc-12/2022</v>
          </cell>
          <cell r="K4934" t="str">
            <v>Write Off</v>
          </cell>
        </row>
        <row r="4935">
          <cell r="J4935" t="str">
            <v>CA-remitware payments canada inc-01/2023</v>
          </cell>
          <cell r="K4935" t="str">
            <v>Write Off</v>
          </cell>
        </row>
        <row r="4936">
          <cell r="J4936" t="str">
            <v>CA-remitware-02/2023</v>
          </cell>
          <cell r="K4936" t="str">
            <v>Write Off</v>
          </cell>
        </row>
        <row r="4937">
          <cell r="J4937" t="str">
            <v>CA-remitware-03/2023</v>
          </cell>
          <cell r="K4937" t="str">
            <v>Write Off</v>
          </cell>
        </row>
        <row r="4938">
          <cell r="J4938" t="str">
            <v>CA-remitware-04/2023</v>
          </cell>
          <cell r="K4938" t="str">
            <v>Write Off</v>
          </cell>
        </row>
        <row r="4939">
          <cell r="J4939" t="str">
            <v>US -Remofirst, Inc.-04/2023</v>
          </cell>
          <cell r="K4939" t="str">
            <v>Settled</v>
          </cell>
        </row>
        <row r="4940">
          <cell r="J4940" t="str">
            <v>US-Remofirst, Inc.-06/2023</v>
          </cell>
          <cell r="K4940" t="str">
            <v>Settled</v>
          </cell>
        </row>
        <row r="4941">
          <cell r="J4941" t="str">
            <v>US-Remofirst, Inc.-07/2023</v>
          </cell>
          <cell r="K4941" t="str">
            <v>Settled</v>
          </cell>
        </row>
        <row r="4942">
          <cell r="J4942" t="str">
            <v>US-Remofirst, Inc.-10/2023</v>
          </cell>
          <cell r="K4942" t="str">
            <v>Settled</v>
          </cell>
        </row>
        <row r="4943">
          <cell r="J4943" t="str">
            <v>US-Remofirst, Inc.-11/2023</v>
          </cell>
          <cell r="K4943" t="str">
            <v>Settled</v>
          </cell>
        </row>
        <row r="4944">
          <cell r="J4944" t="str">
            <v>US-Remofirst, Inc.-12/2023</v>
          </cell>
          <cell r="K4944" t="str">
            <v>Settled</v>
          </cell>
        </row>
        <row r="4945">
          <cell r="J4945" t="str">
            <v>US-Remofirst, Inc.-09/2023</v>
          </cell>
          <cell r="K4945" t="str">
            <v>Waived Off</v>
          </cell>
        </row>
        <row r="4946">
          <cell r="J4946" t="str">
            <v>US-Remofirst, Inc.-08/2023</v>
          </cell>
          <cell r="K4946" t="str">
            <v>Waived Off</v>
          </cell>
        </row>
        <row r="4947">
          <cell r="J4947" t="str">
            <v>US -Remofirst, Inc.-CR-01/2024</v>
          </cell>
          <cell r="K4947" t="str">
            <v>Waived Off</v>
          </cell>
        </row>
        <row r="4948">
          <cell r="J4948" t="str">
            <v>US-Remofirst, Inc.-01/2024</v>
          </cell>
          <cell r="K4948" t="str">
            <v>Settled</v>
          </cell>
        </row>
        <row r="4949">
          <cell r="J4949" t="str">
            <v>US-Remofirst, Inc.-02/2024</v>
          </cell>
          <cell r="K4949" t="str">
            <v>Settled</v>
          </cell>
        </row>
        <row r="4950">
          <cell r="J4950" t="str">
            <v>US-Remofirst, Inc.-03/2024</v>
          </cell>
          <cell r="K4950" t="str">
            <v>Settled</v>
          </cell>
        </row>
        <row r="4951">
          <cell r="J4951" t="str">
            <v>US-Remofirst, Inc.-07/2024</v>
          </cell>
          <cell r="K4951" t="str">
            <v>Settled</v>
          </cell>
        </row>
        <row r="4952">
          <cell r="J4952" t="str">
            <v>US-Remofirst, Inc.-08/2024</v>
          </cell>
          <cell r="K4952" t="str">
            <v>Settled</v>
          </cell>
        </row>
        <row r="4953">
          <cell r="J4953" t="str">
            <v>US-Remofirst, Inc.-09/2024</v>
          </cell>
          <cell r="K4953" t="str">
            <v>Settled</v>
          </cell>
        </row>
        <row r="4954">
          <cell r="J4954" t="str">
            <v>US-Remofirst, Inc.-10/2024</v>
          </cell>
          <cell r="K4954" t="str">
            <v>Settled</v>
          </cell>
        </row>
        <row r="4955">
          <cell r="J4955" t="str">
            <v>US-Remofirst, Inc.-11/2024</v>
          </cell>
          <cell r="K4955" t="str">
            <v>Settled</v>
          </cell>
        </row>
        <row r="4956">
          <cell r="J4956" t="str">
            <v>US-Remofirst, Inc.-12/2024</v>
          </cell>
          <cell r="K4956" t="str">
            <v>Settled</v>
          </cell>
        </row>
        <row r="4957">
          <cell r="J4957" t="str">
            <v>US-Remofirst, Inc.-01/2025</v>
          </cell>
          <cell r="K4957" t="str">
            <v>Settled</v>
          </cell>
        </row>
        <row r="4958">
          <cell r="J4958" t="str">
            <v>US-Remofirst, Inc.-02/2025</v>
          </cell>
          <cell r="K4958" t="str">
            <v>Settled</v>
          </cell>
        </row>
        <row r="4959">
          <cell r="J4959" t="str">
            <v>US-Remofirst, Inc.-03/2025</v>
          </cell>
          <cell r="K4959" t="str">
            <v>Settled</v>
          </cell>
        </row>
        <row r="4960">
          <cell r="J4960" t="str">
            <v>US-Remofirst, Inc.-04/2025</v>
          </cell>
          <cell r="K4960" t="str">
            <v>Settled</v>
          </cell>
        </row>
        <row r="4961">
          <cell r="J4961" t="str">
            <v>US-Remofirst, Inc.-05/2025</v>
          </cell>
          <cell r="K4961" t="str">
            <v>Settled</v>
          </cell>
        </row>
        <row r="4962">
          <cell r="J4962" t="str">
            <v>US-Remofirst, Inc.-06/2025</v>
          </cell>
          <cell r="K4962" t="str">
            <v>Settled</v>
          </cell>
        </row>
        <row r="4963">
          <cell r="J4963" t="str">
            <v>US-Remofirst, Inc.-07/2025</v>
          </cell>
          <cell r="K4963" t="str">
            <v>Settled</v>
          </cell>
        </row>
        <row r="4964">
          <cell r="J4964" t="str">
            <v>US-Remofirst, Inc.-08/2025</v>
          </cell>
          <cell r="K4964" t="str">
            <v>Settled</v>
          </cell>
        </row>
        <row r="4965">
          <cell r="J4965" t="str">
            <v>US-Remofirst, Inc.-09/2025</v>
          </cell>
          <cell r="K4965" t="str">
            <v>Settled</v>
          </cell>
        </row>
        <row r="4966">
          <cell r="J4966" t="str">
            <v>US-Remofirst, Inc.-10/2025</v>
          </cell>
          <cell r="K4966" t="str">
            <v>Settled</v>
          </cell>
        </row>
        <row r="4967">
          <cell r="J4967" t="str">
            <v>US-Remofirst, Inc.-11/2025</v>
          </cell>
          <cell r="K4967" t="str">
            <v>Settled</v>
          </cell>
        </row>
        <row r="4968">
          <cell r="J4968" t="str">
            <v>US-Remofirst, Inc.-12/2025</v>
          </cell>
          <cell r="K4968" t="str">
            <v>Settled</v>
          </cell>
        </row>
        <row r="4969">
          <cell r="J4969" t="str">
            <v>US-Remofirst, Inc.-01/2026</v>
          </cell>
          <cell r="K4969" t="str">
            <v>Settled</v>
          </cell>
        </row>
        <row r="4970">
          <cell r="J4970" t="str">
            <v>US-Remofirst, Inc.-02/2026</v>
          </cell>
          <cell r="K4970" t="str">
            <v>Settled</v>
          </cell>
        </row>
        <row r="4971">
          <cell r="J4971" t="str">
            <v>US-Remofirst, Inc.-03/2026</v>
          </cell>
          <cell r="K4971" t="str">
            <v>Settled</v>
          </cell>
        </row>
        <row r="4972">
          <cell r="J4972" t="str">
            <v>US-Remofirst, Inc.-04/2026</v>
          </cell>
          <cell r="K4972" t="str">
            <v>Settled</v>
          </cell>
        </row>
        <row r="4973">
          <cell r="J4973" t="str">
            <v>US-Remofirst, Inc.-05/2026</v>
          </cell>
          <cell r="K4973" t="str">
            <v>Settled</v>
          </cell>
        </row>
        <row r="4974">
          <cell r="J4974" t="str">
            <v>SG-Rewire-11/2022</v>
          </cell>
          <cell r="K4974" t="str">
            <v>Settled</v>
          </cell>
        </row>
        <row r="4975">
          <cell r="J4975" t="str">
            <v>SG-Rewire-12/2022</v>
          </cell>
          <cell r="K4975" t="str">
            <v>Settled</v>
          </cell>
        </row>
        <row r="4976">
          <cell r="J4976" t="str">
            <v>SG-Rewire-01/2023</v>
          </cell>
          <cell r="K4976" t="str">
            <v>Settled</v>
          </cell>
        </row>
        <row r="4977">
          <cell r="J4977" t="str">
            <v>SG-Rewire-02/2023</v>
          </cell>
          <cell r="K4977" t="str">
            <v>Settled</v>
          </cell>
        </row>
        <row r="4978">
          <cell r="J4978" t="str">
            <v>SG-Rewire-03/2023</v>
          </cell>
          <cell r="K4978" t="str">
            <v>Settled</v>
          </cell>
        </row>
        <row r="4979">
          <cell r="J4979" t="str">
            <v>SG-Rewire-04/2023</v>
          </cell>
          <cell r="K4979" t="str">
            <v>Settled</v>
          </cell>
        </row>
        <row r="4980">
          <cell r="J4980" t="str">
            <v>SG-Rewire-05/2023</v>
          </cell>
          <cell r="K4980" t="str">
            <v>Settled</v>
          </cell>
        </row>
        <row r="4981">
          <cell r="J4981" t="str">
            <v>SG-Rewire-06/2023</v>
          </cell>
          <cell r="K4981" t="str">
            <v>Settled</v>
          </cell>
        </row>
        <row r="4982">
          <cell r="J4982" t="str">
            <v>SG-Rewire-07/2023</v>
          </cell>
          <cell r="K4982" t="str">
            <v>Settled</v>
          </cell>
        </row>
        <row r="4983">
          <cell r="J4983" t="str">
            <v>SG -Rewire-08/2023</v>
          </cell>
          <cell r="K4983" t="str">
            <v>Settled</v>
          </cell>
        </row>
        <row r="4984">
          <cell r="J4984" t="str">
            <v>SG-Rewire-09/2023</v>
          </cell>
          <cell r="K4984" t="str">
            <v>Settled</v>
          </cell>
        </row>
        <row r="4985">
          <cell r="J4985" t="str">
            <v>SG-Rewire-10/2023</v>
          </cell>
          <cell r="K4985" t="str">
            <v>Settled</v>
          </cell>
        </row>
        <row r="4986">
          <cell r="J4986" t="str">
            <v>SG-Rewire-11/2023</v>
          </cell>
          <cell r="K4986" t="str">
            <v>Settled</v>
          </cell>
        </row>
        <row r="4987">
          <cell r="J4987" t="str">
            <v>SG-Rewire-12/2023</v>
          </cell>
          <cell r="K4987" t="str">
            <v>Settled</v>
          </cell>
        </row>
        <row r="4988">
          <cell r="J4988" t="str">
            <v>SG-Rewire-01/2024</v>
          </cell>
          <cell r="K4988" t="str">
            <v>Settled</v>
          </cell>
        </row>
        <row r="4989">
          <cell r="J4989" t="str">
            <v>SG-Rewire-02/2024</v>
          </cell>
          <cell r="K4989" t="str">
            <v>Settled</v>
          </cell>
        </row>
        <row r="4990">
          <cell r="J4990" t="str">
            <v>SG-Rewire-03/2024</v>
          </cell>
          <cell r="K4990" t="str">
            <v>Settled</v>
          </cell>
        </row>
        <row r="4991">
          <cell r="J4991" t="str">
            <v>SG-Rewire-04/2024</v>
          </cell>
          <cell r="K4991" t="str">
            <v>Settled</v>
          </cell>
        </row>
        <row r="4992">
          <cell r="J4992" t="str">
            <v>SG-Rewire-05/2024</v>
          </cell>
          <cell r="K4992" t="str">
            <v>Settled</v>
          </cell>
        </row>
        <row r="4993">
          <cell r="J4993" t="str">
            <v>SG-Rewire-06/2024</v>
          </cell>
          <cell r="K4993" t="str">
            <v>Settled</v>
          </cell>
        </row>
        <row r="4994">
          <cell r="J4994" t="str">
            <v>SG-Rewire-07/2024</v>
          </cell>
          <cell r="K4994" t="str">
            <v>Settled</v>
          </cell>
        </row>
        <row r="4995">
          <cell r="J4995" t="str">
            <v>SG-Rewire-08/2024</v>
          </cell>
          <cell r="K4995" t="str">
            <v>Settled</v>
          </cell>
        </row>
        <row r="4996">
          <cell r="J4996" t="str">
            <v>SG-Rewire-09/2024</v>
          </cell>
          <cell r="K4996" t="str">
            <v>Settled</v>
          </cell>
        </row>
        <row r="4997">
          <cell r="J4997" t="str">
            <v>SG-Rewire-10/2024</v>
          </cell>
          <cell r="K4997" t="str">
            <v>Settled</v>
          </cell>
        </row>
        <row r="4998">
          <cell r="J4998" t="str">
            <v>SG-Rewire-11/2024</v>
          </cell>
          <cell r="K4998" t="str">
            <v>Settled</v>
          </cell>
        </row>
        <row r="4999">
          <cell r="J4999" t="str">
            <v>SG-Rewire-12/2024</v>
          </cell>
          <cell r="K4999" t="str">
            <v>Settled</v>
          </cell>
        </row>
        <row r="5000">
          <cell r="J5000" t="str">
            <v>SG-Rewire-01/2025</v>
          </cell>
          <cell r="K5000" t="str">
            <v>Settled</v>
          </cell>
        </row>
        <row r="5001">
          <cell r="J5001" t="str">
            <v>SG-Rewire-02/2025</v>
          </cell>
          <cell r="K5001" t="str">
            <v>Settled</v>
          </cell>
        </row>
        <row r="5002">
          <cell r="J5002" t="str">
            <v>SG-Rewire-03/2025</v>
          </cell>
          <cell r="K5002" t="str">
            <v>Settled</v>
          </cell>
        </row>
        <row r="5003">
          <cell r="J5003" t="str">
            <v>SG-Ripple-09/2023</v>
          </cell>
          <cell r="K5003" t="str">
            <v>Settled</v>
          </cell>
        </row>
        <row r="5004">
          <cell r="J5004" t="str">
            <v>SG-RippleFXLoss-09/2023</v>
          </cell>
          <cell r="K5004" t="str">
            <v>Settled</v>
          </cell>
        </row>
        <row r="5005">
          <cell r="J5005" t="str">
            <v>SG-Ripple-10/2023</v>
          </cell>
          <cell r="K5005" t="str">
            <v>Settled</v>
          </cell>
        </row>
        <row r="5006">
          <cell r="J5006" t="str">
            <v>SG-Ripple-11/2023</v>
          </cell>
          <cell r="K5006" t="str">
            <v>Settled</v>
          </cell>
        </row>
        <row r="5007">
          <cell r="J5007" t="str">
            <v>SG-Ripple-02/2024</v>
          </cell>
          <cell r="K5007" t="str">
            <v>Settled</v>
          </cell>
        </row>
        <row r="5008">
          <cell r="J5008" t="str">
            <v>SG-Ripple-02-2024</v>
          </cell>
          <cell r="K5008" t="str">
            <v>Settled</v>
          </cell>
        </row>
        <row r="5009">
          <cell r="J5009" t="str">
            <v>SG-AD-Ripple-06-2024</v>
          </cell>
          <cell r="K5009" t="str">
            <v>Settled</v>
          </cell>
        </row>
        <row r="5010">
          <cell r="J5010" t="str">
            <v>SG-AD-Ripple-07-2024</v>
          </cell>
          <cell r="K5010" t="str">
            <v>Settled</v>
          </cell>
        </row>
        <row r="5011">
          <cell r="J5011" t="str">
            <v>SG-AD-Ripple-09-2024</v>
          </cell>
          <cell r="K5011" t="str">
            <v>Settled</v>
          </cell>
        </row>
        <row r="5012">
          <cell r="J5012" t="str">
            <v>SG-AD-Ripple-08-2024</v>
          </cell>
          <cell r="K5012" t="str">
            <v>Settled</v>
          </cell>
        </row>
        <row r="5013">
          <cell r="J5013" t="str">
            <v>SG-AD-Ripple-10-2024</v>
          </cell>
          <cell r="K5013" t="str">
            <v>Settled</v>
          </cell>
        </row>
        <row r="5014">
          <cell r="J5014" t="str">
            <v>SG-DN-Ripple-12-2024</v>
          </cell>
          <cell r="K5014" t="str">
            <v>Settled</v>
          </cell>
        </row>
        <row r="5015">
          <cell r="J5015" t="str">
            <v>SG-AD-Ripple-01-2025</v>
          </cell>
          <cell r="K5015" t="str">
            <v>Settled</v>
          </cell>
        </row>
        <row r="5016">
          <cell r="J5016" t="str">
            <v>SG-AD-Ripple-03-2025</v>
          </cell>
          <cell r="K5016" t="str">
            <v>Net Off</v>
          </cell>
        </row>
        <row r="5017">
          <cell r="J5017" t="str">
            <v>SG-AD-Ripple-05-2025</v>
          </cell>
          <cell r="K5017" t="str">
            <v>Net Off</v>
          </cell>
        </row>
        <row r="5018">
          <cell r="J5018" t="str">
            <v>SG-CN-Ripple-03-2025</v>
          </cell>
          <cell r="K5018" t="str">
            <v>Net Off</v>
          </cell>
        </row>
        <row r="5019">
          <cell r="J5019" t="str">
            <v>SG-AD-Ripple-06-2025</v>
          </cell>
          <cell r="K5019" t="str">
            <v>Settled</v>
          </cell>
        </row>
        <row r="5020">
          <cell r="J5020" t="str">
            <v>SG-CN-Ripple-05-2025</v>
          </cell>
          <cell r="K5020" t="str">
            <v>Net Off</v>
          </cell>
        </row>
        <row r="5021">
          <cell r="J5021" t="str">
            <v>SG-AD-Ripple-08-2025</v>
          </cell>
          <cell r="K5021" t="str">
            <v>Settled</v>
          </cell>
        </row>
        <row r="5022">
          <cell r="J5022" t="str">
            <v>SG-AD-Ripple-08-2025</v>
          </cell>
          <cell r="K5022" t="str">
            <v>Settled</v>
          </cell>
        </row>
        <row r="5023">
          <cell r="J5023" t="str">
            <v xml:space="preserve">SG-AD-Ripple-08-2025-1
</v>
          </cell>
          <cell r="K5023" t="str">
            <v>Settled</v>
          </cell>
        </row>
        <row r="5024">
          <cell r="J5024" t="str">
            <v>US-Rippling Payments Inc-11/2022</v>
          </cell>
          <cell r="K5024" t="str">
            <v>Settled</v>
          </cell>
        </row>
        <row r="5025">
          <cell r="J5025" t="str">
            <v>US-Rippling Payments Inc-01/2023</v>
          </cell>
          <cell r="K5025" t="str">
            <v>Settled</v>
          </cell>
        </row>
        <row r="5026">
          <cell r="J5026" t="str">
            <v>US-Rippling Payments Inc-12/2022</v>
          </cell>
          <cell r="K5026" t="str">
            <v>Settled</v>
          </cell>
        </row>
        <row r="5027">
          <cell r="J5027" t="str">
            <v>US-Rippling-02/2023</v>
          </cell>
          <cell r="K5027" t="str">
            <v>Settled</v>
          </cell>
        </row>
        <row r="5028">
          <cell r="J5028" t="str">
            <v>US-Rippling-03/2023</v>
          </cell>
          <cell r="K5028" t="str">
            <v>Settled</v>
          </cell>
        </row>
        <row r="5029">
          <cell r="J5029" t="str">
            <v>US-Rippling-03/2023</v>
          </cell>
          <cell r="K5029" t="str">
            <v>Settled</v>
          </cell>
        </row>
        <row r="5030">
          <cell r="J5030" t="str">
            <v>US-Rippling-04/2023</v>
          </cell>
          <cell r="K5030" t="str">
            <v>Settled</v>
          </cell>
        </row>
        <row r="5031">
          <cell r="J5031" t="str">
            <v>US-Rippling-05/2023</v>
          </cell>
          <cell r="K5031" t="str">
            <v>Settled</v>
          </cell>
        </row>
        <row r="5032">
          <cell r="J5032" t="str">
            <v>US-Rippling-06/2023</v>
          </cell>
          <cell r="K5032" t="str">
            <v>Settled</v>
          </cell>
        </row>
        <row r="5033">
          <cell r="J5033" t="str">
            <v>US-Rippling-07/2023</v>
          </cell>
          <cell r="K5033" t="str">
            <v>Settled</v>
          </cell>
        </row>
        <row r="5034">
          <cell r="J5034" t="str">
            <v>US -Rippling-08/2023</v>
          </cell>
          <cell r="K5034" t="str">
            <v>Settled</v>
          </cell>
        </row>
        <row r="5035">
          <cell r="J5035" t="str">
            <v>US-Rippling-09/2023</v>
          </cell>
          <cell r="K5035" t="str">
            <v>Settled</v>
          </cell>
        </row>
        <row r="5036">
          <cell r="J5036" t="str">
            <v>US-Rippling-10/2023</v>
          </cell>
          <cell r="K5036" t="str">
            <v>Settled</v>
          </cell>
        </row>
        <row r="5037">
          <cell r="J5037" t="str">
            <v>US-Rippling-11/2023</v>
          </cell>
          <cell r="K5037" t="str">
            <v>Settled</v>
          </cell>
        </row>
        <row r="5038">
          <cell r="J5038" t="str">
            <v>US-Rippling-12/2023</v>
          </cell>
          <cell r="K5038" t="str">
            <v>Settled</v>
          </cell>
        </row>
        <row r="5039">
          <cell r="J5039" t="str">
            <v>US-Rippling-01/2024</v>
          </cell>
          <cell r="K5039" t="str">
            <v>Settled</v>
          </cell>
        </row>
        <row r="5040">
          <cell r="J5040" t="str">
            <v>US-Rippling-02/2024</v>
          </cell>
          <cell r="K5040" t="str">
            <v>Settled</v>
          </cell>
        </row>
        <row r="5041">
          <cell r="J5041" t="str">
            <v>US-Rippling-03/2024</v>
          </cell>
          <cell r="K5041" t="str">
            <v>Settled</v>
          </cell>
        </row>
        <row r="5042">
          <cell r="J5042" t="str">
            <v>US-Rippling-04/2024</v>
          </cell>
          <cell r="K5042" t="str">
            <v>Settled</v>
          </cell>
        </row>
        <row r="5043">
          <cell r="J5043" t="str">
            <v>US-Rippling-05/2024</v>
          </cell>
          <cell r="K5043" t="str">
            <v>Settled</v>
          </cell>
        </row>
        <row r="5044">
          <cell r="J5044" t="str">
            <v>US-Rippling-06/2024</v>
          </cell>
          <cell r="K5044" t="str">
            <v>Settled</v>
          </cell>
        </row>
        <row r="5045">
          <cell r="J5045" t="str">
            <v>US-CN-Rippling-06-2024</v>
          </cell>
          <cell r="K5045" t="str">
            <v>Settled</v>
          </cell>
        </row>
        <row r="5046">
          <cell r="J5046" t="str">
            <v>US-Rippling-07/2024</v>
          </cell>
          <cell r="K5046" t="str">
            <v>Settled</v>
          </cell>
        </row>
        <row r="5047">
          <cell r="J5047" t="str">
            <v>US-Rippling-08/2024</v>
          </cell>
          <cell r="K5047" t="str">
            <v>Settled</v>
          </cell>
        </row>
        <row r="5048">
          <cell r="J5048" t="str">
            <v>US-Rippling-09/2024</v>
          </cell>
          <cell r="K5048" t="str">
            <v>Settled</v>
          </cell>
        </row>
        <row r="5049">
          <cell r="J5049" t="str">
            <v>US-Rippling-10/2024</v>
          </cell>
          <cell r="K5049" t="str">
            <v>Settled</v>
          </cell>
        </row>
        <row r="5050">
          <cell r="J5050" t="str">
            <v>US-Rippling-11/2024</v>
          </cell>
          <cell r="K5050" t="str">
            <v>Settled</v>
          </cell>
        </row>
        <row r="5051">
          <cell r="J5051" t="str">
            <v>US-Rippling-12/2024</v>
          </cell>
          <cell r="K5051" t="str">
            <v>Settled</v>
          </cell>
        </row>
        <row r="5052">
          <cell r="J5052" t="str">
            <v>US-Rippling-01/2025</v>
          </cell>
          <cell r="K5052" t="str">
            <v>Settled</v>
          </cell>
        </row>
        <row r="5053">
          <cell r="J5053" t="str">
            <v>US-Rippling-02/2025</v>
          </cell>
          <cell r="K5053" t="str">
            <v>Settled</v>
          </cell>
        </row>
        <row r="5054">
          <cell r="J5054" t="str">
            <v>US-Rippling-03/2025</v>
          </cell>
          <cell r="K5054" t="str">
            <v>Settled</v>
          </cell>
        </row>
        <row r="5055">
          <cell r="J5055" t="str">
            <v>US-Rippling-04/2025</v>
          </cell>
          <cell r="K5055" t="str">
            <v>Settled</v>
          </cell>
        </row>
        <row r="5056">
          <cell r="J5056" t="str">
            <v>US-Rippling-05/2025</v>
          </cell>
          <cell r="K5056" t="str">
            <v>Settled</v>
          </cell>
        </row>
        <row r="5057">
          <cell r="J5057" t="str">
            <v>US-Rippling-06/2025</v>
          </cell>
          <cell r="K5057" t="str">
            <v>Settled</v>
          </cell>
        </row>
        <row r="5058">
          <cell r="J5058" t="str">
            <v>US-Rippling-07/2025</v>
          </cell>
          <cell r="K5058" t="str">
            <v>Settled</v>
          </cell>
        </row>
        <row r="5059">
          <cell r="J5059" t="str">
            <v>US-Rippling-08/2025</v>
          </cell>
          <cell r="K5059" t="str">
            <v>Settled</v>
          </cell>
        </row>
        <row r="5060">
          <cell r="J5060" t="str">
            <v>US-Rippling-09/2025</v>
          </cell>
          <cell r="K5060" t="str">
            <v>Settled</v>
          </cell>
        </row>
        <row r="5061">
          <cell r="J5061" t="str">
            <v>US-Rippling-10/2025</v>
          </cell>
          <cell r="K5061" t="str">
            <v>Settled</v>
          </cell>
        </row>
        <row r="5062">
          <cell r="J5062" t="str">
            <v>US-Rippling-11/2025</v>
          </cell>
          <cell r="K5062" t="str">
            <v>Settled</v>
          </cell>
        </row>
        <row r="5063">
          <cell r="J5063" t="str">
            <v>US-Rippling-12/2025</v>
          </cell>
          <cell r="K5063" t="str">
            <v>Settled</v>
          </cell>
        </row>
        <row r="5064">
          <cell r="J5064" t="str">
            <v>US-Rippling-01/2026</v>
          </cell>
          <cell r="K5064" t="str">
            <v>Settled</v>
          </cell>
        </row>
        <row r="5065">
          <cell r="J5065" t="str">
            <v>US-Rippling-02/2026</v>
          </cell>
          <cell r="K5065" t="str">
            <v>Settled</v>
          </cell>
        </row>
        <row r="5066">
          <cell r="J5066" t="str">
            <v>US-Rippling-03/2026</v>
          </cell>
          <cell r="K5066" t="str">
            <v>Settled</v>
          </cell>
        </row>
        <row r="5067">
          <cell r="J5067" t="str">
            <v>US-Rippling-04/2026</v>
          </cell>
          <cell r="K5067" t="str">
            <v>Settled</v>
          </cell>
        </row>
        <row r="5068">
          <cell r="J5068" t="str">
            <v>US-Rippling-05/2026</v>
          </cell>
          <cell r="K5068" t="str">
            <v>Settled</v>
          </cell>
        </row>
        <row r="5069">
          <cell r="J5069" t="str">
            <v>SG-Rippling-FI-SG-05/2024</v>
          </cell>
          <cell r="K5069" t="str">
            <v>Settled</v>
          </cell>
        </row>
        <row r="5070">
          <cell r="J5070" t="str">
            <v>SG-Rippling-FI-SG-06/2024</v>
          </cell>
          <cell r="K5070" t="str">
            <v>Settled</v>
          </cell>
        </row>
        <row r="5071">
          <cell r="J5071" t="str">
            <v>SG-Rippling-FI-SG-07/2024</v>
          </cell>
          <cell r="K5071" t="str">
            <v>Settled</v>
          </cell>
        </row>
        <row r="5072">
          <cell r="J5072" t="str">
            <v>SG-Rippling-FI-SG-08/2024</v>
          </cell>
          <cell r="K5072" t="str">
            <v>Settled</v>
          </cell>
        </row>
        <row r="5073">
          <cell r="J5073" t="str">
            <v>SG-Rippling-FI-SG-09/2024</v>
          </cell>
          <cell r="K5073" t="str">
            <v>Settled</v>
          </cell>
        </row>
        <row r="5074">
          <cell r="J5074" t="str">
            <v>SG-Rippling-FI-SG-10/2024</v>
          </cell>
          <cell r="K5074" t="str">
            <v>Settled</v>
          </cell>
        </row>
        <row r="5075">
          <cell r="J5075" t="str">
            <v>SG-Rippling-FI-SG-11/2024</v>
          </cell>
          <cell r="K5075" t="str">
            <v>Settled</v>
          </cell>
        </row>
        <row r="5076">
          <cell r="J5076" t="str">
            <v>SG-Rippling-FI-SG-12/2024</v>
          </cell>
          <cell r="K5076" t="str">
            <v>Settled</v>
          </cell>
        </row>
        <row r="5077">
          <cell r="J5077" t="str">
            <v>SG-Rippling-FI-SG-01/2025</v>
          </cell>
          <cell r="K5077" t="str">
            <v>Settled</v>
          </cell>
        </row>
        <row r="5078">
          <cell r="J5078" t="str">
            <v>SG-Rippling-FI-SG-02/2025</v>
          </cell>
          <cell r="K5078" t="str">
            <v>Settled</v>
          </cell>
        </row>
        <row r="5079">
          <cell r="J5079" t="str">
            <v>SG-Rippling-FI-SG-03/2025</v>
          </cell>
          <cell r="K5079" t="str">
            <v>Settled</v>
          </cell>
        </row>
        <row r="5080">
          <cell r="J5080" t="str">
            <v>SG-Rippling-FI-SG-04/2025</v>
          </cell>
          <cell r="K5080" t="str">
            <v>Settled</v>
          </cell>
        </row>
        <row r="5081">
          <cell r="J5081" t="str">
            <v>SG-Rippling-FI-SG-05/2025</v>
          </cell>
          <cell r="K5081" t="str">
            <v>Settled</v>
          </cell>
        </row>
        <row r="5082">
          <cell r="J5082" t="str">
            <v>SG-Rippling-FI-SG-06/2025</v>
          </cell>
          <cell r="K5082" t="str">
            <v>Settled</v>
          </cell>
        </row>
        <row r="5083">
          <cell r="J5083" t="str">
            <v>SG-Rippling-FI-SG-07/2025</v>
          </cell>
          <cell r="K5083" t="str">
            <v>Settled</v>
          </cell>
        </row>
        <row r="5084">
          <cell r="J5084" t="str">
            <v>SG-Rippling-FI-SG-08/2025</v>
          </cell>
          <cell r="K5084" t="str">
            <v>Settled</v>
          </cell>
        </row>
        <row r="5085">
          <cell r="J5085" t="str">
            <v>SG-Rippling-FI-SG-09/2025</v>
          </cell>
          <cell r="K5085" t="str">
            <v>Settled</v>
          </cell>
        </row>
        <row r="5086">
          <cell r="J5086" t="str">
            <v>SG-Rippling-FI-SG-10/2025</v>
          </cell>
          <cell r="K5086" t="str">
            <v>Settled</v>
          </cell>
        </row>
        <row r="5087">
          <cell r="J5087" t="str">
            <v>SG-Rippling-FI-SG-11/2025</v>
          </cell>
          <cell r="K5087" t="str">
            <v>Settled</v>
          </cell>
        </row>
        <row r="5088">
          <cell r="J5088" t="str">
            <v>SG-Rippling-FI-SG-12/2025</v>
          </cell>
          <cell r="K5088" t="str">
            <v>Settled</v>
          </cell>
        </row>
        <row r="5089">
          <cell r="J5089" t="str">
            <v>SG-Rippling-FI-SG-01/2026</v>
          </cell>
          <cell r="K5089" t="str">
            <v>Settled</v>
          </cell>
        </row>
        <row r="5090">
          <cell r="J5090" t="str">
            <v>SG-Rippling-FI-SG-02/2026</v>
          </cell>
          <cell r="K5090" t="str">
            <v>Settled</v>
          </cell>
        </row>
        <row r="5091">
          <cell r="J5091" t="str">
            <v>SG-Rippling-FI-SG-03/2026</v>
          </cell>
          <cell r="K5091" t="str">
            <v>Settled</v>
          </cell>
        </row>
        <row r="5092">
          <cell r="J5092" t="str">
            <v>SG-Rippling-FI-SG-04/2026</v>
          </cell>
          <cell r="K5092" t="str">
            <v>Settled</v>
          </cell>
        </row>
        <row r="5093">
          <cell r="J5093" t="str">
            <v>SG-Rippling-FI-SG-05/2026</v>
          </cell>
          <cell r="K5093" t="str">
            <v>Settled</v>
          </cell>
        </row>
        <row r="5094">
          <cell r="J5094" t="str">
            <v>SG-Rippling-FI-SG-03/2024</v>
          </cell>
          <cell r="K5094" t="str">
            <v>Settled</v>
          </cell>
        </row>
        <row r="5095">
          <cell r="J5095" t="str">
            <v>US-Rippling-FI-12/2023</v>
          </cell>
          <cell r="K5095" t="str">
            <v>Settled</v>
          </cell>
        </row>
        <row r="5096">
          <cell r="J5096" t="str">
            <v>US-Rippling-FI-02/2024</v>
          </cell>
          <cell r="K5096" t="str">
            <v>Settled</v>
          </cell>
        </row>
        <row r="5097">
          <cell r="J5097" t="str">
            <v>US-Rippling-FI-03/2024</v>
          </cell>
          <cell r="K5097" t="str">
            <v>Settled</v>
          </cell>
        </row>
        <row r="5098">
          <cell r="J5098" t="str">
            <v>US-Rippling-FI-04/2024</v>
          </cell>
          <cell r="K5098" t="str">
            <v>Settled</v>
          </cell>
        </row>
        <row r="5099">
          <cell r="J5099" t="str">
            <v>US-Rippling-FI-05/2024</v>
          </cell>
          <cell r="K5099" t="str">
            <v>Settled</v>
          </cell>
        </row>
        <row r="5100">
          <cell r="J5100" t="str">
            <v>US-Rippling-FI US-06/2024</v>
          </cell>
          <cell r="K5100" t="str">
            <v>Settled</v>
          </cell>
        </row>
        <row r="5101">
          <cell r="J5101" t="str">
            <v>US-Rippling-FI US-07/2024</v>
          </cell>
          <cell r="K5101" t="str">
            <v>Settled</v>
          </cell>
        </row>
        <row r="5102">
          <cell r="J5102" t="str">
            <v>US-Rippling-FI US-08/2024</v>
          </cell>
          <cell r="K5102" t="str">
            <v>Settled</v>
          </cell>
        </row>
        <row r="5103">
          <cell r="J5103" t="str">
            <v>US-Rippling-FI US-09/2024</v>
          </cell>
          <cell r="K5103" t="str">
            <v>Settled</v>
          </cell>
        </row>
        <row r="5104">
          <cell r="J5104" t="str">
            <v>US-Rippling-FI US-10/2024</v>
          </cell>
          <cell r="K5104" t="str">
            <v>Settled</v>
          </cell>
        </row>
        <row r="5105">
          <cell r="J5105" t="str">
            <v>US-Rippling-FI US-11/2024</v>
          </cell>
          <cell r="K5105" t="str">
            <v>Settled</v>
          </cell>
        </row>
        <row r="5106">
          <cell r="J5106" t="str">
            <v>US-Rippling-FI US-12/2024</v>
          </cell>
          <cell r="K5106" t="str">
            <v>Settled</v>
          </cell>
        </row>
        <row r="5107">
          <cell r="J5107" t="str">
            <v>US-Rippling-FI US-01/2025</v>
          </cell>
          <cell r="K5107" t="str">
            <v>Settled</v>
          </cell>
        </row>
        <row r="5108">
          <cell r="J5108" t="str">
            <v>US-Rippling-FI US-02/2025</v>
          </cell>
          <cell r="K5108" t="str">
            <v>Settled</v>
          </cell>
        </row>
        <row r="5109">
          <cell r="J5109" t="str">
            <v>US-Rippling-FI US-03/2025</v>
          </cell>
          <cell r="K5109" t="str">
            <v>Settled</v>
          </cell>
        </row>
        <row r="5110">
          <cell r="J5110" t="str">
            <v>US-Rippling-FI US-04/2025</v>
          </cell>
          <cell r="K5110" t="str">
            <v>Settled</v>
          </cell>
        </row>
        <row r="5111">
          <cell r="J5111" t="str">
            <v>US-Rippling-FI US-05/2025</v>
          </cell>
          <cell r="K5111" t="str">
            <v>Settled</v>
          </cell>
        </row>
        <row r="5112">
          <cell r="J5112" t="str">
            <v>US-Rippling-FI US-06/2025</v>
          </cell>
          <cell r="K5112" t="str">
            <v>Settled</v>
          </cell>
        </row>
        <row r="5113">
          <cell r="J5113" t="str">
            <v>US-Rippling-FI US-07/2025</v>
          </cell>
          <cell r="K5113" t="str">
            <v>Settled</v>
          </cell>
        </row>
        <row r="5114">
          <cell r="J5114" t="str">
            <v>US-Rippling-FI US-08/2025</v>
          </cell>
          <cell r="K5114" t="str">
            <v>Settled</v>
          </cell>
        </row>
        <row r="5115">
          <cell r="J5115" t="str">
            <v>US-Rippling-FI US-09/2025</v>
          </cell>
          <cell r="K5115" t="str">
            <v>Settled</v>
          </cell>
        </row>
        <row r="5116">
          <cell r="J5116" t="str">
            <v>US-Rippling-FI US-10/2025</v>
          </cell>
          <cell r="K5116" t="str">
            <v>Settled</v>
          </cell>
        </row>
        <row r="5117">
          <cell r="J5117" t="str">
            <v>US-Rippling-FI US-11/2025</v>
          </cell>
          <cell r="K5117" t="str">
            <v>Settled</v>
          </cell>
        </row>
        <row r="5118">
          <cell r="J5118" t="str">
            <v>US-Rippling-FI US-12/2025</v>
          </cell>
          <cell r="K5118" t="str">
            <v>Settled</v>
          </cell>
        </row>
        <row r="5119">
          <cell r="J5119" t="str">
            <v>US-Rippling-FI US-01/2026</v>
          </cell>
          <cell r="K5119" t="str">
            <v>Settled</v>
          </cell>
        </row>
        <row r="5120">
          <cell r="J5120" t="str">
            <v>US-Rippling-FI US-02/2026</v>
          </cell>
          <cell r="K5120" t="str">
            <v>Settled</v>
          </cell>
        </row>
        <row r="5121">
          <cell r="J5121" t="str">
            <v>US-Rippling-FI US-03/2026</v>
          </cell>
          <cell r="K5121" t="str">
            <v>Settled</v>
          </cell>
        </row>
        <row r="5122">
          <cell r="J5122" t="str">
            <v>US-Rippling-FI US-04/2026</v>
          </cell>
          <cell r="K5122" t="str">
            <v>Settled</v>
          </cell>
        </row>
        <row r="5123">
          <cell r="J5123" t="str">
            <v>US-Rippling-FI US-05/2026</v>
          </cell>
          <cell r="K5123" t="str">
            <v>Settled</v>
          </cell>
        </row>
        <row r="5124">
          <cell r="J5124" t="str">
            <v>SG -ROXE INC-11/2022</v>
          </cell>
          <cell r="K5124" t="str">
            <v>Settled</v>
          </cell>
        </row>
        <row r="5125">
          <cell r="J5125" t="str">
            <v>SG-ROXE INC-12/2022</v>
          </cell>
          <cell r="K5125" t="str">
            <v>Settled</v>
          </cell>
        </row>
        <row r="5126">
          <cell r="J5126" t="str">
            <v>SG-ROXE INC-01/2023</v>
          </cell>
          <cell r="K5126" t="str">
            <v>Settled</v>
          </cell>
        </row>
        <row r="5127">
          <cell r="J5127" t="str">
            <v>SG-ROXE INC-02/2023</v>
          </cell>
          <cell r="K5127" t="str">
            <v>Settled</v>
          </cell>
        </row>
        <row r="5128">
          <cell r="J5128" t="str">
            <v>SG-ROXE INC-03/2023</v>
          </cell>
          <cell r="K5128" t="str">
            <v>Settled</v>
          </cell>
        </row>
        <row r="5129">
          <cell r="J5129" t="str">
            <v>SG-ROXE INC-04/2023</v>
          </cell>
          <cell r="K5129" t="str">
            <v>Settled</v>
          </cell>
        </row>
        <row r="5130">
          <cell r="J5130" t="str">
            <v>SG-ROXE INC-05/2023</v>
          </cell>
          <cell r="K5130" t="str">
            <v>Settled</v>
          </cell>
        </row>
        <row r="5131">
          <cell r="J5131" t="str">
            <v>SG-ROXE INC-06/2023</v>
          </cell>
          <cell r="K5131" t="str">
            <v>Settled</v>
          </cell>
        </row>
        <row r="5132">
          <cell r="J5132" t="str">
            <v>SG-ROXE INC-07/2023</v>
          </cell>
          <cell r="K5132" t="str">
            <v>Settled</v>
          </cell>
        </row>
        <row r="5133">
          <cell r="J5133" t="str">
            <v>SG -ROXE INC-08/2023</v>
          </cell>
          <cell r="K5133" t="str">
            <v>Settled</v>
          </cell>
        </row>
        <row r="5134">
          <cell r="J5134" t="str">
            <v>SG-ROXE INC-09/2023</v>
          </cell>
          <cell r="K5134" t="str">
            <v>Waived Off</v>
          </cell>
        </row>
        <row r="5135">
          <cell r="J5135" t="str">
            <v>SG-Ruul Ou-11/22</v>
          </cell>
          <cell r="K5135" t="str">
            <v>Settled</v>
          </cell>
        </row>
        <row r="5136">
          <cell r="J5136" t="str">
            <v>SG-Ruul Ou-12/22</v>
          </cell>
          <cell r="K5136" t="str">
            <v>Settled</v>
          </cell>
        </row>
        <row r="5137">
          <cell r="J5137" t="str">
            <v>SG-Ruul Ou-01/2023</v>
          </cell>
          <cell r="K5137" t="str">
            <v>Settled</v>
          </cell>
        </row>
        <row r="5138">
          <cell r="J5138" t="str">
            <v>SG-Ruul Ou-02/2023</v>
          </cell>
          <cell r="K5138" t="str">
            <v>Settled</v>
          </cell>
        </row>
        <row r="5139">
          <cell r="J5139" t="str">
            <v>SG-Ruul Ou-03/2023</v>
          </cell>
          <cell r="K5139" t="str">
            <v>Settled</v>
          </cell>
        </row>
        <row r="5140">
          <cell r="J5140" t="str">
            <v>SG-Ruul Ou-04/2023</v>
          </cell>
          <cell r="K5140" t="str">
            <v>Settled</v>
          </cell>
        </row>
        <row r="5141">
          <cell r="J5141" t="str">
            <v>SG-Ruul Ou-05/2023</v>
          </cell>
          <cell r="K5141" t="str">
            <v>Settled</v>
          </cell>
        </row>
        <row r="5142">
          <cell r="J5142" t="str">
            <v>SG-Ruul Ou-06/2023</v>
          </cell>
          <cell r="K5142" t="str">
            <v>Settled</v>
          </cell>
        </row>
        <row r="5143">
          <cell r="J5143" t="str">
            <v>SG-Ruul Ou-07/2023</v>
          </cell>
          <cell r="K5143" t="str">
            <v>Settled</v>
          </cell>
        </row>
        <row r="5144">
          <cell r="J5144" t="str">
            <v>SG -Ruul Ou-08/2023</v>
          </cell>
          <cell r="K5144" t="str">
            <v>Settled</v>
          </cell>
        </row>
        <row r="5145">
          <cell r="J5145" t="str">
            <v>SG-Ruul Ou-09/2023</v>
          </cell>
          <cell r="K5145" t="str">
            <v>Settled</v>
          </cell>
        </row>
        <row r="5146">
          <cell r="J5146" t="str">
            <v>SG-Ruul Ou-10/2023</v>
          </cell>
          <cell r="K5146" t="str">
            <v>Settled</v>
          </cell>
        </row>
        <row r="5147">
          <cell r="J5147" t="str">
            <v>SG-Ruul Ou-11/2023</v>
          </cell>
          <cell r="K5147" t="str">
            <v>Settled</v>
          </cell>
        </row>
        <row r="5148">
          <cell r="J5148" t="str">
            <v>SG -Ruul Ou-CR-09/2023</v>
          </cell>
          <cell r="K5148" t="str">
            <v>Settled</v>
          </cell>
        </row>
        <row r="5149">
          <cell r="J5149" t="str">
            <v>SG -Ruul Ou-CR-11/2023</v>
          </cell>
          <cell r="K5149" t="str">
            <v>Settled</v>
          </cell>
        </row>
        <row r="5150">
          <cell r="J5150" t="str">
            <v>SG-Ruul Ou-12/2023</v>
          </cell>
          <cell r="K5150" t="str">
            <v>Settled</v>
          </cell>
        </row>
        <row r="5151">
          <cell r="J5151" t="str">
            <v>SG-Ruul Ou-01/2024</v>
          </cell>
          <cell r="K5151" t="str">
            <v>Settled</v>
          </cell>
        </row>
        <row r="5152">
          <cell r="J5152" t="str">
            <v>SG-Ruul Ou-02/2024</v>
          </cell>
          <cell r="K5152" t="str">
            <v>Settled</v>
          </cell>
        </row>
        <row r="5153">
          <cell r="J5153" t="str">
            <v>SG-Ruul Ou-03/2024</v>
          </cell>
          <cell r="K5153" t="str">
            <v>Settled</v>
          </cell>
        </row>
        <row r="5154">
          <cell r="J5154" t="str">
            <v>SG-Ruul Ou-04/2024</v>
          </cell>
          <cell r="K5154" t="str">
            <v>Settled</v>
          </cell>
        </row>
        <row r="5155">
          <cell r="J5155" t="str">
            <v>SG-Ruul Ou-05/2024</v>
          </cell>
          <cell r="K5155" t="str">
            <v>Settled</v>
          </cell>
        </row>
        <row r="5156">
          <cell r="J5156" t="str">
            <v>SG-Ruul Ou-06/2024</v>
          </cell>
          <cell r="K5156" t="str">
            <v>Settled</v>
          </cell>
        </row>
        <row r="5157">
          <cell r="J5157" t="str">
            <v>SG-Ruul Ou-07/2024</v>
          </cell>
          <cell r="K5157" t="str">
            <v>Settled</v>
          </cell>
        </row>
        <row r="5158">
          <cell r="J5158" t="str">
            <v>SG-Ruul Ou-08/2024</v>
          </cell>
          <cell r="K5158" t="str">
            <v>Settled</v>
          </cell>
        </row>
        <row r="5159">
          <cell r="J5159" t="str">
            <v>SG-Ruul Ou-09/2024</v>
          </cell>
          <cell r="K5159" t="str">
            <v>Settled</v>
          </cell>
        </row>
        <row r="5160">
          <cell r="J5160" t="str">
            <v>SG-Ruul Ou-10/2024</v>
          </cell>
          <cell r="K5160" t="str">
            <v>Settled</v>
          </cell>
        </row>
        <row r="5161">
          <cell r="J5161" t="str">
            <v>SG-Ruul Ou-11/2024</v>
          </cell>
          <cell r="K5161" t="str">
            <v>Settled</v>
          </cell>
        </row>
        <row r="5162">
          <cell r="J5162" t="str">
            <v>SG-Ruul Ou-12/2024</v>
          </cell>
          <cell r="K5162" t="str">
            <v>Settled</v>
          </cell>
        </row>
        <row r="5163">
          <cell r="J5163" t="str">
            <v>SG-Ruul Ou-01/2025</v>
          </cell>
          <cell r="K5163" t="str">
            <v>Settled</v>
          </cell>
        </row>
        <row r="5164">
          <cell r="J5164" t="str">
            <v>SG-Ruul Ou-02/2025</v>
          </cell>
          <cell r="K5164" t="str">
            <v>Settled</v>
          </cell>
        </row>
        <row r="5165">
          <cell r="J5165" t="str">
            <v>SG-Ruul Ou-03/2025</v>
          </cell>
          <cell r="K5165" t="str">
            <v>Settled</v>
          </cell>
        </row>
        <row r="5166">
          <cell r="J5166" t="str">
            <v>SG-Ruul Ou-04/2025</v>
          </cell>
          <cell r="K5166" t="str">
            <v>Settled</v>
          </cell>
        </row>
        <row r="5167">
          <cell r="J5167" t="str">
            <v>SG-Ruul Ou-05/2025</v>
          </cell>
          <cell r="K5167" t="str">
            <v>Settled</v>
          </cell>
        </row>
        <row r="5168">
          <cell r="J5168" t="str">
            <v>SG-Ruul Ou-06/2025</v>
          </cell>
          <cell r="K5168" t="str">
            <v>Settled</v>
          </cell>
        </row>
        <row r="5169">
          <cell r="J5169" t="str">
            <v>SG-Ruul Ou-07/2025</v>
          </cell>
          <cell r="K5169" t="str">
            <v>Settled</v>
          </cell>
        </row>
        <row r="5170">
          <cell r="J5170" t="str">
            <v>SG-Ruul Ou-08/2025</v>
          </cell>
          <cell r="K5170" t="str">
            <v>Settled</v>
          </cell>
        </row>
        <row r="5171">
          <cell r="J5171" t="str">
            <v>SG-Ruul Ou-09/2025</v>
          </cell>
          <cell r="K5171" t="str">
            <v>Settled</v>
          </cell>
        </row>
        <row r="5172">
          <cell r="J5172" t="str">
            <v>SG-Ruul Ou-10/2025</v>
          </cell>
          <cell r="K5172" t="str">
            <v>Settled</v>
          </cell>
        </row>
        <row r="5173">
          <cell r="J5173" t="str">
            <v>SG-Ruul Ou-11/2025</v>
          </cell>
          <cell r="K5173" t="str">
            <v>Settled</v>
          </cell>
        </row>
        <row r="5174">
          <cell r="J5174" t="str">
            <v>SG-Ruul Ou-12/2025</v>
          </cell>
          <cell r="K5174" t="str">
            <v>Settled</v>
          </cell>
        </row>
        <row r="5175">
          <cell r="J5175" t="str">
            <v>SG-Ruul Ou-01/2026</v>
          </cell>
          <cell r="K5175" t="str">
            <v>Settled</v>
          </cell>
        </row>
        <row r="5176">
          <cell r="J5176" t="str">
            <v>SG-Ruul Ou-02/2026</v>
          </cell>
          <cell r="K5176" t="str">
            <v>Settled</v>
          </cell>
        </row>
        <row r="5177">
          <cell r="J5177" t="str">
            <v>SG-Ruul Ou-03/2026</v>
          </cell>
          <cell r="K5177" t="str">
            <v>Settled</v>
          </cell>
        </row>
        <row r="5178">
          <cell r="J5178" t="str">
            <v>SG-Ruul Ou-04/2026</v>
          </cell>
          <cell r="K5178" t="str">
            <v>Settled</v>
          </cell>
        </row>
        <row r="5179">
          <cell r="J5179" t="str">
            <v>SG-Ruul Ou-05/2026</v>
          </cell>
          <cell r="K5179" t="str">
            <v>Settled</v>
          </cell>
        </row>
        <row r="5180">
          <cell r="J5180" t="str">
            <v>SG -SAAD EXCHANGE-08/2023</v>
          </cell>
          <cell r="K5180" t="str">
            <v>Settled</v>
          </cell>
        </row>
        <row r="5181">
          <cell r="J5181" t="str">
            <v>SG -SAAD EXCHANGE-08/2023</v>
          </cell>
          <cell r="K5181" t="str">
            <v>Settled</v>
          </cell>
        </row>
        <row r="5182">
          <cell r="J5182" t="str">
            <v>SG-SAAD EXCHANGE-09/2023</v>
          </cell>
          <cell r="K5182" t="str">
            <v>Settled</v>
          </cell>
        </row>
        <row r="5183">
          <cell r="J5183" t="str">
            <v>SG-SAAD EXCHANGE-10/2023</v>
          </cell>
          <cell r="K5183" t="str">
            <v>Waived Off</v>
          </cell>
        </row>
        <row r="5184">
          <cell r="J5184" t="str">
            <v>SG-SAAD EXCHANGE-11/2023</v>
          </cell>
          <cell r="K5184" t="str">
            <v>Waived Off</v>
          </cell>
        </row>
        <row r="5185">
          <cell r="J5185" t="str">
            <v>SG-SAAD EXCHANGE-12/2023</v>
          </cell>
          <cell r="K5185" t="str">
            <v>Waived Off</v>
          </cell>
        </row>
        <row r="5186">
          <cell r="J5186" t="str">
            <v>SG-SAAD EXCHANGE-01/2024</v>
          </cell>
          <cell r="K5186" t="str">
            <v>Settled</v>
          </cell>
        </row>
        <row r="5187">
          <cell r="J5187" t="str">
            <v>SG-SAAD EXCHANGE-02/2024</v>
          </cell>
          <cell r="K5187" t="str">
            <v>Settled</v>
          </cell>
        </row>
        <row r="5188">
          <cell r="J5188" t="str">
            <v>SG-SAAD EXCHANGE-03/2024</v>
          </cell>
          <cell r="K5188" t="str">
            <v>Settled</v>
          </cell>
        </row>
        <row r="5189">
          <cell r="J5189" t="str">
            <v>SG-SAAD EXCHANGE-04/2024</v>
          </cell>
          <cell r="K5189" t="str">
            <v>Settled</v>
          </cell>
        </row>
        <row r="5190">
          <cell r="J5190" t="str">
            <v>SG-SAAD EXCHANGE-06/2024</v>
          </cell>
          <cell r="K5190" t="str">
            <v>Settled</v>
          </cell>
        </row>
        <row r="5191">
          <cell r="J5191" t="str">
            <v>SG-SAAD EXCHANGE-07/2024</v>
          </cell>
          <cell r="K5191" t="str">
            <v>Settled</v>
          </cell>
        </row>
        <row r="5192">
          <cell r="J5192" t="str">
            <v>SG-SAAD EXCHANGE-05/2024</v>
          </cell>
          <cell r="K5192" t="str">
            <v>Settled</v>
          </cell>
        </row>
        <row r="5193">
          <cell r="J5193" t="str">
            <v>SG-SAAD EXCHANGE-08/2024</v>
          </cell>
          <cell r="K5193" t="str">
            <v>Settled</v>
          </cell>
        </row>
        <row r="5194">
          <cell r="J5194" t="str">
            <v>SG-SAAD EXCHANGE-09/2024</v>
          </cell>
          <cell r="K5194" t="str">
            <v>Settled</v>
          </cell>
        </row>
        <row r="5195">
          <cell r="J5195" t="str">
            <v>SG-SaaSPay Inc.-11/2023</v>
          </cell>
          <cell r="K5195" t="str">
            <v>Settled</v>
          </cell>
        </row>
        <row r="5196">
          <cell r="J5196" t="str">
            <v>SG-CN-SaaSPay Inc.-11-2023</v>
          </cell>
          <cell r="K5196" t="str">
            <v>Settled</v>
          </cell>
        </row>
        <row r="5197">
          <cell r="J5197" t="str">
            <v>HK-dee-swasdeeshop-05/2023</v>
          </cell>
          <cell r="K5197" t="str">
            <v>Settled</v>
          </cell>
        </row>
        <row r="5198">
          <cell r="J5198" t="str">
            <v>HK-dee-swasdeeshop-06/2023</v>
          </cell>
          <cell r="K5198" t="str">
            <v>Settled</v>
          </cell>
        </row>
        <row r="5199">
          <cell r="J5199" t="str">
            <v>HK-dee-swasdeeshop-07/2023</v>
          </cell>
          <cell r="K5199" t="str">
            <v>Settled</v>
          </cell>
        </row>
        <row r="5200">
          <cell r="J5200" t="str">
            <v>HK -dee-swasdeeshop-08/2023</v>
          </cell>
          <cell r="K5200" t="str">
            <v>Settled</v>
          </cell>
        </row>
        <row r="5201">
          <cell r="J5201" t="str">
            <v>HK -dee-swasdeeshop-CR-08/2023</v>
          </cell>
          <cell r="K5201" t="str">
            <v>Settled</v>
          </cell>
        </row>
        <row r="5202">
          <cell r="J5202" t="str">
            <v>HK-dee-swasdeeshop-09/2023</v>
          </cell>
          <cell r="K5202" t="str">
            <v>Settled</v>
          </cell>
        </row>
        <row r="5203">
          <cell r="J5203" t="str">
            <v>HK-dee-swasdeeshop-10/2023</v>
          </cell>
          <cell r="K5203" t="str">
            <v>Settled</v>
          </cell>
        </row>
        <row r="5204">
          <cell r="J5204" t="str">
            <v>HK-dee-swasdeeshop-11/2023</v>
          </cell>
          <cell r="K5204" t="str">
            <v>Settled</v>
          </cell>
        </row>
        <row r="5205">
          <cell r="J5205" t="str">
            <v>HK-dee-swasdeeshop-12/2023</v>
          </cell>
          <cell r="K5205" t="str">
            <v>Settled</v>
          </cell>
        </row>
        <row r="5206">
          <cell r="J5206" t="str">
            <v>HK-dee-swasdeeshop-01/2024</v>
          </cell>
          <cell r="K5206" t="str">
            <v>Settled</v>
          </cell>
        </row>
        <row r="5207">
          <cell r="J5207" t="str">
            <v>HK-dee-swasdeeshop-02/2024</v>
          </cell>
          <cell r="K5207" t="str">
            <v>Settled</v>
          </cell>
        </row>
        <row r="5208">
          <cell r="J5208" t="str">
            <v>HK-dee-swasdeeshop-03/2024</v>
          </cell>
          <cell r="K5208" t="str">
            <v>Settled</v>
          </cell>
        </row>
        <row r="5209">
          <cell r="J5209" t="str">
            <v>HK-dee-swasdeeshop-04/2024</v>
          </cell>
          <cell r="K5209" t="str">
            <v>Settled</v>
          </cell>
        </row>
        <row r="5210">
          <cell r="J5210" t="str">
            <v>HK-dee-swasdeeshop-05/2024</v>
          </cell>
          <cell r="K5210" t="str">
            <v>Settled</v>
          </cell>
        </row>
        <row r="5211">
          <cell r="J5211" t="str">
            <v>HK-dee-swasdeeshop-06/2024</v>
          </cell>
          <cell r="K5211" t="str">
            <v>Settled</v>
          </cell>
        </row>
        <row r="5212">
          <cell r="J5212" t="str">
            <v>HK-CN-dee-swasdeeshop-06-2024</v>
          </cell>
          <cell r="K5212" t="str">
            <v>Settled</v>
          </cell>
        </row>
        <row r="5213">
          <cell r="J5213" t="str">
            <v>HK-dee-swasdeeshop-07/2024</v>
          </cell>
          <cell r="K5213" t="str">
            <v>Settled</v>
          </cell>
        </row>
        <row r="5214">
          <cell r="J5214" t="str">
            <v>HK-dee-swasdeeshop-08/2024</v>
          </cell>
          <cell r="K5214" t="str">
            <v>Settled</v>
          </cell>
        </row>
        <row r="5215">
          <cell r="J5215" t="str">
            <v>HK-dee-swasdeeshop-09/2024</v>
          </cell>
          <cell r="K5215" t="str">
            <v>Settled</v>
          </cell>
        </row>
        <row r="5216">
          <cell r="J5216" t="str">
            <v>HK-dee-swasdeeshop-10/2024</v>
          </cell>
          <cell r="K5216" t="str">
            <v>Settled</v>
          </cell>
        </row>
        <row r="5217">
          <cell r="J5217" t="str">
            <v>HK-dee-swasdeeshop-11/2024</v>
          </cell>
          <cell r="K5217" t="str">
            <v>Settled</v>
          </cell>
        </row>
        <row r="5218">
          <cell r="J5218" t="str">
            <v>HK-dee-swasdeeshop-12/2024</v>
          </cell>
          <cell r="K5218" t="str">
            <v>Settled</v>
          </cell>
        </row>
        <row r="5219">
          <cell r="J5219" t="str">
            <v>HK-dee-swasdeeshop-01/2025</v>
          </cell>
          <cell r="K5219" t="str">
            <v>Settled</v>
          </cell>
        </row>
        <row r="5220">
          <cell r="J5220" t="str">
            <v>HK-dee-swasdeeshop-02/2025</v>
          </cell>
          <cell r="K5220" t="str">
            <v>Settled</v>
          </cell>
        </row>
        <row r="5221">
          <cell r="J5221" t="str">
            <v>HK-dee-swasdeeshop-03/2025</v>
          </cell>
          <cell r="K5221" t="str">
            <v>Settled</v>
          </cell>
        </row>
        <row r="5222">
          <cell r="J5222" t="str">
            <v>HK-dee-swasdeeshop-04/2025</v>
          </cell>
          <cell r="K5222" t="str">
            <v>Settled</v>
          </cell>
        </row>
        <row r="5223">
          <cell r="J5223" t="str">
            <v>HK-dee-swasdeeshop-05/2025</v>
          </cell>
          <cell r="K5223" t="str">
            <v>Settled</v>
          </cell>
        </row>
        <row r="5224">
          <cell r="J5224" t="str">
            <v>HK-dee-swasdeeshop-06/2025</v>
          </cell>
          <cell r="K5224" t="str">
            <v>Settled</v>
          </cell>
        </row>
        <row r="5225">
          <cell r="J5225" t="str">
            <v>HK-dee-swasdeeshop-07/2025</v>
          </cell>
          <cell r="K5225" t="str">
            <v>Settled</v>
          </cell>
        </row>
        <row r="5226">
          <cell r="J5226" t="str">
            <v>HK-dee-swasdeeshop-08/2025</v>
          </cell>
          <cell r="K5226" t="str">
            <v>Settled</v>
          </cell>
        </row>
        <row r="5227">
          <cell r="J5227" t="str">
            <v>HK-dee-swasdeeshop-09/2025</v>
          </cell>
          <cell r="K5227" t="str">
            <v>Settled</v>
          </cell>
        </row>
        <row r="5228">
          <cell r="J5228" t="str">
            <v>HK-dee-swasdeeshop-10/2025</v>
          </cell>
          <cell r="K5228" t="str">
            <v>Settled</v>
          </cell>
        </row>
        <row r="5229">
          <cell r="J5229" t="str">
            <v>HK-dee-swasdeeshop-11/2025</v>
          </cell>
          <cell r="K5229" t="str">
            <v>Settled</v>
          </cell>
        </row>
        <row r="5230">
          <cell r="J5230" t="str">
            <v>HK-dee-swasdeeshop-12/2025</v>
          </cell>
          <cell r="K5230" t="str">
            <v>Settled</v>
          </cell>
        </row>
        <row r="5231">
          <cell r="J5231" t="str">
            <v>HK-dee-swasdeeshop-01/2026</v>
          </cell>
          <cell r="K5231" t="str">
            <v>Settled</v>
          </cell>
        </row>
        <row r="5232">
          <cell r="J5232" t="str">
            <v>HK-dee-swasdeeshop-02/2026</v>
          </cell>
          <cell r="K5232" t="str">
            <v>Settled</v>
          </cell>
        </row>
        <row r="5233">
          <cell r="J5233" t="str">
            <v>HK-dee-swasdeeshop-03/2026</v>
          </cell>
          <cell r="K5233" t="str">
            <v>Settled</v>
          </cell>
        </row>
        <row r="5234">
          <cell r="J5234" t="str">
            <v>HK-dee-swasdeeshop-04/2026</v>
          </cell>
          <cell r="K5234" t="str">
            <v>Settled</v>
          </cell>
        </row>
        <row r="5235">
          <cell r="J5235" t="str">
            <v>HK-dee-swasdeeshop-05/2026</v>
          </cell>
          <cell r="K5235" t="str">
            <v>Settled</v>
          </cell>
        </row>
        <row r="5236">
          <cell r="J5236" t="str">
            <v>SG-Sbi Cosmoney-11/2022</v>
          </cell>
          <cell r="K5236" t="str">
            <v>Settled</v>
          </cell>
        </row>
        <row r="5237">
          <cell r="J5237" t="str">
            <v>SG-Sbi Cosmoney-12/2022</v>
          </cell>
          <cell r="K5237" t="str">
            <v>Settled</v>
          </cell>
        </row>
        <row r="5238">
          <cell r="J5238" t="str">
            <v>SG-Sbi Cosmoney-01/2023</v>
          </cell>
          <cell r="K5238" t="str">
            <v>Settled</v>
          </cell>
        </row>
        <row r="5239">
          <cell r="J5239" t="str">
            <v>SG-Sbi Cosmoney-02/2023</v>
          </cell>
          <cell r="K5239" t="str">
            <v>Settled</v>
          </cell>
        </row>
        <row r="5240">
          <cell r="J5240" t="str">
            <v>SG-Sbi Cosmoney-03/2023</v>
          </cell>
          <cell r="K5240" t="str">
            <v>Settled</v>
          </cell>
        </row>
        <row r="5241">
          <cell r="J5241" t="str">
            <v>SG-Sbi Cosmoney-04/2023</v>
          </cell>
          <cell r="K5241" t="str">
            <v>Settled</v>
          </cell>
        </row>
        <row r="5242">
          <cell r="J5242" t="str">
            <v>SG-Sbi Cosmoney-05/2023</v>
          </cell>
          <cell r="K5242" t="str">
            <v>Settled</v>
          </cell>
        </row>
        <row r="5243">
          <cell r="J5243" t="str">
            <v>SG-Sbi Cosmoney-06/2023</v>
          </cell>
          <cell r="K5243" t="str">
            <v>Settled</v>
          </cell>
        </row>
        <row r="5244">
          <cell r="J5244" t="str">
            <v>SG-Sbi Cosmoney-07/2023</v>
          </cell>
          <cell r="K5244" t="str">
            <v>Settled</v>
          </cell>
        </row>
        <row r="5245">
          <cell r="J5245" t="str">
            <v>SG -Sbi Cosmoney-08/2023</v>
          </cell>
          <cell r="K5245" t="str">
            <v>Settled</v>
          </cell>
        </row>
        <row r="5246">
          <cell r="J5246" t="str">
            <v>SG -Sbi Cosmoney-09/2023</v>
          </cell>
          <cell r="K5246" t="str">
            <v>Settled</v>
          </cell>
        </row>
        <row r="5247">
          <cell r="J5247" t="str">
            <v>SG -Sbi Cosmoney-10/2023</v>
          </cell>
          <cell r="K5247" t="str">
            <v>Settled</v>
          </cell>
        </row>
        <row r="5248">
          <cell r="J5248" t="str">
            <v>SG -sbm bank outward-01/2022</v>
          </cell>
          <cell r="K5248" t="str">
            <v>Settled</v>
          </cell>
        </row>
        <row r="5249">
          <cell r="J5249" t="str">
            <v>SG-sbm bank outward-CR-09/2022</v>
          </cell>
          <cell r="K5249" t="str">
            <v>Settled</v>
          </cell>
        </row>
        <row r="5250">
          <cell r="J5250" t="str">
            <v>SG-Sbm-09/2022</v>
          </cell>
          <cell r="K5250" t="str">
            <v>Settled</v>
          </cell>
        </row>
        <row r="5251">
          <cell r="J5251" t="str">
            <v>SG-sbm bank outward-CR-10/2022</v>
          </cell>
          <cell r="K5251" t="str">
            <v>Settled</v>
          </cell>
        </row>
        <row r="5252">
          <cell r="J5252" t="str">
            <v>SG-Sbm-10/2022</v>
          </cell>
          <cell r="K5252" t="str">
            <v>Settled</v>
          </cell>
        </row>
        <row r="5253">
          <cell r="J5253" t="str">
            <v>SG-sbm bank outward-11/2022</v>
          </cell>
          <cell r="K5253" t="str">
            <v>Settled</v>
          </cell>
        </row>
        <row r="5254">
          <cell r="J5254" t="str">
            <v>SG-sbm bank outward-CR-11/2022</v>
          </cell>
          <cell r="K5254" t="str">
            <v>Settled</v>
          </cell>
        </row>
        <row r="5255">
          <cell r="J5255" t="str">
            <v>SG-sbm bank outward-12/2022</v>
          </cell>
          <cell r="K5255" t="str">
            <v>Settled</v>
          </cell>
        </row>
        <row r="5256">
          <cell r="J5256" t="str">
            <v>SG-sbm bank outward-CR-12/2022</v>
          </cell>
          <cell r="K5256" t="str">
            <v>Settled</v>
          </cell>
        </row>
        <row r="5257">
          <cell r="J5257" t="str">
            <v>SG-sbm bank outward-01/2023</v>
          </cell>
          <cell r="K5257" t="str">
            <v>Settled</v>
          </cell>
        </row>
        <row r="5258">
          <cell r="J5258" t="str">
            <v>SG-sbm bank outward-CR-01/2023</v>
          </cell>
          <cell r="K5258" t="str">
            <v>Settled</v>
          </cell>
        </row>
        <row r="5259">
          <cell r="J5259" t="str">
            <v>SG-Sentbe-11/2022</v>
          </cell>
          <cell r="K5259" t="str">
            <v>Settled</v>
          </cell>
        </row>
        <row r="5260">
          <cell r="J5260" t="str">
            <v>SG-Sentbe-12/2022</v>
          </cell>
          <cell r="K5260" t="str">
            <v>Settled</v>
          </cell>
        </row>
        <row r="5261">
          <cell r="J5261" t="str">
            <v>SG-Sentbe-01/2023</v>
          </cell>
          <cell r="K5261" t="str">
            <v>Settled</v>
          </cell>
        </row>
        <row r="5262">
          <cell r="J5262" t="str">
            <v>SG-Sentbe-02/2023</v>
          </cell>
          <cell r="K5262" t="str">
            <v>Settled</v>
          </cell>
        </row>
        <row r="5263">
          <cell r="J5263" t="str">
            <v>SG-Sentbe-03/2023</v>
          </cell>
          <cell r="K5263" t="str">
            <v>Settled</v>
          </cell>
        </row>
        <row r="5264">
          <cell r="J5264" t="str">
            <v>SG-Sentbe-04/2023</v>
          </cell>
          <cell r="K5264" t="str">
            <v>Settled</v>
          </cell>
        </row>
        <row r="5265">
          <cell r="J5265" t="str">
            <v>SG-Sentbe-05/2023</v>
          </cell>
          <cell r="K5265" t="str">
            <v>Settled</v>
          </cell>
        </row>
        <row r="5266">
          <cell r="J5266" t="str">
            <v>SG-Sentbe-06/2023</v>
          </cell>
          <cell r="K5266" t="str">
            <v>Settled</v>
          </cell>
        </row>
        <row r="5267">
          <cell r="J5267" t="str">
            <v>SG-Sentbe-07/2023</v>
          </cell>
          <cell r="K5267" t="str">
            <v>Settled</v>
          </cell>
        </row>
        <row r="5268">
          <cell r="J5268" t="str">
            <v>SG -Sentbe-08/2023</v>
          </cell>
          <cell r="K5268" t="str">
            <v>Settled</v>
          </cell>
        </row>
        <row r="5269">
          <cell r="J5269" t="str">
            <v>SG-Sentbe-09/2023</v>
          </cell>
          <cell r="K5269" t="str">
            <v>Settled</v>
          </cell>
        </row>
        <row r="5270">
          <cell r="J5270" t="str">
            <v>SG-Sentbe-10/2023</v>
          </cell>
          <cell r="K5270" t="str">
            <v>Settled</v>
          </cell>
        </row>
        <row r="5271">
          <cell r="J5271" t="str">
            <v>SG-Sentbe-11/2023</v>
          </cell>
          <cell r="K5271" t="str">
            <v>Settled</v>
          </cell>
        </row>
        <row r="5272">
          <cell r="J5272" t="str">
            <v>SG-Sentbe-12/2023</v>
          </cell>
          <cell r="K5272" t="str">
            <v>Settled</v>
          </cell>
        </row>
        <row r="5273">
          <cell r="J5273" t="str">
            <v>SG-Sentbe-01/2024</v>
          </cell>
          <cell r="K5273" t="str">
            <v>Settled</v>
          </cell>
        </row>
        <row r="5274">
          <cell r="J5274" t="str">
            <v>SG-Sentbe-02/2024</v>
          </cell>
          <cell r="K5274" t="str">
            <v>Settled</v>
          </cell>
        </row>
        <row r="5275">
          <cell r="J5275" t="str">
            <v>SG-Sentbe-03/2024</v>
          </cell>
          <cell r="K5275" t="str">
            <v>Settled</v>
          </cell>
        </row>
        <row r="5276">
          <cell r="J5276" t="str">
            <v>SG-Sentbe-04/2024</v>
          </cell>
          <cell r="K5276" t="str">
            <v>Settled</v>
          </cell>
        </row>
        <row r="5277">
          <cell r="J5277" t="str">
            <v>SG-Sentbe-05/2024</v>
          </cell>
          <cell r="K5277" t="str">
            <v>Settled</v>
          </cell>
        </row>
        <row r="5278">
          <cell r="J5278" t="str">
            <v>SG-Sentbe-06/2024</v>
          </cell>
          <cell r="K5278" t="str">
            <v>Settled</v>
          </cell>
        </row>
        <row r="5279">
          <cell r="J5279" t="str">
            <v>SG-Sentbe-07/2024</v>
          </cell>
          <cell r="K5279" t="str">
            <v>Settled</v>
          </cell>
        </row>
        <row r="5280">
          <cell r="J5280" t="str">
            <v>SG-Sentbe-08/2024</v>
          </cell>
          <cell r="K5280" t="str">
            <v>Settled</v>
          </cell>
        </row>
        <row r="5281">
          <cell r="J5281" t="str">
            <v>SG-Sentbe-09/2024</v>
          </cell>
          <cell r="K5281" t="str">
            <v>Settled</v>
          </cell>
        </row>
        <row r="5282">
          <cell r="J5282" t="str">
            <v>SG-Sentbe-10/2024</v>
          </cell>
          <cell r="K5282" t="str">
            <v>Settled</v>
          </cell>
        </row>
        <row r="5283">
          <cell r="J5283" t="str">
            <v>SG-Sentbe-11/2024</v>
          </cell>
          <cell r="K5283" t="str">
            <v>Settled</v>
          </cell>
        </row>
        <row r="5284">
          <cell r="J5284" t="str">
            <v>SG-Sentbe-12/2024</v>
          </cell>
          <cell r="K5284" t="str">
            <v>Settled</v>
          </cell>
        </row>
        <row r="5285">
          <cell r="J5285" t="str">
            <v>SG-Sentbe-01/2025</v>
          </cell>
          <cell r="K5285" t="str">
            <v>Settled</v>
          </cell>
        </row>
        <row r="5286">
          <cell r="J5286" t="str">
            <v>SG-Sentbe-02/2025</v>
          </cell>
          <cell r="K5286" t="str">
            <v>Settled</v>
          </cell>
        </row>
        <row r="5287">
          <cell r="J5287" t="str">
            <v>SG-Sentbe-03/2025</v>
          </cell>
          <cell r="K5287" t="str">
            <v>Settled</v>
          </cell>
        </row>
        <row r="5288">
          <cell r="J5288" t="str">
            <v>SG-Sentbe-04/2025</v>
          </cell>
          <cell r="K5288" t="str">
            <v>Settled</v>
          </cell>
        </row>
        <row r="5289">
          <cell r="J5289" t="str">
            <v>SG-Sentbe-05/2025</v>
          </cell>
          <cell r="K5289" t="str">
            <v>Settled</v>
          </cell>
        </row>
        <row r="5290">
          <cell r="J5290" t="str">
            <v>SG-Sentbe-06/2025</v>
          </cell>
          <cell r="K5290" t="str">
            <v>Settled</v>
          </cell>
        </row>
        <row r="5291">
          <cell r="J5291" t="str">
            <v>SG-Sentbe-07/2025</v>
          </cell>
          <cell r="K5291" t="str">
            <v>Settled</v>
          </cell>
        </row>
        <row r="5292">
          <cell r="J5292" t="str">
            <v>SG-Sentbe-08/2025</v>
          </cell>
          <cell r="K5292" t="str">
            <v>Settled</v>
          </cell>
        </row>
        <row r="5293">
          <cell r="J5293" t="str">
            <v>SG-Sentbe-09/2025</v>
          </cell>
          <cell r="K5293" t="str">
            <v>Settled</v>
          </cell>
        </row>
        <row r="5294">
          <cell r="J5294" t="str">
            <v>SG-DN-Sentbe-09/2025</v>
          </cell>
          <cell r="K5294" t="str">
            <v>Settled</v>
          </cell>
        </row>
        <row r="5295">
          <cell r="J5295" t="str">
            <v>SG-Sentbe-10/2025</v>
          </cell>
          <cell r="K5295" t="str">
            <v>Settled</v>
          </cell>
        </row>
        <row r="5296">
          <cell r="J5296" t="str">
            <v>SG-Sentbe-11/2025</v>
          </cell>
          <cell r="K5296" t="str">
            <v>Settled</v>
          </cell>
        </row>
        <row r="5297">
          <cell r="J5297" t="str">
            <v>SG-Sentbe-12/2025</v>
          </cell>
          <cell r="K5297" t="str">
            <v>Settled</v>
          </cell>
        </row>
        <row r="5298">
          <cell r="J5298" t="str">
            <v>SG-Sentbe-01/2026</v>
          </cell>
          <cell r="K5298" t="str">
            <v>Settled</v>
          </cell>
        </row>
        <row r="5299">
          <cell r="J5299" t="str">
            <v>SG-Sentbe-02/2026</v>
          </cell>
          <cell r="K5299" t="str">
            <v>Settled</v>
          </cell>
        </row>
        <row r="5300">
          <cell r="J5300" t="str">
            <v>SG-Sentbe-03/2026</v>
          </cell>
          <cell r="K5300" t="str">
            <v>Settled</v>
          </cell>
        </row>
        <row r="5301">
          <cell r="J5301" t="str">
            <v>SG-Sentbe-04/2026</v>
          </cell>
          <cell r="K5301" t="str">
            <v>Settled</v>
          </cell>
        </row>
        <row r="5302">
          <cell r="J5302" t="str">
            <v>SG-Sentbe-05/2026</v>
          </cell>
          <cell r="K5302" t="str">
            <v>Settled</v>
          </cell>
        </row>
        <row r="5303">
          <cell r="J5303" t="str">
            <v>SG -Set co., ltd-03/2022</v>
          </cell>
          <cell r="K5303" t="str">
            <v>Waived Off</v>
          </cell>
        </row>
        <row r="5304">
          <cell r="J5304" t="str">
            <v>SG -Set co., ltd-04/2022</v>
          </cell>
          <cell r="K5304" t="str">
            <v>Waived Off</v>
          </cell>
        </row>
        <row r="5305">
          <cell r="J5305" t="str">
            <v>SG -Set co., ltd-05/2022</v>
          </cell>
          <cell r="K5305" t="str">
            <v>Waived Off</v>
          </cell>
        </row>
        <row r="5306">
          <cell r="J5306" t="str">
            <v>SG -Set co., ltd-06/2022</v>
          </cell>
          <cell r="K5306" t="str">
            <v>Waived Off</v>
          </cell>
        </row>
        <row r="5307">
          <cell r="J5307" t="str">
            <v>SG-Set co-07/2022</v>
          </cell>
          <cell r="K5307" t="str">
            <v>Waived Off</v>
          </cell>
        </row>
        <row r="5308">
          <cell r="J5308" t="str">
            <v>SG-Set co-08/2022</v>
          </cell>
          <cell r="K5308" t="str">
            <v>Waived Off</v>
          </cell>
        </row>
        <row r="5309">
          <cell r="J5309" t="str">
            <v>SG-Set co-09/2022</v>
          </cell>
          <cell r="K5309" t="str">
            <v>Waived Off</v>
          </cell>
        </row>
        <row r="5310">
          <cell r="J5310" t="str">
            <v>SG-Set co-10/2022</v>
          </cell>
          <cell r="K5310" t="str">
            <v>Waived Off</v>
          </cell>
        </row>
        <row r="5311">
          <cell r="J5311" t="str">
            <v>SG-Set co., ltd-11/2022</v>
          </cell>
          <cell r="K5311" t="str">
            <v>Waived Off</v>
          </cell>
        </row>
        <row r="5312">
          <cell r="J5312" t="str">
            <v>SG-Set co., ltd-12/2022</v>
          </cell>
          <cell r="K5312" t="str">
            <v>Write Off</v>
          </cell>
        </row>
        <row r="5313">
          <cell r="J5313" t="str">
            <v>SG-Set co., ltd-01/2023</v>
          </cell>
          <cell r="K5313" t="str">
            <v>Write Off</v>
          </cell>
        </row>
        <row r="5314">
          <cell r="J5314" t="str">
            <v>SG-Set co., ltd-02/2023</v>
          </cell>
          <cell r="K5314" t="str">
            <v>Write Off</v>
          </cell>
        </row>
        <row r="5315">
          <cell r="J5315" t="str">
            <v>SG-Set co., ltd-03/2023</v>
          </cell>
          <cell r="K5315" t="str">
            <v>Write Off</v>
          </cell>
        </row>
        <row r="5316">
          <cell r="J5316" t="str">
            <v>SG-set co., ltd-04/2023</v>
          </cell>
          <cell r="K5316" t="str">
            <v>Write Off</v>
          </cell>
        </row>
        <row r="5317">
          <cell r="J5317" t="str">
            <v>SG-set co., ltd-05/2023</v>
          </cell>
          <cell r="K5317" t="str">
            <v>Write Off</v>
          </cell>
        </row>
        <row r="5318">
          <cell r="J5318" t="str">
            <v>SG-set co., ltd-06/2023</v>
          </cell>
          <cell r="K5318" t="str">
            <v>Write Off</v>
          </cell>
        </row>
        <row r="5319">
          <cell r="J5319" t="str">
            <v>SG-set co., ltd-07/2023</v>
          </cell>
          <cell r="K5319" t="str">
            <v>Write Off</v>
          </cell>
        </row>
        <row r="5320">
          <cell r="J5320" t="str">
            <v>SG-Siam-11/2022</v>
          </cell>
          <cell r="K5320" t="str">
            <v>Settled</v>
          </cell>
        </row>
        <row r="5321">
          <cell r="J5321" t="str">
            <v>SG-Siam-12/2022</v>
          </cell>
          <cell r="K5321" t="str">
            <v>Settled</v>
          </cell>
        </row>
        <row r="5322">
          <cell r="J5322" t="str">
            <v>SG-Siam-01/2023</v>
          </cell>
          <cell r="K5322" t="str">
            <v>Settled</v>
          </cell>
        </row>
        <row r="5323">
          <cell r="J5323" t="str">
            <v>SG-Siam-02/2023</v>
          </cell>
          <cell r="K5323" t="str">
            <v>Settled</v>
          </cell>
        </row>
        <row r="5324">
          <cell r="J5324" t="str">
            <v>SG-Siam-03/2023</v>
          </cell>
          <cell r="K5324" t="str">
            <v>Settled</v>
          </cell>
        </row>
        <row r="5325">
          <cell r="J5325" t="str">
            <v>SG-Siam-04/2023</v>
          </cell>
          <cell r="K5325" t="str">
            <v>Settled</v>
          </cell>
        </row>
        <row r="5326">
          <cell r="J5326" t="str">
            <v>SG-Siam-05/2023</v>
          </cell>
          <cell r="K5326" t="str">
            <v>Settled</v>
          </cell>
        </row>
        <row r="5327">
          <cell r="J5327" t="str">
            <v>SG-Siam-06/2023</v>
          </cell>
          <cell r="K5327" t="str">
            <v>Settled</v>
          </cell>
        </row>
        <row r="5328">
          <cell r="J5328" t="str">
            <v>SG-Siam-07/2023</v>
          </cell>
          <cell r="K5328" t="str">
            <v>Settled</v>
          </cell>
        </row>
        <row r="5329">
          <cell r="J5329" t="str">
            <v>SG -Siam-08/2023</v>
          </cell>
          <cell r="K5329" t="str">
            <v>Settled</v>
          </cell>
        </row>
        <row r="5330">
          <cell r="J5330" t="str">
            <v>SG-Siam-09/2023</v>
          </cell>
          <cell r="K5330" t="str">
            <v>Settled</v>
          </cell>
        </row>
        <row r="5331">
          <cell r="J5331" t="str">
            <v>SG-Siam-10/2023</v>
          </cell>
          <cell r="K5331" t="str">
            <v>Settled</v>
          </cell>
        </row>
        <row r="5332">
          <cell r="J5332" t="str">
            <v>SG-Siam-11/2023</v>
          </cell>
          <cell r="K5332" t="str">
            <v>Settled</v>
          </cell>
        </row>
        <row r="5333">
          <cell r="J5333" t="str">
            <v>SG-Siam-12/2023</v>
          </cell>
          <cell r="K5333" t="str">
            <v>Settled</v>
          </cell>
        </row>
        <row r="5334">
          <cell r="J5334" t="str">
            <v>SG-Siam-01/2024</v>
          </cell>
          <cell r="K5334" t="str">
            <v>Settled</v>
          </cell>
        </row>
        <row r="5335">
          <cell r="J5335" t="str">
            <v>SG-Siam-02/2024</v>
          </cell>
          <cell r="K5335" t="str">
            <v>Settled</v>
          </cell>
        </row>
        <row r="5336">
          <cell r="J5336" t="str">
            <v>SG-Siam-03/2024</v>
          </cell>
          <cell r="K5336" t="str">
            <v>Settled</v>
          </cell>
        </row>
        <row r="5337">
          <cell r="J5337" t="str">
            <v>SG-Siam-04/2024</v>
          </cell>
          <cell r="K5337" t="str">
            <v>Settled</v>
          </cell>
        </row>
        <row r="5338">
          <cell r="J5338" t="str">
            <v>SG-CN-Siam-04-2024</v>
          </cell>
          <cell r="K5338" t="str">
            <v>Settled</v>
          </cell>
        </row>
        <row r="5339">
          <cell r="J5339" t="str">
            <v>SG-Siam-05/2024</v>
          </cell>
          <cell r="K5339" t="str">
            <v>Settled</v>
          </cell>
        </row>
        <row r="5340">
          <cell r="J5340" t="str">
            <v>SG-Siam-06/2024</v>
          </cell>
          <cell r="K5340" t="str">
            <v>Settled</v>
          </cell>
        </row>
        <row r="5341">
          <cell r="J5341" t="str">
            <v>SG-Siam-07/2024</v>
          </cell>
          <cell r="K5341" t="str">
            <v>Settled</v>
          </cell>
        </row>
        <row r="5342">
          <cell r="J5342" t="str">
            <v>SG-Siam-08/2024</v>
          </cell>
          <cell r="K5342" t="str">
            <v>Settled</v>
          </cell>
        </row>
        <row r="5343">
          <cell r="J5343" t="str">
            <v>SG-Siam-09/2024</v>
          </cell>
          <cell r="K5343" t="str">
            <v>Settled</v>
          </cell>
        </row>
        <row r="5344">
          <cell r="J5344" t="str">
            <v>SG-Siam-10/2024</v>
          </cell>
          <cell r="K5344" t="str">
            <v>Settled</v>
          </cell>
        </row>
        <row r="5345">
          <cell r="J5345" t="str">
            <v>SG-Siam-11/2024</v>
          </cell>
          <cell r="K5345" t="str">
            <v>Settled</v>
          </cell>
        </row>
        <row r="5346">
          <cell r="J5346" t="str">
            <v>SG-Siam-12/2024</v>
          </cell>
          <cell r="K5346" t="str">
            <v>Settled</v>
          </cell>
        </row>
        <row r="5347">
          <cell r="J5347" t="str">
            <v>SG-Siam-01/2025</v>
          </cell>
          <cell r="K5347" t="str">
            <v>Settled</v>
          </cell>
        </row>
        <row r="5348">
          <cell r="J5348" t="str">
            <v>SG-Siam-02/2025</v>
          </cell>
          <cell r="K5348" t="str">
            <v>Settled</v>
          </cell>
        </row>
        <row r="5349">
          <cell r="J5349" t="str">
            <v>SG-Siam-03/2025</v>
          </cell>
          <cell r="K5349" t="str">
            <v>Settled</v>
          </cell>
        </row>
        <row r="5350">
          <cell r="J5350" t="str">
            <v>SG-Siam-04/2025</v>
          </cell>
          <cell r="K5350" t="str">
            <v>Settled</v>
          </cell>
        </row>
        <row r="5351">
          <cell r="J5351" t="str">
            <v>SG-Siam-05/2025</v>
          </cell>
          <cell r="K5351" t="str">
            <v>Settled</v>
          </cell>
        </row>
        <row r="5352">
          <cell r="J5352" t="str">
            <v>SG-Siam-06/2025</v>
          </cell>
          <cell r="K5352" t="str">
            <v>Settled</v>
          </cell>
        </row>
        <row r="5353">
          <cell r="J5353" t="str">
            <v>SG-Siam-07/2025</v>
          </cell>
          <cell r="K5353" t="str">
            <v>Settled</v>
          </cell>
        </row>
        <row r="5354">
          <cell r="J5354" t="str">
            <v>SG-Siam-08/2025</v>
          </cell>
          <cell r="K5354" t="str">
            <v>Settled</v>
          </cell>
        </row>
        <row r="5355">
          <cell r="J5355" t="str">
            <v>SG-Siam-09/2025</v>
          </cell>
          <cell r="K5355" t="str">
            <v>Settled</v>
          </cell>
        </row>
        <row r="5356">
          <cell r="J5356" t="str">
            <v>SG-Siam-10/2025</v>
          </cell>
          <cell r="K5356" t="str">
            <v>Settled</v>
          </cell>
        </row>
        <row r="5357">
          <cell r="J5357" t="str">
            <v>SG-Siam-11/2025</v>
          </cell>
          <cell r="K5357" t="str">
            <v>Settled</v>
          </cell>
        </row>
        <row r="5358">
          <cell r="J5358" t="str">
            <v>SG-Siam-12/2025</v>
          </cell>
          <cell r="K5358" t="str">
            <v>Settled</v>
          </cell>
        </row>
        <row r="5359">
          <cell r="J5359" t="str">
            <v>SG-Siam-01/2026</v>
          </cell>
          <cell r="K5359" t="str">
            <v>Settled</v>
          </cell>
        </row>
        <row r="5360">
          <cell r="J5360" t="str">
            <v>SG-Siam-02/2026</v>
          </cell>
          <cell r="K5360" t="str">
            <v>Settled</v>
          </cell>
        </row>
        <row r="5361">
          <cell r="J5361" t="str">
            <v>SG-Siam-03/2026</v>
          </cell>
          <cell r="K5361" t="str">
            <v>Settled</v>
          </cell>
        </row>
        <row r="5362">
          <cell r="J5362" t="str">
            <v>SG-Siam-04/2026</v>
          </cell>
          <cell r="K5362" t="str">
            <v>Settled</v>
          </cell>
        </row>
        <row r="5363">
          <cell r="J5363" t="str">
            <v>SG-Siam-05/2026</v>
          </cell>
          <cell r="K5363" t="str">
            <v>Settled</v>
          </cell>
        </row>
        <row r="5364">
          <cell r="J5364" t="str">
            <v>SG-singapore e-business-08/2022</v>
          </cell>
          <cell r="K5364" t="str">
            <v>Waived Off</v>
          </cell>
        </row>
        <row r="5365">
          <cell r="J5365" t="str">
            <v>SG-singapore e-business-09/2022</v>
          </cell>
          <cell r="K5365" t="str">
            <v>Waived Off</v>
          </cell>
        </row>
        <row r="5366">
          <cell r="J5366" t="str">
            <v>SG-singapore e-business-10/2022</v>
          </cell>
          <cell r="K5366" t="str">
            <v>Waived Off</v>
          </cell>
        </row>
        <row r="5367">
          <cell r="J5367" t="str">
            <v>SG-singapore e-business pte ltd-12/2022</v>
          </cell>
          <cell r="K5367" t="str">
            <v>Write Off</v>
          </cell>
        </row>
        <row r="5368">
          <cell r="J5368" t="str">
            <v>SG-singapore e-business pte ltd-01/2023</v>
          </cell>
          <cell r="K5368" t="str">
            <v>Write Off</v>
          </cell>
        </row>
        <row r="5369">
          <cell r="J5369" t="str">
            <v>SG-singapore-e-02/2023</v>
          </cell>
          <cell r="K5369" t="str">
            <v>Write Off</v>
          </cell>
        </row>
        <row r="5370">
          <cell r="J5370" t="str">
            <v>HK-Transfereasy-04/2024</v>
          </cell>
          <cell r="K5370" t="str">
            <v>Settled</v>
          </cell>
        </row>
        <row r="5371">
          <cell r="J5371" t="str">
            <v>HK-Transfereasy-05/2024</v>
          </cell>
          <cell r="K5371" t="str">
            <v>Settled</v>
          </cell>
        </row>
        <row r="5372">
          <cell r="J5372" t="str">
            <v>HK-Transfereasy-06/2024</v>
          </cell>
          <cell r="K5372" t="str">
            <v>Settled</v>
          </cell>
        </row>
        <row r="5373">
          <cell r="J5373" t="str">
            <v>HK-Transfereasy-07/2024</v>
          </cell>
          <cell r="K5373" t="str">
            <v>Settled</v>
          </cell>
        </row>
        <row r="5374">
          <cell r="J5374" t="str">
            <v>HK-Transfereasy-08/2024</v>
          </cell>
          <cell r="K5374" t="str">
            <v>Settled</v>
          </cell>
        </row>
        <row r="5375">
          <cell r="J5375" t="str">
            <v>HK-Transfereasy-09/2024</v>
          </cell>
          <cell r="K5375" t="str">
            <v>Settled</v>
          </cell>
        </row>
        <row r="5376">
          <cell r="J5376" t="str">
            <v>HK-Transfereasy-10/2024</v>
          </cell>
          <cell r="K5376" t="str">
            <v>Settled</v>
          </cell>
        </row>
        <row r="5377">
          <cell r="J5377" t="str">
            <v>HK-Transfereasy-11/2024</v>
          </cell>
          <cell r="K5377" t="str">
            <v>Settled</v>
          </cell>
        </row>
        <row r="5378">
          <cell r="J5378" t="str">
            <v>HK-Transfereasy-12/2024</v>
          </cell>
          <cell r="K5378" t="str">
            <v>Settled</v>
          </cell>
        </row>
        <row r="5379">
          <cell r="J5379" t="str">
            <v>HK-Transfereasy-01/2025</v>
          </cell>
          <cell r="K5379" t="str">
            <v>Settled</v>
          </cell>
        </row>
        <row r="5380">
          <cell r="J5380" t="str">
            <v>HK-Transfereasy-02/2025</v>
          </cell>
          <cell r="K5380" t="str">
            <v>Settled</v>
          </cell>
        </row>
        <row r="5381">
          <cell r="J5381" t="str">
            <v>HK-Transfereasy-03/2025</v>
          </cell>
          <cell r="K5381" t="str">
            <v>Settled</v>
          </cell>
        </row>
        <row r="5382">
          <cell r="J5382" t="str">
            <v>HK-Transfereasy-04/2025</v>
          </cell>
          <cell r="K5382" t="str">
            <v>Settled</v>
          </cell>
        </row>
        <row r="5383">
          <cell r="J5383" t="str">
            <v>HK-Transfereasy-05/2025</v>
          </cell>
          <cell r="K5383" t="str">
            <v>Settled</v>
          </cell>
        </row>
        <row r="5384">
          <cell r="J5384" t="str">
            <v>HK-Transfereasy-06/2025</v>
          </cell>
          <cell r="K5384" t="str">
            <v>Settled</v>
          </cell>
        </row>
        <row r="5385">
          <cell r="J5385" t="str">
            <v>HK-Transfereasy-07/2025</v>
          </cell>
          <cell r="K5385" t="str">
            <v>Settled</v>
          </cell>
        </row>
        <row r="5386">
          <cell r="J5386" t="str">
            <v>HK-Transfereasy-08/2025</v>
          </cell>
          <cell r="K5386" t="str">
            <v>Settled</v>
          </cell>
        </row>
        <row r="5387">
          <cell r="J5387" t="str">
            <v>HK-Transfereasy-09/2025</v>
          </cell>
          <cell r="K5387" t="str">
            <v>Settled</v>
          </cell>
        </row>
        <row r="5388">
          <cell r="J5388" t="str">
            <v>HK-Transfereasy-10/2025</v>
          </cell>
          <cell r="K5388" t="str">
            <v>Settled</v>
          </cell>
        </row>
        <row r="5389">
          <cell r="J5389" t="str">
            <v>HK-Transfereasy-11/2025</v>
          </cell>
          <cell r="K5389" t="str">
            <v>Settled</v>
          </cell>
        </row>
        <row r="5390">
          <cell r="J5390" t="str">
            <v>HK-Transfereasy-12/2025</v>
          </cell>
          <cell r="K5390" t="str">
            <v>Settled</v>
          </cell>
        </row>
        <row r="5391">
          <cell r="J5391" t="str">
            <v>HK-Transfereasy-01/2026</v>
          </cell>
          <cell r="K5391" t="str">
            <v>Settled</v>
          </cell>
        </row>
        <row r="5392">
          <cell r="J5392" t="str">
            <v>HK-Transfereasy-02/2026</v>
          </cell>
          <cell r="K5392" t="str">
            <v>Settled</v>
          </cell>
        </row>
        <row r="5393">
          <cell r="J5393" t="str">
            <v>HK-Transfereasy-03/2026</v>
          </cell>
          <cell r="K5393" t="str">
            <v>Settled</v>
          </cell>
        </row>
        <row r="5394">
          <cell r="J5394" t="str">
            <v>HK-Transfereasy-04/2026</v>
          </cell>
          <cell r="K5394" t="str">
            <v>Settled</v>
          </cell>
        </row>
        <row r="5395">
          <cell r="J5395" t="str">
            <v>HK-Transfereasy-05/2026</v>
          </cell>
          <cell r="K5395" t="str">
            <v>Settled</v>
          </cell>
        </row>
        <row r="5396">
          <cell r="J5396" t="str">
            <v>HK-Skrill Ltd-11/2022</v>
          </cell>
          <cell r="K5396" t="str">
            <v>Settled</v>
          </cell>
        </row>
        <row r="5397">
          <cell r="J5397" t="str">
            <v>HK-Skrill Ltd-12/2022</v>
          </cell>
          <cell r="K5397" t="str">
            <v>Settled</v>
          </cell>
        </row>
        <row r="5398">
          <cell r="J5398" t="str">
            <v>HK-Skrill Ltd-01/2023</v>
          </cell>
          <cell r="K5398" t="str">
            <v>Settled</v>
          </cell>
        </row>
        <row r="5399">
          <cell r="J5399" t="str">
            <v>HK-Skrill Ltd-02/2023</v>
          </cell>
          <cell r="K5399" t="str">
            <v>Settled</v>
          </cell>
        </row>
        <row r="5400">
          <cell r="J5400" t="str">
            <v>HK-Skrill Ltd-03/2023</v>
          </cell>
          <cell r="K5400" t="str">
            <v>Settled</v>
          </cell>
        </row>
        <row r="5401">
          <cell r="J5401" t="str">
            <v>HK-Skrill Ltd-04/2023</v>
          </cell>
          <cell r="K5401" t="str">
            <v>Settled</v>
          </cell>
        </row>
        <row r="5402">
          <cell r="J5402" t="str">
            <v>HK-Skrill Ltd-05/2023</v>
          </cell>
          <cell r="K5402" t="str">
            <v>Settled</v>
          </cell>
        </row>
        <row r="5403">
          <cell r="J5403" t="str">
            <v>HK-Skrill Ltd-06/2023</v>
          </cell>
          <cell r="K5403" t="str">
            <v>Settled</v>
          </cell>
        </row>
        <row r="5404">
          <cell r="J5404" t="str">
            <v>HK-Skrill Ltd-07/2023</v>
          </cell>
          <cell r="K5404" t="str">
            <v>Settled</v>
          </cell>
        </row>
        <row r="5405">
          <cell r="J5405" t="str">
            <v>HK -Skrill Ltd-08/2023</v>
          </cell>
          <cell r="K5405" t="str">
            <v>Settled</v>
          </cell>
        </row>
        <row r="5406">
          <cell r="J5406" t="str">
            <v>HK-Skrill Ltd-09/2023</v>
          </cell>
          <cell r="K5406" t="str">
            <v>Settled</v>
          </cell>
        </row>
        <row r="5407">
          <cell r="J5407" t="str">
            <v>HK-Skrill Ltd-10/2023</v>
          </cell>
          <cell r="K5407" t="str">
            <v>Settled</v>
          </cell>
        </row>
        <row r="5408">
          <cell r="J5408" t="str">
            <v>HK-Skrill Ltd-11/2023</v>
          </cell>
          <cell r="K5408" t="str">
            <v>Settled</v>
          </cell>
        </row>
        <row r="5409">
          <cell r="J5409" t="str">
            <v>HK-Skrill Ltd-12/2023</v>
          </cell>
          <cell r="K5409" t="str">
            <v>Settled</v>
          </cell>
        </row>
        <row r="5410">
          <cell r="J5410" t="str">
            <v>HK-Skrill Ltd-01/2024</v>
          </cell>
          <cell r="K5410" t="str">
            <v>Settled</v>
          </cell>
        </row>
        <row r="5411">
          <cell r="J5411" t="str">
            <v>HK-Skrill Ltd-02/2024</v>
          </cell>
          <cell r="K5411" t="str">
            <v>Settled</v>
          </cell>
        </row>
        <row r="5412">
          <cell r="J5412" t="str">
            <v>HK-Skrill Ltd-03/2024</v>
          </cell>
          <cell r="K5412" t="str">
            <v>Settled</v>
          </cell>
        </row>
        <row r="5413">
          <cell r="J5413" t="str">
            <v>HK-Skrill Ltd-04/2024</v>
          </cell>
          <cell r="K5413" t="str">
            <v>Settled</v>
          </cell>
        </row>
        <row r="5414">
          <cell r="J5414" t="str">
            <v>HK-Skrill Ltd-05/2024</v>
          </cell>
          <cell r="K5414" t="str">
            <v>Settled</v>
          </cell>
        </row>
        <row r="5415">
          <cell r="J5415" t="str">
            <v>HK-Skrill Ltd-06/2024</v>
          </cell>
          <cell r="K5415" t="str">
            <v>Settled</v>
          </cell>
        </row>
        <row r="5416">
          <cell r="J5416" t="str">
            <v>HK-Skrill Ltd-07/2024</v>
          </cell>
          <cell r="K5416" t="str">
            <v>Settled</v>
          </cell>
        </row>
        <row r="5417">
          <cell r="J5417" t="str">
            <v>HK-Skrill Ltd-08/2024</v>
          </cell>
          <cell r="K5417" t="str">
            <v>Settled</v>
          </cell>
        </row>
        <row r="5418">
          <cell r="J5418" t="str">
            <v>HK-Skrill Ltd-09/2024</v>
          </cell>
          <cell r="K5418" t="str">
            <v>Settled</v>
          </cell>
        </row>
        <row r="5419">
          <cell r="J5419" t="str">
            <v>HK-Skrill Ltd-10/2024</v>
          </cell>
          <cell r="K5419" t="str">
            <v>Settled</v>
          </cell>
        </row>
        <row r="5420">
          <cell r="J5420" t="str">
            <v>HK-Skrill Ltd-11/2024</v>
          </cell>
          <cell r="K5420" t="str">
            <v>Settled</v>
          </cell>
        </row>
        <row r="5421">
          <cell r="J5421" t="str">
            <v>HK-Skrill Ltd-12/2024</v>
          </cell>
          <cell r="K5421" t="str">
            <v>Settled</v>
          </cell>
        </row>
        <row r="5422">
          <cell r="J5422" t="str">
            <v>HK-Skrill Ltd-01/2025</v>
          </cell>
          <cell r="K5422" t="str">
            <v>Settled</v>
          </cell>
        </row>
        <row r="5423">
          <cell r="J5423" t="str">
            <v>HK-Skrill Ltd-02/2025</v>
          </cell>
          <cell r="K5423" t="str">
            <v>Settled</v>
          </cell>
        </row>
        <row r="5424">
          <cell r="J5424" t="str">
            <v>HK-Skrill Ltd-03/2025</v>
          </cell>
          <cell r="K5424" t="str">
            <v>Settled</v>
          </cell>
        </row>
        <row r="5425">
          <cell r="J5425" t="str">
            <v>HK-Skrill Ltd-04/2025</v>
          </cell>
          <cell r="K5425" t="str">
            <v>Settled</v>
          </cell>
        </row>
        <row r="5426">
          <cell r="J5426" t="str">
            <v>HK-Skrill Ltd-05/2025</v>
          </cell>
          <cell r="K5426" t="str">
            <v>Settled</v>
          </cell>
        </row>
        <row r="5427">
          <cell r="J5427" t="str">
            <v>HK-Skrill Ltd-06/2025</v>
          </cell>
          <cell r="K5427" t="str">
            <v>Settled</v>
          </cell>
        </row>
        <row r="5428">
          <cell r="J5428" t="str">
            <v>HK-Skrill Ltd-07/2025</v>
          </cell>
          <cell r="K5428" t="str">
            <v>Settled</v>
          </cell>
        </row>
        <row r="5429">
          <cell r="J5429" t="str">
            <v>HK-Skrill Ltd-08/2025</v>
          </cell>
          <cell r="K5429" t="str">
            <v>Settled</v>
          </cell>
        </row>
        <row r="5430">
          <cell r="J5430" t="str">
            <v>HK-Skrill Ltd-09/2025</v>
          </cell>
          <cell r="K5430" t="str">
            <v>Settled</v>
          </cell>
        </row>
        <row r="5431">
          <cell r="J5431" t="str">
            <v>HK-Skrill Ltd-10/2025</v>
          </cell>
          <cell r="K5431" t="str">
            <v>Settled</v>
          </cell>
        </row>
        <row r="5432">
          <cell r="J5432" t="str">
            <v>HK-Skrill Ltd-11/2025</v>
          </cell>
          <cell r="K5432" t="str">
            <v>Settled</v>
          </cell>
        </row>
        <row r="5433">
          <cell r="J5433" t="str">
            <v>HK-Skrill Ltd-12/2025</v>
          </cell>
          <cell r="K5433" t="str">
            <v>Settled</v>
          </cell>
        </row>
        <row r="5434">
          <cell r="J5434" t="str">
            <v>HK-Skrill Ltd-01/2026</v>
          </cell>
          <cell r="K5434" t="str">
            <v>Settled</v>
          </cell>
        </row>
        <row r="5435">
          <cell r="J5435" t="str">
            <v>HK-Skrill Ltd-02/2026</v>
          </cell>
          <cell r="K5435" t="str">
            <v>Settled</v>
          </cell>
        </row>
        <row r="5436">
          <cell r="J5436" t="str">
            <v>HK-Skrill Ltd-03/2026</v>
          </cell>
          <cell r="K5436" t="str">
            <v>Settled</v>
          </cell>
        </row>
        <row r="5437">
          <cell r="J5437" t="str">
            <v>HK-Skrill Ltd-04/2026</v>
          </cell>
          <cell r="K5437" t="str">
            <v>Settled</v>
          </cell>
        </row>
        <row r="5438">
          <cell r="J5438" t="str">
            <v>HK-Skrill Ltd-05/2026</v>
          </cell>
          <cell r="K5438" t="str">
            <v>Settled</v>
          </cell>
        </row>
        <row r="5439">
          <cell r="J5439" t="str">
            <v>SG-Skyee-11/2022</v>
          </cell>
          <cell r="K5439" t="str">
            <v>Settled</v>
          </cell>
        </row>
        <row r="5440">
          <cell r="J5440" t="str">
            <v>SG-Skyee-12/2022</v>
          </cell>
          <cell r="K5440" t="str">
            <v>Settled</v>
          </cell>
        </row>
        <row r="5441">
          <cell r="J5441" t="str">
            <v>SG-Skyee-01/2023</v>
          </cell>
          <cell r="K5441" t="str">
            <v>Settled</v>
          </cell>
        </row>
        <row r="5442">
          <cell r="J5442" t="str">
            <v>SG-Skyee-02/2023</v>
          </cell>
          <cell r="K5442" t="str">
            <v>Settled</v>
          </cell>
        </row>
        <row r="5443">
          <cell r="J5443" t="str">
            <v>SG-Skyee-03/2023</v>
          </cell>
          <cell r="K5443" t="str">
            <v>Settled</v>
          </cell>
        </row>
        <row r="5444">
          <cell r="J5444" t="str">
            <v>SG-Skyee-04/2023</v>
          </cell>
          <cell r="K5444" t="str">
            <v>Settled</v>
          </cell>
        </row>
        <row r="5445">
          <cell r="J5445" t="str">
            <v>SG-Skyee-05/2023</v>
          </cell>
          <cell r="K5445" t="str">
            <v>Settled</v>
          </cell>
        </row>
        <row r="5446">
          <cell r="J5446" t="str">
            <v>SG-Skyee-06/2023</v>
          </cell>
          <cell r="K5446" t="str">
            <v>Settled</v>
          </cell>
        </row>
        <row r="5447">
          <cell r="J5447" t="str">
            <v>SG-Skyee-07/2023</v>
          </cell>
          <cell r="K5447" t="str">
            <v>Settled</v>
          </cell>
        </row>
        <row r="5448">
          <cell r="J5448" t="str">
            <v>SG -Skyee-08/2023</v>
          </cell>
          <cell r="K5448" t="str">
            <v>Settled</v>
          </cell>
        </row>
        <row r="5449">
          <cell r="J5449" t="str">
            <v>SG-Skyee-09/2023</v>
          </cell>
          <cell r="K5449" t="str">
            <v>Settled</v>
          </cell>
        </row>
        <row r="5450">
          <cell r="J5450" t="str">
            <v>SG-Skyee-10/2023</v>
          </cell>
          <cell r="K5450" t="str">
            <v>Settled</v>
          </cell>
        </row>
        <row r="5451">
          <cell r="J5451" t="str">
            <v>SG-Skyee-11/2023</v>
          </cell>
          <cell r="K5451" t="str">
            <v>Settled</v>
          </cell>
        </row>
        <row r="5452">
          <cell r="J5452" t="str">
            <v>SG-Skyee-12/2023</v>
          </cell>
          <cell r="K5452" t="str">
            <v>Settled</v>
          </cell>
        </row>
        <row r="5453">
          <cell r="J5453" t="str">
            <v>SG-Skyee-01/2024</v>
          </cell>
          <cell r="K5453" t="str">
            <v>Settled</v>
          </cell>
        </row>
        <row r="5454">
          <cell r="J5454" t="str">
            <v>SG-Skyee-02/2024</v>
          </cell>
          <cell r="K5454" t="str">
            <v>Settled</v>
          </cell>
        </row>
        <row r="5455">
          <cell r="J5455" t="str">
            <v>SG-Skyee-03/2024</v>
          </cell>
          <cell r="K5455" t="str">
            <v>Settled</v>
          </cell>
        </row>
        <row r="5456">
          <cell r="J5456" t="str">
            <v>SG-Skyee-04/2024</v>
          </cell>
          <cell r="K5456" t="str">
            <v>Settled</v>
          </cell>
        </row>
        <row r="5457">
          <cell r="J5457" t="str">
            <v>SG-Skyee-05/2024</v>
          </cell>
          <cell r="K5457" t="str">
            <v>Settled</v>
          </cell>
        </row>
        <row r="5458">
          <cell r="J5458" t="str">
            <v>SG-Skyee-06/2024</v>
          </cell>
          <cell r="K5458" t="str">
            <v>Settled</v>
          </cell>
        </row>
        <row r="5459">
          <cell r="J5459" t="str">
            <v>SG-Skyee-07/2024</v>
          </cell>
          <cell r="K5459" t="str">
            <v>Settled</v>
          </cell>
        </row>
        <row r="5460">
          <cell r="J5460" t="str">
            <v>SG-Skyee-08/2024</v>
          </cell>
          <cell r="K5460" t="str">
            <v>Settled</v>
          </cell>
        </row>
        <row r="5461">
          <cell r="J5461" t="str">
            <v>SG-Skyee-09/2024</v>
          </cell>
          <cell r="K5461" t="str">
            <v>Settled</v>
          </cell>
        </row>
        <row r="5462">
          <cell r="J5462" t="str">
            <v>SG-Skyee-10/2024</v>
          </cell>
          <cell r="K5462" t="str">
            <v>Settled</v>
          </cell>
        </row>
        <row r="5463">
          <cell r="J5463" t="str">
            <v>SG-Skyee-11/2024</v>
          </cell>
          <cell r="K5463" t="str">
            <v>Settled</v>
          </cell>
        </row>
        <row r="5464">
          <cell r="J5464" t="str">
            <v>SG-Skyee-11/2024</v>
          </cell>
          <cell r="K5464" t="str">
            <v>Settled</v>
          </cell>
        </row>
        <row r="5465">
          <cell r="J5465" t="str">
            <v>SG-Skyee-12/2024</v>
          </cell>
          <cell r="K5465" t="str">
            <v>Settled</v>
          </cell>
        </row>
        <row r="5466">
          <cell r="J5466" t="str">
            <v>SG-Skyee-01/2025</v>
          </cell>
          <cell r="K5466" t="str">
            <v>Settled</v>
          </cell>
        </row>
        <row r="5467">
          <cell r="J5467" t="str">
            <v>SG-Skyee-02/2025</v>
          </cell>
          <cell r="K5467" t="str">
            <v>Settled</v>
          </cell>
        </row>
        <row r="5468">
          <cell r="J5468" t="str">
            <v>SG-Skyee-03/2025</v>
          </cell>
          <cell r="K5468" t="str">
            <v>Settled</v>
          </cell>
        </row>
        <row r="5469">
          <cell r="J5469" t="str">
            <v>SG-Skyee-04/2025</v>
          </cell>
          <cell r="K5469" t="str">
            <v>Settled</v>
          </cell>
        </row>
        <row r="5470">
          <cell r="J5470" t="str">
            <v>SG-Skyee-05/2025</v>
          </cell>
          <cell r="K5470" t="str">
            <v>Settled</v>
          </cell>
        </row>
        <row r="5471">
          <cell r="J5471" t="str">
            <v>SG-Skyee-06/2025</v>
          </cell>
          <cell r="K5471" t="str">
            <v>Settled</v>
          </cell>
        </row>
        <row r="5472">
          <cell r="J5472" t="str">
            <v>SG-Skyee-07/2025</v>
          </cell>
          <cell r="K5472" t="str">
            <v>Settled</v>
          </cell>
        </row>
        <row r="5473">
          <cell r="J5473" t="str">
            <v>SG-Skyee-08/2025</v>
          </cell>
          <cell r="K5473" t="str">
            <v>Settled</v>
          </cell>
        </row>
        <row r="5474">
          <cell r="J5474" t="str">
            <v>SG-Skyee-09/2025</v>
          </cell>
          <cell r="K5474" t="str">
            <v>Settled</v>
          </cell>
        </row>
        <row r="5475">
          <cell r="J5475" t="str">
            <v>SG-Skyee-10/2025</v>
          </cell>
          <cell r="K5475" t="str">
            <v>Settled</v>
          </cell>
        </row>
        <row r="5476">
          <cell r="J5476" t="str">
            <v>SG-Skyee-11/2025</v>
          </cell>
          <cell r="K5476" t="str">
            <v>Settled</v>
          </cell>
        </row>
        <row r="5477">
          <cell r="J5477" t="str">
            <v>SG-Skyee-12/2025</v>
          </cell>
          <cell r="K5477" t="str">
            <v>Settled</v>
          </cell>
        </row>
        <row r="5478">
          <cell r="J5478" t="str">
            <v>SG-Skyee-01/2026</v>
          </cell>
          <cell r="K5478" t="str">
            <v>Settled</v>
          </cell>
        </row>
        <row r="5479">
          <cell r="J5479" t="str">
            <v>SG-Skyee-02/2026</v>
          </cell>
          <cell r="K5479" t="str">
            <v>Settled</v>
          </cell>
        </row>
        <row r="5480">
          <cell r="J5480" t="str">
            <v>SG-Skyee-03/2026</v>
          </cell>
          <cell r="K5480" t="str">
            <v>Settled</v>
          </cell>
        </row>
        <row r="5481">
          <cell r="J5481" t="str">
            <v>SG-Skyee-04/2026</v>
          </cell>
          <cell r="K5481" t="str">
            <v>Settled</v>
          </cell>
        </row>
        <row r="5482">
          <cell r="J5482" t="str">
            <v>SG-Skyee-05/2026</v>
          </cell>
          <cell r="K5482" t="str">
            <v>Settled</v>
          </cell>
        </row>
        <row r="5483">
          <cell r="J5483" t="str">
            <v>SG -Sleek-06/2023</v>
          </cell>
          <cell r="K5483" t="str">
            <v>Settled</v>
          </cell>
        </row>
        <row r="5484">
          <cell r="J5484" t="str">
            <v>CA-Sma international-05/2022</v>
          </cell>
          <cell r="K5484" t="str">
            <v>Write Off</v>
          </cell>
        </row>
        <row r="5485">
          <cell r="J5485" t="str">
            <v>CA-Sma international-06/2022</v>
          </cell>
          <cell r="K5485" t="str">
            <v>Write Off</v>
          </cell>
        </row>
        <row r="5486">
          <cell r="J5486" t="str">
            <v>CA-Sma international-07/2022</v>
          </cell>
          <cell r="K5486" t="str">
            <v>Write Off</v>
          </cell>
        </row>
        <row r="5487">
          <cell r="J5487" t="str">
            <v>CA-Sma international-08/2022</v>
          </cell>
          <cell r="K5487" t="str">
            <v>Write Off</v>
          </cell>
        </row>
        <row r="5488">
          <cell r="J5488" t="str">
            <v>EU-Sme bank-11/2022</v>
          </cell>
          <cell r="K5488" t="str">
            <v>Settled</v>
          </cell>
        </row>
        <row r="5489">
          <cell r="J5489" t="str">
            <v>EU-Sme bank-12/2022</v>
          </cell>
          <cell r="K5489" t="str">
            <v>Settled</v>
          </cell>
        </row>
        <row r="5490">
          <cell r="J5490" t="str">
            <v>EU-Sme bank-01/2023</v>
          </cell>
          <cell r="K5490" t="str">
            <v>Settled</v>
          </cell>
        </row>
        <row r="5491">
          <cell r="J5491" t="str">
            <v>EU-Sme bank-02/2023</v>
          </cell>
          <cell r="K5491" t="str">
            <v>Settled</v>
          </cell>
        </row>
        <row r="5492">
          <cell r="J5492" t="str">
            <v>EU-Sme bank-03/2023</v>
          </cell>
          <cell r="K5492" t="str">
            <v>Settled</v>
          </cell>
        </row>
        <row r="5493">
          <cell r="J5493" t="str">
            <v>EU-sme bank-04/2023</v>
          </cell>
          <cell r="K5493" t="str">
            <v>Settled</v>
          </cell>
        </row>
        <row r="5494">
          <cell r="J5494" t="str">
            <v>EU-sme bank-05/2023</v>
          </cell>
          <cell r="K5494" t="str">
            <v>Settled</v>
          </cell>
        </row>
        <row r="5495">
          <cell r="J5495" t="str">
            <v>EU-sme bank-06/2023</v>
          </cell>
          <cell r="K5495" t="str">
            <v>Settled</v>
          </cell>
        </row>
        <row r="5496">
          <cell r="J5496" t="str">
            <v>EU-sme bank-07/2023</v>
          </cell>
          <cell r="K5496" t="str">
            <v>Settled</v>
          </cell>
        </row>
        <row r="5497">
          <cell r="J5497" t="str">
            <v>EU -sme bank-08/2023</v>
          </cell>
          <cell r="K5497" t="str">
            <v>Settled</v>
          </cell>
        </row>
        <row r="5498">
          <cell r="J5498" t="str">
            <v>EU-sme bank-09/2023</v>
          </cell>
          <cell r="K5498" t="str">
            <v>Settled</v>
          </cell>
        </row>
        <row r="5499">
          <cell r="J5499" t="str">
            <v>EU-sme bank-10/2023</v>
          </cell>
          <cell r="K5499" t="str">
            <v>Settled</v>
          </cell>
        </row>
        <row r="5500">
          <cell r="J5500" t="str">
            <v>EU-sme bank-11/2023</v>
          </cell>
          <cell r="K5500" t="str">
            <v>Settled</v>
          </cell>
        </row>
        <row r="5501">
          <cell r="J5501" t="str">
            <v>EU-sme bank-12/2023</v>
          </cell>
          <cell r="K5501" t="str">
            <v>Settled</v>
          </cell>
        </row>
        <row r="5502">
          <cell r="J5502" t="str">
            <v>EU-sme bank-01/2024</v>
          </cell>
          <cell r="K5502" t="str">
            <v>Settled</v>
          </cell>
        </row>
        <row r="5503">
          <cell r="J5503" t="str">
            <v>EU-sme bank-02/2024</v>
          </cell>
          <cell r="K5503" t="str">
            <v>Settled</v>
          </cell>
        </row>
        <row r="5504">
          <cell r="J5504" t="str">
            <v>EU-sme bank-03/2024</v>
          </cell>
          <cell r="K5504" t="str">
            <v>Settled</v>
          </cell>
        </row>
        <row r="5505">
          <cell r="J5505" t="str">
            <v>EU-sme bank-04/2024</v>
          </cell>
          <cell r="K5505" t="str">
            <v>Settled</v>
          </cell>
        </row>
        <row r="5506">
          <cell r="J5506" t="str">
            <v>EU-sme bank-05/2024</v>
          </cell>
          <cell r="K5506" t="str">
            <v>Settled</v>
          </cell>
        </row>
        <row r="5507">
          <cell r="J5507" t="str">
            <v>SG-Solid Financial Technologies Inc.-11/2022</v>
          </cell>
          <cell r="K5507" t="str">
            <v>Settled</v>
          </cell>
        </row>
        <row r="5508">
          <cell r="J5508" t="str">
            <v>SG-Solid Financial Technologies Inc.-12/2022</v>
          </cell>
          <cell r="K5508" t="str">
            <v>Settled</v>
          </cell>
        </row>
        <row r="5509">
          <cell r="J5509" t="str">
            <v>SG-Solid Financial Technologies Inc.-01/2023</v>
          </cell>
          <cell r="K5509" t="str">
            <v>Settled</v>
          </cell>
        </row>
        <row r="5510">
          <cell r="J5510" t="str">
            <v>SG-SolidFinTech-02/2023</v>
          </cell>
          <cell r="K5510" t="str">
            <v>Settled</v>
          </cell>
        </row>
        <row r="5511">
          <cell r="J5511" t="str">
            <v>SG-SolidFinTech-03/2023</v>
          </cell>
          <cell r="K5511" t="str">
            <v>Settled</v>
          </cell>
        </row>
        <row r="5512">
          <cell r="J5512" t="str">
            <v>SG-SolidFinTech-04/2023</v>
          </cell>
          <cell r="K5512" t="str">
            <v>Settled</v>
          </cell>
        </row>
        <row r="5513">
          <cell r="J5513" t="str">
            <v>SG-SOUTHERN-11/2023</v>
          </cell>
          <cell r="K5513" t="str">
            <v>Settled</v>
          </cell>
        </row>
        <row r="5514">
          <cell r="J5514" t="str">
            <v>SG-Sparkstation Pte Ltd-11/2022</v>
          </cell>
          <cell r="K5514" t="str">
            <v>Settled</v>
          </cell>
        </row>
        <row r="5515">
          <cell r="J5515" t="str">
            <v>SG-Sparkstation Pte Ltd-01/2023</v>
          </cell>
          <cell r="K5515" t="str">
            <v>Settled</v>
          </cell>
        </row>
        <row r="5516">
          <cell r="J5516" t="str">
            <v>SG-Sparkstation-02/2023</v>
          </cell>
          <cell r="K5516" t="str">
            <v>Settled</v>
          </cell>
        </row>
        <row r="5517">
          <cell r="J5517" t="str">
            <v>SG-Sparkstation-03/2023</v>
          </cell>
          <cell r="K5517" t="str">
            <v>Settled</v>
          </cell>
        </row>
        <row r="5518">
          <cell r="J5518" t="str">
            <v>SG-Sparkstation-05/2023</v>
          </cell>
          <cell r="K5518" t="str">
            <v>Settled</v>
          </cell>
        </row>
        <row r="5519">
          <cell r="J5519" t="str">
            <v>SG-Sparkstation-06/2023</v>
          </cell>
          <cell r="K5519" t="str">
            <v>Settled</v>
          </cell>
        </row>
        <row r="5520">
          <cell r="J5520" t="str">
            <v>SG-Sparkstation-07/2023</v>
          </cell>
          <cell r="K5520" t="str">
            <v>Settled</v>
          </cell>
        </row>
        <row r="5521">
          <cell r="J5521" t="str">
            <v>SG -Sparkstation-08/2023</v>
          </cell>
          <cell r="K5521" t="str">
            <v>Settled</v>
          </cell>
        </row>
        <row r="5522">
          <cell r="J5522" t="str">
            <v>EU -Spenfi UAB-07/2023</v>
          </cell>
          <cell r="K5522" t="str">
            <v>Settled</v>
          </cell>
        </row>
        <row r="5523">
          <cell r="J5523" t="str">
            <v>SG -Spreadfun Pte. Ltd-07/2023</v>
          </cell>
          <cell r="K5523" t="str">
            <v>Settled</v>
          </cell>
        </row>
        <row r="5524">
          <cell r="J5524" t="str">
            <v>SG-star dreams general-10/2022</v>
          </cell>
          <cell r="K5524" t="str">
            <v>Settled</v>
          </cell>
        </row>
        <row r="5525">
          <cell r="J5525" t="str">
            <v>SG-star dreams general-11/2022</v>
          </cell>
          <cell r="K5525" t="str">
            <v>Settled</v>
          </cell>
        </row>
        <row r="5526">
          <cell r="J5526" t="str">
            <v>SG-star dreams-12/2022</v>
          </cell>
          <cell r="K5526" t="str">
            <v>Settled</v>
          </cell>
        </row>
        <row r="5527">
          <cell r="J5527" t="str">
            <v>SG-star dreams-01/2023</v>
          </cell>
          <cell r="K5527" t="str">
            <v>Settled</v>
          </cell>
        </row>
        <row r="5528">
          <cell r="J5528" t="str">
            <v>SG-stardreams-02/2023</v>
          </cell>
          <cell r="K5528" t="str">
            <v>Settled</v>
          </cell>
        </row>
        <row r="5529">
          <cell r="J5529" t="str">
            <v>SG-stardreams-03/2023</v>
          </cell>
          <cell r="K5529" t="str">
            <v>Settled</v>
          </cell>
        </row>
        <row r="5530">
          <cell r="J5530" t="str">
            <v>SG-stardreams-04/2023</v>
          </cell>
          <cell r="K5530" t="str">
            <v>Settled</v>
          </cell>
        </row>
        <row r="5531">
          <cell r="J5531" t="str">
            <v>SG-sterling frontier-04/2023</v>
          </cell>
          <cell r="K5531" t="str">
            <v>Settled</v>
          </cell>
        </row>
        <row r="5532">
          <cell r="J5532" t="str">
            <v>SG-sterling frontier-05/2023</v>
          </cell>
          <cell r="K5532" t="str">
            <v>Settled</v>
          </cell>
        </row>
        <row r="5533">
          <cell r="J5533" t="str">
            <v>SG-sterling frontier-06/2023</v>
          </cell>
          <cell r="K5533" t="str">
            <v>Settled</v>
          </cell>
        </row>
        <row r="5534">
          <cell r="J5534" t="str">
            <v>US-US-just wallet-09/2022</v>
          </cell>
          <cell r="K5534" t="str">
            <v>Settled</v>
          </cell>
        </row>
        <row r="5535">
          <cell r="J5535" t="str">
            <v>US-US-just wallet-10/2022</v>
          </cell>
          <cell r="K5535" t="str">
            <v>Settled</v>
          </cell>
        </row>
        <row r="5536">
          <cell r="J5536" t="str">
            <v>US-US-just wallet-11/2022</v>
          </cell>
          <cell r="K5536" t="str">
            <v>Settled</v>
          </cell>
        </row>
        <row r="5537">
          <cell r="J5537" t="str">
            <v>US-Just wallet-12/2022</v>
          </cell>
          <cell r="K5537" t="str">
            <v>Settled</v>
          </cell>
        </row>
        <row r="5538">
          <cell r="J5538" t="str">
            <v>US-Just wallet-01/2023</v>
          </cell>
          <cell r="K5538" t="str">
            <v>Settled</v>
          </cell>
        </row>
        <row r="5539">
          <cell r="J5539" t="str">
            <v>US-Just wallet-02/2023</v>
          </cell>
          <cell r="K5539" t="str">
            <v>Settled</v>
          </cell>
        </row>
        <row r="5540">
          <cell r="J5540" t="str">
            <v>US-Just wallet-03/2023</v>
          </cell>
          <cell r="K5540" t="str">
            <v>Settled</v>
          </cell>
        </row>
        <row r="5541">
          <cell r="J5541" t="str">
            <v>US-Just wallet-04/2023</v>
          </cell>
          <cell r="K5541" t="str">
            <v>Settled</v>
          </cell>
        </row>
        <row r="5542">
          <cell r="J5542" t="str">
            <v>US-Just wallet-05/2023</v>
          </cell>
          <cell r="K5542" t="str">
            <v>Settled</v>
          </cell>
        </row>
        <row r="5543">
          <cell r="J5543" t="str">
            <v>US-Just wallet-06/2023</v>
          </cell>
          <cell r="K5543" t="str">
            <v>Settled</v>
          </cell>
        </row>
        <row r="5544">
          <cell r="J5544" t="str">
            <v>US-Just wallet-07/2023</v>
          </cell>
          <cell r="K5544" t="str">
            <v>Settled</v>
          </cell>
        </row>
        <row r="5545">
          <cell r="J5545" t="str">
            <v>US -Just wallet-08/2023</v>
          </cell>
          <cell r="K5545" t="str">
            <v>Waived Off</v>
          </cell>
        </row>
        <row r="5546">
          <cell r="J5546" t="str">
            <v>US-Just wallet-10/2023</v>
          </cell>
          <cell r="K5546" t="str">
            <v>Settled</v>
          </cell>
        </row>
        <row r="5547">
          <cell r="J5547" t="str">
            <v>US-Just wallet-11/2023</v>
          </cell>
          <cell r="K5547" t="str">
            <v>Settled</v>
          </cell>
        </row>
        <row r="5548">
          <cell r="J5548" t="str">
            <v>US-Just wallet-12/2023</v>
          </cell>
          <cell r="K5548" t="str">
            <v>Settled</v>
          </cell>
        </row>
        <row r="5549">
          <cell r="J5549" t="str">
            <v>US-Just wallet-01/2024</v>
          </cell>
          <cell r="K5549" t="str">
            <v>Settled</v>
          </cell>
        </row>
        <row r="5550">
          <cell r="J5550" t="str">
            <v>US-Just wallet-02/2024</v>
          </cell>
          <cell r="K5550" t="str">
            <v>Settled</v>
          </cell>
        </row>
        <row r="5551">
          <cell r="J5551" t="str">
            <v>US-Just wallet-03/2024</v>
          </cell>
          <cell r="K5551" t="str">
            <v>Settled</v>
          </cell>
        </row>
        <row r="5552">
          <cell r="J5552" t="str">
            <v>US-Just wallet-04/2024</v>
          </cell>
          <cell r="K5552" t="str">
            <v>Settled</v>
          </cell>
        </row>
        <row r="5553">
          <cell r="J5553" t="str">
            <v>US-Just wallet-05/2024</v>
          </cell>
          <cell r="K5553" t="str">
            <v>Settled</v>
          </cell>
        </row>
        <row r="5554">
          <cell r="J5554" t="str">
            <v>US-Just wallet-06/2024</v>
          </cell>
          <cell r="K5554" t="str">
            <v>Settled</v>
          </cell>
        </row>
        <row r="5555">
          <cell r="J5555" t="str">
            <v>US-Just wallet-07/2024</v>
          </cell>
          <cell r="K5555" t="str">
            <v>Settled</v>
          </cell>
        </row>
        <row r="5556">
          <cell r="J5556" t="str">
            <v>US-Just wallet-08/2024</v>
          </cell>
          <cell r="K5556" t="str">
            <v>Settled</v>
          </cell>
        </row>
        <row r="5557">
          <cell r="J5557" t="str">
            <v>US-Just wallet-09/2024</v>
          </cell>
          <cell r="K5557" t="str">
            <v>Settled</v>
          </cell>
        </row>
        <row r="5558">
          <cell r="J5558" t="str">
            <v>US-Just wallet-10/2024</v>
          </cell>
          <cell r="K5558" t="str">
            <v>Settled</v>
          </cell>
        </row>
        <row r="5559">
          <cell r="J5559" t="str">
            <v>US-Just wallet-11/2024</v>
          </cell>
          <cell r="K5559" t="str">
            <v>Settled</v>
          </cell>
        </row>
        <row r="5560">
          <cell r="J5560" t="str">
            <v>US-Just wallet-12/2024</v>
          </cell>
          <cell r="K5560" t="str">
            <v>Settled</v>
          </cell>
        </row>
        <row r="5561">
          <cell r="J5561" t="str">
            <v>US-Just wallet-01/2025</v>
          </cell>
          <cell r="K5561" t="str">
            <v>Settled</v>
          </cell>
        </row>
        <row r="5562">
          <cell r="J5562" t="str">
            <v>US-Just wallet-02/2025</v>
          </cell>
          <cell r="K5562" t="str">
            <v>Settled</v>
          </cell>
        </row>
        <row r="5563">
          <cell r="J5563" t="str">
            <v>US-Just wallet-03/2025</v>
          </cell>
          <cell r="K5563" t="str">
            <v>Settled</v>
          </cell>
        </row>
        <row r="5564">
          <cell r="J5564" t="str">
            <v>US-Just wallet-04/2025</v>
          </cell>
          <cell r="K5564" t="str">
            <v>Settled</v>
          </cell>
        </row>
        <row r="5565">
          <cell r="J5565" t="str">
            <v>US-Just wallet-05/2025</v>
          </cell>
          <cell r="K5565" t="str">
            <v>Settled</v>
          </cell>
        </row>
        <row r="5566">
          <cell r="J5566" t="str">
            <v>US-Just wallet-06/2025</v>
          </cell>
          <cell r="K5566" t="str">
            <v>Settled</v>
          </cell>
        </row>
        <row r="5567">
          <cell r="J5567" t="str">
            <v>US-Just wallet-07/2025</v>
          </cell>
          <cell r="K5567" t="str">
            <v>Settled</v>
          </cell>
        </row>
        <row r="5568">
          <cell r="J5568" t="str">
            <v>US-Just wallet-08/2025</v>
          </cell>
          <cell r="K5568" t="str">
            <v>Settled</v>
          </cell>
        </row>
        <row r="5569">
          <cell r="J5569" t="str">
            <v>US-Just wallet-09/2025</v>
          </cell>
          <cell r="K5569" t="str">
            <v>Settled</v>
          </cell>
        </row>
        <row r="5570">
          <cell r="J5570" t="str">
            <v>US-Just wallet-10/2025</v>
          </cell>
          <cell r="K5570" t="str">
            <v>Settled</v>
          </cell>
        </row>
        <row r="5571">
          <cell r="J5571" t="str">
            <v>US-Stratos Payments, Inc-11/2025</v>
          </cell>
          <cell r="K5571" t="str">
            <v>Settled</v>
          </cell>
        </row>
        <row r="5572">
          <cell r="J5572" t="str">
            <v>US-Stratos Payments, Inc-12/2025</v>
          </cell>
          <cell r="K5572" t="str">
            <v>Settled</v>
          </cell>
        </row>
        <row r="5573">
          <cell r="J5573" t="str">
            <v>US-Stratos Payments, Inc-01/2026</v>
          </cell>
          <cell r="K5573" t="str">
            <v>Settled</v>
          </cell>
        </row>
        <row r="5574">
          <cell r="J5574" t="str">
            <v>US-Stratos Payments, Inc-02/2026</v>
          </cell>
          <cell r="K5574" t="str">
            <v>Settled</v>
          </cell>
        </row>
        <row r="5575">
          <cell r="J5575" t="str">
            <v>US-Stratos Payments, Inc-03/2026</v>
          </cell>
          <cell r="K5575" t="str">
            <v>Force Settlement</v>
          </cell>
        </row>
        <row r="5576">
          <cell r="J5576" t="str">
            <v>US-Stratos Payments, Inc-05/2026</v>
          </cell>
          <cell r="K5576" t="str">
            <v>Force Settlement</v>
          </cell>
        </row>
        <row r="5577">
          <cell r="J5577" t="str">
            <v>SG -Supra-08/2023</v>
          </cell>
          <cell r="K5577" t="str">
            <v>Settled</v>
          </cell>
        </row>
        <row r="5578">
          <cell r="J5578" t="str">
            <v>SG -Supra-10/2023</v>
          </cell>
          <cell r="K5578" t="str">
            <v>Settled</v>
          </cell>
        </row>
        <row r="5579">
          <cell r="J5579" t="str">
            <v>SG-Supra-09/2023</v>
          </cell>
          <cell r="K5579" t="str">
            <v>Settled</v>
          </cell>
        </row>
        <row r="5580">
          <cell r="J5580" t="str">
            <v>SG-Supra-10/2023</v>
          </cell>
          <cell r="K5580" t="str">
            <v>Settled</v>
          </cell>
        </row>
        <row r="5581">
          <cell r="J5581" t="str">
            <v>SG-Supra-11/2023</v>
          </cell>
          <cell r="K5581" t="str">
            <v>Settled</v>
          </cell>
        </row>
        <row r="5582">
          <cell r="J5582" t="str">
            <v>SG-Supra-12/2023</v>
          </cell>
          <cell r="K5582" t="str">
            <v>Settled</v>
          </cell>
        </row>
        <row r="5583">
          <cell r="J5583" t="str">
            <v>SG-Supra-01/2024</v>
          </cell>
          <cell r="K5583" t="str">
            <v>Settled</v>
          </cell>
        </row>
        <row r="5584">
          <cell r="J5584" t="str">
            <v>SG-Supra-02/2024</v>
          </cell>
          <cell r="K5584" t="str">
            <v>Settled</v>
          </cell>
        </row>
        <row r="5585">
          <cell r="J5585" t="str">
            <v>SG-Supra-03/2024</v>
          </cell>
          <cell r="K5585" t="str">
            <v>Settled</v>
          </cell>
        </row>
        <row r="5586">
          <cell r="J5586" t="str">
            <v>SG-Supra-04/2024</v>
          </cell>
          <cell r="K5586" t="str">
            <v>Settled</v>
          </cell>
        </row>
        <row r="5587">
          <cell r="J5587" t="str">
            <v>SG-Supra-05/2024</v>
          </cell>
          <cell r="K5587" t="str">
            <v>Settled</v>
          </cell>
        </row>
        <row r="5588">
          <cell r="J5588" t="str">
            <v>SG-Supra-06/2024</v>
          </cell>
          <cell r="K5588" t="str">
            <v>Settled</v>
          </cell>
        </row>
        <row r="5589">
          <cell r="J5589" t="str">
            <v>SG-Supra-07/2024</v>
          </cell>
          <cell r="K5589" t="str">
            <v>Settled</v>
          </cell>
        </row>
        <row r="5590">
          <cell r="J5590" t="str">
            <v>SG-Supra-08/2024</v>
          </cell>
          <cell r="K5590" t="str">
            <v>Settled</v>
          </cell>
        </row>
        <row r="5591">
          <cell r="J5591" t="str">
            <v>SG-Supra-09/2024</v>
          </cell>
          <cell r="K5591" t="str">
            <v>Settled</v>
          </cell>
        </row>
        <row r="5592">
          <cell r="J5592" t="str">
            <v>SG-Supra-10/2024</v>
          </cell>
          <cell r="K5592" t="str">
            <v>Settled</v>
          </cell>
        </row>
        <row r="5593">
          <cell r="J5593" t="str">
            <v>SG-Supra-11/2024</v>
          </cell>
          <cell r="K5593" t="str">
            <v>Settled</v>
          </cell>
        </row>
        <row r="5594">
          <cell r="J5594" t="str">
            <v>SG-Supra-12/2024</v>
          </cell>
          <cell r="K5594" t="str">
            <v>Settled</v>
          </cell>
        </row>
        <row r="5595">
          <cell r="J5595" t="str">
            <v>SG-Supra-01/2025</v>
          </cell>
          <cell r="K5595" t="str">
            <v>Settled</v>
          </cell>
        </row>
        <row r="5596">
          <cell r="J5596" t="str">
            <v>SG-Supra-02/2025</v>
          </cell>
          <cell r="K5596" t="str">
            <v>Settled</v>
          </cell>
        </row>
        <row r="5597">
          <cell r="J5597" t="str">
            <v>SG-AD-Supra-03-2025</v>
          </cell>
          <cell r="K5597" t="str">
            <v>Settled</v>
          </cell>
        </row>
        <row r="5598">
          <cell r="J5598" t="str">
            <v>SG-Supra-03/2025</v>
          </cell>
          <cell r="K5598" t="str">
            <v>Settled</v>
          </cell>
        </row>
        <row r="5599">
          <cell r="J5599" t="str">
            <v>SG-Supra-04/2025</v>
          </cell>
          <cell r="K5599" t="str">
            <v>Settled</v>
          </cell>
        </row>
        <row r="5600">
          <cell r="J5600" t="str">
            <v>SG-Supra-05/2025</v>
          </cell>
          <cell r="K5600" t="str">
            <v>Settled</v>
          </cell>
        </row>
        <row r="5601">
          <cell r="J5601" t="str">
            <v>SG-Supra-06/2025</v>
          </cell>
          <cell r="K5601" t="str">
            <v>Settled</v>
          </cell>
        </row>
        <row r="5602">
          <cell r="J5602" t="str">
            <v>SG-Supra-07/2025</v>
          </cell>
          <cell r="K5602" t="str">
            <v>Settled</v>
          </cell>
        </row>
        <row r="5603">
          <cell r="J5603" t="str">
            <v>SG-Supra-08/2025</v>
          </cell>
          <cell r="K5603" t="str">
            <v>Settled</v>
          </cell>
        </row>
        <row r="5604">
          <cell r="J5604" t="str">
            <v>SG-Supra-09/2025</v>
          </cell>
          <cell r="K5604" t="str">
            <v>Settled</v>
          </cell>
        </row>
        <row r="5605">
          <cell r="J5605" t="str">
            <v>SG-Supra-10/2025</v>
          </cell>
          <cell r="K5605" t="str">
            <v>Settled</v>
          </cell>
        </row>
        <row r="5606">
          <cell r="J5606" t="str">
            <v>SG-Supra-11/2025</v>
          </cell>
          <cell r="K5606" t="str">
            <v>Settled</v>
          </cell>
        </row>
        <row r="5607">
          <cell r="J5607" t="str">
            <v>SG-Supra-12/2025</v>
          </cell>
          <cell r="K5607" t="str">
            <v>Settled</v>
          </cell>
        </row>
        <row r="5608">
          <cell r="J5608" t="str">
            <v>SG-Supra-01/2026</v>
          </cell>
          <cell r="K5608" t="str">
            <v>Settled</v>
          </cell>
        </row>
        <row r="5609">
          <cell r="J5609" t="str">
            <v>SG-Supra-02/2026</v>
          </cell>
          <cell r="K5609" t="str">
            <v>Settled</v>
          </cell>
        </row>
        <row r="5610">
          <cell r="J5610" t="str">
            <v>SG-Supra-03/2026</v>
          </cell>
          <cell r="K5610" t="str">
            <v>Settled</v>
          </cell>
        </row>
        <row r="5611">
          <cell r="J5611" t="str">
            <v>SG-Supra-04/2026</v>
          </cell>
          <cell r="K5611" t="str">
            <v>Settled</v>
          </cell>
        </row>
        <row r="5612">
          <cell r="J5612" t="str">
            <v>SG-Supra-05/2026</v>
          </cell>
          <cell r="K5612" t="str">
            <v>Settled</v>
          </cell>
        </row>
        <row r="5613">
          <cell r="J5613" t="str">
            <v>SG-TAURUS-02/2024</v>
          </cell>
          <cell r="K5613" t="str">
            <v>Waived Off</v>
          </cell>
        </row>
        <row r="5614">
          <cell r="J5614" t="str">
            <v>SG-TAURUS-11/2024</v>
          </cell>
          <cell r="K5614" t="str">
            <v>Settled</v>
          </cell>
        </row>
        <row r="5615">
          <cell r="J5615" t="str">
            <v>SG-TAURUS-01/2024</v>
          </cell>
          <cell r="K5615" t="str">
            <v>Settled</v>
          </cell>
        </row>
        <row r="5616">
          <cell r="J5616" t="str">
            <v>SG-TAURUS-03/2024</v>
          </cell>
          <cell r="K5616" t="str">
            <v>Settled</v>
          </cell>
        </row>
        <row r="5617">
          <cell r="J5617" t="str">
            <v>SG-TAURUS-02/2024</v>
          </cell>
          <cell r="K5617" t="str">
            <v>Settled</v>
          </cell>
        </row>
        <row r="5618">
          <cell r="J5618" t="str">
            <v>SG-TAURUS-04/2024</v>
          </cell>
          <cell r="K5618" t="str">
            <v>Settled</v>
          </cell>
        </row>
        <row r="5619">
          <cell r="J5619" t="str">
            <v>SG-TAURUS-05/2024</v>
          </cell>
          <cell r="K5619" t="str">
            <v>Settled</v>
          </cell>
        </row>
        <row r="5620">
          <cell r="J5620" t="str">
            <v>SG-TAURUS-06/2024</v>
          </cell>
          <cell r="K5620" t="str">
            <v>Settled</v>
          </cell>
        </row>
        <row r="5621">
          <cell r="J5621" t="str">
            <v>SG-CN-TAURUS-06-2024</v>
          </cell>
          <cell r="K5621" t="str">
            <v>Settled</v>
          </cell>
        </row>
        <row r="5622">
          <cell r="J5622" t="str">
            <v>SG-TAURUS-06/2024</v>
          </cell>
          <cell r="K5622" t="str">
            <v>Settled</v>
          </cell>
        </row>
        <row r="5623">
          <cell r="J5623" t="str">
            <v>SG-CN-TAURUS-03-2024</v>
          </cell>
          <cell r="K5623" t="str">
            <v>Settled</v>
          </cell>
        </row>
        <row r="5624">
          <cell r="J5624" t="str">
            <v>SG-CN-TAURUS-04-2024</v>
          </cell>
          <cell r="K5624" t="str">
            <v>Settled</v>
          </cell>
        </row>
        <row r="5625">
          <cell r="J5625" t="str">
            <v>SG-CN-TAURUS-05-2024</v>
          </cell>
          <cell r="K5625" t="str">
            <v>Settled</v>
          </cell>
        </row>
        <row r="5626">
          <cell r="J5626" t="str">
            <v>SG-TAURUS-07/2024</v>
          </cell>
          <cell r="K5626" t="str">
            <v>Settled</v>
          </cell>
        </row>
        <row r="5627">
          <cell r="J5627" t="str">
            <v>SG-TAURUS-08/2024</v>
          </cell>
          <cell r="K5627" t="str">
            <v>Settled</v>
          </cell>
        </row>
        <row r="5628">
          <cell r="J5628" t="str">
            <v>SG-TAURUS-09/2024</v>
          </cell>
          <cell r="K5628" t="str">
            <v>Settled</v>
          </cell>
        </row>
        <row r="5629">
          <cell r="J5629" t="str">
            <v>SG-TAURUS-10/2024</v>
          </cell>
          <cell r="K5629" t="str">
            <v>Settled</v>
          </cell>
        </row>
        <row r="5630">
          <cell r="J5630" t="str">
            <v>SG-tazapay canada corp-11/2022</v>
          </cell>
          <cell r="K5630" t="str">
            <v>Settled</v>
          </cell>
        </row>
        <row r="5631">
          <cell r="J5631" t="str">
            <v>SG-tazapay canada corp-12/2022</v>
          </cell>
          <cell r="K5631" t="str">
            <v>Settled</v>
          </cell>
        </row>
        <row r="5632">
          <cell r="J5632" t="str">
            <v>SG-tazapay canada corp-01/2023</v>
          </cell>
          <cell r="K5632" t="str">
            <v>Settled</v>
          </cell>
        </row>
        <row r="5633">
          <cell r="J5633" t="str">
            <v>SG-tazapay-02/2023</v>
          </cell>
          <cell r="K5633" t="str">
            <v>Settled</v>
          </cell>
        </row>
        <row r="5634">
          <cell r="J5634" t="str">
            <v>SG-tazapay-03/2023</v>
          </cell>
          <cell r="K5634" t="str">
            <v>Write Off</v>
          </cell>
        </row>
        <row r="5635">
          <cell r="J5635" t="str">
            <v>SG-tazapay-04/2023</v>
          </cell>
          <cell r="K5635" t="str">
            <v>Write Off</v>
          </cell>
        </row>
        <row r="5636">
          <cell r="J5636" t="str">
            <v>SG-tazapay-05/2023</v>
          </cell>
          <cell r="K5636" t="str">
            <v>Write Off</v>
          </cell>
        </row>
        <row r="5637">
          <cell r="J5637" t="str">
            <v>SG-tazapay-06/2023</v>
          </cell>
          <cell r="K5637" t="str">
            <v>Write Off</v>
          </cell>
        </row>
        <row r="5638">
          <cell r="J5638" t="str">
            <v>SG-tazapay-07/2023</v>
          </cell>
          <cell r="K5638" t="str">
            <v>Write Off</v>
          </cell>
        </row>
        <row r="5639">
          <cell r="J5639" t="str">
            <v>US -TClub Inc.-05/2023</v>
          </cell>
          <cell r="K5639" t="str">
            <v>Settled</v>
          </cell>
        </row>
        <row r="5640">
          <cell r="J5640" t="str">
            <v>US-TClub Inc.-05/2023</v>
          </cell>
          <cell r="K5640" t="str">
            <v>Settled</v>
          </cell>
        </row>
        <row r="5641">
          <cell r="J5641" t="str">
            <v>US-TClub Inc.-06/2023</v>
          </cell>
          <cell r="K5641" t="str">
            <v>Settled</v>
          </cell>
        </row>
        <row r="5642">
          <cell r="J5642" t="str">
            <v>US-TClub Inc.-07/2023</v>
          </cell>
          <cell r="K5642" t="str">
            <v>Settled</v>
          </cell>
        </row>
        <row r="5643">
          <cell r="J5643" t="str">
            <v>US -TClub Inc.-08/2023</v>
          </cell>
          <cell r="K5643" t="str">
            <v>Settled</v>
          </cell>
        </row>
        <row r="5644">
          <cell r="J5644" t="str">
            <v>US-TClub Inc.-09/2023</v>
          </cell>
          <cell r="K5644" t="str">
            <v>Settled</v>
          </cell>
        </row>
        <row r="5645">
          <cell r="J5645" t="str">
            <v>US-TClub Inc.-10/2023</v>
          </cell>
          <cell r="K5645" t="str">
            <v>Settled</v>
          </cell>
        </row>
        <row r="5646">
          <cell r="J5646" t="str">
            <v>US-TClub Inc.-11/2023</v>
          </cell>
          <cell r="K5646" t="str">
            <v>Settled</v>
          </cell>
        </row>
        <row r="5647">
          <cell r="J5647" t="str">
            <v>US-TClub Inc.-12/2023</v>
          </cell>
          <cell r="K5647" t="str">
            <v>Settled</v>
          </cell>
        </row>
        <row r="5648">
          <cell r="J5648" t="str">
            <v>US-TClub Inc.-01/2024</v>
          </cell>
          <cell r="K5648" t="str">
            <v>Settled</v>
          </cell>
        </row>
        <row r="5649">
          <cell r="J5649" t="str">
            <v>US-TClub Inc.-02/2024</v>
          </cell>
          <cell r="K5649" t="str">
            <v>Settled</v>
          </cell>
        </row>
        <row r="5650">
          <cell r="J5650" t="str">
            <v>US-TClub Inc.-03/2024</v>
          </cell>
          <cell r="K5650" t="str">
            <v>Settled</v>
          </cell>
        </row>
        <row r="5651">
          <cell r="J5651" t="str">
            <v>US-TClub Inc.-04/2024</v>
          </cell>
          <cell r="K5651" t="str">
            <v>Settled</v>
          </cell>
        </row>
        <row r="5652">
          <cell r="J5652" t="str">
            <v>US-TClub Inc.-05/2024</v>
          </cell>
          <cell r="K5652" t="str">
            <v>Settled</v>
          </cell>
        </row>
        <row r="5653">
          <cell r="J5653" t="str">
            <v>US-TClub Inc.-09/2024</v>
          </cell>
          <cell r="K5653" t="str">
            <v>Settled</v>
          </cell>
        </row>
        <row r="5654">
          <cell r="J5654" t="str">
            <v>US-TClub Inc.-10/2024</v>
          </cell>
          <cell r="K5654" t="str">
            <v>Settled</v>
          </cell>
        </row>
        <row r="5655">
          <cell r="J5655" t="str">
            <v>US-TClub Inc.-11/2024</v>
          </cell>
          <cell r="K5655" t="str">
            <v>Settled</v>
          </cell>
        </row>
        <row r="5656">
          <cell r="J5656" t="str">
            <v>US-TClub Inc.-12/2024</v>
          </cell>
          <cell r="K5656" t="str">
            <v>Settled</v>
          </cell>
        </row>
        <row r="5657">
          <cell r="J5657" t="str">
            <v>US-TClub Inc.-01/2025</v>
          </cell>
          <cell r="K5657" t="str">
            <v>Settled</v>
          </cell>
        </row>
        <row r="5658">
          <cell r="J5658" t="str">
            <v>US-TClub Inc.-02/2025</v>
          </cell>
          <cell r="K5658" t="str">
            <v>Settled</v>
          </cell>
        </row>
        <row r="5659">
          <cell r="J5659" t="str">
            <v>US-TClub Inc.-03/2025</v>
          </cell>
          <cell r="K5659" t="str">
            <v>Settled</v>
          </cell>
        </row>
        <row r="5660">
          <cell r="J5660" t="str">
            <v>US-TClub Inc.-04/2025</v>
          </cell>
          <cell r="K5660" t="str">
            <v>Settled</v>
          </cell>
        </row>
        <row r="5661">
          <cell r="J5661" t="str">
            <v>US-TClub Inc.-05/2025</v>
          </cell>
          <cell r="K5661" t="str">
            <v>Settled</v>
          </cell>
        </row>
        <row r="5662">
          <cell r="J5662" t="str">
            <v>US-TClub Inc.-06/2025</v>
          </cell>
          <cell r="K5662" t="str">
            <v>Settled</v>
          </cell>
        </row>
        <row r="5663">
          <cell r="J5663" t="str">
            <v>US-TClub Inc.-07/2025</v>
          </cell>
          <cell r="K5663" t="str">
            <v>Settled</v>
          </cell>
        </row>
        <row r="5664">
          <cell r="J5664" t="str">
            <v>US-TClub Inc.-08/2025</v>
          </cell>
          <cell r="K5664" t="str">
            <v>Settled</v>
          </cell>
        </row>
        <row r="5665">
          <cell r="J5665" t="str">
            <v>US-TClub Inc.-09/2025</v>
          </cell>
          <cell r="K5665" t="str">
            <v>Settled</v>
          </cell>
        </row>
        <row r="5666">
          <cell r="J5666" t="str">
            <v>US-TClub Inc.-10/2025</v>
          </cell>
          <cell r="K5666" t="str">
            <v>Settled</v>
          </cell>
        </row>
        <row r="5667">
          <cell r="J5667" t="str">
            <v>US-TClub Inc.-11/2025</v>
          </cell>
          <cell r="K5667" t="str">
            <v>Settled</v>
          </cell>
        </row>
        <row r="5668">
          <cell r="J5668" t="str">
            <v>US-TClub Inc.-12/2025</v>
          </cell>
          <cell r="K5668" t="str">
            <v>Net Off</v>
          </cell>
        </row>
        <row r="5669">
          <cell r="J5669" t="str">
            <v>US-TClub Inc.-01/2026</v>
          </cell>
          <cell r="K5669" t="str">
            <v>Net Off</v>
          </cell>
        </row>
        <row r="5670">
          <cell r="J5670" t="str">
            <v>US-TClub Inc.-04/2026</v>
          </cell>
          <cell r="K5670" t="str">
            <v>Net Off</v>
          </cell>
        </row>
        <row r="5671">
          <cell r="J5671" t="str">
            <v>US-TClub Inc.-05/2026</v>
          </cell>
          <cell r="K5671" t="str">
            <v>Net Off</v>
          </cell>
        </row>
        <row r="5672">
          <cell r="J5672" t="str">
            <v>US-CN-TClub Inc.-06-2026</v>
          </cell>
          <cell r="K5672" t="str">
            <v>Net Off</v>
          </cell>
        </row>
        <row r="5673">
          <cell r="J5673" t="str">
            <v>SG-AD-teledolar-06-2024</v>
          </cell>
          <cell r="K5673" t="str">
            <v>Settled</v>
          </cell>
        </row>
        <row r="5674">
          <cell r="J5674" t="str">
            <v>SG-CN-teledolar-06-2024</v>
          </cell>
          <cell r="K5674" t="str">
            <v>Settled</v>
          </cell>
        </row>
        <row r="5675">
          <cell r="J5675" t="str">
            <v>SG-teledolar-06/2024</v>
          </cell>
          <cell r="K5675" t="str">
            <v>Settled</v>
          </cell>
        </row>
        <row r="5676">
          <cell r="J5676" t="str">
            <v>SG-teledolar-07/2024</v>
          </cell>
          <cell r="K5676" t="str">
            <v>Settled</v>
          </cell>
        </row>
        <row r="5677">
          <cell r="J5677" t="str">
            <v>SG-teledolar-11/2022</v>
          </cell>
          <cell r="K5677" t="str">
            <v>Settled</v>
          </cell>
        </row>
        <row r="5678">
          <cell r="J5678" t="str">
            <v>SG-teledolar-12/2022</v>
          </cell>
          <cell r="K5678" t="str">
            <v>Settled</v>
          </cell>
        </row>
        <row r="5679">
          <cell r="J5679" t="str">
            <v>SG-teledolar-01/2023</v>
          </cell>
          <cell r="K5679" t="str">
            <v>Settled</v>
          </cell>
        </row>
        <row r="5680">
          <cell r="J5680" t="str">
            <v>SG-teledolar-02/2023</v>
          </cell>
          <cell r="K5680" t="str">
            <v>Settled</v>
          </cell>
        </row>
        <row r="5681">
          <cell r="J5681" t="str">
            <v>SG-teledolar-03/2023</v>
          </cell>
          <cell r="K5681" t="str">
            <v>Settled</v>
          </cell>
        </row>
        <row r="5682">
          <cell r="J5682" t="str">
            <v>SG-teledolar-04/2023</v>
          </cell>
          <cell r="K5682" t="str">
            <v>Settled</v>
          </cell>
        </row>
        <row r="5683">
          <cell r="J5683" t="str">
            <v>SG-teledolar-05/2023</v>
          </cell>
          <cell r="K5683" t="str">
            <v>Settled</v>
          </cell>
        </row>
        <row r="5684">
          <cell r="J5684" t="str">
            <v>SG-teledolar-06/2023</v>
          </cell>
          <cell r="K5684" t="str">
            <v>Settled</v>
          </cell>
        </row>
        <row r="5685">
          <cell r="J5685" t="str">
            <v>SG-teledolar-07/2023</v>
          </cell>
          <cell r="K5685" t="str">
            <v>Settled</v>
          </cell>
        </row>
        <row r="5686">
          <cell r="J5686" t="str">
            <v>SG -teledolar-08/2023</v>
          </cell>
          <cell r="K5686" t="str">
            <v>Settled</v>
          </cell>
        </row>
        <row r="5687">
          <cell r="J5687" t="str">
            <v>SG-teledolar-09/2023</v>
          </cell>
          <cell r="K5687" t="str">
            <v>Settled</v>
          </cell>
        </row>
        <row r="5688">
          <cell r="J5688" t="str">
            <v>SG-teledolar-10/2023</v>
          </cell>
          <cell r="K5688" t="str">
            <v>Settled</v>
          </cell>
        </row>
        <row r="5689">
          <cell r="J5689" t="str">
            <v>SG-teledolar-11/2023</v>
          </cell>
          <cell r="K5689" t="str">
            <v>Settled</v>
          </cell>
        </row>
        <row r="5690">
          <cell r="J5690" t="str">
            <v>SG-teledolar-12/2023</v>
          </cell>
          <cell r="K5690" t="str">
            <v>Settled</v>
          </cell>
        </row>
        <row r="5691">
          <cell r="J5691" t="str">
            <v>SG-teledolar-01/2024</v>
          </cell>
          <cell r="K5691" t="str">
            <v>Settled</v>
          </cell>
        </row>
        <row r="5692">
          <cell r="J5692" t="str">
            <v>SG-teledolar-02/2024</v>
          </cell>
          <cell r="K5692" t="str">
            <v>Settled</v>
          </cell>
        </row>
        <row r="5693">
          <cell r="J5693" t="str">
            <v>SG-teledolar-03/2024</v>
          </cell>
          <cell r="K5693" t="str">
            <v>Settled</v>
          </cell>
        </row>
        <row r="5694">
          <cell r="J5694" t="str">
            <v>SG-teledolar-04/2024</v>
          </cell>
          <cell r="K5694" t="str">
            <v>Settled</v>
          </cell>
        </row>
        <row r="5695">
          <cell r="J5695" t="str">
            <v>SG-teledolar-05/2024</v>
          </cell>
          <cell r="K5695" t="str">
            <v>Settled</v>
          </cell>
        </row>
        <row r="5696">
          <cell r="J5696" t="str">
            <v>SG -Telomere-05/2023</v>
          </cell>
          <cell r="K5696" t="str">
            <v>Settled</v>
          </cell>
        </row>
        <row r="5697">
          <cell r="J5697" t="str">
            <v>SG-terrawood global pte. ltd.-11/2022</v>
          </cell>
          <cell r="K5697" t="str">
            <v>Settled</v>
          </cell>
        </row>
        <row r="5698">
          <cell r="J5698" t="str">
            <v>SG-terrawood global pte. ltd.-12/2022</v>
          </cell>
          <cell r="K5698" t="str">
            <v>Settled</v>
          </cell>
        </row>
        <row r="5699">
          <cell r="J5699" t="str">
            <v>SG-terrawood global pte. ltd.-01/2023</v>
          </cell>
          <cell r="K5699" t="str">
            <v>Settled</v>
          </cell>
        </row>
        <row r="5700">
          <cell r="J5700" t="str">
            <v>SG-terrawoodglobal-02/2023</v>
          </cell>
          <cell r="K5700" t="str">
            <v>Settled</v>
          </cell>
        </row>
        <row r="5701">
          <cell r="J5701" t="str">
            <v>SG-terrawoodglobal-03/2023</v>
          </cell>
          <cell r="K5701" t="str">
            <v>Settled</v>
          </cell>
        </row>
        <row r="5702">
          <cell r="J5702" t="str">
            <v>SG-terrawoodglobal-04/2023</v>
          </cell>
          <cell r="K5702" t="str">
            <v>Settled</v>
          </cell>
        </row>
        <row r="5703">
          <cell r="J5703" t="str">
            <v>SG-terrawoodglobal-05/2023</v>
          </cell>
          <cell r="K5703" t="str">
            <v>Settled</v>
          </cell>
        </row>
        <row r="5704">
          <cell r="J5704" t="str">
            <v>SG-terrawoodglobal-06/2023</v>
          </cell>
          <cell r="K5704" t="str">
            <v>Settled</v>
          </cell>
        </row>
        <row r="5705">
          <cell r="J5705" t="str">
            <v>SG-terrawoodglobal-07/2023</v>
          </cell>
          <cell r="K5705" t="str">
            <v>Settled</v>
          </cell>
        </row>
        <row r="5706">
          <cell r="J5706" t="str">
            <v>SG -terrawoodglobal-08/2023</v>
          </cell>
          <cell r="K5706" t="str">
            <v>Settled</v>
          </cell>
        </row>
        <row r="5707">
          <cell r="J5707" t="str">
            <v>SG-Currency Cloud-10/2022</v>
          </cell>
          <cell r="K5707" t="str">
            <v>Settled</v>
          </cell>
        </row>
        <row r="5708">
          <cell r="J5708" t="str">
            <v>SG-Currency Cloud-11/2022</v>
          </cell>
          <cell r="K5708" t="str">
            <v>Settled</v>
          </cell>
        </row>
        <row r="5709">
          <cell r="J5709" t="str">
            <v>SG-Currency Cloud-12/2022</v>
          </cell>
          <cell r="K5709" t="str">
            <v>Settled</v>
          </cell>
        </row>
        <row r="5710">
          <cell r="J5710" t="str">
            <v>SG-Currency Cloud-01/2023</v>
          </cell>
          <cell r="K5710" t="str">
            <v>Settled</v>
          </cell>
        </row>
        <row r="5711">
          <cell r="J5711" t="str">
            <v>SG-Currency Cloud-02/2023</v>
          </cell>
          <cell r="K5711" t="str">
            <v>Settled</v>
          </cell>
        </row>
        <row r="5712">
          <cell r="J5712" t="str">
            <v>SG-Currency Cloud-03/2023</v>
          </cell>
          <cell r="K5712" t="str">
            <v>Settled</v>
          </cell>
        </row>
        <row r="5713">
          <cell r="J5713" t="str">
            <v>SG-Currency Cloud-04/2023</v>
          </cell>
          <cell r="K5713" t="str">
            <v>Settled</v>
          </cell>
        </row>
        <row r="5714">
          <cell r="J5714" t="str">
            <v>SG-Currency Cloud-05/2023</v>
          </cell>
          <cell r="K5714" t="str">
            <v>Settled</v>
          </cell>
        </row>
        <row r="5715">
          <cell r="J5715" t="str">
            <v>SG-Currency Cloud-06/2023</v>
          </cell>
          <cell r="K5715" t="str">
            <v>Settled</v>
          </cell>
        </row>
        <row r="5716">
          <cell r="J5716" t="str">
            <v>SG-Currency Cloud-07/2023</v>
          </cell>
          <cell r="K5716" t="str">
            <v>Settled</v>
          </cell>
        </row>
        <row r="5717">
          <cell r="J5717" t="str">
            <v>SG -Currency Cloud-08/2023</v>
          </cell>
          <cell r="K5717" t="str">
            <v>Settled</v>
          </cell>
        </row>
        <row r="5718">
          <cell r="J5718" t="str">
            <v>SG-Currency Cloud-09/2023</v>
          </cell>
          <cell r="K5718" t="str">
            <v>Settled</v>
          </cell>
        </row>
        <row r="5719">
          <cell r="J5719" t="str">
            <v>SG-Currency Cloud-10/2023</v>
          </cell>
          <cell r="K5719" t="str">
            <v>Settled</v>
          </cell>
        </row>
        <row r="5720">
          <cell r="J5720" t="str">
            <v>SG-Currency Cloud-11/2023</v>
          </cell>
          <cell r="K5720" t="str">
            <v>Settled</v>
          </cell>
        </row>
        <row r="5721">
          <cell r="J5721" t="str">
            <v>SG-Currency Cloud-12/2023</v>
          </cell>
          <cell r="K5721" t="str">
            <v>Settled</v>
          </cell>
        </row>
        <row r="5722">
          <cell r="J5722" t="str">
            <v>SG-Currency Cloud-01/2024</v>
          </cell>
          <cell r="K5722" t="str">
            <v>Settled</v>
          </cell>
        </row>
        <row r="5723">
          <cell r="J5723" t="str">
            <v>SG-Currency Cloud-01/2024-LP</v>
          </cell>
          <cell r="K5723" t="str">
            <v>Settled</v>
          </cell>
        </row>
        <row r="5724">
          <cell r="J5724" t="str">
            <v>SG-Currency Cloud-02/2024</v>
          </cell>
          <cell r="K5724" t="str">
            <v>Settled</v>
          </cell>
        </row>
        <row r="5725">
          <cell r="J5725" t="str">
            <v>SG-Currency Cloud-03/2024</v>
          </cell>
          <cell r="K5725" t="str">
            <v>Settled</v>
          </cell>
        </row>
        <row r="5726">
          <cell r="J5726" t="str">
            <v>SG-CN-Currency Cloud-04-2024</v>
          </cell>
          <cell r="K5726" t="str">
            <v>Settled</v>
          </cell>
        </row>
        <row r="5727">
          <cell r="J5727" t="str">
            <v>SG-Currency Cloud-04/2024</v>
          </cell>
          <cell r="K5727" t="str">
            <v>Settled</v>
          </cell>
        </row>
        <row r="5728">
          <cell r="J5728" t="str">
            <v>SG-Currency Cloud-05/2024</v>
          </cell>
          <cell r="K5728" t="str">
            <v>Settled</v>
          </cell>
        </row>
        <row r="5729">
          <cell r="J5729" t="str">
            <v>SG-Currency Cloud-06/2024</v>
          </cell>
          <cell r="K5729" t="str">
            <v>Settled</v>
          </cell>
        </row>
        <row r="5730">
          <cell r="J5730" t="str">
            <v>SG-Currency Cloud-07/2024</v>
          </cell>
          <cell r="K5730" t="str">
            <v>Settled</v>
          </cell>
        </row>
        <row r="5731">
          <cell r="J5731" t="str">
            <v>SG-Currency Cloud-08/2024</v>
          </cell>
          <cell r="K5731" t="str">
            <v>Settled</v>
          </cell>
        </row>
        <row r="5732">
          <cell r="J5732" t="str">
            <v>SG-Currency Cloud-09/2024</v>
          </cell>
          <cell r="K5732" t="str">
            <v>Settled</v>
          </cell>
        </row>
        <row r="5733">
          <cell r="J5733" t="str">
            <v>SG-Currency Cloud-10/2024</v>
          </cell>
          <cell r="K5733" t="str">
            <v>Settled</v>
          </cell>
        </row>
        <row r="5734">
          <cell r="J5734" t="str">
            <v>SG-Currency Cloud-11/2024</v>
          </cell>
          <cell r="K5734" t="str">
            <v>Settled</v>
          </cell>
        </row>
        <row r="5735">
          <cell r="J5735" t="str">
            <v>SG-Currency Cloud-12/2024</v>
          </cell>
          <cell r="K5735" t="str">
            <v>Settled</v>
          </cell>
        </row>
        <row r="5736">
          <cell r="J5736" t="str">
            <v>SG-Currency Cloud-01/2025</v>
          </cell>
          <cell r="K5736" t="str">
            <v>Settled</v>
          </cell>
        </row>
        <row r="5737">
          <cell r="J5737" t="str">
            <v>SG-Currency Cloud-02/2025</v>
          </cell>
          <cell r="K5737" t="str">
            <v>Settled</v>
          </cell>
        </row>
        <row r="5738">
          <cell r="J5738" t="str">
            <v>SG-Currency Cloud-03/2025</v>
          </cell>
          <cell r="K5738" t="str">
            <v>Settled</v>
          </cell>
        </row>
        <row r="5739">
          <cell r="J5739" t="str">
            <v>SG-Currency Cloud-04/2025</v>
          </cell>
          <cell r="K5739" t="str">
            <v>Settled</v>
          </cell>
        </row>
        <row r="5740">
          <cell r="J5740" t="str">
            <v>SG-Currency Cloud-05/2025</v>
          </cell>
          <cell r="K5740" t="str">
            <v>Settled</v>
          </cell>
        </row>
        <row r="5741">
          <cell r="J5741" t="str">
            <v>SG-Currency Cloud-06/2025</v>
          </cell>
          <cell r="K5741" t="str">
            <v>Settled</v>
          </cell>
        </row>
        <row r="5742">
          <cell r="J5742" t="str">
            <v>SG-Currency Cloud-07/2025</v>
          </cell>
          <cell r="K5742" t="str">
            <v>Settled</v>
          </cell>
        </row>
        <row r="5743">
          <cell r="J5743" t="str">
            <v>SG-Currency Cloud-08/2025</v>
          </cell>
          <cell r="K5743" t="str">
            <v>Settled</v>
          </cell>
        </row>
        <row r="5744">
          <cell r="J5744" t="str">
            <v>SG-Currency Cloud-09/2025</v>
          </cell>
          <cell r="K5744" t="str">
            <v>Settled</v>
          </cell>
        </row>
        <row r="5745">
          <cell r="J5745" t="str">
            <v>SG-Currency Cloud-10/2025</v>
          </cell>
          <cell r="K5745" t="str">
            <v>Settled</v>
          </cell>
        </row>
        <row r="5746">
          <cell r="J5746" t="str">
            <v>SG-Currency Cloud-11/2025</v>
          </cell>
          <cell r="K5746" t="str">
            <v>Settled</v>
          </cell>
        </row>
        <row r="5747">
          <cell r="J5747" t="str">
            <v>SG-Currency Cloud-12/2025</v>
          </cell>
          <cell r="K5747" t="str">
            <v>Settled</v>
          </cell>
        </row>
        <row r="5748">
          <cell r="J5748" t="str">
            <v>SG-Currency Cloud-01/2026</v>
          </cell>
          <cell r="K5748" t="str">
            <v>Settled</v>
          </cell>
        </row>
        <row r="5749">
          <cell r="J5749" t="str">
            <v>SG-Currency Cloud-02/2026</v>
          </cell>
          <cell r="K5749" t="str">
            <v>Settled</v>
          </cell>
        </row>
        <row r="5750">
          <cell r="J5750" t="str">
            <v>SG-Currency Cloud-03/2026</v>
          </cell>
          <cell r="K5750" t="str">
            <v>Settled</v>
          </cell>
        </row>
        <row r="5751">
          <cell r="J5751" t="str">
            <v>SG-Currency Cloud-04/2026</v>
          </cell>
          <cell r="K5751" t="str">
            <v>Settled</v>
          </cell>
        </row>
        <row r="5752">
          <cell r="J5752" t="str">
            <v>SG-Currency Cloud-05/2026</v>
          </cell>
          <cell r="K5752" t="str">
            <v>Settled</v>
          </cell>
        </row>
        <row r="5753">
          <cell r="J5753" t="str">
            <v>SG-thongzala pte ltd-05/2023</v>
          </cell>
          <cell r="K5753" t="str">
            <v>Settled</v>
          </cell>
        </row>
        <row r="5754">
          <cell r="J5754" t="str">
            <v>SG -thongzala pte ltd-08/2023</v>
          </cell>
          <cell r="K5754" t="str">
            <v>Settled</v>
          </cell>
        </row>
        <row r="5755">
          <cell r="J5755" t="str">
            <v>SG-thongzala pte ltd-09/2023</v>
          </cell>
          <cell r="K5755" t="str">
            <v>Settled</v>
          </cell>
        </row>
        <row r="5756">
          <cell r="J5756" t="str">
            <v>SG-thongzala pte ltd-10/2023</v>
          </cell>
          <cell r="K5756" t="str">
            <v>Settled</v>
          </cell>
        </row>
        <row r="5757">
          <cell r="J5757" t="str">
            <v>SG-thongzala pte ltd-11/2023</v>
          </cell>
          <cell r="K5757" t="str">
            <v>Settled</v>
          </cell>
        </row>
        <row r="5758">
          <cell r="J5758" t="str">
            <v>SG-Thrymr-02/2022</v>
          </cell>
          <cell r="K5758" t="str">
            <v>Settled</v>
          </cell>
        </row>
        <row r="5759">
          <cell r="J5759" t="str">
            <v>SG-Thrymr-03/2022</v>
          </cell>
          <cell r="K5759" t="str">
            <v>Settled</v>
          </cell>
        </row>
        <row r="5760">
          <cell r="J5760" t="str">
            <v>SG-Thrymr-04/2022</v>
          </cell>
          <cell r="K5760" t="str">
            <v>Settled</v>
          </cell>
        </row>
        <row r="5761">
          <cell r="J5761" t="str">
            <v>SG-Thrymr-05/2022</v>
          </cell>
          <cell r="K5761" t="str">
            <v>Settled</v>
          </cell>
        </row>
        <row r="5762">
          <cell r="J5762" t="str">
            <v>SG-Thrymr-06/2022</v>
          </cell>
          <cell r="K5762" t="str">
            <v>Settled</v>
          </cell>
        </row>
        <row r="5763">
          <cell r="J5763" t="str">
            <v>SG-Thrymr-07/2022</v>
          </cell>
          <cell r="K5763" t="str">
            <v>Settled</v>
          </cell>
        </row>
        <row r="5764">
          <cell r="J5764" t="str">
            <v>SG-thrymr software-11/2022</v>
          </cell>
          <cell r="K5764" t="str">
            <v>Settled</v>
          </cell>
        </row>
        <row r="5765">
          <cell r="J5765" t="str">
            <v>SG-thrymr software-12/2022</v>
          </cell>
          <cell r="K5765" t="str">
            <v>Settled</v>
          </cell>
        </row>
        <row r="5766">
          <cell r="J5766" t="str">
            <v>SG-thrymr software-01/2023</v>
          </cell>
          <cell r="K5766" t="str">
            <v>Settled</v>
          </cell>
        </row>
        <row r="5767">
          <cell r="J5767" t="str">
            <v>SG-thrymr software-02/2023</v>
          </cell>
          <cell r="K5767" t="str">
            <v>Settled</v>
          </cell>
        </row>
        <row r="5768">
          <cell r="J5768" t="str">
            <v>SG-thrymr software-03/2023</v>
          </cell>
          <cell r="K5768" t="str">
            <v>Settled</v>
          </cell>
        </row>
        <row r="5769">
          <cell r="J5769" t="str">
            <v>SG-thrymr software-04/2023</v>
          </cell>
          <cell r="K5769" t="str">
            <v>Settled</v>
          </cell>
        </row>
        <row r="5770">
          <cell r="J5770" t="str">
            <v>SG-thrymr software-05/2023</v>
          </cell>
          <cell r="K5770" t="str">
            <v>Settled</v>
          </cell>
        </row>
        <row r="5771">
          <cell r="J5771" t="str">
            <v>SG-thrymr software-06/2023</v>
          </cell>
          <cell r="K5771" t="str">
            <v>Settled</v>
          </cell>
        </row>
        <row r="5772">
          <cell r="J5772" t="str">
            <v>SG-thrymr software-07/2023</v>
          </cell>
          <cell r="K5772" t="str">
            <v>Settled</v>
          </cell>
        </row>
        <row r="5773">
          <cell r="J5773" t="str">
            <v>SG -thrymr software-CR-07/2023</v>
          </cell>
          <cell r="K5773" t="str">
            <v>Settled</v>
          </cell>
        </row>
        <row r="5774">
          <cell r="J5774" t="str">
            <v>SG -thrymr software-08/2023</v>
          </cell>
          <cell r="K5774" t="str">
            <v>Settled</v>
          </cell>
        </row>
        <row r="5775">
          <cell r="J5775" t="str">
            <v>SG-thrymr software-09/2023</v>
          </cell>
          <cell r="K5775" t="str">
            <v>Settled</v>
          </cell>
        </row>
        <row r="5776">
          <cell r="J5776" t="str">
            <v>SG-thrymr software-10/2023</v>
          </cell>
          <cell r="K5776" t="str">
            <v>Settled</v>
          </cell>
        </row>
        <row r="5777">
          <cell r="J5777" t="str">
            <v>SG-thrymr software-11/2023</v>
          </cell>
          <cell r="K5777" t="str">
            <v>Settled</v>
          </cell>
        </row>
        <row r="5778">
          <cell r="J5778" t="str">
            <v>SG-tiagn i inc. dba libertypay-11/2022</v>
          </cell>
          <cell r="K5778" t="str">
            <v>Settled</v>
          </cell>
        </row>
        <row r="5779">
          <cell r="J5779" t="str">
            <v>SG-tiagn i inc. dba libertypay-12/2022</v>
          </cell>
          <cell r="K5779" t="str">
            <v>Settled</v>
          </cell>
        </row>
        <row r="5780">
          <cell r="J5780" t="str">
            <v>SG-tiagn i inc. dba libertypay-01/2023</v>
          </cell>
          <cell r="K5780" t="str">
            <v>Settled</v>
          </cell>
        </row>
        <row r="5781">
          <cell r="J5781" t="str">
            <v>SG-tiagn-02/2023</v>
          </cell>
          <cell r="K5781" t="str">
            <v>Settled</v>
          </cell>
        </row>
        <row r="5782">
          <cell r="J5782" t="str">
            <v>SG-tiagn-03/2023</v>
          </cell>
          <cell r="K5782" t="str">
            <v>Settled</v>
          </cell>
        </row>
        <row r="5783">
          <cell r="J5783" t="str">
            <v>SG-tiagn-11/2023</v>
          </cell>
          <cell r="K5783" t="str">
            <v>Settled</v>
          </cell>
        </row>
        <row r="5784">
          <cell r="J5784" t="str">
            <v>SG-tiagn-11/2024</v>
          </cell>
          <cell r="K5784" t="str">
            <v>Net Off</v>
          </cell>
        </row>
        <row r="5785">
          <cell r="J5785" t="str">
            <v>SG-tiagn-12/2024</v>
          </cell>
          <cell r="K5785" t="str">
            <v>Net Off</v>
          </cell>
        </row>
        <row r="5786">
          <cell r="J5786" t="str">
            <v>SG-CN-tiagn-11-2024</v>
          </cell>
          <cell r="K5786" t="str">
            <v>Net Off</v>
          </cell>
        </row>
        <row r="5787">
          <cell r="J5787" t="str">
            <v>SG-CN-tiagn-12-2024</v>
          </cell>
          <cell r="K5787" t="str">
            <v>Net Off</v>
          </cell>
        </row>
        <row r="5788">
          <cell r="J5788" t="str">
            <v>SG-AD-Toss Bank-01-2026</v>
          </cell>
          <cell r="K5788" t="str">
            <v>Settled</v>
          </cell>
        </row>
        <row r="5789">
          <cell r="J5789" t="str">
            <v>SG-Toss Bank -12/2025</v>
          </cell>
          <cell r="K5789" t="str">
            <v>Settled</v>
          </cell>
        </row>
        <row r="5790">
          <cell r="J5790" t="str">
            <v>SG-Toss Bank -01/2026</v>
          </cell>
          <cell r="K5790" t="str">
            <v>Settled</v>
          </cell>
        </row>
        <row r="5791">
          <cell r="J5791" t="str">
            <v>SG-Toss Bank -02/2026</v>
          </cell>
          <cell r="K5791" t="str">
            <v>Settled</v>
          </cell>
        </row>
        <row r="5792">
          <cell r="J5792" t="str">
            <v>SG-Toss Bank -03/2026</v>
          </cell>
          <cell r="K5792" t="str">
            <v>Settled</v>
          </cell>
        </row>
        <row r="5793">
          <cell r="J5793" t="str">
            <v>SG-Toss Bank -04/2026</v>
          </cell>
          <cell r="K5793" t="str">
            <v>Settled</v>
          </cell>
        </row>
        <row r="5794">
          <cell r="J5794" t="str">
            <v>SG-Toss Bank -05/2026</v>
          </cell>
          <cell r="K5794" t="str">
            <v>Settled</v>
          </cell>
        </row>
        <row r="5795">
          <cell r="J5795" t="str">
            <v>SG-AD-Toss Bank-OD-01-2026</v>
          </cell>
          <cell r="K5795" t="str">
            <v>Settled</v>
          </cell>
        </row>
        <row r="5796">
          <cell r="J5796" t="str">
            <v>SG1-AD-Toss Bank-OD-02-2026</v>
          </cell>
          <cell r="K5796" t="str">
            <v>Settled</v>
          </cell>
        </row>
        <row r="5797">
          <cell r="J5797" t="str">
            <v>SG1-AD-Toss Bank-OD-03-2026</v>
          </cell>
          <cell r="K5797" t="str">
            <v>Settled</v>
          </cell>
        </row>
        <row r="5798">
          <cell r="J5798" t="str">
            <v>SG1-AD-Toss Bank-OD-04-2026</v>
          </cell>
          <cell r="K5798" t="str">
            <v>Settled</v>
          </cell>
        </row>
        <row r="5799">
          <cell r="J5799" t="str">
            <v>SG1-AD-Toss Bank-OD-05-2026</v>
          </cell>
          <cell r="K5799" t="str">
            <v>Settled</v>
          </cell>
        </row>
        <row r="5800">
          <cell r="J5800" t="str">
            <v>SG -transferclear pte ltd-03/2022</v>
          </cell>
          <cell r="K5800" t="str">
            <v>Settled</v>
          </cell>
        </row>
        <row r="5801">
          <cell r="J5801" t="str">
            <v>SG -transferclear pte ltd-04/2022</v>
          </cell>
          <cell r="K5801" t="str">
            <v>Settled</v>
          </cell>
        </row>
        <row r="5802">
          <cell r="J5802" t="str">
            <v>SG -transferclear pte ltd-05/2022</v>
          </cell>
          <cell r="K5802" t="str">
            <v>Settled</v>
          </cell>
        </row>
        <row r="5803">
          <cell r="J5803" t="str">
            <v>SG -transferclear pte ltd-06/2022</v>
          </cell>
          <cell r="K5803" t="str">
            <v>Settled</v>
          </cell>
        </row>
        <row r="5804">
          <cell r="J5804" t="str">
            <v>SG-Transferclear-08/2022</v>
          </cell>
          <cell r="K5804" t="str">
            <v>Settled</v>
          </cell>
        </row>
        <row r="5805">
          <cell r="J5805" t="str">
            <v>SG-Transferclear-09/2022</v>
          </cell>
          <cell r="K5805" t="str">
            <v>Settled</v>
          </cell>
        </row>
        <row r="5806">
          <cell r="J5806" t="str">
            <v>SG-Transferclear-10/2022</v>
          </cell>
          <cell r="K5806" t="str">
            <v>Settled</v>
          </cell>
        </row>
        <row r="5807">
          <cell r="J5807" t="str">
            <v>SG-Transferclear-11/2022</v>
          </cell>
          <cell r="K5807" t="str">
            <v>Settled</v>
          </cell>
        </row>
        <row r="5808">
          <cell r="J5808" t="str">
            <v>SG-transferclear pte ltd-12/2022</v>
          </cell>
          <cell r="K5808" t="str">
            <v>Write Off</v>
          </cell>
        </row>
        <row r="5809">
          <cell r="J5809" t="str">
            <v>SG-transferclear pte ltd-01/2023</v>
          </cell>
          <cell r="K5809" t="str">
            <v>Settled</v>
          </cell>
        </row>
        <row r="5810">
          <cell r="J5810" t="str">
            <v>SG-transferclear-02/2023</v>
          </cell>
          <cell r="K5810" t="str">
            <v>Write Off</v>
          </cell>
        </row>
        <row r="5811">
          <cell r="J5811" t="str">
            <v>SG-transferclear-03/2023</v>
          </cell>
          <cell r="K5811" t="str">
            <v>Write Off</v>
          </cell>
        </row>
        <row r="5812">
          <cell r="J5812" t="str">
            <v>SG-Transfergo-11/2022</v>
          </cell>
          <cell r="K5812" t="str">
            <v>Settled</v>
          </cell>
        </row>
        <row r="5813">
          <cell r="J5813" t="str">
            <v>SG-Transfergo-12/2022</v>
          </cell>
          <cell r="K5813" t="str">
            <v>Settled</v>
          </cell>
        </row>
        <row r="5814">
          <cell r="J5814" t="str">
            <v>SG-Transfergo-02/2023</v>
          </cell>
          <cell r="K5814" t="str">
            <v>Settled</v>
          </cell>
        </row>
        <row r="5815">
          <cell r="J5815" t="str">
            <v>SG-Transfergo-01/2023</v>
          </cell>
          <cell r="K5815" t="str">
            <v>Settled</v>
          </cell>
        </row>
        <row r="5816">
          <cell r="J5816" t="str">
            <v>SG-Transfergo-CR-01/2023</v>
          </cell>
          <cell r="K5816" t="str">
            <v>Settled</v>
          </cell>
        </row>
        <row r="5817">
          <cell r="J5817" t="str">
            <v>SG-Transfergo-CR-02/2023</v>
          </cell>
          <cell r="K5817" t="str">
            <v>Settled</v>
          </cell>
        </row>
        <row r="5818">
          <cell r="J5818" t="str">
            <v>SG-Transfergo-03/2023</v>
          </cell>
          <cell r="K5818" t="str">
            <v>Settled</v>
          </cell>
        </row>
        <row r="5819">
          <cell r="J5819" t="str">
            <v>SG-Transfergo-04/2023</v>
          </cell>
          <cell r="K5819" t="str">
            <v>Settled</v>
          </cell>
        </row>
        <row r="5820">
          <cell r="J5820" t="str">
            <v>SG-Transfergo-05/2023</v>
          </cell>
          <cell r="K5820" t="str">
            <v>Settled</v>
          </cell>
        </row>
        <row r="5821">
          <cell r="J5821" t="str">
            <v>SG-Transfergo-06/2023</v>
          </cell>
          <cell r="K5821" t="str">
            <v>Settled</v>
          </cell>
        </row>
        <row r="5822">
          <cell r="J5822" t="str">
            <v>SG-Transfergo-07/2023</v>
          </cell>
          <cell r="K5822" t="str">
            <v>Settled</v>
          </cell>
        </row>
        <row r="5823">
          <cell r="J5823" t="str">
            <v>SG -Transfergo-08/2023</v>
          </cell>
          <cell r="K5823" t="str">
            <v>Settled</v>
          </cell>
        </row>
        <row r="5824">
          <cell r="J5824" t="str">
            <v>SG-Transfergo-09/2023</v>
          </cell>
          <cell r="K5824" t="str">
            <v>Settled</v>
          </cell>
        </row>
        <row r="5825">
          <cell r="J5825" t="str">
            <v>SG-Transfergo-10/2023</v>
          </cell>
          <cell r="K5825" t="str">
            <v>Settled</v>
          </cell>
        </row>
        <row r="5826">
          <cell r="J5826" t="str">
            <v>SG-Transfergo-11/2023</v>
          </cell>
          <cell r="K5826" t="str">
            <v>Settled</v>
          </cell>
        </row>
        <row r="5827">
          <cell r="J5827" t="str">
            <v>SG-Transfergo-12/2023</v>
          </cell>
          <cell r="K5827" t="str">
            <v>Settled</v>
          </cell>
        </row>
        <row r="5828">
          <cell r="J5828" t="str">
            <v>SG-Transfergo-01/2024</v>
          </cell>
          <cell r="K5828" t="str">
            <v>Settled</v>
          </cell>
        </row>
        <row r="5829">
          <cell r="J5829" t="str">
            <v>SG-Transfergo-02/2024</v>
          </cell>
          <cell r="K5829" t="str">
            <v>Settled</v>
          </cell>
        </row>
        <row r="5830">
          <cell r="J5830" t="str">
            <v>SG-Transfergo-03/2024</v>
          </cell>
          <cell r="K5830" t="str">
            <v>Settled</v>
          </cell>
        </row>
        <row r="5831">
          <cell r="J5831" t="str">
            <v>SG-Transfergo-04/2024</v>
          </cell>
          <cell r="K5831" t="str">
            <v>Settled</v>
          </cell>
        </row>
        <row r="5832">
          <cell r="J5832" t="str">
            <v>SG-Transfergo-05/2024</v>
          </cell>
          <cell r="K5832" t="str">
            <v>Settled</v>
          </cell>
        </row>
        <row r="5833">
          <cell r="J5833" t="str">
            <v>SG-Transfergo-06/2024</v>
          </cell>
          <cell r="K5833" t="str">
            <v>Settled</v>
          </cell>
        </row>
        <row r="5834">
          <cell r="J5834" t="str">
            <v>SG-Transfergo-07/2024</v>
          </cell>
          <cell r="K5834" t="str">
            <v>Settled</v>
          </cell>
        </row>
        <row r="5835">
          <cell r="J5835" t="str">
            <v>SG-Transfergo-08/2024</v>
          </cell>
          <cell r="K5835" t="str">
            <v>Settled</v>
          </cell>
        </row>
        <row r="5836">
          <cell r="J5836" t="str">
            <v>SG-Transfergo-09/2024</v>
          </cell>
          <cell r="K5836" t="str">
            <v>Settled</v>
          </cell>
        </row>
        <row r="5837">
          <cell r="J5837" t="str">
            <v>SG-Transfergo-10/2024</v>
          </cell>
          <cell r="K5837" t="str">
            <v>Settled</v>
          </cell>
        </row>
        <row r="5838">
          <cell r="J5838" t="str">
            <v>SG-Transfergo-11/2024</v>
          </cell>
          <cell r="K5838" t="str">
            <v>Settled</v>
          </cell>
        </row>
        <row r="5839">
          <cell r="J5839" t="str">
            <v>SG-Transfergo-12/2024</v>
          </cell>
          <cell r="K5839" t="str">
            <v>Settled</v>
          </cell>
        </row>
        <row r="5840">
          <cell r="J5840" t="str">
            <v>SG-Transfergo-01/2025</v>
          </cell>
          <cell r="K5840" t="str">
            <v>Settled</v>
          </cell>
        </row>
        <row r="5841">
          <cell r="J5841" t="str">
            <v>SG-Transfergo-02/2025</v>
          </cell>
          <cell r="K5841" t="str">
            <v>Settled</v>
          </cell>
        </row>
        <row r="5842">
          <cell r="J5842" t="str">
            <v>SG-Transfergo-03/2025</v>
          </cell>
          <cell r="K5842" t="str">
            <v>Settled</v>
          </cell>
        </row>
        <row r="5843">
          <cell r="J5843" t="str">
            <v>SG-Transfergo-04/2025</v>
          </cell>
          <cell r="K5843" t="str">
            <v>Settled</v>
          </cell>
        </row>
        <row r="5844">
          <cell r="J5844" t="str">
            <v>SG-Transfergo-05/2025</v>
          </cell>
          <cell r="K5844" t="str">
            <v>Settled</v>
          </cell>
        </row>
        <row r="5845">
          <cell r="J5845" t="str">
            <v>SG-Transfergo-06/2025</v>
          </cell>
          <cell r="K5845" t="str">
            <v>Settled</v>
          </cell>
        </row>
        <row r="5846">
          <cell r="J5846" t="str">
            <v>SG-Transfergo-07/2025</v>
          </cell>
          <cell r="K5846" t="str">
            <v>Settled</v>
          </cell>
        </row>
        <row r="5847">
          <cell r="J5847" t="str">
            <v>SG-Transfergo-08/2025</v>
          </cell>
          <cell r="K5847" t="str">
            <v>Settled</v>
          </cell>
        </row>
        <row r="5848">
          <cell r="J5848" t="str">
            <v>SG-Transfergo-09/2025</v>
          </cell>
          <cell r="K5848" t="str">
            <v>Settled</v>
          </cell>
        </row>
        <row r="5849">
          <cell r="J5849" t="str">
            <v>SG-Transfergo-10/2025</v>
          </cell>
          <cell r="K5849" t="str">
            <v>Settled</v>
          </cell>
        </row>
        <row r="5850">
          <cell r="J5850" t="str">
            <v>SG-Transfergo-11/2025</v>
          </cell>
          <cell r="K5850" t="str">
            <v>Settled</v>
          </cell>
        </row>
        <row r="5851">
          <cell r="J5851" t="str">
            <v>SG-Transfergo-12/2025</v>
          </cell>
          <cell r="K5851" t="str">
            <v>Settled</v>
          </cell>
        </row>
        <row r="5852">
          <cell r="J5852" t="str">
            <v>SG-Transfergo-01/2026</v>
          </cell>
          <cell r="K5852" t="str">
            <v>Settled</v>
          </cell>
        </row>
        <row r="5853">
          <cell r="J5853" t="str">
            <v>SG-Transfergo-02/2026</v>
          </cell>
          <cell r="K5853" t="str">
            <v>Settled</v>
          </cell>
        </row>
        <row r="5854">
          <cell r="J5854" t="str">
            <v>SG-Transfergo-03/2026</v>
          </cell>
          <cell r="K5854" t="str">
            <v>Settled</v>
          </cell>
        </row>
        <row r="5855">
          <cell r="J5855" t="str">
            <v>SG-Transfergo-04/2026</v>
          </cell>
          <cell r="K5855" t="str">
            <v>Settled</v>
          </cell>
        </row>
        <row r="5856">
          <cell r="J5856" t="str">
            <v>SG-Transfergo-05/2026</v>
          </cell>
          <cell r="K5856" t="str">
            <v>Settled</v>
          </cell>
        </row>
        <row r="5857">
          <cell r="J5857" t="str">
            <v>SG-TravelEasy-01/2024</v>
          </cell>
          <cell r="K5857" t="str">
            <v>Settled</v>
          </cell>
        </row>
        <row r="5858">
          <cell r="J5858" t="str">
            <v>SG-TravelEasy-03/2024</v>
          </cell>
          <cell r="K5858" t="str">
            <v>Settled</v>
          </cell>
        </row>
        <row r="5859">
          <cell r="J5859" t="str">
            <v>SG-TravelEasy-04/2024</v>
          </cell>
          <cell r="K5859" t="str">
            <v>Settled</v>
          </cell>
        </row>
        <row r="5860">
          <cell r="J5860" t="str">
            <v>SG-TravelEasy-05/2024</v>
          </cell>
          <cell r="K5860" t="str">
            <v>Settled</v>
          </cell>
        </row>
        <row r="5861">
          <cell r="J5861" t="str">
            <v>SG-TravelEasy-06/2024</v>
          </cell>
          <cell r="K5861" t="str">
            <v>Settled</v>
          </cell>
        </row>
        <row r="5862">
          <cell r="J5862" t="str">
            <v>SG-TravelEasy-07/2024</v>
          </cell>
          <cell r="K5862" t="str">
            <v>Settled</v>
          </cell>
        </row>
        <row r="5863">
          <cell r="J5863" t="str">
            <v>SG-TravelEasy-08/2024</v>
          </cell>
          <cell r="K5863" t="str">
            <v>Settled</v>
          </cell>
        </row>
        <row r="5864">
          <cell r="J5864" t="str">
            <v>SG-TravelEasy-09/2024</v>
          </cell>
          <cell r="K5864" t="str">
            <v>Settled</v>
          </cell>
        </row>
        <row r="5865">
          <cell r="J5865" t="str">
            <v>SG-TravelEasy-10/2024</v>
          </cell>
          <cell r="K5865" t="str">
            <v>Settled</v>
          </cell>
        </row>
        <row r="5866">
          <cell r="J5866" t="str">
            <v>SG-TravelEasy-11/2024</v>
          </cell>
          <cell r="K5866" t="str">
            <v>Settled</v>
          </cell>
        </row>
        <row r="5867">
          <cell r="J5867" t="str">
            <v>SG-TravelEasy-01/2025</v>
          </cell>
          <cell r="K5867" t="str">
            <v>Settled</v>
          </cell>
        </row>
        <row r="5868">
          <cell r="J5868" t="str">
            <v>SG-TravelEasy-12/2024</v>
          </cell>
          <cell r="K5868" t="str">
            <v>Settled</v>
          </cell>
        </row>
        <row r="5869">
          <cell r="J5869" t="str">
            <v>SG -TVGD-04/2023</v>
          </cell>
          <cell r="K5869" t="str">
            <v>Settled</v>
          </cell>
        </row>
        <row r="5870">
          <cell r="J5870" t="str">
            <v>SG-UFintechHub Inc-03/2023</v>
          </cell>
          <cell r="K5870" t="str">
            <v>Settled</v>
          </cell>
        </row>
        <row r="5871">
          <cell r="J5871" t="str">
            <v>SG-UFintechHubSetupfees-03/2023</v>
          </cell>
          <cell r="K5871" t="str">
            <v>Settled</v>
          </cell>
        </row>
        <row r="5872">
          <cell r="J5872" t="str">
            <v>SG-UFintechHub Inc-04/2023</v>
          </cell>
          <cell r="K5872" t="str">
            <v>Settled</v>
          </cell>
        </row>
        <row r="5873">
          <cell r="J5873" t="str">
            <v>SG-UFintechHub Inc-05/2023</v>
          </cell>
          <cell r="K5873" t="str">
            <v>Settled</v>
          </cell>
        </row>
        <row r="5874">
          <cell r="J5874" t="str">
            <v>SG-UFintechHub Inc-CR-05/2023</v>
          </cell>
          <cell r="K5874" t="str">
            <v>Settled</v>
          </cell>
        </row>
        <row r="5875">
          <cell r="J5875" t="str">
            <v>SG-UFintechHub Inc-06/2023</v>
          </cell>
          <cell r="K5875" t="str">
            <v>Settled</v>
          </cell>
        </row>
        <row r="5876">
          <cell r="J5876" t="str">
            <v>SG-UFintechHub Inc-07/2023</v>
          </cell>
          <cell r="K5876" t="str">
            <v>Settled</v>
          </cell>
        </row>
        <row r="5877">
          <cell r="J5877" t="str">
            <v>SG -UFintechHub Inc-08/2023</v>
          </cell>
          <cell r="K5877" t="str">
            <v>Settled</v>
          </cell>
        </row>
        <row r="5878">
          <cell r="J5878" t="str">
            <v>SG-UFintechHub Inc-09/2023</v>
          </cell>
          <cell r="K5878" t="str">
            <v>Settled</v>
          </cell>
        </row>
        <row r="5879">
          <cell r="J5879" t="str">
            <v>SG-UFintechHub Inc-10/2023</v>
          </cell>
          <cell r="K5879" t="str">
            <v>Settled</v>
          </cell>
        </row>
        <row r="5880">
          <cell r="J5880" t="str">
            <v>SG-UFintechHub Inc-11/2023</v>
          </cell>
          <cell r="K5880" t="str">
            <v>Settled</v>
          </cell>
        </row>
        <row r="5881">
          <cell r="J5881" t="str">
            <v>SG-UFintechHub-12/2023</v>
          </cell>
          <cell r="K5881" t="str">
            <v>Settled</v>
          </cell>
        </row>
        <row r="5882">
          <cell r="J5882" t="str">
            <v>SG-UFintechHub Inc-01/2024</v>
          </cell>
          <cell r="K5882" t="str">
            <v>Settled</v>
          </cell>
        </row>
        <row r="5883">
          <cell r="J5883" t="str">
            <v>SG-UFintechHub Inc-02/2024</v>
          </cell>
          <cell r="K5883" t="str">
            <v>Settled</v>
          </cell>
        </row>
        <row r="5884">
          <cell r="J5884" t="str">
            <v>SG-UFintechHub Inc-03/2024</v>
          </cell>
          <cell r="K5884" t="str">
            <v>Settled</v>
          </cell>
        </row>
        <row r="5885">
          <cell r="J5885" t="str">
            <v>SG-UFintechHub Inc-04/2024</v>
          </cell>
          <cell r="K5885" t="str">
            <v>Settled</v>
          </cell>
        </row>
        <row r="5886">
          <cell r="J5886" t="str">
            <v>SG-UFintechHub Inc-05/2024</v>
          </cell>
          <cell r="K5886" t="str">
            <v>Settled</v>
          </cell>
        </row>
        <row r="5887">
          <cell r="J5887" t="str">
            <v>SG-UFintechHub Inc-06/2024</v>
          </cell>
          <cell r="K5887" t="str">
            <v>Settled</v>
          </cell>
        </row>
        <row r="5888">
          <cell r="J5888" t="str">
            <v>SG-UFintechHub Inc-07/2024</v>
          </cell>
          <cell r="K5888" t="str">
            <v>Settled</v>
          </cell>
        </row>
        <row r="5889">
          <cell r="J5889" t="str">
            <v>SG-UFintechHub Inc-08/2024</v>
          </cell>
          <cell r="K5889" t="str">
            <v>Settled</v>
          </cell>
        </row>
        <row r="5890">
          <cell r="J5890" t="str">
            <v>SG-UFintechHub Inc-09/2024</v>
          </cell>
          <cell r="K5890" t="str">
            <v>Settled</v>
          </cell>
        </row>
        <row r="5891">
          <cell r="J5891" t="str">
            <v>SG-UFintechHub Inc-10/2024</v>
          </cell>
          <cell r="K5891" t="str">
            <v>Settled</v>
          </cell>
        </row>
        <row r="5892">
          <cell r="J5892" t="str">
            <v>SG-UFintechHub Inc-11/2024</v>
          </cell>
          <cell r="K5892" t="str">
            <v>Settled</v>
          </cell>
        </row>
        <row r="5893">
          <cell r="J5893" t="str">
            <v>SG-UFintechHub Inc-12/2024</v>
          </cell>
          <cell r="K5893" t="str">
            <v>Settled</v>
          </cell>
        </row>
        <row r="5894">
          <cell r="J5894" t="str">
            <v>SG-UFintechHub Inc-01/2025</v>
          </cell>
          <cell r="K5894" t="str">
            <v>Settled</v>
          </cell>
        </row>
        <row r="5895">
          <cell r="J5895" t="str">
            <v>SG-CN-UFintechHub Inc-05-2025</v>
          </cell>
          <cell r="K5895" t="str">
            <v>Settled</v>
          </cell>
        </row>
        <row r="5896">
          <cell r="J5896" t="str">
            <v>SG-UFintechHub Inc-02/2025</v>
          </cell>
          <cell r="K5896" t="str">
            <v>Settled</v>
          </cell>
        </row>
        <row r="5897">
          <cell r="J5897" t="str">
            <v>SG-UFintechHub Inc-03/2025</v>
          </cell>
          <cell r="K5897" t="str">
            <v>Settled</v>
          </cell>
        </row>
        <row r="5898">
          <cell r="J5898" t="str">
            <v>SG-CN-UFintechHub Inc-04-2025</v>
          </cell>
          <cell r="K5898" t="str">
            <v>Settled</v>
          </cell>
        </row>
        <row r="5899">
          <cell r="J5899" t="str">
            <v>SG-UFintechHub Inc-04/2025</v>
          </cell>
          <cell r="K5899" t="str">
            <v>Settled</v>
          </cell>
        </row>
        <row r="5900">
          <cell r="J5900" t="str">
            <v>SG-UFintechHub Inc-05/2025</v>
          </cell>
          <cell r="K5900" t="str">
            <v>Settled</v>
          </cell>
        </row>
        <row r="5901">
          <cell r="J5901" t="str">
            <v>SG-CN-UFintechHub Inc-06-2025</v>
          </cell>
          <cell r="K5901" t="str">
            <v>Settled</v>
          </cell>
        </row>
        <row r="5902">
          <cell r="J5902" t="str">
            <v>SG-UFintechHub Inc-06/2025</v>
          </cell>
          <cell r="K5902" t="str">
            <v>Settled</v>
          </cell>
        </row>
        <row r="5903">
          <cell r="J5903" t="str">
            <v>SG-UFintechHub Inc-07/2025</v>
          </cell>
          <cell r="K5903" t="str">
            <v>Settled</v>
          </cell>
        </row>
        <row r="5904">
          <cell r="J5904" t="str">
            <v>SG-UFintechHub Inc-08/2025</v>
          </cell>
          <cell r="K5904" t="str">
            <v>Settled</v>
          </cell>
        </row>
        <row r="5905">
          <cell r="J5905" t="str">
            <v>SG-UFintechHub Inc-09/2025</v>
          </cell>
          <cell r="K5905" t="str">
            <v>Settled</v>
          </cell>
        </row>
        <row r="5906">
          <cell r="J5906" t="str">
            <v>SG-CN-UFintechHub Inc-10/2025</v>
          </cell>
          <cell r="K5906" t="str">
            <v>Settled</v>
          </cell>
        </row>
        <row r="5907">
          <cell r="J5907" t="str">
            <v>SG-UFintechHub Inc-10/2025</v>
          </cell>
          <cell r="K5907" t="str">
            <v>Settled</v>
          </cell>
        </row>
        <row r="5908">
          <cell r="J5908" t="str">
            <v>SG-CN-UFintechHub Inc-11-2025</v>
          </cell>
          <cell r="K5908" t="str">
            <v>Settled</v>
          </cell>
        </row>
        <row r="5909">
          <cell r="J5909" t="str">
            <v>SG-UFintechHub Inc-11/2025</v>
          </cell>
          <cell r="K5909" t="str">
            <v>Settled</v>
          </cell>
        </row>
        <row r="5910">
          <cell r="J5910" t="str">
            <v>SG-CN-UFintechHub Inc-12-2025</v>
          </cell>
          <cell r="K5910" t="str">
            <v>Settled</v>
          </cell>
        </row>
        <row r="5911">
          <cell r="J5911" t="str">
            <v>SG-UFintechHub Inc-12/2025</v>
          </cell>
          <cell r="K5911" t="str">
            <v>Settled</v>
          </cell>
        </row>
        <row r="5912">
          <cell r="J5912" t="str">
            <v>SG-UFintechHub Inc-01/2026</v>
          </cell>
          <cell r="K5912" t="str">
            <v>Settled</v>
          </cell>
        </row>
        <row r="5913">
          <cell r="J5913" t="str">
            <v>SG-UFintechHub Inc-02/2026</v>
          </cell>
          <cell r="K5913" t="str">
            <v>Settled</v>
          </cell>
        </row>
        <row r="5914">
          <cell r="J5914" t="str">
            <v>SG-CN-UFintechHub Inc-03-2026</v>
          </cell>
          <cell r="K5914" t="str">
            <v>Settled</v>
          </cell>
        </row>
        <row r="5915">
          <cell r="J5915" t="str">
            <v>SG-UFintechHub Inc-03/2026</v>
          </cell>
          <cell r="K5915" t="str">
            <v>Settled</v>
          </cell>
        </row>
        <row r="5916">
          <cell r="J5916" t="str">
            <v>SG-UFintechHub Inc-04/2026</v>
          </cell>
          <cell r="K5916" t="str">
            <v>Settled</v>
          </cell>
        </row>
        <row r="5917">
          <cell r="J5917" t="str">
            <v>SG-CN-UFintechHub Inc-05-2026</v>
          </cell>
          <cell r="K5917" t="str">
            <v>Settled</v>
          </cell>
        </row>
        <row r="5918">
          <cell r="J5918" t="str">
            <v>SG-UFintechHub Inc-05/2026</v>
          </cell>
          <cell r="K5918" t="str">
            <v>Settled</v>
          </cell>
        </row>
        <row r="5919">
          <cell r="J5919" t="str">
            <v>SG-United Global One-11/2022</v>
          </cell>
          <cell r="K5919" t="str">
            <v>Reversed</v>
          </cell>
        </row>
        <row r="5920">
          <cell r="J5920" t="str">
            <v>SG-valencyint-03/2023</v>
          </cell>
          <cell r="K5920" t="str">
            <v>Settled</v>
          </cell>
        </row>
        <row r="5921">
          <cell r="J5921" t="str">
            <v>SG-valencyint-04/2023</v>
          </cell>
          <cell r="K5921" t="str">
            <v>Settled</v>
          </cell>
        </row>
        <row r="5922">
          <cell r="J5922" t="str">
            <v>SG-valencyint-06/2023</v>
          </cell>
          <cell r="K5922" t="str">
            <v>Settled</v>
          </cell>
        </row>
        <row r="5923">
          <cell r="J5923" t="str">
            <v>SG-valencyint-07/2023</v>
          </cell>
          <cell r="K5923" t="str">
            <v>Settled</v>
          </cell>
        </row>
        <row r="5924">
          <cell r="J5924" t="str">
            <v>SG -valency international-01/2022</v>
          </cell>
          <cell r="K5924" t="str">
            <v>Settled</v>
          </cell>
        </row>
        <row r="5925">
          <cell r="J5925" t="str">
            <v>SG-valency international-10/2022</v>
          </cell>
          <cell r="K5925" t="str">
            <v>Settled</v>
          </cell>
        </row>
        <row r="5926">
          <cell r="J5926" t="str">
            <v>SG-valency international-11/2022</v>
          </cell>
          <cell r="K5926" t="str">
            <v>Settled</v>
          </cell>
        </row>
        <row r="5927">
          <cell r="J5927" t="str">
            <v>SG-valency international-12/2022</v>
          </cell>
          <cell r="K5927" t="str">
            <v>Settled</v>
          </cell>
        </row>
        <row r="5928">
          <cell r="J5928" t="str">
            <v>SG-valency international-01/2023</v>
          </cell>
          <cell r="K5928" t="str">
            <v>Settled</v>
          </cell>
        </row>
        <row r="5929">
          <cell r="J5929" t="str">
            <v>SG-valencyint-02/2023</v>
          </cell>
          <cell r="K5929" t="str">
            <v>Settled</v>
          </cell>
        </row>
        <row r="5930">
          <cell r="J5930" t="str">
            <v>SG -Velvet Finance Limited-04/2022</v>
          </cell>
          <cell r="K5930" t="str">
            <v>Write Off</v>
          </cell>
        </row>
        <row r="5931">
          <cell r="J5931" t="str">
            <v>SG -Velvet Finance Limited-05/2022</v>
          </cell>
          <cell r="K5931" t="str">
            <v>Write Off</v>
          </cell>
        </row>
        <row r="5932">
          <cell r="J5932" t="str">
            <v>SG -Velvet Finance Limited-06/2022</v>
          </cell>
          <cell r="K5932" t="str">
            <v>Write Off</v>
          </cell>
        </row>
        <row r="5933">
          <cell r="J5933" t="str">
            <v>SG-Velvet Finance-07/2022</v>
          </cell>
          <cell r="K5933" t="str">
            <v>Write Off</v>
          </cell>
        </row>
        <row r="5934">
          <cell r="J5934" t="str">
            <v>SG-Velvet Finance-08/2022</v>
          </cell>
          <cell r="K5934" t="str">
            <v>Write Off</v>
          </cell>
        </row>
        <row r="5935">
          <cell r="J5935" t="str">
            <v>SG-vidanova bank-11/2022</v>
          </cell>
          <cell r="K5935" t="str">
            <v>Settled</v>
          </cell>
        </row>
        <row r="5936">
          <cell r="J5936" t="str">
            <v>SG-vidanova bank-12/2022</v>
          </cell>
          <cell r="K5936" t="str">
            <v>Settled</v>
          </cell>
        </row>
        <row r="5937">
          <cell r="J5937" t="str">
            <v>SG-vidanova bank-01/2023</v>
          </cell>
          <cell r="K5937" t="str">
            <v>Settled</v>
          </cell>
        </row>
        <row r="5938">
          <cell r="J5938" t="str">
            <v>SG-vidanova bank-02/2023</v>
          </cell>
          <cell r="K5938" t="str">
            <v>Settled</v>
          </cell>
        </row>
        <row r="5939">
          <cell r="J5939" t="str">
            <v>SG-vidanova bank-03/2023</v>
          </cell>
          <cell r="K5939" t="str">
            <v>Settled</v>
          </cell>
        </row>
        <row r="5940">
          <cell r="J5940" t="str">
            <v>SG-vidanova bank-04/2023</v>
          </cell>
          <cell r="K5940" t="str">
            <v>Settled</v>
          </cell>
        </row>
        <row r="5941">
          <cell r="J5941" t="str">
            <v>SG-vidanova bank-05/2023</v>
          </cell>
          <cell r="K5941" t="str">
            <v>Settled</v>
          </cell>
        </row>
        <row r="5942">
          <cell r="J5942" t="str">
            <v>SG-vidanova bank-06/2023</v>
          </cell>
          <cell r="K5942" t="str">
            <v>Settled</v>
          </cell>
        </row>
        <row r="5943">
          <cell r="J5943" t="str">
            <v>SG-vidanova bank-07/2023</v>
          </cell>
          <cell r="K5943" t="str">
            <v>Settled</v>
          </cell>
        </row>
        <row r="5944">
          <cell r="J5944" t="str">
            <v>SG -vidanova bank-08/2023</v>
          </cell>
          <cell r="K5944" t="str">
            <v>Settled</v>
          </cell>
        </row>
        <row r="5945">
          <cell r="J5945" t="str">
            <v>SG-vidanova bank-09/2023</v>
          </cell>
          <cell r="K5945" t="str">
            <v>Settled</v>
          </cell>
        </row>
        <row r="5946">
          <cell r="J5946" t="str">
            <v>SG-vidanova bank-10/2023</v>
          </cell>
          <cell r="K5946" t="str">
            <v>Settled</v>
          </cell>
        </row>
        <row r="5947">
          <cell r="J5947" t="str">
            <v>SG-vidanova bank-11/2023</v>
          </cell>
          <cell r="K5947" t="str">
            <v>Settled</v>
          </cell>
        </row>
        <row r="5948">
          <cell r="J5948" t="str">
            <v>SG-vidanova bank-12/2023</v>
          </cell>
          <cell r="K5948" t="str">
            <v>Settled</v>
          </cell>
        </row>
        <row r="5949">
          <cell r="J5949" t="str">
            <v>SG-vidanova bank-01/2024</v>
          </cell>
          <cell r="K5949" t="str">
            <v>Settled</v>
          </cell>
        </row>
        <row r="5950">
          <cell r="J5950" t="str">
            <v>SG-vidanova bank-02/2024</v>
          </cell>
          <cell r="K5950" t="str">
            <v>Settled</v>
          </cell>
        </row>
        <row r="5951">
          <cell r="J5951" t="str">
            <v>SG-vidanova bank-03/2024</v>
          </cell>
          <cell r="K5951" t="str">
            <v>Settled</v>
          </cell>
        </row>
        <row r="5952">
          <cell r="J5952" t="str">
            <v>SG-vidanova bank-04/2024</v>
          </cell>
          <cell r="K5952" t="str">
            <v>Settled</v>
          </cell>
        </row>
        <row r="5953">
          <cell r="J5953" t="str">
            <v>SG-vidanova bank-05/2024</v>
          </cell>
          <cell r="K5953" t="str">
            <v>Settled</v>
          </cell>
        </row>
        <row r="5954">
          <cell r="J5954" t="str">
            <v>SG-vidanova bank-06/2024</v>
          </cell>
          <cell r="K5954" t="str">
            <v>Settled</v>
          </cell>
        </row>
        <row r="5955">
          <cell r="J5955" t="str">
            <v>SG-vidanova bank-07/2024</v>
          </cell>
          <cell r="K5955" t="str">
            <v>Settled</v>
          </cell>
        </row>
        <row r="5956">
          <cell r="J5956" t="str">
            <v>SG-vidanova bank-08/2024</v>
          </cell>
          <cell r="K5956" t="str">
            <v>Settled</v>
          </cell>
        </row>
        <row r="5957">
          <cell r="J5957" t="str">
            <v>SG-vidanova bank-09/2024</v>
          </cell>
          <cell r="K5957" t="str">
            <v>Settled</v>
          </cell>
        </row>
        <row r="5958">
          <cell r="J5958" t="str">
            <v>SG-vidanova bank-10/2024</v>
          </cell>
          <cell r="K5958" t="str">
            <v>Settled</v>
          </cell>
        </row>
        <row r="5959">
          <cell r="J5959" t="str">
            <v>SG-virema commodities-05/2023</v>
          </cell>
          <cell r="K5959" t="str">
            <v>Settled</v>
          </cell>
        </row>
        <row r="5960">
          <cell r="J5960" t="str">
            <v>SG-virema commodities-06/2023</v>
          </cell>
          <cell r="K5960" t="str">
            <v>Settled</v>
          </cell>
        </row>
        <row r="5961">
          <cell r="J5961" t="str">
            <v>SG-virema commodities-07/2023</v>
          </cell>
          <cell r="K5961" t="str">
            <v>Settled</v>
          </cell>
        </row>
        <row r="5962">
          <cell r="J5962" t="str">
            <v>SG -virema commodities-08/2023</v>
          </cell>
          <cell r="K5962" t="str">
            <v>Settled</v>
          </cell>
        </row>
        <row r="5963">
          <cell r="J5963" t="str">
            <v>SG-virema commodities-09/2023</v>
          </cell>
          <cell r="K5963" t="str">
            <v>Settled</v>
          </cell>
        </row>
        <row r="5964">
          <cell r="J5964" t="str">
            <v>SG-Vita Solutions-07/2023</v>
          </cell>
          <cell r="K5964" t="str">
            <v>Settled</v>
          </cell>
        </row>
        <row r="5965">
          <cell r="J5965" t="str">
            <v>SG -Vita Solutions-08/2023</v>
          </cell>
          <cell r="K5965" t="str">
            <v>Settled</v>
          </cell>
        </row>
        <row r="5966">
          <cell r="J5966" t="str">
            <v>SG-Vita Solutions-09/2023</v>
          </cell>
          <cell r="K5966" t="str">
            <v>Settled</v>
          </cell>
        </row>
        <row r="5967">
          <cell r="J5967" t="str">
            <v>SG-Vita Solutions-10/2023</v>
          </cell>
          <cell r="K5967" t="str">
            <v>Settled</v>
          </cell>
        </row>
        <row r="5968">
          <cell r="J5968" t="str">
            <v>SG-Vita Solutions-11/2023</v>
          </cell>
          <cell r="K5968" t="str">
            <v>Settled</v>
          </cell>
        </row>
        <row r="5969">
          <cell r="J5969" t="str">
            <v>SG-Vita Solutions-12/2023</v>
          </cell>
          <cell r="K5969" t="str">
            <v>Settled</v>
          </cell>
        </row>
        <row r="5970">
          <cell r="J5970" t="str">
            <v>SG-Vita Solutions-01/2024</v>
          </cell>
          <cell r="K5970" t="str">
            <v>Settled</v>
          </cell>
        </row>
        <row r="5971">
          <cell r="J5971" t="str">
            <v>SG-Vita Solutions-02/2024</v>
          </cell>
          <cell r="K5971" t="str">
            <v>Settled</v>
          </cell>
        </row>
        <row r="5972">
          <cell r="J5972" t="str">
            <v>SG-Vita Solutions-03/2024</v>
          </cell>
          <cell r="K5972" t="str">
            <v>Settled</v>
          </cell>
        </row>
        <row r="5973">
          <cell r="J5973" t="str">
            <v>SG-Vita Solutions-04/2024</v>
          </cell>
          <cell r="K5973" t="str">
            <v>Settled</v>
          </cell>
        </row>
        <row r="5974">
          <cell r="J5974" t="str">
            <v>SG-Vita Solutions-05/2024</v>
          </cell>
          <cell r="K5974" t="str">
            <v>Settled</v>
          </cell>
        </row>
        <row r="5975">
          <cell r="J5975" t="str">
            <v>SG-Vita Solutions-06/2024</v>
          </cell>
          <cell r="K5975" t="str">
            <v>Settled</v>
          </cell>
        </row>
        <row r="5976">
          <cell r="J5976" t="str">
            <v>SG-Vita Solutions-07/2024</v>
          </cell>
          <cell r="K5976" t="str">
            <v>Settled</v>
          </cell>
        </row>
        <row r="5977">
          <cell r="J5977" t="str">
            <v>SG-Vita Solutions-08/2024</v>
          </cell>
          <cell r="K5977" t="str">
            <v>Settled</v>
          </cell>
        </row>
        <row r="5978">
          <cell r="J5978" t="str">
            <v>SG-Vita Solutions-09/2024</v>
          </cell>
          <cell r="K5978" t="str">
            <v>Settled</v>
          </cell>
        </row>
        <row r="5979">
          <cell r="J5979" t="str">
            <v>SG-Vita Solutions-10/2024</v>
          </cell>
          <cell r="K5979" t="str">
            <v>Settled</v>
          </cell>
        </row>
        <row r="5980">
          <cell r="J5980" t="str">
            <v>SG-Vita Solutions-11/2024</v>
          </cell>
          <cell r="K5980" t="str">
            <v>Settled</v>
          </cell>
        </row>
        <row r="5981">
          <cell r="J5981" t="str">
            <v>SG-Vita Solutions-12/2024</v>
          </cell>
          <cell r="K5981" t="str">
            <v>Settled</v>
          </cell>
        </row>
        <row r="5982">
          <cell r="J5982" t="str">
            <v>SG-Vita Solutions-01/2025</v>
          </cell>
          <cell r="K5982" t="str">
            <v>Settled</v>
          </cell>
        </row>
        <row r="5983">
          <cell r="J5983" t="str">
            <v>SG-Vita Solutions-02/2025</v>
          </cell>
          <cell r="K5983" t="str">
            <v>Settled</v>
          </cell>
        </row>
        <row r="5984">
          <cell r="J5984" t="str">
            <v>SG-Vita Solutions-03/2025</v>
          </cell>
          <cell r="K5984" t="str">
            <v>Settled</v>
          </cell>
        </row>
        <row r="5985">
          <cell r="J5985" t="str">
            <v>SG-Vita Solutions-04/2025</v>
          </cell>
          <cell r="K5985" t="str">
            <v>Settled</v>
          </cell>
        </row>
        <row r="5986">
          <cell r="J5986" t="str">
            <v>SG-Vita Solutions-05/2025</v>
          </cell>
          <cell r="K5986" t="str">
            <v>Settled</v>
          </cell>
        </row>
        <row r="5987">
          <cell r="J5987" t="str">
            <v>SG-Vita Solutions-06/2025</v>
          </cell>
          <cell r="K5987" t="str">
            <v>Settled</v>
          </cell>
        </row>
        <row r="5988">
          <cell r="J5988" t="str">
            <v>SG-Vita Solutions-07/2025</v>
          </cell>
          <cell r="K5988" t="str">
            <v>Settled</v>
          </cell>
        </row>
        <row r="5989">
          <cell r="J5989" t="str">
            <v>SG-Vita Solutions-08/2025</v>
          </cell>
          <cell r="K5989" t="str">
            <v>Settled</v>
          </cell>
        </row>
        <row r="5990">
          <cell r="J5990" t="str">
            <v>SG-Vita Solutions-09/2025</v>
          </cell>
          <cell r="K5990" t="str">
            <v>Settled</v>
          </cell>
        </row>
        <row r="5991">
          <cell r="J5991" t="str">
            <v>SG-Vita Solutions-10/2025</v>
          </cell>
          <cell r="K5991" t="str">
            <v>Settled</v>
          </cell>
        </row>
        <row r="5992">
          <cell r="J5992" t="str">
            <v>SG-Vita Solutions-11/2025</v>
          </cell>
          <cell r="K5992" t="str">
            <v>Settled</v>
          </cell>
        </row>
        <row r="5993">
          <cell r="J5993" t="str">
            <v>SG-Vita Solutions-12/2025</v>
          </cell>
          <cell r="K5993" t="str">
            <v>Settled</v>
          </cell>
        </row>
        <row r="5994">
          <cell r="J5994" t="str">
            <v>SG-Vita Solutions-01/2026</v>
          </cell>
          <cell r="K5994" t="str">
            <v>Settled</v>
          </cell>
        </row>
        <row r="5995">
          <cell r="J5995" t="str">
            <v>SG-Vita Solutions-02/2026</v>
          </cell>
          <cell r="K5995" t="str">
            <v>Settled</v>
          </cell>
        </row>
        <row r="5996">
          <cell r="J5996" t="str">
            <v>SG-Vita Solutions-03/2026</v>
          </cell>
          <cell r="K5996" t="str">
            <v>Settled</v>
          </cell>
        </row>
        <row r="5997">
          <cell r="J5997" t="str">
            <v>SG-Vita Solutions-04/2026</v>
          </cell>
          <cell r="K5997" t="str">
            <v>Settled</v>
          </cell>
        </row>
        <row r="5998">
          <cell r="J5998" t="str">
            <v>SG-Vita Solutions-05/2026</v>
          </cell>
          <cell r="K5998" t="str">
            <v>Settled</v>
          </cell>
        </row>
        <row r="5999">
          <cell r="J5999" t="str">
            <v>HK-Vitesse-11/2022</v>
          </cell>
          <cell r="K5999" t="str">
            <v>Settled</v>
          </cell>
        </row>
        <row r="6000">
          <cell r="J6000" t="str">
            <v>HK-Vitesse-12/2022</v>
          </cell>
          <cell r="K6000" t="str">
            <v>Settled</v>
          </cell>
        </row>
        <row r="6001">
          <cell r="J6001" t="str">
            <v>HK-Vitesse-01/2023</v>
          </cell>
          <cell r="K6001" t="str">
            <v>Settled</v>
          </cell>
        </row>
        <row r="6002">
          <cell r="J6002" t="str">
            <v>HK-Vitesse-02/2023</v>
          </cell>
          <cell r="K6002" t="str">
            <v>Settled</v>
          </cell>
        </row>
        <row r="6003">
          <cell r="J6003" t="str">
            <v>HK-Vitesse-03/2023</v>
          </cell>
          <cell r="K6003" t="str">
            <v>Settled</v>
          </cell>
        </row>
        <row r="6004">
          <cell r="J6004" t="str">
            <v>HK-Vitesse-04/2023</v>
          </cell>
          <cell r="K6004" t="str">
            <v>Settled</v>
          </cell>
        </row>
        <row r="6005">
          <cell r="J6005" t="str">
            <v>HK-Vitesse-05/2023</v>
          </cell>
          <cell r="K6005" t="str">
            <v>Settled</v>
          </cell>
        </row>
        <row r="6006">
          <cell r="J6006" t="str">
            <v>HK-Vitesse-06/2023</v>
          </cell>
          <cell r="K6006" t="str">
            <v>Settled</v>
          </cell>
        </row>
        <row r="6007">
          <cell r="J6007" t="str">
            <v>HK-Vitesse-07/2023</v>
          </cell>
          <cell r="K6007" t="str">
            <v>Settled</v>
          </cell>
        </row>
        <row r="6008">
          <cell r="J6008" t="str">
            <v>HK -Vitesse-08/2023</v>
          </cell>
          <cell r="K6008" t="str">
            <v>Settled</v>
          </cell>
        </row>
        <row r="6009">
          <cell r="J6009" t="str">
            <v>HK-Vitesse-09/2023</v>
          </cell>
          <cell r="K6009" t="str">
            <v>Settled</v>
          </cell>
        </row>
        <row r="6010">
          <cell r="J6010" t="str">
            <v>HK-Vitesse-10/2023</v>
          </cell>
          <cell r="K6010" t="str">
            <v>Settled</v>
          </cell>
        </row>
        <row r="6011">
          <cell r="J6011" t="str">
            <v>HK-Vitesse-11/2023</v>
          </cell>
          <cell r="K6011" t="str">
            <v>Settled</v>
          </cell>
        </row>
        <row r="6012">
          <cell r="J6012" t="str">
            <v>HK-Vitesse-12/2023</v>
          </cell>
          <cell r="K6012" t="str">
            <v>Settled</v>
          </cell>
        </row>
        <row r="6013">
          <cell r="J6013" t="str">
            <v>HK-Vitesse-01/2024</v>
          </cell>
          <cell r="K6013" t="str">
            <v>Settled</v>
          </cell>
        </row>
        <row r="6014">
          <cell r="J6014" t="str">
            <v>HK-Vitesse-02/2024</v>
          </cell>
          <cell r="K6014" t="str">
            <v>Settled</v>
          </cell>
        </row>
        <row r="6015">
          <cell r="J6015" t="str">
            <v>HK-Vitesse-03/2024</v>
          </cell>
          <cell r="K6015" t="str">
            <v>Settled</v>
          </cell>
        </row>
        <row r="6016">
          <cell r="J6016" t="str">
            <v>HK-Vitesse-04/2024</v>
          </cell>
          <cell r="K6016" t="str">
            <v>Settled</v>
          </cell>
        </row>
        <row r="6017">
          <cell r="J6017" t="str">
            <v>HK-Vitesse-05/2024</v>
          </cell>
          <cell r="K6017" t="str">
            <v>Settled</v>
          </cell>
        </row>
        <row r="6018">
          <cell r="J6018" t="str">
            <v>HK-Vitesse-06/2024</v>
          </cell>
          <cell r="K6018" t="str">
            <v>Settled</v>
          </cell>
        </row>
        <row r="6019">
          <cell r="J6019" t="str">
            <v>HK-Vitesse-07/2024</v>
          </cell>
          <cell r="K6019" t="str">
            <v>Settled</v>
          </cell>
        </row>
        <row r="6020">
          <cell r="J6020" t="str">
            <v>HK-Vitesse-08/2024</v>
          </cell>
          <cell r="K6020" t="str">
            <v>Settled</v>
          </cell>
        </row>
        <row r="6021">
          <cell r="J6021" t="str">
            <v>HK-Vitesse-09/2024</v>
          </cell>
          <cell r="K6021" t="str">
            <v>Settled</v>
          </cell>
        </row>
        <row r="6022">
          <cell r="J6022" t="str">
            <v>HK-Vitesse-10/2024</v>
          </cell>
          <cell r="K6022" t="str">
            <v>Settled</v>
          </cell>
        </row>
        <row r="6023">
          <cell r="J6023" t="str">
            <v>HK-Vitesse-11/2024</v>
          </cell>
          <cell r="K6023" t="str">
            <v>Settled</v>
          </cell>
        </row>
        <row r="6024">
          <cell r="J6024" t="str">
            <v>HK-Vitesse-12/2024</v>
          </cell>
          <cell r="K6024" t="str">
            <v>Settled</v>
          </cell>
        </row>
        <row r="6025">
          <cell r="J6025" t="str">
            <v>HK-Vitesse-01/2025</v>
          </cell>
          <cell r="K6025" t="str">
            <v>Settled</v>
          </cell>
        </row>
        <row r="6026">
          <cell r="J6026" t="str">
            <v>HK-Vitesse-02/2025</v>
          </cell>
          <cell r="K6026" t="str">
            <v>Settled</v>
          </cell>
        </row>
        <row r="6027">
          <cell r="J6027" t="str">
            <v>HK-Vitesse-03/2025</v>
          </cell>
          <cell r="K6027" t="str">
            <v>Settled</v>
          </cell>
        </row>
        <row r="6028">
          <cell r="J6028" t="str">
            <v>HK-Vitesse-04/2025</v>
          </cell>
          <cell r="K6028" t="str">
            <v>Settled</v>
          </cell>
        </row>
        <row r="6029">
          <cell r="J6029" t="str">
            <v>HK-Vitesse-05/2025</v>
          </cell>
          <cell r="K6029" t="str">
            <v>Settled</v>
          </cell>
        </row>
        <row r="6030">
          <cell r="J6030" t="str">
            <v>HK-Vitesse-06/2025</v>
          </cell>
          <cell r="K6030" t="str">
            <v>Settled</v>
          </cell>
        </row>
        <row r="6031">
          <cell r="J6031" t="str">
            <v>HK-Vitesse-07/2025</v>
          </cell>
          <cell r="K6031" t="str">
            <v>Settled</v>
          </cell>
        </row>
        <row r="6032">
          <cell r="J6032" t="str">
            <v>HK-Vitesse-08/2025</v>
          </cell>
          <cell r="K6032" t="str">
            <v>Settled</v>
          </cell>
        </row>
        <row r="6033">
          <cell r="J6033" t="str">
            <v>HK-Vitesse-09/2025</v>
          </cell>
          <cell r="K6033" t="str">
            <v>Settled</v>
          </cell>
        </row>
        <row r="6034">
          <cell r="J6034" t="str">
            <v>HK-Vitesse-10/2025</v>
          </cell>
          <cell r="K6034" t="str">
            <v>Settled</v>
          </cell>
        </row>
        <row r="6035">
          <cell r="J6035" t="str">
            <v>HK-Vitesse-11/2025</v>
          </cell>
          <cell r="K6035" t="str">
            <v>Settled</v>
          </cell>
        </row>
        <row r="6036">
          <cell r="J6036" t="str">
            <v>HK-Vitesse-12/2025</v>
          </cell>
          <cell r="K6036" t="str">
            <v>Settled</v>
          </cell>
        </row>
        <row r="6037">
          <cell r="J6037" t="str">
            <v>HK-Vitesse-01/2026</v>
          </cell>
          <cell r="K6037" t="str">
            <v>Settled</v>
          </cell>
        </row>
        <row r="6038">
          <cell r="J6038" t="str">
            <v>HK-Vitesse-02/2026</v>
          </cell>
          <cell r="K6038" t="str">
            <v>Settled</v>
          </cell>
        </row>
        <row r="6039">
          <cell r="J6039" t="str">
            <v>HK-Vitesse-03/2026</v>
          </cell>
          <cell r="K6039" t="str">
            <v>Settled</v>
          </cell>
        </row>
        <row r="6040">
          <cell r="J6040" t="str">
            <v>HK-Vitesse-04/2026</v>
          </cell>
          <cell r="K6040" t="str">
            <v>Settled</v>
          </cell>
        </row>
        <row r="6041">
          <cell r="J6041" t="str">
            <v>HK-Vitesse-05/2026</v>
          </cell>
          <cell r="K6041" t="str">
            <v>Settled</v>
          </cell>
        </row>
        <row r="6042">
          <cell r="J6042" t="str">
            <v>SG-vrv global pte ltd-04/2023</v>
          </cell>
          <cell r="K6042" t="str">
            <v>Settled</v>
          </cell>
        </row>
        <row r="6043">
          <cell r="J6043" t="str">
            <v>SG-vrv global pte ltd-05/2023</v>
          </cell>
          <cell r="K6043" t="str">
            <v>Settled</v>
          </cell>
        </row>
        <row r="6044">
          <cell r="J6044" t="str">
            <v>SG-vrv global pte ltd-06/2023</v>
          </cell>
          <cell r="K6044" t="str">
            <v>Settled</v>
          </cell>
        </row>
        <row r="6045">
          <cell r="J6045" t="str">
            <v>SG-vrv global pte ltd-07/2023</v>
          </cell>
          <cell r="K6045" t="str">
            <v>Settled</v>
          </cell>
        </row>
        <row r="6046">
          <cell r="J6046" t="str">
            <v>SG -vrv global pte ltd-08/2023</v>
          </cell>
          <cell r="K6046" t="str">
            <v>Settled</v>
          </cell>
        </row>
        <row r="6047">
          <cell r="J6047" t="str">
            <v>SG-vrv global pte ltd-09/2023</v>
          </cell>
          <cell r="K6047" t="str">
            <v>Settled</v>
          </cell>
        </row>
        <row r="6048">
          <cell r="J6048" t="str">
            <v>SG-vrv global pte ltd-10/2023</v>
          </cell>
          <cell r="K6048" t="str">
            <v>Settled</v>
          </cell>
        </row>
        <row r="6049">
          <cell r="J6049" t="str">
            <v>SG-WAHE-11/2023</v>
          </cell>
          <cell r="K6049" t="str">
            <v>Settled</v>
          </cell>
        </row>
        <row r="6050">
          <cell r="J6050" t="str">
            <v>SG-WebuyTravel-07/2023</v>
          </cell>
          <cell r="K6050" t="str">
            <v>Settled</v>
          </cell>
        </row>
        <row r="6051">
          <cell r="J6051" t="str">
            <v>SG -WebuyTravel-08/2023</v>
          </cell>
          <cell r="K6051" t="str">
            <v>Settled</v>
          </cell>
        </row>
        <row r="6052">
          <cell r="J6052" t="str">
            <v>SG -WebuyTravel-CR-08/2023</v>
          </cell>
          <cell r="K6052" t="str">
            <v>Settled</v>
          </cell>
        </row>
        <row r="6053">
          <cell r="J6053" t="str">
            <v>SG-WebuyTravel-09/2023</v>
          </cell>
          <cell r="K6053" t="str">
            <v>Settled</v>
          </cell>
        </row>
        <row r="6054">
          <cell r="J6054" t="str">
            <v>SG-WebuyTravel-10/2023</v>
          </cell>
          <cell r="K6054" t="str">
            <v>Settled</v>
          </cell>
        </row>
        <row r="6055">
          <cell r="J6055" t="str">
            <v>SG-WebuyTravel-11/2023</v>
          </cell>
          <cell r="K6055" t="str">
            <v>Settled</v>
          </cell>
        </row>
        <row r="6056">
          <cell r="J6056" t="str">
            <v>SG-WebuyTravel-12/2023</v>
          </cell>
          <cell r="K6056" t="str">
            <v>Settled</v>
          </cell>
        </row>
        <row r="6057">
          <cell r="J6057" t="str">
            <v>SG-WebuyTravel-02/2024</v>
          </cell>
          <cell r="K6057" t="str">
            <v>Settled</v>
          </cell>
        </row>
        <row r="6058">
          <cell r="J6058" t="str">
            <v>SG-WebuyTravel-03/2024</v>
          </cell>
          <cell r="K6058" t="str">
            <v>Settled</v>
          </cell>
        </row>
        <row r="6059">
          <cell r="J6059" t="str">
            <v>SG-WebuyTravel-04/2024</v>
          </cell>
          <cell r="K6059" t="str">
            <v>Settled</v>
          </cell>
        </row>
        <row r="6060">
          <cell r="J6060" t="str">
            <v>SG-wellco conquer-11/2023</v>
          </cell>
          <cell r="K6060" t="str">
            <v>Settled</v>
          </cell>
        </row>
        <row r="6061">
          <cell r="J6061" t="str">
            <v>SG-Welldone Company-11/2022</v>
          </cell>
          <cell r="K6061" t="str">
            <v>Settled</v>
          </cell>
        </row>
        <row r="6062">
          <cell r="J6062" t="str">
            <v>SG-Welldone Company-12/2022</v>
          </cell>
          <cell r="K6062" t="str">
            <v>Settled</v>
          </cell>
        </row>
        <row r="6063">
          <cell r="J6063" t="str">
            <v>SG-Welldone Company-01/2023</v>
          </cell>
          <cell r="K6063" t="str">
            <v>Settled</v>
          </cell>
        </row>
        <row r="6064">
          <cell r="J6064" t="str">
            <v>SG-WelldoneCo-02/2023</v>
          </cell>
          <cell r="K6064" t="str">
            <v>Settled</v>
          </cell>
        </row>
        <row r="6065">
          <cell r="J6065" t="str">
            <v>SG-WelldoneCo-03/2023</v>
          </cell>
          <cell r="K6065" t="str">
            <v>Settled</v>
          </cell>
        </row>
        <row r="6066">
          <cell r="J6066" t="str">
            <v>SG-WelldoneCo-04/2023</v>
          </cell>
          <cell r="K6066" t="str">
            <v>Settled</v>
          </cell>
        </row>
        <row r="6067">
          <cell r="J6067" t="str">
            <v>SG-WelldoneCo-05/2023</v>
          </cell>
          <cell r="K6067" t="str">
            <v>Settled</v>
          </cell>
        </row>
        <row r="6068">
          <cell r="J6068" t="str">
            <v>SG-WelldoneCo-06/2023</v>
          </cell>
          <cell r="K6068" t="str">
            <v>Settled</v>
          </cell>
        </row>
        <row r="6069">
          <cell r="J6069" t="str">
            <v>SG-WelldoneCo-07/2023</v>
          </cell>
          <cell r="K6069" t="str">
            <v>Settled</v>
          </cell>
        </row>
        <row r="6070">
          <cell r="J6070" t="str">
            <v>SG -WelldoneCo-08/2023</v>
          </cell>
          <cell r="K6070" t="str">
            <v>Settled</v>
          </cell>
        </row>
        <row r="6071">
          <cell r="J6071" t="str">
            <v>AU-Widoph Remit-02-2024</v>
          </cell>
          <cell r="K6071" t="str">
            <v>Settled</v>
          </cell>
        </row>
        <row r="6072">
          <cell r="J6072" t="str">
            <v>AU-Widoph Remit-03/2024</v>
          </cell>
          <cell r="K6072" t="str">
            <v>Settled</v>
          </cell>
        </row>
        <row r="6073">
          <cell r="J6073" t="str">
            <v>AU-AD-Widoph Remit-03-2024</v>
          </cell>
          <cell r="K6073" t="str">
            <v>Settled</v>
          </cell>
        </row>
        <row r="6074">
          <cell r="J6074" t="str">
            <v>AU-Widoph Remit-04/2024</v>
          </cell>
          <cell r="K6074" t="str">
            <v>Settled</v>
          </cell>
        </row>
        <row r="6075">
          <cell r="J6075" t="str">
            <v>AU-AD-Widoph Remit-04-2024</v>
          </cell>
          <cell r="K6075" t="str">
            <v>Settled</v>
          </cell>
        </row>
        <row r="6076">
          <cell r="J6076" t="str">
            <v>AU-AD-Widoph Remit-05-2024</v>
          </cell>
          <cell r="K6076" t="str">
            <v>Settled</v>
          </cell>
        </row>
        <row r="6077">
          <cell r="J6077" t="str">
            <v>AU-Widoph Remit-05/2024</v>
          </cell>
          <cell r="K6077" t="str">
            <v>Settled</v>
          </cell>
        </row>
        <row r="6078">
          <cell r="J6078" t="str">
            <v>AU-Widoph Remit-06/2024</v>
          </cell>
          <cell r="K6078" t="str">
            <v>Settled</v>
          </cell>
        </row>
        <row r="6079">
          <cell r="J6079" t="str">
            <v>AU-AD-Widoph Remit-06-2024</v>
          </cell>
          <cell r="K6079" t="str">
            <v>Settled</v>
          </cell>
        </row>
        <row r="6080">
          <cell r="J6080" t="str">
            <v>AU-AD-Widoph Remit-07-2024</v>
          </cell>
          <cell r="K6080" t="str">
            <v>Settled</v>
          </cell>
        </row>
        <row r="6081">
          <cell r="J6081" t="str">
            <v>AU-Widoph Remit-08/2024</v>
          </cell>
          <cell r="K6081" t="str">
            <v>Settled</v>
          </cell>
        </row>
        <row r="6082">
          <cell r="J6082" t="str">
            <v>AU-Widoph Remit-09/2024</v>
          </cell>
          <cell r="K6082" t="str">
            <v>Settled</v>
          </cell>
        </row>
        <row r="6083">
          <cell r="J6083" t="str">
            <v>AU-Widoph Remit-10/2024</v>
          </cell>
          <cell r="K6083" t="str">
            <v>Settled</v>
          </cell>
        </row>
        <row r="6084">
          <cell r="J6084" t="str">
            <v>AU-Widoph Remit-11/2024</v>
          </cell>
          <cell r="K6084" t="str">
            <v>Settled</v>
          </cell>
        </row>
        <row r="6085">
          <cell r="J6085" t="str">
            <v>AU-Widoph Remit-12/2024</v>
          </cell>
          <cell r="K6085" t="str">
            <v>Settled</v>
          </cell>
        </row>
        <row r="6086">
          <cell r="J6086" t="str">
            <v>AU-Widoph Remit-01/2025</v>
          </cell>
          <cell r="K6086" t="str">
            <v>Settled</v>
          </cell>
        </row>
        <row r="6087">
          <cell r="J6087" t="str">
            <v>AU-Widoph Remit-02/2025</v>
          </cell>
          <cell r="K6087" t="str">
            <v>Settled</v>
          </cell>
        </row>
        <row r="6088">
          <cell r="J6088" t="str">
            <v>AU-Widoph Remit-03/2025</v>
          </cell>
          <cell r="K6088" t="str">
            <v>Settled</v>
          </cell>
        </row>
        <row r="6089">
          <cell r="J6089" t="str">
            <v>AU-Widoph Remit-04/2025</v>
          </cell>
          <cell r="K6089" t="str">
            <v>Settled</v>
          </cell>
        </row>
        <row r="6090">
          <cell r="J6090" t="str">
            <v>AU-Widoph Remit-05/2025</v>
          </cell>
          <cell r="K6090" t="str">
            <v>Settled</v>
          </cell>
        </row>
        <row r="6091">
          <cell r="J6091" t="str">
            <v>AU-Widoph Remit-06/2025</v>
          </cell>
          <cell r="K6091" t="str">
            <v>Settled</v>
          </cell>
        </row>
        <row r="6092">
          <cell r="J6092" t="str">
            <v>AU-Widoph Remit-07/2025</v>
          </cell>
          <cell r="K6092" t="str">
            <v>Settled</v>
          </cell>
        </row>
        <row r="6093">
          <cell r="J6093" t="str">
            <v>AU-Widoph Remit-08/2025</v>
          </cell>
          <cell r="K6093" t="str">
            <v>Settled</v>
          </cell>
        </row>
        <row r="6094">
          <cell r="J6094" t="str">
            <v>AU-Widoph Remit-09/2025</v>
          </cell>
          <cell r="K6094" t="str">
            <v>Settled</v>
          </cell>
        </row>
        <row r="6095">
          <cell r="J6095" t="str">
            <v>AU-Widoph Remit-10/2025</v>
          </cell>
          <cell r="K6095" t="str">
            <v>Settled</v>
          </cell>
        </row>
        <row r="6096">
          <cell r="J6096" t="str">
            <v>AU-Widoph Remit-11/2025</v>
          </cell>
          <cell r="K6096" t="str">
            <v>Settled</v>
          </cell>
        </row>
        <row r="6097">
          <cell r="J6097" t="str">
            <v>AU-Widoph Remit-12/2025</v>
          </cell>
          <cell r="K6097" t="str">
            <v>Settled</v>
          </cell>
        </row>
        <row r="6098">
          <cell r="J6098" t="str">
            <v>AU-Widoph Remit-01/2026</v>
          </cell>
          <cell r="K6098" t="str">
            <v>Settled</v>
          </cell>
        </row>
        <row r="6099">
          <cell r="J6099" t="str">
            <v>AU-Widoph Remit-03/2026</v>
          </cell>
          <cell r="K6099" t="str">
            <v>Settled</v>
          </cell>
        </row>
        <row r="6100">
          <cell r="J6100" t="str">
            <v>AU-Widoph Remit-04/2026</v>
          </cell>
          <cell r="K6100" t="str">
            <v>Settled</v>
          </cell>
        </row>
        <row r="6101">
          <cell r="J6101" t="str">
            <v>AU-Widoph Remit-05/2026</v>
          </cell>
          <cell r="K6101" t="str">
            <v>Settled</v>
          </cell>
        </row>
        <row r="6102">
          <cell r="J6102" t="str">
            <v>SG-wing bank (cambodia) plc-12/2022</v>
          </cell>
          <cell r="K6102" t="str">
            <v>Settled</v>
          </cell>
        </row>
        <row r="6103">
          <cell r="J6103" t="str">
            <v>SG-wing bank (cambodia) plc-01/2023</v>
          </cell>
          <cell r="K6103" t="str">
            <v>Settled</v>
          </cell>
        </row>
        <row r="6104">
          <cell r="J6104" t="str">
            <v>SG-wing bank (cambodia) plc-CR-01/2023</v>
          </cell>
          <cell r="K6104" t="str">
            <v>Settled</v>
          </cell>
        </row>
        <row r="6105">
          <cell r="J6105" t="str">
            <v>SG-wingbank-02/2023</v>
          </cell>
          <cell r="K6105" t="str">
            <v>Settled</v>
          </cell>
        </row>
        <row r="6106">
          <cell r="J6106" t="str">
            <v>SG-wingbank-CR-02/2023</v>
          </cell>
          <cell r="K6106" t="str">
            <v>Settled</v>
          </cell>
        </row>
        <row r="6107">
          <cell r="J6107" t="str">
            <v>SG-wingbank-CR-03/2023</v>
          </cell>
          <cell r="K6107" t="str">
            <v>Reversed</v>
          </cell>
        </row>
        <row r="6108">
          <cell r="J6108" t="str">
            <v>SG-wingbank-03/2023</v>
          </cell>
          <cell r="K6108" t="str">
            <v>Settled</v>
          </cell>
        </row>
        <row r="6109">
          <cell r="J6109" t="str">
            <v>SG-wingbank-04/2023</v>
          </cell>
          <cell r="K6109" t="str">
            <v>Settled</v>
          </cell>
        </row>
        <row r="6110">
          <cell r="J6110" t="str">
            <v>SG-wingbank-05/2023</v>
          </cell>
          <cell r="K6110" t="str">
            <v>Settled</v>
          </cell>
        </row>
        <row r="6111">
          <cell r="J6111" t="str">
            <v>SG-wingbank-06/2023</v>
          </cell>
          <cell r="K6111" t="str">
            <v>Settled</v>
          </cell>
        </row>
        <row r="6112">
          <cell r="J6112" t="str">
            <v>SG-wingbank-07/2023</v>
          </cell>
          <cell r="K6112" t="str">
            <v>Settled</v>
          </cell>
        </row>
        <row r="6113">
          <cell r="J6113" t="str">
            <v>SG -wingbank-08/2023</v>
          </cell>
          <cell r="K6113" t="str">
            <v>Settled</v>
          </cell>
        </row>
        <row r="6114">
          <cell r="J6114" t="str">
            <v>SG-wingbank-09/2023</v>
          </cell>
          <cell r="K6114" t="str">
            <v>Settled</v>
          </cell>
        </row>
        <row r="6115">
          <cell r="J6115" t="str">
            <v>SG-wingbank-10/2023</v>
          </cell>
          <cell r="K6115" t="str">
            <v>Settled</v>
          </cell>
        </row>
        <row r="6116">
          <cell r="J6116" t="str">
            <v>SG-wingbank-11/2023</v>
          </cell>
          <cell r="K6116" t="str">
            <v>Settled</v>
          </cell>
        </row>
        <row r="6117">
          <cell r="J6117" t="str">
            <v>SG-wingbank-12/2023</v>
          </cell>
          <cell r="K6117" t="str">
            <v>Settled</v>
          </cell>
        </row>
        <row r="6118">
          <cell r="J6118" t="str">
            <v>SG-wingbank-01/2024</v>
          </cell>
          <cell r="K6118" t="str">
            <v>Settled</v>
          </cell>
        </row>
        <row r="6119">
          <cell r="J6119" t="str">
            <v>SG -wingbank-CR-12/2023</v>
          </cell>
          <cell r="K6119" t="str">
            <v>Settled</v>
          </cell>
        </row>
        <row r="6120">
          <cell r="J6120" t="str">
            <v>SG-wingbank-02/2024</v>
          </cell>
          <cell r="K6120" t="str">
            <v>Settled</v>
          </cell>
        </row>
        <row r="6121">
          <cell r="J6121" t="str">
            <v>SG-wingbank-03/2024</v>
          </cell>
          <cell r="K6121" t="str">
            <v>Settled</v>
          </cell>
        </row>
        <row r="6122">
          <cell r="J6122" t="str">
            <v>SG-wingbank-04/2024</v>
          </cell>
          <cell r="K6122" t="str">
            <v>Settled</v>
          </cell>
        </row>
        <row r="6123">
          <cell r="J6123" t="str">
            <v>SG-wingbank-05/2024</v>
          </cell>
          <cell r="K6123" t="str">
            <v>Settled</v>
          </cell>
        </row>
        <row r="6124">
          <cell r="J6124" t="str">
            <v>SG-wingbank-06/2024</v>
          </cell>
          <cell r="K6124" t="str">
            <v>Settled</v>
          </cell>
        </row>
        <row r="6125">
          <cell r="J6125" t="str">
            <v>SG-wingbank-CR-06/2024</v>
          </cell>
          <cell r="K6125" t="str">
            <v>Settled</v>
          </cell>
        </row>
        <row r="6126">
          <cell r="J6126" t="str">
            <v>SG-wingbank-07/2024</v>
          </cell>
          <cell r="K6126" t="str">
            <v>Settled</v>
          </cell>
        </row>
        <row r="6127">
          <cell r="J6127" t="str">
            <v>SG-wingbank-08/2024</v>
          </cell>
          <cell r="K6127" t="str">
            <v>Settled</v>
          </cell>
        </row>
        <row r="6128">
          <cell r="J6128" t="str">
            <v>SG-wingbank-09/2024</v>
          </cell>
          <cell r="K6128" t="str">
            <v>Settled</v>
          </cell>
        </row>
        <row r="6129">
          <cell r="J6129" t="str">
            <v>SG-wingbank-10/2024</v>
          </cell>
          <cell r="K6129" t="str">
            <v>Settled</v>
          </cell>
        </row>
        <row r="6130">
          <cell r="J6130" t="str">
            <v>SG-wingbank-11/2024</v>
          </cell>
          <cell r="K6130" t="str">
            <v>Settled</v>
          </cell>
        </row>
        <row r="6131">
          <cell r="J6131" t="str">
            <v>SG-wingbank-12/2024</v>
          </cell>
          <cell r="K6131" t="str">
            <v>Settled</v>
          </cell>
        </row>
        <row r="6132">
          <cell r="J6132" t="str">
            <v>SG-wingbank-01/2025</v>
          </cell>
          <cell r="K6132" t="str">
            <v>Settled</v>
          </cell>
        </row>
        <row r="6133">
          <cell r="J6133" t="str">
            <v>SG-wingbank-02/2025</v>
          </cell>
          <cell r="K6133" t="str">
            <v>Settled</v>
          </cell>
        </row>
        <row r="6134">
          <cell r="J6134" t="str">
            <v>SG-wingbank-03/2025</v>
          </cell>
          <cell r="K6134" t="str">
            <v>Settled</v>
          </cell>
        </row>
        <row r="6135">
          <cell r="J6135" t="str">
            <v>SG-wingbank-04/2025</v>
          </cell>
          <cell r="K6135" t="str">
            <v>Settled</v>
          </cell>
        </row>
        <row r="6136">
          <cell r="J6136" t="str">
            <v>SG-wingbank-05/2025</v>
          </cell>
          <cell r="K6136" t="str">
            <v>Settled</v>
          </cell>
        </row>
        <row r="6137">
          <cell r="J6137" t="str">
            <v>SG-wingbank-06/2025</v>
          </cell>
          <cell r="K6137" t="str">
            <v>Settled</v>
          </cell>
        </row>
        <row r="6138">
          <cell r="J6138" t="str">
            <v>SG-wingbank-07/2025</v>
          </cell>
          <cell r="K6138" t="str">
            <v>Settled</v>
          </cell>
        </row>
        <row r="6139">
          <cell r="J6139" t="str">
            <v>SG-wingbank-08/2025</v>
          </cell>
          <cell r="K6139" t="str">
            <v>Settled</v>
          </cell>
        </row>
        <row r="6140">
          <cell r="J6140" t="str">
            <v>SG-wingbank-09/2025</v>
          </cell>
          <cell r="K6140" t="str">
            <v>Settled</v>
          </cell>
        </row>
        <row r="6141">
          <cell r="J6141" t="str">
            <v>SG-wingbank-10/2025</v>
          </cell>
          <cell r="K6141" t="str">
            <v>Settled</v>
          </cell>
        </row>
        <row r="6142">
          <cell r="J6142" t="str">
            <v>SG-wingbank-11/2025</v>
          </cell>
          <cell r="K6142" t="str">
            <v>Settled</v>
          </cell>
        </row>
        <row r="6143">
          <cell r="J6143" t="str">
            <v>SG-wingbank-12/2025</v>
          </cell>
          <cell r="K6143" t="str">
            <v>Settled</v>
          </cell>
        </row>
        <row r="6144">
          <cell r="J6144" t="str">
            <v>SG-wingbank-01/2026</v>
          </cell>
          <cell r="K6144" t="str">
            <v>Settled</v>
          </cell>
        </row>
        <row r="6145">
          <cell r="J6145" t="str">
            <v>SG-wingbank-02/2026</v>
          </cell>
          <cell r="K6145" t="str">
            <v>Settled</v>
          </cell>
        </row>
        <row r="6146">
          <cell r="J6146" t="str">
            <v>SG-wingbank-03/2026</v>
          </cell>
          <cell r="K6146" t="str">
            <v>Settled</v>
          </cell>
        </row>
        <row r="6147">
          <cell r="J6147" t="str">
            <v>SG-wingbank-04/2026</v>
          </cell>
          <cell r="K6147" t="str">
            <v>Settled</v>
          </cell>
        </row>
        <row r="6148">
          <cell r="J6148" t="str">
            <v>SG-wingbank-05/2026</v>
          </cell>
          <cell r="K6148" t="str">
            <v>Settled</v>
          </cell>
        </row>
        <row r="6149">
          <cell r="J6149" t="str">
            <v>AU-WOODEN-10/2024</v>
          </cell>
          <cell r="K6149" t="str">
            <v>Settled</v>
          </cell>
        </row>
        <row r="6150">
          <cell r="J6150" t="str">
            <v>SG-Workfall pte ltd-11/2022</v>
          </cell>
          <cell r="K6150" t="str">
            <v>Settled</v>
          </cell>
        </row>
        <row r="6151">
          <cell r="J6151" t="str">
            <v>SG-Workfall pte ltd-12/2022</v>
          </cell>
          <cell r="K6151" t="str">
            <v>Settled</v>
          </cell>
        </row>
        <row r="6152">
          <cell r="J6152" t="str">
            <v>SG-Workfall pte ltd-01/2023</v>
          </cell>
          <cell r="K6152" t="str">
            <v>Settled</v>
          </cell>
        </row>
        <row r="6153">
          <cell r="J6153" t="str">
            <v>SG-Workfall-02/2023</v>
          </cell>
          <cell r="K6153" t="str">
            <v>Settled</v>
          </cell>
        </row>
        <row r="6154">
          <cell r="J6154" t="str">
            <v>SG-Workfall-03/2023</v>
          </cell>
          <cell r="K6154" t="str">
            <v>Settled</v>
          </cell>
        </row>
        <row r="6155">
          <cell r="J6155" t="str">
            <v>SG-Workfall-04/2023</v>
          </cell>
          <cell r="K6155" t="str">
            <v>Settled</v>
          </cell>
        </row>
        <row r="6156">
          <cell r="J6156" t="str">
            <v>SG-Workfall-05/2023</v>
          </cell>
          <cell r="K6156" t="str">
            <v>Settled</v>
          </cell>
        </row>
        <row r="6157">
          <cell r="J6157" t="str">
            <v>SG-Workfall-06/2023</v>
          </cell>
          <cell r="K6157" t="str">
            <v>Settled</v>
          </cell>
        </row>
        <row r="6158">
          <cell r="J6158" t="str">
            <v>SG-Workfall-07/2023</v>
          </cell>
          <cell r="K6158" t="str">
            <v>Settled</v>
          </cell>
        </row>
        <row r="6159">
          <cell r="J6159" t="str">
            <v>SG -Workfall-CR-07/2023</v>
          </cell>
          <cell r="K6159" t="str">
            <v>Settled</v>
          </cell>
        </row>
        <row r="6160">
          <cell r="J6160" t="str">
            <v>SG -Workfall-08/2023</v>
          </cell>
          <cell r="K6160" t="str">
            <v>Settled</v>
          </cell>
        </row>
        <row r="6161">
          <cell r="J6161" t="str">
            <v>SG-Workfall-09/2023</v>
          </cell>
          <cell r="K6161" t="str">
            <v>Settled</v>
          </cell>
        </row>
        <row r="6162">
          <cell r="J6162" t="str">
            <v>SG-Workfall-10/2023</v>
          </cell>
          <cell r="K6162" t="str">
            <v>Settled</v>
          </cell>
        </row>
        <row r="6163">
          <cell r="J6163" t="str">
            <v>SG-Workfall-11/2023</v>
          </cell>
          <cell r="K6163" t="str">
            <v>Settled</v>
          </cell>
        </row>
        <row r="6164">
          <cell r="J6164" t="str">
            <v>HK-worldpay-11/2022</v>
          </cell>
          <cell r="K6164" t="str">
            <v>Settled</v>
          </cell>
        </row>
        <row r="6165">
          <cell r="J6165" t="str">
            <v>HK-worldpay-12/2022</v>
          </cell>
          <cell r="K6165" t="str">
            <v>Settled</v>
          </cell>
        </row>
        <row r="6166">
          <cell r="J6166" t="str">
            <v>HK-Worldpay-05/2023</v>
          </cell>
          <cell r="K6166" t="str">
            <v>Settled</v>
          </cell>
        </row>
        <row r="6167">
          <cell r="J6167" t="str">
            <v>HK-Worldpay-06/2023</v>
          </cell>
          <cell r="K6167" t="str">
            <v>Settled</v>
          </cell>
        </row>
        <row r="6168">
          <cell r="J6168" t="str">
            <v>HK-worldpay ap ltd-11/2022</v>
          </cell>
          <cell r="K6168" t="str">
            <v>Settled</v>
          </cell>
        </row>
        <row r="6169">
          <cell r="J6169" t="str">
            <v>HK-worldpay ap ltd-12/2022</v>
          </cell>
          <cell r="K6169" t="str">
            <v>Settled</v>
          </cell>
        </row>
        <row r="6170">
          <cell r="J6170" t="str">
            <v>HK-worldpay ap ltd-01/2023</v>
          </cell>
          <cell r="K6170" t="str">
            <v>Settled</v>
          </cell>
        </row>
        <row r="6171">
          <cell r="J6171" t="str">
            <v>HK-worldpay ap ltd-02/2023</v>
          </cell>
          <cell r="K6171" t="str">
            <v>Settled</v>
          </cell>
        </row>
        <row r="6172">
          <cell r="J6172" t="str">
            <v>HK-worldpay ap ltd-03/2023</v>
          </cell>
          <cell r="K6172" t="str">
            <v>Settled</v>
          </cell>
        </row>
        <row r="6173">
          <cell r="J6173" t="str">
            <v>HK-worldpayapltd-04/2023</v>
          </cell>
          <cell r="K6173" t="str">
            <v>Settled</v>
          </cell>
        </row>
        <row r="6174">
          <cell r="J6174" t="str">
            <v>HK-worldpayapltd-07/2023</v>
          </cell>
          <cell r="K6174" t="str">
            <v>Settled</v>
          </cell>
        </row>
        <row r="6175">
          <cell r="J6175" t="str">
            <v>HK -worldpayapltd-08/2023</v>
          </cell>
          <cell r="K6175" t="str">
            <v>Settled</v>
          </cell>
        </row>
        <row r="6176">
          <cell r="J6176" t="str">
            <v>HK-worldpayapltd-09/2023</v>
          </cell>
          <cell r="K6176" t="str">
            <v>Settled</v>
          </cell>
        </row>
        <row r="6177">
          <cell r="J6177" t="str">
            <v>HK-worldpayapltd-10/2023</v>
          </cell>
          <cell r="K6177" t="str">
            <v>Settled</v>
          </cell>
        </row>
        <row r="6178">
          <cell r="J6178" t="str">
            <v>HK-worldpayapltd-11/2023</v>
          </cell>
          <cell r="K6178" t="str">
            <v>Settled</v>
          </cell>
        </row>
        <row r="6179">
          <cell r="J6179" t="str">
            <v>HK-worldpayapltd-12/2023</v>
          </cell>
          <cell r="K6179" t="str">
            <v>Settled</v>
          </cell>
        </row>
        <row r="6180">
          <cell r="J6180" t="str">
            <v>HK-worldpayapltd-01/2024</v>
          </cell>
          <cell r="K6180" t="str">
            <v>Settled</v>
          </cell>
        </row>
        <row r="6181">
          <cell r="J6181" t="str">
            <v>HK-worldpayapltd-02/2024</v>
          </cell>
          <cell r="K6181" t="str">
            <v>Settled</v>
          </cell>
        </row>
        <row r="6182">
          <cell r="J6182" t="str">
            <v>HK-worldpayapltd-03/2024</v>
          </cell>
          <cell r="K6182" t="str">
            <v>Settled</v>
          </cell>
        </row>
        <row r="6183">
          <cell r="J6183" t="str">
            <v>HK-worldpayapltd-04/2024</v>
          </cell>
          <cell r="K6183" t="str">
            <v>Settled</v>
          </cell>
        </row>
        <row r="6184">
          <cell r="J6184" t="str">
            <v>HK-worldpayapltd-05/2024</v>
          </cell>
          <cell r="K6184" t="str">
            <v>Settled</v>
          </cell>
        </row>
        <row r="6185">
          <cell r="J6185" t="str">
            <v>HK-worldpayapltd-06/2024</v>
          </cell>
          <cell r="K6185" t="str">
            <v>Settled</v>
          </cell>
        </row>
        <row r="6186">
          <cell r="J6186" t="str">
            <v>HK-worldpayapltd-07/2024</v>
          </cell>
          <cell r="K6186" t="str">
            <v>Settled</v>
          </cell>
        </row>
        <row r="6187">
          <cell r="J6187" t="str">
            <v>HK-worldpayapltd-08/2024</v>
          </cell>
          <cell r="K6187" t="str">
            <v>Settled</v>
          </cell>
        </row>
        <row r="6188">
          <cell r="J6188" t="str">
            <v>HK-worldpayapltd-09/2024</v>
          </cell>
          <cell r="K6188" t="str">
            <v>Settled</v>
          </cell>
        </row>
        <row r="6189">
          <cell r="J6189" t="str">
            <v>HK-worldpayapltd-10/2024</v>
          </cell>
          <cell r="K6189" t="str">
            <v>Settled</v>
          </cell>
        </row>
        <row r="6190">
          <cell r="J6190" t="str">
            <v>HK-worldpayapltd-11/2024</v>
          </cell>
          <cell r="K6190" t="str">
            <v>Settled</v>
          </cell>
        </row>
        <row r="6191">
          <cell r="J6191" t="str">
            <v>HK-worldpayapltd-12/2024</v>
          </cell>
          <cell r="K6191" t="str">
            <v>Settled</v>
          </cell>
        </row>
        <row r="6192">
          <cell r="J6192" t="str">
            <v>HK-worldpayapltd-01/2025</v>
          </cell>
          <cell r="K6192" t="str">
            <v>Settled</v>
          </cell>
        </row>
        <row r="6193">
          <cell r="J6193" t="str">
            <v>HK-worldpayapltd-02/2025</v>
          </cell>
          <cell r="K6193" t="str">
            <v>Settled</v>
          </cell>
        </row>
        <row r="6194">
          <cell r="J6194" t="str">
            <v>HK-worldpayapltd-03/2025</v>
          </cell>
          <cell r="K6194" t="str">
            <v>Settled</v>
          </cell>
        </row>
        <row r="6195">
          <cell r="J6195" t="str">
            <v>HK-worldpayapltd-04/2025</v>
          </cell>
          <cell r="K6195" t="str">
            <v>Settled</v>
          </cell>
        </row>
        <row r="6196">
          <cell r="J6196" t="str">
            <v>HK-worldpayapltd-05/2025</v>
          </cell>
          <cell r="K6196" t="str">
            <v>Settled</v>
          </cell>
        </row>
        <row r="6197">
          <cell r="J6197" t="str">
            <v>HK-worldpayapltd-06/2025</v>
          </cell>
          <cell r="K6197" t="str">
            <v>Settled</v>
          </cell>
        </row>
        <row r="6198">
          <cell r="J6198" t="str">
            <v>HK-worldpayapltd-07/2025</v>
          </cell>
          <cell r="K6198" t="str">
            <v>Settled</v>
          </cell>
        </row>
        <row r="6199">
          <cell r="J6199" t="str">
            <v>HK-worldpayapltd-08/2025</v>
          </cell>
          <cell r="K6199" t="str">
            <v>Settled</v>
          </cell>
        </row>
        <row r="6200">
          <cell r="J6200" t="str">
            <v>HK-worldpayapltd-09/2025</v>
          </cell>
          <cell r="K6200" t="str">
            <v>Settled</v>
          </cell>
        </row>
        <row r="6201">
          <cell r="J6201" t="str">
            <v>HK-worldpayapltd-10/2025</v>
          </cell>
          <cell r="K6201" t="str">
            <v>Settled</v>
          </cell>
        </row>
        <row r="6202">
          <cell r="J6202" t="str">
            <v>HK-worldpayapltd-11/2025</v>
          </cell>
          <cell r="K6202" t="str">
            <v>Settled</v>
          </cell>
        </row>
        <row r="6203">
          <cell r="J6203" t="str">
            <v>HK-worldpayapltd-12/2025</v>
          </cell>
          <cell r="K6203" t="str">
            <v>Settled</v>
          </cell>
        </row>
        <row r="6204">
          <cell r="J6204" t="str">
            <v>SG-worldpayapltd-01/2026</v>
          </cell>
          <cell r="K6204" t="str">
            <v>Settled</v>
          </cell>
        </row>
        <row r="6205">
          <cell r="J6205" t="str">
            <v>SG-worldpayapltd-02/2026</v>
          </cell>
          <cell r="K6205" t="str">
            <v>Settled</v>
          </cell>
        </row>
        <row r="6206">
          <cell r="J6206" t="str">
            <v>SG-worldpayapltd-03/2026</v>
          </cell>
          <cell r="K6206" t="str">
            <v>Settled</v>
          </cell>
        </row>
        <row r="6207">
          <cell r="J6207" t="str">
            <v>SG-worldpayapltd-04/2026</v>
          </cell>
          <cell r="K6207" t="str">
            <v>Settled</v>
          </cell>
        </row>
        <row r="6208">
          <cell r="J6208" t="str">
            <v>SG-worldpayapltd-05/2026</v>
          </cell>
          <cell r="K6208" t="str">
            <v>Settled</v>
          </cell>
        </row>
        <row r="6209">
          <cell r="J6209" t="str">
            <v>US-AD-WORLDPAY-Verify-01-2025</v>
          </cell>
          <cell r="K6209" t="str">
            <v>Settled</v>
          </cell>
        </row>
        <row r="6210">
          <cell r="J6210" t="str">
            <v>CA -Rank Wyre-01/2024</v>
          </cell>
          <cell r="K6210" t="str">
            <v>Settled</v>
          </cell>
        </row>
        <row r="6211">
          <cell r="J6211" t="str">
            <v>CA-Rank Wyre-01/2024</v>
          </cell>
          <cell r="K6211" t="str">
            <v>Settled</v>
          </cell>
        </row>
        <row r="6212">
          <cell r="J6212" t="str">
            <v>CA-Rank Wyre-02/2024</v>
          </cell>
          <cell r="K6212" t="str">
            <v>Settled</v>
          </cell>
        </row>
        <row r="6213">
          <cell r="J6213" t="str">
            <v>CA-Rank Wyre-03/2024</v>
          </cell>
          <cell r="K6213" t="str">
            <v>Settled</v>
          </cell>
        </row>
        <row r="6214">
          <cell r="J6214" t="str">
            <v>CA-Rank Wyre-04/2024</v>
          </cell>
          <cell r="K6214" t="str">
            <v>Settled</v>
          </cell>
        </row>
        <row r="6215">
          <cell r="J6215" t="str">
            <v>CA-Rank Wyre-05/2024</v>
          </cell>
          <cell r="K6215" t="str">
            <v>Settled</v>
          </cell>
        </row>
        <row r="6216">
          <cell r="J6216" t="str">
            <v>CA-Rank Wyre-06/2024</v>
          </cell>
          <cell r="K6216" t="str">
            <v>Settled</v>
          </cell>
        </row>
        <row r="6217">
          <cell r="J6217" t="str">
            <v>CA-Rank Wyre-07/2024</v>
          </cell>
          <cell r="K6217" t="str">
            <v>Settled</v>
          </cell>
        </row>
        <row r="6218">
          <cell r="J6218" t="str">
            <v>CA-Rank Wyre-08/2024</v>
          </cell>
          <cell r="K6218" t="str">
            <v>Settled</v>
          </cell>
        </row>
        <row r="6219">
          <cell r="J6219" t="str">
            <v>CA-Rank Wyre-09/2024</v>
          </cell>
          <cell r="K6219" t="str">
            <v>Settled</v>
          </cell>
        </row>
        <row r="6220">
          <cell r="J6220" t="str">
            <v>CA-Rank Wyre-10/2024</v>
          </cell>
          <cell r="K6220" t="str">
            <v>Settled</v>
          </cell>
        </row>
        <row r="6221">
          <cell r="J6221" t="str">
            <v>CA-Rank Wyre-11/2024</v>
          </cell>
          <cell r="K6221" t="str">
            <v>Settled</v>
          </cell>
        </row>
        <row r="6222">
          <cell r="J6222" t="str">
            <v>CA-Rank Wyre-12/2024</v>
          </cell>
          <cell r="K6222" t="str">
            <v>Settled</v>
          </cell>
        </row>
        <row r="6223">
          <cell r="J6223" t="str">
            <v>CA-Rank Wyre-01/2025</v>
          </cell>
          <cell r="K6223" t="str">
            <v>Settled</v>
          </cell>
        </row>
        <row r="6224">
          <cell r="J6224" t="str">
            <v>CA-Rank Wyre-02/2025</v>
          </cell>
          <cell r="K6224" t="str">
            <v>Net Off</v>
          </cell>
        </row>
        <row r="6225">
          <cell r="J6225" t="str">
            <v>CA-CN-Rank Wyre-02-2025</v>
          </cell>
          <cell r="K6225" t="str">
            <v>Net Off</v>
          </cell>
        </row>
        <row r="6226">
          <cell r="J6226" t="str">
            <v>CA-Rank Wyre-03/2025</v>
          </cell>
          <cell r="K6226" t="str">
            <v>Net Off</v>
          </cell>
        </row>
        <row r="6227">
          <cell r="J6227" t="str">
            <v>CA-CN-Rank Wyre-03-2025</v>
          </cell>
          <cell r="K6227" t="str">
            <v>Net Off</v>
          </cell>
        </row>
        <row r="6228">
          <cell r="J6228" t="str">
            <v>CA-CN-Rank Wyre-04-2025</v>
          </cell>
          <cell r="K6228" t="str">
            <v>Settled</v>
          </cell>
        </row>
        <row r="6229">
          <cell r="J6229" t="str">
            <v>CA-Rank Wyre-04/2025</v>
          </cell>
          <cell r="K6229" t="str">
            <v>Settled</v>
          </cell>
        </row>
        <row r="6230">
          <cell r="J6230" t="str">
            <v>CA-Rank Wyre-05/2025</v>
          </cell>
          <cell r="K6230" t="str">
            <v>Settled</v>
          </cell>
        </row>
        <row r="6231">
          <cell r="J6231" t="str">
            <v>CA-Rank Wyre-06/2025</v>
          </cell>
          <cell r="K6231" t="str">
            <v>Settled</v>
          </cell>
        </row>
        <row r="6232">
          <cell r="J6232" t="str">
            <v>CA-Rank Wyre-07/2025</v>
          </cell>
          <cell r="K6232" t="str">
            <v>Settled</v>
          </cell>
        </row>
        <row r="6233">
          <cell r="J6233" t="str">
            <v>CA-Rank Wyre-08/2025</v>
          </cell>
          <cell r="K6233" t="str">
            <v>Settled</v>
          </cell>
        </row>
        <row r="6234">
          <cell r="J6234" t="str">
            <v>CA-Yala-09/2025</v>
          </cell>
          <cell r="K6234" t="str">
            <v>Settled</v>
          </cell>
        </row>
        <row r="6235">
          <cell r="J6235" t="str">
            <v>CA-Yala-10/2025</v>
          </cell>
          <cell r="K6235" t="str">
            <v>Settled</v>
          </cell>
        </row>
        <row r="6236">
          <cell r="J6236" t="str">
            <v>CA-Yala-11/2025</v>
          </cell>
          <cell r="K6236" t="str">
            <v>Settled</v>
          </cell>
        </row>
        <row r="6237">
          <cell r="J6237" t="str">
            <v>CA-Yala-12/2025</v>
          </cell>
          <cell r="K6237" t="str">
            <v>Settled</v>
          </cell>
        </row>
        <row r="6238">
          <cell r="J6238" t="str">
            <v>CA-Yala-01/2026</v>
          </cell>
          <cell r="K6238" t="str">
            <v>Settled</v>
          </cell>
        </row>
        <row r="6239">
          <cell r="J6239" t="str">
            <v>CA-CN-Yala-01-2026</v>
          </cell>
          <cell r="K6239" t="str">
            <v>Settled</v>
          </cell>
        </row>
        <row r="6240">
          <cell r="J6240" t="str">
            <v>CA-Yala-02/2026</v>
          </cell>
          <cell r="K6240" t="str">
            <v>Settled</v>
          </cell>
        </row>
        <row r="6241">
          <cell r="J6241" t="str">
            <v>CA-Yala-03/2026</v>
          </cell>
          <cell r="K6241" t="str">
            <v>Settled</v>
          </cell>
        </row>
        <row r="6242">
          <cell r="J6242" t="str">
            <v>CA-Yala-04/2026</v>
          </cell>
          <cell r="K6242" t="str">
            <v>Settled</v>
          </cell>
        </row>
        <row r="6243">
          <cell r="J6243" t="str">
            <v>CA-Yala-05/2026</v>
          </cell>
          <cell r="K6243" t="str">
            <v>Settled</v>
          </cell>
        </row>
        <row r="6244">
          <cell r="J6244" t="str">
            <v>SG-YO-KAI EXPRESS INC-03/2023</v>
          </cell>
          <cell r="K6244" t="str">
            <v>Write Off</v>
          </cell>
        </row>
        <row r="6245">
          <cell r="J6245" t="str">
            <v>SG-you technologies-09/2022</v>
          </cell>
          <cell r="K6245" t="str">
            <v>Settled</v>
          </cell>
        </row>
        <row r="6246">
          <cell r="J6246" t="str">
            <v>SG-you technologies group (singapore) pte. ltd-11/2022</v>
          </cell>
          <cell r="K6246" t="str">
            <v>Settled</v>
          </cell>
        </row>
        <row r="6247">
          <cell r="J6247" t="str">
            <v>SG-you technologies group (singapore) pte. ltd-12/2022</v>
          </cell>
          <cell r="K6247" t="str">
            <v>Settled</v>
          </cell>
        </row>
        <row r="6248">
          <cell r="J6248" t="str">
            <v>SG-you technologies group (singapore) pte. ltd-01/2023</v>
          </cell>
          <cell r="K6248" t="str">
            <v>Settled</v>
          </cell>
        </row>
        <row r="6249">
          <cell r="J6249" t="str">
            <v>SG-youtech-02/2023</v>
          </cell>
          <cell r="K6249" t="str">
            <v>Settled</v>
          </cell>
        </row>
        <row r="6250">
          <cell r="J6250" t="str">
            <v>SG-youtech-03/2023</v>
          </cell>
          <cell r="K6250" t="str">
            <v>Settled</v>
          </cell>
        </row>
        <row r="6251">
          <cell r="J6251" t="str">
            <v>SG-youtech-04/2023</v>
          </cell>
          <cell r="K6251" t="str">
            <v>Settled</v>
          </cell>
        </row>
        <row r="6252">
          <cell r="J6252" t="str">
            <v>SG-youtech-05/2023</v>
          </cell>
          <cell r="K6252" t="str">
            <v>Settled</v>
          </cell>
        </row>
        <row r="6253">
          <cell r="J6253" t="str">
            <v>SG-youtech-06/2023</v>
          </cell>
          <cell r="K6253" t="str">
            <v>Settled</v>
          </cell>
        </row>
        <row r="6254">
          <cell r="J6254" t="str">
            <v>SG-youtech-07/2023</v>
          </cell>
          <cell r="K6254" t="str">
            <v>Settled</v>
          </cell>
        </row>
        <row r="6255">
          <cell r="J6255" t="str">
            <v>SG -youtech-08/2023</v>
          </cell>
          <cell r="K6255" t="str">
            <v>Settled</v>
          </cell>
        </row>
        <row r="6256">
          <cell r="J6256" t="str">
            <v>SG-youtech-09/2023</v>
          </cell>
          <cell r="K6256" t="str">
            <v>Settled</v>
          </cell>
        </row>
        <row r="6257">
          <cell r="J6257" t="str">
            <v>SG-youtech-10/2023</v>
          </cell>
          <cell r="K6257" t="str">
            <v>Settled</v>
          </cell>
        </row>
        <row r="6258">
          <cell r="J6258" t="str">
            <v>SG-youtech-11/2023</v>
          </cell>
          <cell r="K6258" t="str">
            <v>Settled</v>
          </cell>
        </row>
        <row r="6259">
          <cell r="J6259" t="str">
            <v>SG-youtech-12/2023</v>
          </cell>
          <cell r="K6259" t="str">
            <v>Settled</v>
          </cell>
        </row>
        <row r="6260">
          <cell r="J6260" t="str">
            <v>SG-youtech-01/2024</v>
          </cell>
          <cell r="K6260" t="str">
            <v>Settled</v>
          </cell>
        </row>
        <row r="6261">
          <cell r="J6261" t="str">
            <v>SG-youtech-02/2024</v>
          </cell>
          <cell r="K6261" t="str">
            <v>Settled</v>
          </cell>
        </row>
        <row r="6262">
          <cell r="J6262" t="str">
            <v>SG-youtech-03/2024</v>
          </cell>
          <cell r="K6262" t="str">
            <v>Settled</v>
          </cell>
        </row>
        <row r="6263">
          <cell r="J6263" t="str">
            <v>SG-youtech-04/2024</v>
          </cell>
          <cell r="K6263" t="str">
            <v>Settled</v>
          </cell>
        </row>
        <row r="6264">
          <cell r="J6264" t="str">
            <v>SG-youtech-05/2024</v>
          </cell>
          <cell r="K6264" t="str">
            <v>Settled</v>
          </cell>
        </row>
        <row r="6265">
          <cell r="J6265" t="str">
            <v>SG-youtech-06/2024</v>
          </cell>
          <cell r="K6265" t="str">
            <v>Settled</v>
          </cell>
        </row>
        <row r="6266">
          <cell r="J6266" t="str">
            <v>SG-youtech-07/2024</v>
          </cell>
          <cell r="K6266" t="str">
            <v>Settled</v>
          </cell>
        </row>
        <row r="6267">
          <cell r="J6267" t="str">
            <v>SG-youtech-08/2024</v>
          </cell>
          <cell r="K6267" t="str">
            <v>Settled</v>
          </cell>
        </row>
        <row r="6268">
          <cell r="J6268" t="str">
            <v>SG-youtech-09/2024</v>
          </cell>
          <cell r="K6268" t="str">
            <v>Settled</v>
          </cell>
        </row>
        <row r="6269">
          <cell r="J6269" t="str">
            <v>SG-youtech-10/2024</v>
          </cell>
          <cell r="K6269" t="str">
            <v>Settled</v>
          </cell>
        </row>
        <row r="6270">
          <cell r="J6270" t="str">
            <v>SG-youtech-11/2024</v>
          </cell>
          <cell r="K6270" t="str">
            <v>Settled</v>
          </cell>
        </row>
        <row r="6271">
          <cell r="J6271" t="str">
            <v>SG-youtech-12/2024</v>
          </cell>
          <cell r="K6271" t="str">
            <v>Settled</v>
          </cell>
        </row>
        <row r="6272">
          <cell r="J6272" t="str">
            <v>SG-youtech-01/2025</v>
          </cell>
          <cell r="K6272" t="str">
            <v>Settled</v>
          </cell>
        </row>
        <row r="6273">
          <cell r="J6273" t="str">
            <v>SG-youtech-03/2025</v>
          </cell>
          <cell r="K6273" t="str">
            <v>Settled</v>
          </cell>
        </row>
        <row r="6274">
          <cell r="J6274" t="str">
            <v>SG-youtech-04/2025</v>
          </cell>
          <cell r="K6274" t="str">
            <v>Settled</v>
          </cell>
        </row>
        <row r="6275">
          <cell r="J6275" t="str">
            <v>SG-youtech-05/2025</v>
          </cell>
          <cell r="K6275" t="str">
            <v>Settled</v>
          </cell>
        </row>
        <row r="6276">
          <cell r="J6276" t="str">
            <v>SG-youtech-06/2025</v>
          </cell>
          <cell r="K6276" t="str">
            <v>Settled</v>
          </cell>
        </row>
        <row r="6277">
          <cell r="J6277" t="str">
            <v>SG-youtech-07/2025</v>
          </cell>
          <cell r="K6277" t="str">
            <v>Settled</v>
          </cell>
        </row>
        <row r="6278">
          <cell r="J6278" t="str">
            <v>SG-youtech-08/2025</v>
          </cell>
          <cell r="K6278" t="str">
            <v>Settled</v>
          </cell>
        </row>
        <row r="6279">
          <cell r="J6279" t="str">
            <v>SG-youtech-09/2025</v>
          </cell>
          <cell r="K6279" t="str">
            <v>Settled</v>
          </cell>
        </row>
        <row r="6280">
          <cell r="J6280" t="str">
            <v>SG-youtech-10/2025</v>
          </cell>
          <cell r="K6280" t="str">
            <v>Settled</v>
          </cell>
        </row>
        <row r="6281">
          <cell r="J6281" t="str">
            <v>SG-youtech-11/2025</v>
          </cell>
          <cell r="K6281" t="str">
            <v>Settled</v>
          </cell>
        </row>
        <row r="6282">
          <cell r="J6282" t="str">
            <v>SG-youtech-12/2025</v>
          </cell>
          <cell r="K6282" t="str">
            <v>Settled</v>
          </cell>
        </row>
        <row r="6283">
          <cell r="J6283" t="str">
            <v>SG-youtech-01/2026</v>
          </cell>
          <cell r="K6283" t="str">
            <v>Settled</v>
          </cell>
        </row>
        <row r="6284">
          <cell r="J6284" t="str">
            <v>SG-youtech-02/2026</v>
          </cell>
          <cell r="K6284" t="str">
            <v>Settled</v>
          </cell>
        </row>
        <row r="6285">
          <cell r="J6285" t="str">
            <v>SG-youtech-03/2026</v>
          </cell>
          <cell r="K6285" t="str">
            <v>Overdue</v>
          </cell>
        </row>
        <row r="6286">
          <cell r="J6286" t="str">
            <v>SG-youtech-04/2026</v>
          </cell>
          <cell r="K6286" t="str">
            <v>Settled</v>
          </cell>
        </row>
        <row r="6287">
          <cell r="J6287" t="str">
            <v>SG-youtech-05/2026</v>
          </cell>
          <cell r="K6287" t="str">
            <v>Settled</v>
          </cell>
        </row>
        <row r="6288">
          <cell r="J6288" t="str">
            <v>SG-youtech-02/2025</v>
          </cell>
          <cell r="K6288" t="str">
            <v>Settled</v>
          </cell>
        </row>
        <row r="6289">
          <cell r="J6289" t="str">
            <v>US-youtech-Verify-03/2025</v>
          </cell>
          <cell r="K6289" t="str">
            <v>Settled</v>
          </cell>
        </row>
        <row r="6290">
          <cell r="J6290" t="str">
            <v>US-youtech-Verify-04/2025</v>
          </cell>
          <cell r="K6290" t="str">
            <v>Settled</v>
          </cell>
        </row>
        <row r="6291">
          <cell r="J6291" t="str">
            <v>US-youtech-Verify-05/2025</v>
          </cell>
          <cell r="K6291" t="str">
            <v>Settled</v>
          </cell>
        </row>
        <row r="6292">
          <cell r="J6292" t="str">
            <v>US-youtech-Verify-06/2025</v>
          </cell>
          <cell r="K6292" t="str">
            <v>Settled</v>
          </cell>
        </row>
        <row r="6293">
          <cell r="J6293" t="str">
            <v>US-youtech-Verify-07/2025</v>
          </cell>
          <cell r="K6293" t="str">
            <v>Settled</v>
          </cell>
        </row>
        <row r="6294">
          <cell r="J6294" t="str">
            <v>US-youtech-Verify-08/2025</v>
          </cell>
          <cell r="K6294" t="str">
            <v>Settled</v>
          </cell>
        </row>
        <row r="6295">
          <cell r="J6295" t="str">
            <v>US-youtech-Verify-09/2025</v>
          </cell>
          <cell r="K6295" t="str">
            <v>Settled</v>
          </cell>
        </row>
        <row r="6296">
          <cell r="J6296" t="str">
            <v>US-youtech-Verify-10/2025</v>
          </cell>
          <cell r="K6296" t="str">
            <v>Settled</v>
          </cell>
        </row>
        <row r="6297">
          <cell r="J6297" t="str">
            <v>US-youtech-Verify-11/2025</v>
          </cell>
          <cell r="K6297" t="str">
            <v>Settled</v>
          </cell>
        </row>
        <row r="6298">
          <cell r="J6298" t="str">
            <v>US-youtech-Verify-12/2025</v>
          </cell>
          <cell r="K6298" t="str">
            <v>Settled</v>
          </cell>
        </row>
        <row r="6299">
          <cell r="J6299" t="str">
            <v>US-youtech-Verify-01/2026</v>
          </cell>
          <cell r="K6299" t="str">
            <v>Settled</v>
          </cell>
        </row>
        <row r="6300">
          <cell r="J6300" t="str">
            <v>US-youtech-Verify-02/2026</v>
          </cell>
          <cell r="K6300" t="str">
            <v>Settled</v>
          </cell>
        </row>
        <row r="6301">
          <cell r="J6301" t="str">
            <v>US-youtech-Verify-03/2026</v>
          </cell>
          <cell r="K6301" t="str">
            <v>Settled</v>
          </cell>
        </row>
        <row r="6302">
          <cell r="J6302" t="str">
            <v>US-youtech-Verify-04/2026</v>
          </cell>
          <cell r="K6302" t="str">
            <v>Settled</v>
          </cell>
        </row>
        <row r="6303">
          <cell r="J6303" t="str">
            <v>US-youtech-Verify-05/2026</v>
          </cell>
          <cell r="K6303" t="str">
            <v>Settled</v>
          </cell>
        </row>
        <row r="6304">
          <cell r="J6304" t="str">
            <v>US-youtech-Verify-02/2025</v>
          </cell>
          <cell r="K6304" t="str">
            <v>Settled</v>
          </cell>
        </row>
        <row r="6305">
          <cell r="J6305" t="str">
            <v>CA -youworld-04/2022</v>
          </cell>
          <cell r="K6305" t="str">
            <v>Settled</v>
          </cell>
        </row>
        <row r="6306">
          <cell r="J6306" t="str">
            <v>HK-zen eservices pte ltd-11/2022</v>
          </cell>
          <cell r="K6306" t="str">
            <v>Settled</v>
          </cell>
        </row>
        <row r="6307">
          <cell r="J6307" t="str">
            <v>SG-Zenus-10/2022</v>
          </cell>
          <cell r="K6307" t="str">
            <v>Settled</v>
          </cell>
        </row>
        <row r="6308">
          <cell r="J6308" t="str">
            <v>SG-Zenus bank international, inc-11/2022</v>
          </cell>
          <cell r="K6308" t="str">
            <v>Settled</v>
          </cell>
        </row>
        <row r="6309">
          <cell r="J6309" t="str">
            <v>SG-Zenus bank international, inc-12/2022</v>
          </cell>
          <cell r="K6309" t="str">
            <v>Settled</v>
          </cell>
        </row>
        <row r="6310">
          <cell r="J6310" t="str">
            <v>SG-Zenus bank international, inc-01/2023</v>
          </cell>
          <cell r="K6310" t="str">
            <v>Settled</v>
          </cell>
        </row>
        <row r="6311">
          <cell r="J6311" t="str">
            <v>SG-Zenusbank-02/2023</v>
          </cell>
          <cell r="K6311" t="str">
            <v>Settled</v>
          </cell>
        </row>
        <row r="6312">
          <cell r="J6312" t="str">
            <v>SG-Zenusbank-03/2023</v>
          </cell>
          <cell r="K6312" t="str">
            <v>Settled</v>
          </cell>
        </row>
        <row r="6313">
          <cell r="J6313" t="str">
            <v>SG-Zenusbank-04/2023</v>
          </cell>
          <cell r="K6313" t="str">
            <v>Settled</v>
          </cell>
        </row>
        <row r="6314">
          <cell r="J6314" t="str">
            <v>SG-Zenusbank-05/2023</v>
          </cell>
          <cell r="K6314" t="str">
            <v>Settled</v>
          </cell>
        </row>
        <row r="6315">
          <cell r="J6315" t="str">
            <v>SG-Zenusbank-06/2023</v>
          </cell>
          <cell r="K6315" t="str">
            <v>Settled</v>
          </cell>
        </row>
        <row r="6316">
          <cell r="J6316" t="str">
            <v>SG-Zenusbank-07/2023</v>
          </cell>
          <cell r="K6316" t="str">
            <v>Settled</v>
          </cell>
        </row>
        <row r="6317">
          <cell r="J6317" t="str">
            <v>SG-Zenusbank-10/2023</v>
          </cell>
          <cell r="K6317" t="str">
            <v>Settled</v>
          </cell>
        </row>
        <row r="6318">
          <cell r="J6318" t="str">
            <v>SG-Zenusbank-11/2023</v>
          </cell>
          <cell r="K6318" t="str">
            <v>Settled</v>
          </cell>
        </row>
        <row r="6319">
          <cell r="J6319" t="str">
            <v>SG-Zenusbank-06/2024</v>
          </cell>
          <cell r="K6319" t="str">
            <v>Settled</v>
          </cell>
        </row>
        <row r="6320">
          <cell r="J6320" t="str">
            <v>SG-Zenusbank-07/2024</v>
          </cell>
          <cell r="K6320" t="str">
            <v>Settled</v>
          </cell>
        </row>
        <row r="6321">
          <cell r="J6321" t="str">
            <v>SG-Zenusbank-08/2024</v>
          </cell>
          <cell r="K6321" t="str">
            <v>Settled</v>
          </cell>
        </row>
        <row r="6322">
          <cell r="J6322" t="str">
            <v>SG-Zenusbank-09/2024</v>
          </cell>
          <cell r="K6322" t="str">
            <v>Settled</v>
          </cell>
        </row>
        <row r="6323">
          <cell r="J6323" t="str">
            <v>SG-Zenusbank-10/2024</v>
          </cell>
          <cell r="K6323" t="str">
            <v>Settled</v>
          </cell>
        </row>
        <row r="6324">
          <cell r="J6324" t="str">
            <v>SG-Zenusbank-11/2024</v>
          </cell>
          <cell r="K6324" t="str">
            <v>Settled</v>
          </cell>
        </row>
        <row r="6325">
          <cell r="J6325" t="str">
            <v>SG-Zenusbank-12/2024</v>
          </cell>
          <cell r="K6325" t="str">
            <v>Settled</v>
          </cell>
        </row>
        <row r="6326">
          <cell r="J6326" t="str">
            <v>SG-Zenusbank-01/2025</v>
          </cell>
          <cell r="K6326" t="str">
            <v>Settled</v>
          </cell>
        </row>
        <row r="6327">
          <cell r="J6327" t="str">
            <v>SG-Zenusbank-02/2025</v>
          </cell>
          <cell r="K6327" t="str">
            <v>Settled</v>
          </cell>
        </row>
        <row r="6328">
          <cell r="J6328" t="str">
            <v>SG-Zenusbank-03/2025</v>
          </cell>
          <cell r="K6328" t="str">
            <v>Settled</v>
          </cell>
        </row>
        <row r="6329">
          <cell r="J6329" t="str">
            <v>SG-Zenusbank-04/2025</v>
          </cell>
          <cell r="K6329" t="str">
            <v>Settled</v>
          </cell>
        </row>
        <row r="6330">
          <cell r="J6330" t="str">
            <v>SG-Zenusbank-05/2025</v>
          </cell>
          <cell r="K6330" t="str">
            <v>Settled</v>
          </cell>
        </row>
        <row r="6331">
          <cell r="J6331" t="str">
            <v>SG-Zenusbank-06/2025</v>
          </cell>
          <cell r="K6331" t="str">
            <v>Settled</v>
          </cell>
        </row>
        <row r="6332">
          <cell r="J6332" t="str">
            <v>SG-Zenusbank-10/2025</v>
          </cell>
          <cell r="K6332" t="str">
            <v>Settled</v>
          </cell>
        </row>
        <row r="6333">
          <cell r="J6333" t="str">
            <v>SG-Zenusbank-11/2025</v>
          </cell>
          <cell r="K6333" t="str">
            <v>Settled</v>
          </cell>
        </row>
        <row r="6334">
          <cell r="J6334" t="str">
            <v>SG-Zenusbank-12/2025</v>
          </cell>
          <cell r="K6334" t="str">
            <v>Settled</v>
          </cell>
        </row>
        <row r="6335">
          <cell r="J6335" t="str">
            <v>SG-Zenusbank-01/2026</v>
          </cell>
          <cell r="K6335" t="str">
            <v>Settled</v>
          </cell>
        </row>
        <row r="6336">
          <cell r="J6336" t="str">
            <v>SG-Zenusbank-02/2026</v>
          </cell>
          <cell r="K6336" t="str">
            <v>Settled</v>
          </cell>
        </row>
        <row r="6337">
          <cell r="J6337" t="str">
            <v>SG-Zenusbank-03/2026</v>
          </cell>
          <cell r="K6337" t="str">
            <v>Settled</v>
          </cell>
        </row>
        <row r="6338">
          <cell r="J6338" t="str">
            <v>SG-Zenusbank-04/2026</v>
          </cell>
          <cell r="K6338" t="str">
            <v>Settled</v>
          </cell>
        </row>
        <row r="6339">
          <cell r="J6339" t="str">
            <v>SG-Zenusbank-05/2026</v>
          </cell>
          <cell r="K6339" t="str">
            <v>Overdue</v>
          </cell>
        </row>
        <row r="6340">
          <cell r="J6340" t="str">
            <v>SG -Zenusbank-08/2023</v>
          </cell>
          <cell r="K6340" t="str">
            <v>Settled</v>
          </cell>
        </row>
        <row r="6341">
          <cell r="J6341" t="str">
            <v>SG-Zenusbank-09/2023</v>
          </cell>
          <cell r="K6341" t="str">
            <v>Settled</v>
          </cell>
        </row>
        <row r="6342">
          <cell r="J6342" t="str">
            <v>SG-Zenusbank-12/2023</v>
          </cell>
          <cell r="K6342" t="str">
            <v>Settled</v>
          </cell>
        </row>
        <row r="6343">
          <cell r="J6343" t="str">
            <v>SG-Zenusbank-01/2024</v>
          </cell>
          <cell r="K6343" t="str">
            <v>Settled</v>
          </cell>
        </row>
        <row r="6344">
          <cell r="J6344" t="str">
            <v>SG-Zenusbank-02/2024</v>
          </cell>
          <cell r="K6344" t="str">
            <v>Settled</v>
          </cell>
        </row>
        <row r="6345">
          <cell r="J6345" t="str">
            <v>SG-Zenusbank-03/2024</v>
          </cell>
          <cell r="K6345" t="str">
            <v>Settled</v>
          </cell>
        </row>
        <row r="6346">
          <cell r="J6346" t="str">
            <v>SG-Zenusbank-04/2024</v>
          </cell>
          <cell r="K6346" t="str">
            <v>Settled</v>
          </cell>
        </row>
        <row r="6347">
          <cell r="J6347" t="str">
            <v>SG-Zenusbank-05/2024</v>
          </cell>
          <cell r="K6347" t="str">
            <v>Settled</v>
          </cell>
        </row>
        <row r="6348">
          <cell r="J6348" t="str">
            <v>SG-Zenusbank-07/2025</v>
          </cell>
          <cell r="K6348" t="str">
            <v>Settled</v>
          </cell>
        </row>
        <row r="6349">
          <cell r="J6349" t="str">
            <v>SG-Zenusbank-08/2025</v>
          </cell>
          <cell r="K6349" t="str">
            <v>Settled</v>
          </cell>
        </row>
        <row r="6350">
          <cell r="J6350" t="str">
            <v>SG-Zenusbank-09/2025</v>
          </cell>
          <cell r="K6350" t="str">
            <v>Settled</v>
          </cell>
        </row>
        <row r="6351">
          <cell r="J6351" t="str">
            <v>SG-ZUZUHOSP-02/2024</v>
          </cell>
          <cell r="K6351" t="str">
            <v>Settled</v>
          </cell>
        </row>
        <row r="6352">
          <cell r="J6352" t="str">
            <v>SG -ZUZU HOSPITALITY SOLUTIONS PTE. LTD.-12/2021</v>
          </cell>
          <cell r="K6352" t="str">
            <v>Settled</v>
          </cell>
        </row>
        <row r="6353">
          <cell r="J6353" t="str">
            <v>SG -ZUZU HOSPITALITY SOLUTIONS PTE. LTD.-04/2022</v>
          </cell>
          <cell r="K6353" t="str">
            <v>Reversed</v>
          </cell>
        </row>
        <row r="6354">
          <cell r="J6354" t="str">
            <v>SG -ZUZU HOSPITALITY SOLUTIONS PTE. LTD.-05/2022</v>
          </cell>
          <cell r="K6354" t="str">
            <v>Reversed</v>
          </cell>
        </row>
        <row r="6355">
          <cell r="J6355" t="str">
            <v>SG-ZUZU HOSPITALITY SOLUTIONS PTE. LTD.-11/2022</v>
          </cell>
          <cell r="K6355" t="str">
            <v>Settled</v>
          </cell>
        </row>
        <row r="6356">
          <cell r="J6356" t="str">
            <v>SG-ZUZU HOSPITALITY SOLUTIONS PTE. LTD.-12/2022</v>
          </cell>
          <cell r="K6356" t="str">
            <v>Settled</v>
          </cell>
        </row>
        <row r="6357">
          <cell r="J6357" t="str">
            <v>SG-ZUZU HOSPITALITY SOLUTIONS PTE. LTD.-01/2023</v>
          </cell>
          <cell r="K6357" t="str">
            <v>Settled</v>
          </cell>
        </row>
        <row r="6358">
          <cell r="J6358" t="str">
            <v>SG-ZUZUHOSP-02/2023</v>
          </cell>
          <cell r="K6358" t="str">
            <v>Settled</v>
          </cell>
        </row>
        <row r="6359">
          <cell r="J6359" t="str">
            <v>SG-ZUZUHOSP-03/2023</v>
          </cell>
          <cell r="K6359" t="str">
            <v>Settled</v>
          </cell>
        </row>
        <row r="6360">
          <cell r="J6360" t="str">
            <v>SG-ZUZUHOSP-04/2023</v>
          </cell>
          <cell r="K6360" t="str">
            <v>Settled</v>
          </cell>
        </row>
        <row r="6361">
          <cell r="J6361" t="str">
            <v>SG-ZUZUHOSP-05/2023</v>
          </cell>
          <cell r="K6361" t="str">
            <v>Settled</v>
          </cell>
        </row>
        <row r="6362">
          <cell r="J6362" t="str">
            <v>SG-ZUZUHOSP-06/2023</v>
          </cell>
          <cell r="K6362" t="str">
            <v>Settled</v>
          </cell>
        </row>
        <row r="6363">
          <cell r="J6363" t="str">
            <v>SG-ZUZUHOSP-07/2023</v>
          </cell>
          <cell r="K6363" t="str">
            <v>Settled</v>
          </cell>
        </row>
        <row r="6364">
          <cell r="J6364" t="str">
            <v>SG -ZUZUHOSP-08/2023</v>
          </cell>
          <cell r="K6364" t="str">
            <v>Settled</v>
          </cell>
        </row>
        <row r="6365">
          <cell r="J6365" t="str">
            <v>SG-ZUZUHOSP-09/2023</v>
          </cell>
          <cell r="K6365" t="str">
            <v>Settled</v>
          </cell>
        </row>
        <row r="6366">
          <cell r="J6366" t="str">
            <v>SG-ZUZUHOSP-10/2023</v>
          </cell>
          <cell r="K6366" t="str">
            <v>Settled</v>
          </cell>
        </row>
        <row r="6367">
          <cell r="J6367" t="str">
            <v>SG-ZUZUHOSP-11/2023</v>
          </cell>
          <cell r="K6367" t="str">
            <v>Settled</v>
          </cell>
        </row>
        <row r="6368">
          <cell r="J6368" t="str">
            <v>SG-ZUZUHOSP-12/2023</v>
          </cell>
          <cell r="K6368" t="str">
            <v>Settled</v>
          </cell>
        </row>
        <row r="6369">
          <cell r="J6369" t="str">
            <v>SG-ZUZUHOSP-01/2024</v>
          </cell>
          <cell r="K6369" t="str">
            <v>Settled</v>
          </cell>
        </row>
        <row r="6370">
          <cell r="J6370" t="str">
            <v>SG-ZUZUHOSP-05/2024</v>
          </cell>
          <cell r="K6370" t="str">
            <v>Settled</v>
          </cell>
        </row>
        <row r="6371">
          <cell r="J6371" t="str">
            <v>SG-CN-ZUZUHOSP-05-2024</v>
          </cell>
          <cell r="K6371" t="str">
            <v>Settled</v>
          </cell>
        </row>
        <row r="6372">
          <cell r="J6372" t="str">
            <v>INV-041223170518</v>
          </cell>
          <cell r="K6372" t="str">
            <v>Paid</v>
          </cell>
        </row>
        <row r="6373">
          <cell r="J6373" t="str">
            <v>INV-051023164954</v>
          </cell>
          <cell r="K6373" t="str">
            <v>Paid</v>
          </cell>
        </row>
        <row r="6374">
          <cell r="J6374" t="str">
            <v>CR-INV-051023164954</v>
          </cell>
          <cell r="K6374" t="str">
            <v>Paid</v>
          </cell>
        </row>
        <row r="6375">
          <cell r="J6375" t="str">
            <v>INV-080124151923</v>
          </cell>
          <cell r="K6375" t="str">
            <v>Paid</v>
          </cell>
        </row>
        <row r="6376">
          <cell r="J6376" t="str">
            <v>INV-050224160009</v>
          </cell>
          <cell r="K6376" t="str">
            <v>Paid</v>
          </cell>
        </row>
        <row r="6377">
          <cell r="J6377" t="str">
            <v>INV-061123152230</v>
          </cell>
          <cell r="K6377" t="str">
            <v>Paid</v>
          </cell>
        </row>
        <row r="6378">
          <cell r="J6378" t="str">
            <v>INV-050324152449</v>
          </cell>
          <cell r="K6378" t="str">
            <v>Paid</v>
          </cell>
        </row>
        <row r="6379">
          <cell r="J6379" t="str">
            <v>INV-030524165414</v>
          </cell>
          <cell r="K6379" t="str">
            <v>Paid</v>
          </cell>
        </row>
        <row r="6380">
          <cell r="J6380" t="str">
            <v>INV-031224163745</v>
          </cell>
          <cell r="K6380" t="str">
            <v>Paid</v>
          </cell>
        </row>
        <row r="6381">
          <cell r="J6381" t="str">
            <v>INV-040424133733</v>
          </cell>
          <cell r="K6381" t="str">
            <v>Paid</v>
          </cell>
        </row>
        <row r="6382">
          <cell r="J6382" t="str">
            <v>INV-040624121018</v>
          </cell>
          <cell r="K6382" t="str">
            <v>Paid</v>
          </cell>
        </row>
        <row r="6383">
          <cell r="J6383" t="str">
            <v>INV-040724122447</v>
          </cell>
          <cell r="K6383" t="str">
            <v>Paid</v>
          </cell>
        </row>
        <row r="6384">
          <cell r="J6384" t="str">
            <v>INV-040924132729</v>
          </cell>
          <cell r="K6384" t="str">
            <v>Paid</v>
          </cell>
        </row>
        <row r="6385">
          <cell r="J6385" t="str">
            <v>INV-041024184817</v>
          </cell>
          <cell r="K6385" t="str">
            <v>Paid</v>
          </cell>
        </row>
        <row r="6386">
          <cell r="J6386" t="str">
            <v>INV-030824120101</v>
          </cell>
          <cell r="K6386" t="str">
            <v>Paid</v>
          </cell>
        </row>
        <row r="6387">
          <cell r="J6387" t="str">
            <v>INV-061124111111</v>
          </cell>
          <cell r="K6387" t="str">
            <v>Paid</v>
          </cell>
        </row>
        <row r="6388">
          <cell r="J6388" t="str">
            <v>INV-060125105439</v>
          </cell>
          <cell r="K6388" t="str">
            <v>Paid</v>
          </cell>
        </row>
        <row r="6389">
          <cell r="J6389" t="str">
            <v>INV-040225151042</v>
          </cell>
          <cell r="K6389" t="str">
            <v>Paid</v>
          </cell>
        </row>
        <row r="6390">
          <cell r="J6390" t="str">
            <v>INV-040325152157</v>
          </cell>
          <cell r="K6390" t="str">
            <v>Paid</v>
          </cell>
        </row>
        <row r="6391">
          <cell r="J6391" t="str">
            <v>INV-020425155700</v>
          </cell>
          <cell r="K6391" t="str">
            <v>Paid</v>
          </cell>
        </row>
        <row r="6392">
          <cell r="J6392" t="str">
            <v>INV-020525182336</v>
          </cell>
          <cell r="K6392" t="str">
            <v>Paid</v>
          </cell>
        </row>
        <row r="6393">
          <cell r="J6393" t="str">
            <v>INV-030625134419</v>
          </cell>
          <cell r="K6393" t="str">
            <v>Paid</v>
          </cell>
        </row>
        <row r="6394">
          <cell r="J6394" t="str">
            <v>INV-020725163348</v>
          </cell>
          <cell r="K6394" t="str">
            <v>Paid</v>
          </cell>
        </row>
        <row r="6395">
          <cell r="J6395" t="str">
            <v>INV-040825131605</v>
          </cell>
          <cell r="K6395" t="str">
            <v>Paid</v>
          </cell>
        </row>
        <row r="6396">
          <cell r="J6396" t="str">
            <v>INV-020925115420</v>
          </cell>
          <cell r="K6396" t="str">
            <v>Paid</v>
          </cell>
        </row>
        <row r="6397">
          <cell r="J6397" t="str">
            <v>INV-021025124300</v>
          </cell>
          <cell r="K6397" t="str">
            <v>Paid</v>
          </cell>
        </row>
        <row r="6398">
          <cell r="J6398" t="str">
            <v>INV-041125192554</v>
          </cell>
          <cell r="K6398" t="str">
            <v>Paid</v>
          </cell>
        </row>
        <row r="6399">
          <cell r="J6399" t="str">
            <v>INV-021225124602</v>
          </cell>
          <cell r="K6399" t="str">
            <v>Paid</v>
          </cell>
        </row>
        <row r="6400">
          <cell r="J6400" t="str">
            <v>INV-020126124124</v>
          </cell>
          <cell r="K6400" t="str">
            <v>Paid</v>
          </cell>
        </row>
        <row r="6401">
          <cell r="J6401" t="str">
            <v>INV-040226113540</v>
          </cell>
          <cell r="K6401" t="str">
            <v>Paid</v>
          </cell>
        </row>
        <row r="6402">
          <cell r="J6402" t="str">
            <v>INV-020326175238</v>
          </cell>
          <cell r="K6402" t="str">
            <v>Paid</v>
          </cell>
        </row>
        <row r="6403">
          <cell r="J6403" t="str">
            <v>INV-010426150258</v>
          </cell>
          <cell r="K6403" t="str">
            <v>Paid</v>
          </cell>
        </row>
        <row r="6404">
          <cell r="J6404" t="str">
            <v>INV-040526100953</v>
          </cell>
          <cell r="K6404" t="str">
            <v>Paid</v>
          </cell>
        </row>
        <row r="6405">
          <cell r="J6405" t="str">
            <v>INV-010626170005</v>
          </cell>
          <cell r="K6405" t="str">
            <v>Paid</v>
          </cell>
        </row>
        <row r="6406">
          <cell r="J6406" t="str">
            <v>INV-050923181042</v>
          </cell>
          <cell r="K6406" t="str">
            <v>Paid</v>
          </cell>
        </row>
        <row r="6407">
          <cell r="J6407" t="str">
            <v>INV2022-ADF-001</v>
          </cell>
          <cell r="K6407" t="str">
            <v>Paid</v>
          </cell>
        </row>
        <row r="6408">
          <cell r="J6408" t="str">
            <v>AUCARDS0015</v>
          </cell>
          <cell r="K6408" t="str">
            <v>Paid</v>
          </cell>
        </row>
        <row r="6409">
          <cell r="J6409" t="str">
            <v>AUCARDS0047</v>
          </cell>
          <cell r="K6409" t="str">
            <v>Paid</v>
          </cell>
        </row>
        <row r="6410">
          <cell r="J6410" t="str">
            <v>AUCARDS0053</v>
          </cell>
          <cell r="K6410" t="str">
            <v>Paid</v>
          </cell>
        </row>
        <row r="6411">
          <cell r="J6411" t="str">
            <v>AUCARDS0059</v>
          </cell>
          <cell r="K6411" t="str">
            <v>Paid</v>
          </cell>
        </row>
        <row r="6412">
          <cell r="J6412" t="str">
            <v>INV-021122052216</v>
          </cell>
          <cell r="K6412" t="str">
            <v>Paid</v>
          </cell>
        </row>
        <row r="6413">
          <cell r="J6413" t="str">
            <v>INV-021222043007</v>
          </cell>
          <cell r="K6413" t="str">
            <v>Paid</v>
          </cell>
        </row>
        <row r="6414">
          <cell r="J6414" t="str">
            <v>INV-040123130616</v>
          </cell>
          <cell r="K6414" t="str">
            <v>Paid</v>
          </cell>
        </row>
        <row r="6415">
          <cell r="J6415" t="str">
            <v>INV-020223031020</v>
          </cell>
          <cell r="K6415" t="str">
            <v>Paid</v>
          </cell>
        </row>
        <row r="6416">
          <cell r="J6416" t="str">
            <v>INV-020323020217</v>
          </cell>
          <cell r="K6416" t="str">
            <v>Paid</v>
          </cell>
        </row>
        <row r="6417">
          <cell r="J6417" t="str">
            <v>INV-031123112433</v>
          </cell>
          <cell r="K6417" t="str">
            <v>Paid</v>
          </cell>
        </row>
        <row r="6418">
          <cell r="J6418" t="str">
            <v>INV-040423001049</v>
          </cell>
          <cell r="K6418" t="str">
            <v>Paid</v>
          </cell>
        </row>
        <row r="6419">
          <cell r="J6419" t="str">
            <v>INV-040923113604</v>
          </cell>
          <cell r="K6419" t="str">
            <v>Paid</v>
          </cell>
        </row>
        <row r="6420">
          <cell r="J6420" t="str">
            <v>INV-041023182652</v>
          </cell>
          <cell r="K6420" t="str">
            <v>Paid</v>
          </cell>
        </row>
        <row r="6421">
          <cell r="J6421" t="str">
            <v>INV-020523230216</v>
          </cell>
          <cell r="K6421" t="str">
            <v>Paid</v>
          </cell>
        </row>
        <row r="6422">
          <cell r="J6422" t="str">
            <v>INV-051223131924</v>
          </cell>
          <cell r="K6422" t="str">
            <v>Paid</v>
          </cell>
        </row>
        <row r="6423">
          <cell r="J6423" t="str">
            <v>INV-020623134841</v>
          </cell>
          <cell r="K6423" t="str">
            <v>Paid</v>
          </cell>
        </row>
        <row r="6424">
          <cell r="J6424" t="str">
            <v>INV-030723143743</v>
          </cell>
          <cell r="K6424" t="str">
            <v>Paid</v>
          </cell>
        </row>
        <row r="6425">
          <cell r="J6425" t="str">
            <v>INV-020823160804</v>
          </cell>
          <cell r="K6425" t="str">
            <v>Paid</v>
          </cell>
        </row>
        <row r="6426">
          <cell r="J6426" t="str">
            <v>INV-040124153205</v>
          </cell>
          <cell r="K6426" t="str">
            <v>Paid</v>
          </cell>
        </row>
        <row r="6427">
          <cell r="J6427" t="str">
            <v>INV-060224125247</v>
          </cell>
          <cell r="K6427" t="str">
            <v>Paid</v>
          </cell>
        </row>
        <row r="6428">
          <cell r="J6428" t="str">
            <v>INV-060324150545</v>
          </cell>
          <cell r="K6428" t="str">
            <v>Paid</v>
          </cell>
        </row>
        <row r="6429">
          <cell r="J6429" t="str">
            <v>INV-050424180945</v>
          </cell>
          <cell r="K6429" t="str">
            <v>Paid</v>
          </cell>
        </row>
        <row r="6430">
          <cell r="J6430" t="str">
            <v>INV-040724180148</v>
          </cell>
          <cell r="K6430" t="str">
            <v>Paid</v>
          </cell>
        </row>
        <row r="6431">
          <cell r="J6431" t="str">
            <v>INV-050624142924</v>
          </cell>
          <cell r="K6431" t="str">
            <v>Paid</v>
          </cell>
        </row>
        <row r="6432">
          <cell r="J6432" t="str">
            <v>INV-060524131122</v>
          </cell>
          <cell r="K6432" t="str">
            <v>Paid</v>
          </cell>
        </row>
        <row r="6433">
          <cell r="J6433" t="str">
            <v>INV-060824094110</v>
          </cell>
          <cell r="K6433" t="str">
            <v>Paid</v>
          </cell>
        </row>
        <row r="6434">
          <cell r="J6434" t="str">
            <v>INV-060924133511</v>
          </cell>
          <cell r="K6434" t="str">
            <v>Paid</v>
          </cell>
        </row>
        <row r="6435">
          <cell r="J6435" t="str">
            <v>INV-091224120510</v>
          </cell>
          <cell r="K6435" t="str">
            <v>Paid</v>
          </cell>
        </row>
        <row r="6436">
          <cell r="J6436" t="str">
            <v>INV-081024162728</v>
          </cell>
          <cell r="K6436" t="str">
            <v>Paid</v>
          </cell>
        </row>
        <row r="6437">
          <cell r="J6437" t="str">
            <v>INV-071124152756</v>
          </cell>
          <cell r="K6437" t="str">
            <v>Paid</v>
          </cell>
        </row>
        <row r="6438">
          <cell r="J6438" t="str">
            <v>INV-070125111840</v>
          </cell>
          <cell r="K6438" t="str">
            <v>Paid</v>
          </cell>
        </row>
        <row r="6439">
          <cell r="J6439" t="str">
            <v>INV-060225110605</v>
          </cell>
          <cell r="K6439" t="str">
            <v>Paid</v>
          </cell>
        </row>
        <row r="6440">
          <cell r="J6440" t="str">
            <v>INV-050325140029</v>
          </cell>
          <cell r="K6440" t="str">
            <v>Paid</v>
          </cell>
        </row>
        <row r="6441">
          <cell r="J6441" t="str">
            <v>INV-030425180039</v>
          </cell>
          <cell r="K6441" t="str">
            <v>Paid</v>
          </cell>
        </row>
        <row r="6442">
          <cell r="J6442" t="str">
            <v>INV-060525100402</v>
          </cell>
          <cell r="K6442" t="str">
            <v>Paid</v>
          </cell>
        </row>
        <row r="6443">
          <cell r="J6443" t="str">
            <v>INV-050625122826</v>
          </cell>
          <cell r="K6443" t="str">
            <v>Paid</v>
          </cell>
        </row>
        <row r="6444">
          <cell r="J6444" t="str">
            <v>INV-041024181135</v>
          </cell>
          <cell r="K6444" t="str">
            <v>Paid</v>
          </cell>
        </row>
        <row r="6445">
          <cell r="J6445" t="str">
            <v>INV-050225113753</v>
          </cell>
          <cell r="K6445" t="str">
            <v>Paid</v>
          </cell>
        </row>
        <row r="6446">
          <cell r="J6446" t="str">
            <v>INV-020425193328</v>
          </cell>
          <cell r="K6446" t="str">
            <v>Paid</v>
          </cell>
        </row>
        <row r="6447">
          <cell r="J6447" t="str">
            <v>INV-050525141849</v>
          </cell>
          <cell r="K6447" t="str">
            <v>Paid</v>
          </cell>
        </row>
        <row r="6448">
          <cell r="J6448" t="str">
            <v>INV-040625123355</v>
          </cell>
          <cell r="K6448" t="str">
            <v>Paid</v>
          </cell>
        </row>
        <row r="6449">
          <cell r="J6449" t="str">
            <v>INV-030725145336</v>
          </cell>
          <cell r="K6449" t="str">
            <v>Paid</v>
          </cell>
        </row>
        <row r="6450">
          <cell r="J6450" t="str">
            <v>INV-040825193304</v>
          </cell>
          <cell r="K6450" t="str">
            <v>Paid</v>
          </cell>
        </row>
        <row r="6451">
          <cell r="J6451" t="str">
            <v>INV-020925164213</v>
          </cell>
          <cell r="K6451" t="str">
            <v>Paid</v>
          </cell>
        </row>
        <row r="6452">
          <cell r="J6452" t="str">
            <v>INV-021225162852</v>
          </cell>
          <cell r="K6452" t="str">
            <v>Paid</v>
          </cell>
        </row>
        <row r="6453">
          <cell r="J6453" t="str">
            <v>INV-050126151745</v>
          </cell>
          <cell r="K6453" t="str">
            <v>Paid</v>
          </cell>
        </row>
        <row r="6454">
          <cell r="J6454" t="str">
            <v>INV-010426170418</v>
          </cell>
          <cell r="K6454" t="str">
            <v>Paid</v>
          </cell>
        </row>
        <row r="6455">
          <cell r="J6455" t="str">
            <v>INV-061125184124</v>
          </cell>
          <cell r="K6455" t="str">
            <v>Paid</v>
          </cell>
        </row>
        <row r="6456">
          <cell r="J6456" t="str">
            <v>INV-030326143016</v>
          </cell>
          <cell r="K6456" t="str">
            <v>Paid</v>
          </cell>
        </row>
        <row r="6457">
          <cell r="J6457" t="str">
            <v>INV-020426123128</v>
          </cell>
          <cell r="K6457" t="str">
            <v>Paid</v>
          </cell>
        </row>
        <row r="6458">
          <cell r="J6458" t="str">
            <v>CARDS0008</v>
          </cell>
          <cell r="K6458" t="str">
            <v>Paid</v>
          </cell>
        </row>
        <row r="6459">
          <cell r="J6459" t="str">
            <v>DNCARDS0001</v>
          </cell>
          <cell r="K6459" t="str">
            <v>Paid</v>
          </cell>
        </row>
        <row r="6460">
          <cell r="J6460" t="str">
            <v>CARDS0014</v>
          </cell>
          <cell r="K6460" t="str">
            <v>Paid</v>
          </cell>
        </row>
        <row r="6461">
          <cell r="J6461" t="str">
            <v>CARDS0028</v>
          </cell>
          <cell r="K6461" t="str">
            <v>Paid</v>
          </cell>
        </row>
        <row r="6462">
          <cell r="J6462" t="str">
            <v>CARDS0043</v>
          </cell>
          <cell r="K6462" t="str">
            <v>Paid</v>
          </cell>
        </row>
        <row r="6463">
          <cell r="J6463" t="str">
            <v>CARDS0064</v>
          </cell>
          <cell r="K6463" t="str">
            <v>Paid</v>
          </cell>
        </row>
        <row r="6464">
          <cell r="J6464" t="str">
            <v>CARDS0065</v>
          </cell>
          <cell r="K6464" t="str">
            <v>Paid</v>
          </cell>
        </row>
        <row r="6465">
          <cell r="J6465" t="str">
            <v>CARDS0054</v>
          </cell>
          <cell r="K6465" t="str">
            <v>Net Off</v>
          </cell>
        </row>
        <row r="6466">
          <cell r="J6466" t="str">
            <v>CNCARDS0001</v>
          </cell>
          <cell r="K6466" t="str">
            <v>Net Off</v>
          </cell>
        </row>
        <row r="6467">
          <cell r="J6467" t="str">
            <v>CARDS0077</v>
          </cell>
          <cell r="K6467" t="str">
            <v>Paid</v>
          </cell>
        </row>
        <row r="6468">
          <cell r="J6468" t="str">
            <v>CARDS0089</v>
          </cell>
          <cell r="K6468" t="str">
            <v>Paid</v>
          </cell>
        </row>
        <row r="6469">
          <cell r="J6469" t="str">
            <v>CARDS0106</v>
          </cell>
          <cell r="K6469" t="str">
            <v>Paid</v>
          </cell>
        </row>
        <row r="6470">
          <cell r="J6470" t="str">
            <v>CARDS0125</v>
          </cell>
          <cell r="K6470" t="str">
            <v>Paid</v>
          </cell>
        </row>
        <row r="6471">
          <cell r="J6471" t="str">
            <v>DNCARDS0006</v>
          </cell>
          <cell r="K6471" t="str">
            <v>Paid</v>
          </cell>
        </row>
        <row r="6472">
          <cell r="J6472" t="str">
            <v>CARDS0142</v>
          </cell>
          <cell r="K6472" t="str">
            <v>Paid</v>
          </cell>
        </row>
        <row r="6473">
          <cell r="J6473" t="str">
            <v>CARDS0161</v>
          </cell>
          <cell r="K6473" t="str">
            <v>Paid</v>
          </cell>
        </row>
        <row r="6474">
          <cell r="J6474" t="str">
            <v>CARDS0178</v>
          </cell>
          <cell r="K6474" t="str">
            <v>Paid</v>
          </cell>
        </row>
        <row r="6475">
          <cell r="J6475" t="str">
            <v>CARDS0198</v>
          </cell>
          <cell r="K6475" t="str">
            <v>Paid</v>
          </cell>
        </row>
        <row r="6476">
          <cell r="J6476" t="str">
            <v>CARDS0219</v>
          </cell>
          <cell r="K6476" t="str">
            <v>Paid</v>
          </cell>
        </row>
        <row r="6477">
          <cell r="J6477" t="str">
            <v>CARDS0238</v>
          </cell>
          <cell r="K6477" t="str">
            <v>Paid</v>
          </cell>
        </row>
        <row r="6478">
          <cell r="J6478" t="str">
            <v>CNCARDS0015</v>
          </cell>
          <cell r="K6478" t="str">
            <v>Paid</v>
          </cell>
        </row>
        <row r="6479">
          <cell r="J6479" t="str">
            <v>CARDS0259</v>
          </cell>
          <cell r="K6479" t="str">
            <v>Paid</v>
          </cell>
        </row>
        <row r="6480">
          <cell r="J6480" t="str">
            <v>CARDS0276</v>
          </cell>
          <cell r="K6480" t="str">
            <v>Paid</v>
          </cell>
        </row>
        <row r="6481">
          <cell r="J6481" t="str">
            <v>CARDS0294</v>
          </cell>
          <cell r="K6481" t="str">
            <v>Paid</v>
          </cell>
        </row>
        <row r="6482">
          <cell r="J6482" t="str">
            <v>CNCARDS0021</v>
          </cell>
          <cell r="K6482" t="str">
            <v>Paid</v>
          </cell>
        </row>
        <row r="6483">
          <cell r="J6483" t="str">
            <v>CARDS0309</v>
          </cell>
          <cell r="K6483" t="str">
            <v>Paid</v>
          </cell>
        </row>
        <row r="6484">
          <cell r="J6484" t="str">
            <v>CARDS0325</v>
          </cell>
          <cell r="K6484" t="str">
            <v>Paid</v>
          </cell>
        </row>
        <row r="6485">
          <cell r="J6485" t="str">
            <v>CARDS0338</v>
          </cell>
          <cell r="K6485" t="str">
            <v>Paid</v>
          </cell>
        </row>
        <row r="6486">
          <cell r="J6486" t="str">
            <v>INV-021122014809</v>
          </cell>
          <cell r="K6486" t="str">
            <v>Paid</v>
          </cell>
        </row>
        <row r="6487">
          <cell r="J6487" t="str">
            <v>INV-021222002605</v>
          </cell>
          <cell r="K6487" t="str">
            <v>Paid</v>
          </cell>
        </row>
        <row r="6488">
          <cell r="J6488" t="str">
            <v>INV-040123024557</v>
          </cell>
          <cell r="K6488" t="str">
            <v>Paid</v>
          </cell>
        </row>
        <row r="6489">
          <cell r="J6489" t="str">
            <v>INV-020223164554</v>
          </cell>
          <cell r="K6489" t="str">
            <v>Paid</v>
          </cell>
        </row>
        <row r="6490">
          <cell r="J6490" t="str">
            <v>INV-020323125834</v>
          </cell>
          <cell r="K6490" t="str">
            <v>Paid</v>
          </cell>
        </row>
        <row r="6491">
          <cell r="J6491" t="str">
            <v>INV-031123152427</v>
          </cell>
          <cell r="K6491" t="str">
            <v>Paid</v>
          </cell>
        </row>
        <row r="6492">
          <cell r="J6492" t="str">
            <v>INV-030423171631</v>
          </cell>
          <cell r="K6492" t="str">
            <v>Paid</v>
          </cell>
        </row>
        <row r="6493">
          <cell r="J6493" t="str">
            <v>INV-040923160554</v>
          </cell>
          <cell r="K6493" t="str">
            <v>Paid</v>
          </cell>
        </row>
        <row r="6494">
          <cell r="J6494" t="str">
            <v>CN-140423000515</v>
          </cell>
          <cell r="K6494" t="str">
            <v>Paid</v>
          </cell>
        </row>
        <row r="6495">
          <cell r="J6495" t="str">
            <v>CN-190423102032</v>
          </cell>
          <cell r="K6495" t="str">
            <v>Paid</v>
          </cell>
        </row>
        <row r="6496">
          <cell r="J6496" t="str">
            <v>CN-250423235452</v>
          </cell>
          <cell r="K6496" t="str">
            <v>Paid</v>
          </cell>
        </row>
        <row r="6497">
          <cell r="J6497" t="str">
            <v>CN-250423235522</v>
          </cell>
          <cell r="K6497" t="str">
            <v>Paid</v>
          </cell>
        </row>
        <row r="6498">
          <cell r="J6498" t="str">
            <v>INV-030523105324</v>
          </cell>
          <cell r="K6498" t="str">
            <v>Paid</v>
          </cell>
        </row>
        <row r="6499">
          <cell r="J6499" t="str">
            <v>INV-051023102103</v>
          </cell>
          <cell r="K6499" t="str">
            <v>Paid</v>
          </cell>
        </row>
        <row r="6500">
          <cell r="J6500" t="str">
            <v>INV-051223155836</v>
          </cell>
          <cell r="K6500" t="str">
            <v>Paid</v>
          </cell>
        </row>
        <row r="6501">
          <cell r="J6501" t="str">
            <v>INV-050623110715</v>
          </cell>
          <cell r="K6501" t="str">
            <v>Paid</v>
          </cell>
        </row>
        <row r="6502">
          <cell r="J6502" t="str">
            <v>INV-030723173132</v>
          </cell>
          <cell r="K6502" t="str">
            <v>Paid</v>
          </cell>
        </row>
        <row r="6503">
          <cell r="J6503" t="str">
            <v>INV-020823145709</v>
          </cell>
          <cell r="K6503" t="str">
            <v>Paid</v>
          </cell>
        </row>
        <row r="6504">
          <cell r="J6504" t="str">
            <v>INV-050124165718</v>
          </cell>
          <cell r="K6504" t="str">
            <v>Paid</v>
          </cell>
        </row>
        <row r="6505">
          <cell r="J6505" t="str">
            <v>INV-070224120941</v>
          </cell>
          <cell r="K6505" t="str">
            <v>Paid</v>
          </cell>
        </row>
        <row r="6506">
          <cell r="J6506" t="str">
            <v>INV-240424121428</v>
          </cell>
          <cell r="K6506" t="str">
            <v>Paid</v>
          </cell>
        </row>
        <row r="6507">
          <cell r="J6507" t="str">
            <v>INV-250424095027</v>
          </cell>
          <cell r="K6507" t="str">
            <v>Paid</v>
          </cell>
        </row>
        <row r="6508">
          <cell r="J6508" t="str">
            <v>INV-100524163022</v>
          </cell>
          <cell r="K6508" t="str">
            <v>Paid</v>
          </cell>
        </row>
        <row r="6509">
          <cell r="J6509" t="str">
            <v>INV-080124171322</v>
          </cell>
          <cell r="K6509" t="str">
            <v>Paid</v>
          </cell>
        </row>
        <row r="6510">
          <cell r="J6510" t="str">
            <v>INV-141223135610</v>
          </cell>
          <cell r="K6510" t="str">
            <v>Paid</v>
          </cell>
        </row>
        <row r="6511">
          <cell r="J6511" t="str">
            <v>INV-070224165427</v>
          </cell>
          <cell r="K6511" t="str">
            <v>Paid</v>
          </cell>
        </row>
        <row r="6512">
          <cell r="J6512" t="str">
            <v>INV-090324131202</v>
          </cell>
          <cell r="K6512" t="str">
            <v>Paid</v>
          </cell>
        </row>
        <row r="6513">
          <cell r="J6513" t="str">
            <v>INV-020424162400</v>
          </cell>
          <cell r="K6513" t="str">
            <v>Paid</v>
          </cell>
        </row>
        <row r="6514">
          <cell r="J6514" t="str">
            <v>INV-050424185528</v>
          </cell>
          <cell r="K6514" t="str">
            <v>Paid</v>
          </cell>
        </row>
        <row r="6515">
          <cell r="J6515" t="str">
            <v>INV-050624145726</v>
          </cell>
          <cell r="K6515" t="str">
            <v>Paid</v>
          </cell>
        </row>
        <row r="6516">
          <cell r="J6516" t="str">
            <v>INV-070524125230</v>
          </cell>
          <cell r="K6516" t="str">
            <v>Paid</v>
          </cell>
        </row>
        <row r="6517">
          <cell r="J6517" t="str">
            <v>INV-050724151020</v>
          </cell>
          <cell r="K6517" t="str">
            <v>Paid</v>
          </cell>
        </row>
        <row r="6518">
          <cell r="J6518" t="str">
            <v>INV-060824120411</v>
          </cell>
          <cell r="K6518" t="str">
            <v>Paid</v>
          </cell>
        </row>
        <row r="6519">
          <cell r="J6519" t="str">
            <v>INV-090924133305</v>
          </cell>
          <cell r="K6519" t="str">
            <v>Paid</v>
          </cell>
        </row>
        <row r="6520">
          <cell r="J6520" t="str">
            <v>INV-091224134439</v>
          </cell>
          <cell r="K6520" t="str">
            <v>Paid</v>
          </cell>
        </row>
        <row r="6521">
          <cell r="J6521" t="str">
            <v>INV-091024102343</v>
          </cell>
          <cell r="K6521" t="str">
            <v>Paid</v>
          </cell>
        </row>
        <row r="6522">
          <cell r="J6522" t="str">
            <v>INV-081124154149</v>
          </cell>
          <cell r="K6522" t="str">
            <v>Paid</v>
          </cell>
        </row>
        <row r="6523">
          <cell r="J6523" t="str">
            <v>INV-070125121215</v>
          </cell>
          <cell r="K6523" t="str">
            <v>Paid</v>
          </cell>
        </row>
        <row r="6524">
          <cell r="J6524" t="str">
            <v>INV-060225152313</v>
          </cell>
          <cell r="K6524" t="str">
            <v>Paid</v>
          </cell>
        </row>
        <row r="6525">
          <cell r="J6525" t="str">
            <v>INV-050325174700</v>
          </cell>
          <cell r="K6525" t="str">
            <v>Paid</v>
          </cell>
        </row>
        <row r="6526">
          <cell r="J6526" t="str">
            <v>INV-030425191913</v>
          </cell>
          <cell r="K6526" t="str">
            <v>Paid</v>
          </cell>
        </row>
        <row r="6527">
          <cell r="J6527" t="str">
            <v>INV-060525113335</v>
          </cell>
          <cell r="K6527" t="str">
            <v>Paid</v>
          </cell>
        </row>
        <row r="6528">
          <cell r="J6528" t="str">
            <v>INV-06052025160000</v>
          </cell>
          <cell r="K6528" t="str">
            <v>Paid</v>
          </cell>
        </row>
        <row r="6529">
          <cell r="J6529" t="str">
            <v>INV-040625175800</v>
          </cell>
          <cell r="K6529" t="str">
            <v>Paid</v>
          </cell>
        </row>
        <row r="6530">
          <cell r="J6530" t="str">
            <v>INV-040725154008</v>
          </cell>
          <cell r="K6530" t="str">
            <v>Paid</v>
          </cell>
        </row>
        <row r="6531">
          <cell r="J6531" t="str">
            <v>INV-050825193511</v>
          </cell>
          <cell r="K6531" t="str">
            <v>Paid</v>
          </cell>
        </row>
        <row r="6532">
          <cell r="J6532" t="str">
            <v>INV-030925142646</v>
          </cell>
          <cell r="K6532" t="str">
            <v>Paid</v>
          </cell>
        </row>
        <row r="6533">
          <cell r="J6533" t="str">
            <v>INV-120120261600</v>
          </cell>
          <cell r="K6533" t="str">
            <v>Paid</v>
          </cell>
        </row>
        <row r="6534">
          <cell r="J6534" t="str">
            <v>INV-050224135200</v>
          </cell>
          <cell r="K6534" t="str">
            <v>Paid</v>
          </cell>
        </row>
        <row r="6535">
          <cell r="J6535" t="str">
            <v>INV-260224155001</v>
          </cell>
          <cell r="K6535" t="str">
            <v>Paid</v>
          </cell>
        </row>
        <row r="6536">
          <cell r="J6536" t="str">
            <v>INV-080324111300</v>
          </cell>
          <cell r="K6536" t="str">
            <v>Paid</v>
          </cell>
        </row>
        <row r="6537">
          <cell r="J6537" t="str">
            <v>INV2021-ALG-002</v>
          </cell>
          <cell r="K6537" t="str">
            <v>Paid</v>
          </cell>
        </row>
        <row r="6538">
          <cell r="J6538" t="str">
            <v>INV2021-ALG-003</v>
          </cell>
          <cell r="K6538" t="str">
            <v>Paid</v>
          </cell>
        </row>
        <row r="6539">
          <cell r="J6539" t="str">
            <v>INV2021-ALG-004</v>
          </cell>
          <cell r="K6539" t="str">
            <v>Paid</v>
          </cell>
        </row>
        <row r="6540">
          <cell r="J6540" t="str">
            <v>INV2021-ALG-005</v>
          </cell>
          <cell r="K6540" t="str">
            <v>Paid</v>
          </cell>
        </row>
        <row r="6541">
          <cell r="J6541" t="str">
            <v>CN2021-ALG-001</v>
          </cell>
          <cell r="K6541" t="str">
            <v>Paid</v>
          </cell>
        </row>
        <row r="6542">
          <cell r="J6542" t="str">
            <v>INV2021-ALG-006</v>
          </cell>
          <cell r="K6542" t="str">
            <v>Paid</v>
          </cell>
        </row>
        <row r="6543">
          <cell r="J6543" t="str">
            <v>INV2021-ALG-007</v>
          </cell>
          <cell r="K6543" t="str">
            <v>Paid</v>
          </cell>
        </row>
        <row r="6544">
          <cell r="J6544" t="str">
            <v>INV2021-ALG-008</v>
          </cell>
          <cell r="K6544" t="str">
            <v>Paid</v>
          </cell>
        </row>
        <row r="6545">
          <cell r="J6545" t="str">
            <v>HKCARDS0008</v>
          </cell>
          <cell r="K6545" t="str">
            <v>Paid</v>
          </cell>
        </row>
        <row r="6546">
          <cell r="J6546" t="str">
            <v>HKCARDS0009</v>
          </cell>
          <cell r="K6546" t="str">
            <v>Paid</v>
          </cell>
        </row>
        <row r="6547">
          <cell r="J6547" t="str">
            <v>HKCARDS0014</v>
          </cell>
          <cell r="K6547" t="str">
            <v>Paid</v>
          </cell>
        </row>
        <row r="6548">
          <cell r="J6548" t="str">
            <v>HKCARDS0020</v>
          </cell>
          <cell r="K6548" t="str">
            <v>Paid</v>
          </cell>
        </row>
        <row r="6549">
          <cell r="J6549" t="str">
            <v>HKCARDS0025</v>
          </cell>
          <cell r="K6549" t="str">
            <v>Paid</v>
          </cell>
        </row>
        <row r="6550">
          <cell r="J6550" t="str">
            <v>HKCARDS0029</v>
          </cell>
          <cell r="K6550" t="str">
            <v>Paid</v>
          </cell>
        </row>
        <row r="6551">
          <cell r="J6551" t="str">
            <v>CNHKCARDS0008</v>
          </cell>
          <cell r="K6551" t="str">
            <v>Paid</v>
          </cell>
        </row>
        <row r="6552">
          <cell r="J6552" t="str">
            <v>DNCARDS0016</v>
          </cell>
          <cell r="K6552" t="str">
            <v>Paid</v>
          </cell>
        </row>
        <row r="6553">
          <cell r="J6553" t="str">
            <v>HKCARDS0034</v>
          </cell>
          <cell r="K6553" t="str">
            <v>Paid</v>
          </cell>
        </row>
        <row r="6554">
          <cell r="J6554" t="str">
            <v>HKCARDS0084</v>
          </cell>
          <cell r="K6554" t="str">
            <v>Paid</v>
          </cell>
        </row>
        <row r="6555">
          <cell r="J6555" t="str">
            <v>DNHKCARDS0001</v>
          </cell>
          <cell r="K6555" t="str">
            <v>Void</v>
          </cell>
        </row>
        <row r="6556">
          <cell r="J6556" t="str">
            <v>DNHKCARDS0002</v>
          </cell>
          <cell r="K6556" t="str">
            <v>Void</v>
          </cell>
        </row>
        <row r="6557">
          <cell r="J6557" t="str">
            <v>DNHKCARDS0003</v>
          </cell>
          <cell r="K6557" t="str">
            <v>Void</v>
          </cell>
        </row>
        <row r="6558">
          <cell r="J6558" t="str">
            <v>HKCARDS0039</v>
          </cell>
          <cell r="K6558" t="str">
            <v>Paid</v>
          </cell>
        </row>
        <row r="6559">
          <cell r="J6559" t="str">
            <v>CNHKCARDS0003</v>
          </cell>
          <cell r="K6559" t="str">
            <v>Paid</v>
          </cell>
        </row>
        <row r="6560">
          <cell r="J6560" t="str">
            <v>CNHKCARDS0004</v>
          </cell>
          <cell r="K6560" t="str">
            <v>Paid</v>
          </cell>
        </row>
        <row r="6561">
          <cell r="J6561" t="str">
            <v>CNHKCARDS0005</v>
          </cell>
          <cell r="K6561" t="str">
            <v>Paid</v>
          </cell>
        </row>
        <row r="6562">
          <cell r="J6562" t="str">
            <v>CNHKCARDS0006</v>
          </cell>
          <cell r="K6562" t="str">
            <v>Void</v>
          </cell>
        </row>
        <row r="6563">
          <cell r="J6563" t="str">
            <v>CNHKCARDS0007</v>
          </cell>
          <cell r="K6563" t="str">
            <v>Void</v>
          </cell>
        </row>
        <row r="6564">
          <cell r="J6564" t="str">
            <v>DNCARDS0021</v>
          </cell>
          <cell r="K6564" t="str">
            <v>Void</v>
          </cell>
        </row>
        <row r="6565">
          <cell r="J6565" t="str">
            <v>HKCARDS0080</v>
          </cell>
          <cell r="K6565" t="str">
            <v>Paid</v>
          </cell>
        </row>
        <row r="6566">
          <cell r="J6566" t="str">
            <v>HKCARDS0085</v>
          </cell>
          <cell r="K6566" t="str">
            <v>Paid</v>
          </cell>
        </row>
        <row r="6567">
          <cell r="J6567" t="str">
            <v>CNHKCARDS0009</v>
          </cell>
          <cell r="K6567" t="str">
            <v>Paid</v>
          </cell>
        </row>
        <row r="6568">
          <cell r="J6568" t="str">
            <v>CNHKCARDS0010</v>
          </cell>
          <cell r="K6568" t="str">
            <v>Paid</v>
          </cell>
        </row>
        <row r="6569">
          <cell r="J6569" t="str">
            <v>HKCARDS0099</v>
          </cell>
          <cell r="K6569" t="str">
            <v>Paid</v>
          </cell>
        </row>
        <row r="6570">
          <cell r="J6570" t="str">
            <v>INV-021122114309</v>
          </cell>
          <cell r="K6570" t="str">
            <v>Paid</v>
          </cell>
        </row>
        <row r="6571">
          <cell r="J6571" t="str">
            <v>INV-021222025936</v>
          </cell>
          <cell r="K6571" t="str">
            <v>Paid</v>
          </cell>
        </row>
        <row r="6572">
          <cell r="J6572" t="str">
            <v>INV-030123235040</v>
          </cell>
          <cell r="K6572" t="str">
            <v>Paid</v>
          </cell>
        </row>
        <row r="6573">
          <cell r="J6573" t="str">
            <v>DN-021222025936</v>
          </cell>
          <cell r="K6573" t="str">
            <v>Paid</v>
          </cell>
        </row>
        <row r="6574">
          <cell r="J6574" t="str">
            <v>INV-020223022013</v>
          </cell>
          <cell r="K6574" t="str">
            <v>Paid</v>
          </cell>
        </row>
        <row r="6575">
          <cell r="J6575" t="str">
            <v>INV-020323005648</v>
          </cell>
          <cell r="K6575" t="str">
            <v>Paid</v>
          </cell>
        </row>
        <row r="6576">
          <cell r="J6576" t="str">
            <v>INV-031123173311</v>
          </cell>
          <cell r="K6576" t="str">
            <v>Paid</v>
          </cell>
        </row>
        <row r="6577">
          <cell r="J6577" t="str">
            <v>INV-030423174846</v>
          </cell>
          <cell r="K6577" t="str">
            <v>Paid</v>
          </cell>
        </row>
        <row r="6578">
          <cell r="J6578" t="str">
            <v>INV-020523183525</v>
          </cell>
          <cell r="K6578" t="str">
            <v>Paid</v>
          </cell>
        </row>
        <row r="6579">
          <cell r="J6579" t="str">
            <v>INV-050923112050</v>
          </cell>
          <cell r="K6579" t="str">
            <v>Paid</v>
          </cell>
        </row>
        <row r="6580">
          <cell r="J6580" t="str">
            <v>INV-051023145523</v>
          </cell>
          <cell r="K6580" t="str">
            <v>Paid</v>
          </cell>
        </row>
        <row r="6581">
          <cell r="J6581" t="str">
            <v>INV-020623185539</v>
          </cell>
          <cell r="K6581" t="str">
            <v>Paid</v>
          </cell>
        </row>
        <row r="6582">
          <cell r="J6582" t="str">
            <v>INV-061223100321</v>
          </cell>
          <cell r="K6582" t="str">
            <v>Paid</v>
          </cell>
        </row>
        <row r="6583">
          <cell r="J6583" t="str">
            <v>INV-040723155322</v>
          </cell>
          <cell r="K6583" t="str">
            <v>Paid</v>
          </cell>
        </row>
        <row r="6584">
          <cell r="J6584" t="str">
            <v>INV-030823154649</v>
          </cell>
          <cell r="K6584" t="str">
            <v>Paid</v>
          </cell>
        </row>
        <row r="6585">
          <cell r="J6585" t="str">
            <v>INV-050124194313</v>
          </cell>
          <cell r="K6585" t="str">
            <v>Paid</v>
          </cell>
        </row>
        <row r="6586">
          <cell r="J6586" t="str">
            <v>INV-070224161741</v>
          </cell>
          <cell r="K6586" t="str">
            <v>Paid</v>
          </cell>
        </row>
        <row r="6587">
          <cell r="J6587" t="str">
            <v>INV-060324161202</v>
          </cell>
          <cell r="K6587" t="str">
            <v>Paid</v>
          </cell>
        </row>
        <row r="6588">
          <cell r="J6588" t="str">
            <v>INV-270324195043</v>
          </cell>
          <cell r="K6588" t="str">
            <v>Paid</v>
          </cell>
        </row>
        <row r="6589">
          <cell r="J6589" t="str">
            <v>INV-060424180618</v>
          </cell>
          <cell r="K6589" t="str">
            <v>Paid</v>
          </cell>
        </row>
        <row r="6590">
          <cell r="J6590" t="str">
            <v>INV-050624152011</v>
          </cell>
          <cell r="K6590" t="str">
            <v>Paid</v>
          </cell>
        </row>
        <row r="6591">
          <cell r="J6591" t="str">
            <v>INV-070524163024</v>
          </cell>
          <cell r="K6591" t="str">
            <v>Paid</v>
          </cell>
        </row>
        <row r="6592">
          <cell r="J6592" t="str">
            <v>INV-050724114710</v>
          </cell>
          <cell r="K6592" t="str">
            <v>Paid</v>
          </cell>
        </row>
        <row r="6593">
          <cell r="J6593" t="str">
            <v>INV-060924154828</v>
          </cell>
          <cell r="K6593" t="str">
            <v>Paid</v>
          </cell>
        </row>
        <row r="6594">
          <cell r="J6594" t="str">
            <v>INV-070824165743</v>
          </cell>
          <cell r="K6594" t="str">
            <v>Paid</v>
          </cell>
        </row>
        <row r="6595">
          <cell r="J6595" t="str">
            <v>INV-050724114710_1</v>
          </cell>
          <cell r="K6595" t="str">
            <v>Paid</v>
          </cell>
        </row>
        <row r="6596">
          <cell r="J6596" t="str">
            <v>INV-081124154946</v>
          </cell>
          <cell r="K6596" t="str">
            <v>Paid</v>
          </cell>
        </row>
        <row r="6597">
          <cell r="J6597" t="str">
            <v>INV-071024191443</v>
          </cell>
          <cell r="K6597" t="str">
            <v>Paid</v>
          </cell>
        </row>
        <row r="6598">
          <cell r="J6598" t="str">
            <v>INV-101224134940</v>
          </cell>
          <cell r="K6598" t="str">
            <v>Paid</v>
          </cell>
        </row>
        <row r="6599">
          <cell r="J6599" t="str">
            <v>INV-060125134047</v>
          </cell>
          <cell r="K6599" t="str">
            <v>Paid</v>
          </cell>
        </row>
        <row r="6600">
          <cell r="J6600" t="str">
            <v>INV-080125162846</v>
          </cell>
          <cell r="K6600" t="str">
            <v>Paid</v>
          </cell>
        </row>
        <row r="6601">
          <cell r="J6601" t="str">
            <v>INV-070225152820</v>
          </cell>
          <cell r="K6601" t="str">
            <v>Paid</v>
          </cell>
        </row>
        <row r="6602">
          <cell r="J6602" t="str">
            <v>INV-060325111911</v>
          </cell>
          <cell r="K6602" t="str">
            <v>Paid</v>
          </cell>
        </row>
        <row r="6603">
          <cell r="J6603" t="str">
            <v>INV-070425131526</v>
          </cell>
          <cell r="K6603" t="str">
            <v>Paid</v>
          </cell>
        </row>
        <row r="6604">
          <cell r="J6604" t="str">
            <v>INV-060525150125</v>
          </cell>
          <cell r="K6604" t="str">
            <v>Paid</v>
          </cell>
        </row>
        <row r="6605">
          <cell r="J6605" t="str">
            <v>INV-050625172715</v>
          </cell>
          <cell r="K6605" t="str">
            <v>Paid</v>
          </cell>
        </row>
        <row r="6606">
          <cell r="J6606" t="str">
            <v>INV-040725192556</v>
          </cell>
          <cell r="K6606" t="str">
            <v>Paid</v>
          </cell>
        </row>
        <row r="6607">
          <cell r="J6607" t="str">
            <v>INV-060825132541</v>
          </cell>
          <cell r="K6607" t="str">
            <v>Paid</v>
          </cell>
        </row>
        <row r="6608">
          <cell r="J6608" t="str">
            <v>INV-040925155848</v>
          </cell>
          <cell r="K6608" t="str">
            <v>Paid</v>
          </cell>
        </row>
        <row r="6609">
          <cell r="J6609" t="str">
            <v>INV-061025153806</v>
          </cell>
          <cell r="K6609" t="str">
            <v>Paid</v>
          </cell>
        </row>
        <row r="6610">
          <cell r="J6610" t="str">
            <v>INV-061125133431</v>
          </cell>
          <cell r="K6610" t="str">
            <v>Paid</v>
          </cell>
        </row>
        <row r="6611">
          <cell r="J6611" t="str">
            <v>INV-041225174816</v>
          </cell>
          <cell r="K6611" t="str">
            <v>Paid</v>
          </cell>
        </row>
        <row r="6612">
          <cell r="J6612" t="str">
            <v>INV-060126164237</v>
          </cell>
          <cell r="K6612" t="str">
            <v>Paid</v>
          </cell>
        </row>
        <row r="6613">
          <cell r="J6613" t="str">
            <v>INV-070226152241</v>
          </cell>
          <cell r="K6613" t="str">
            <v>Paid</v>
          </cell>
        </row>
        <row r="6614">
          <cell r="J6614" t="str">
            <v>INV-050326152311</v>
          </cell>
          <cell r="K6614" t="str">
            <v>Paid</v>
          </cell>
        </row>
        <row r="6615">
          <cell r="J6615" t="str">
            <v>INV-060426111206</v>
          </cell>
          <cell r="K6615" t="str">
            <v>Paid</v>
          </cell>
        </row>
        <row r="6616">
          <cell r="J6616" t="str">
            <v>INV-220526121001</v>
          </cell>
          <cell r="K6616" t="str">
            <v>Paid</v>
          </cell>
        </row>
        <row r="6617">
          <cell r="J6617" t="str">
            <v>INV-030626182159</v>
          </cell>
          <cell r="K6617" t="str">
            <v>Paid</v>
          </cell>
        </row>
        <row r="6618">
          <cell r="J6618" t="str">
            <v>INV-030625190336</v>
          </cell>
          <cell r="K6618" t="str">
            <v>Paid</v>
          </cell>
        </row>
        <row r="6619">
          <cell r="J6619" t="str">
            <v>INV-030925101906</v>
          </cell>
          <cell r="K6619" t="str">
            <v>Paid</v>
          </cell>
        </row>
        <row r="6620">
          <cell r="J6620" t="str">
            <v>INV-060526183500</v>
          </cell>
          <cell r="K6620" t="str">
            <v>Paid</v>
          </cell>
        </row>
        <row r="6621">
          <cell r="J6621" t="str">
            <v>INV-040626160733</v>
          </cell>
          <cell r="K6621" t="str">
            <v>Paid</v>
          </cell>
        </row>
        <row r="6622">
          <cell r="J6622" t="str">
            <v>INV-130525153603</v>
          </cell>
          <cell r="K6622" t="str">
            <v>Paid</v>
          </cell>
        </row>
        <row r="6623">
          <cell r="J6623" t="str">
            <v>INV-041125162045</v>
          </cell>
          <cell r="K6623" t="str">
            <v>Paid</v>
          </cell>
        </row>
        <row r="6624">
          <cell r="J6624" t="str">
            <v>INV-031225125452</v>
          </cell>
          <cell r="K6624" t="str">
            <v>Paid</v>
          </cell>
        </row>
        <row r="6625">
          <cell r="J6625" t="str">
            <v>INV-020126192352</v>
          </cell>
          <cell r="K6625" t="str">
            <v>Paid</v>
          </cell>
        </row>
        <row r="6626">
          <cell r="J6626" t="str">
            <v>INV-040226000930</v>
          </cell>
          <cell r="K6626" t="str">
            <v>Paid</v>
          </cell>
        </row>
        <row r="6627">
          <cell r="J6627" t="str">
            <v>INV-030326140100</v>
          </cell>
          <cell r="K6627" t="str">
            <v>Paid</v>
          </cell>
        </row>
        <row r="6628">
          <cell r="J6628" t="str">
            <v>INV-020426113526</v>
          </cell>
          <cell r="K6628" t="str">
            <v>Force Settlement</v>
          </cell>
        </row>
        <row r="6629">
          <cell r="J6629" t="str">
            <v>CN-INV-030925182457</v>
          </cell>
          <cell r="K6629" t="str">
            <v>Partially Paid</v>
          </cell>
        </row>
        <row r="6630">
          <cell r="J6630" t="str">
            <v>INV-060126150040</v>
          </cell>
          <cell r="K6630" t="str">
            <v>Paid</v>
          </cell>
        </row>
        <row r="6631">
          <cell r="J6631" t="str">
            <v>INV-050226011321</v>
          </cell>
          <cell r="K6631" t="str">
            <v>Paid</v>
          </cell>
        </row>
        <row r="6632">
          <cell r="J6632" t="str">
            <v>INV-030725191331</v>
          </cell>
          <cell r="K6632" t="str">
            <v>Paid</v>
          </cell>
        </row>
        <row r="6633">
          <cell r="J6633" t="str">
            <v>INV-050825105726</v>
          </cell>
          <cell r="K6633" t="str">
            <v>Paid</v>
          </cell>
        </row>
        <row r="6634">
          <cell r="J6634" t="str">
            <v>CARDS0188</v>
          </cell>
          <cell r="K6634" t="str">
            <v>Paid</v>
          </cell>
        </row>
        <row r="6635">
          <cell r="J6635" t="str">
            <v>INV-020824182225</v>
          </cell>
          <cell r="K6635" t="str">
            <v>Paid</v>
          </cell>
        </row>
        <row r="6636">
          <cell r="J6636" t="str">
            <v>INV-030424180151</v>
          </cell>
          <cell r="K6636" t="str">
            <v>Paid</v>
          </cell>
        </row>
        <row r="6637">
          <cell r="J6637" t="str">
            <v>INV-050324133712</v>
          </cell>
          <cell r="K6637" t="str">
            <v>Paid</v>
          </cell>
        </row>
        <row r="6638">
          <cell r="J6638" t="str">
            <v>INV-030724154021</v>
          </cell>
          <cell r="K6638" t="str">
            <v>Paid</v>
          </cell>
        </row>
        <row r="6639">
          <cell r="J6639" t="str">
            <v>INV-031224181209</v>
          </cell>
          <cell r="K6639" t="str">
            <v>Paid</v>
          </cell>
        </row>
        <row r="6640">
          <cell r="J6640" t="str">
            <v>INV-040624115331</v>
          </cell>
          <cell r="K6640" t="str">
            <v>Paid</v>
          </cell>
        </row>
        <row r="6641">
          <cell r="J6641" t="str">
            <v>INV-040924150332</v>
          </cell>
          <cell r="K6641" t="str">
            <v>Paid</v>
          </cell>
        </row>
        <row r="6642">
          <cell r="J6642" t="str">
            <v>INV-061124110030</v>
          </cell>
          <cell r="K6642" t="str">
            <v>Paid</v>
          </cell>
        </row>
        <row r="6643">
          <cell r="J6643" t="str">
            <v>INV-021024154653</v>
          </cell>
          <cell r="K6643" t="str">
            <v>Paid</v>
          </cell>
        </row>
        <row r="6644">
          <cell r="J6644" t="str">
            <v>INV-060125190827</v>
          </cell>
          <cell r="K6644" t="str">
            <v>Net Off</v>
          </cell>
        </row>
        <row r="6645">
          <cell r="J6645" t="str">
            <v>INV-040225155252</v>
          </cell>
          <cell r="K6645" t="str">
            <v>Net Off</v>
          </cell>
        </row>
        <row r="6646">
          <cell r="J6646" t="str">
            <v>INV-040325161804</v>
          </cell>
          <cell r="K6646" t="str">
            <v>Net Off</v>
          </cell>
        </row>
        <row r="6647">
          <cell r="J6647" t="str">
            <v>INV-020425170217</v>
          </cell>
          <cell r="K6647" t="str">
            <v>Net Off</v>
          </cell>
        </row>
        <row r="6648">
          <cell r="J6648" t="str">
            <v>INV-020525185717</v>
          </cell>
          <cell r="K6648" t="str">
            <v>Net Off</v>
          </cell>
        </row>
        <row r="6649">
          <cell r="J6649" t="str">
            <v>INV-040625093640</v>
          </cell>
          <cell r="K6649" t="str">
            <v>Net Off</v>
          </cell>
        </row>
        <row r="6650">
          <cell r="J6650" t="str">
            <v>CN-INV-140825132020</v>
          </cell>
          <cell r="K6650" t="str">
            <v>Net Off</v>
          </cell>
        </row>
        <row r="6651">
          <cell r="J6651" t="str">
            <v>INV-040326124919</v>
          </cell>
          <cell r="K6651" t="str">
            <v>Paid</v>
          </cell>
        </row>
        <row r="6652">
          <cell r="J6652" t="str">
            <v>INV-030426152341</v>
          </cell>
          <cell r="K6652" t="str">
            <v>Paid</v>
          </cell>
        </row>
        <row r="6653">
          <cell r="J6653" t="str">
            <v>INV-040526175201</v>
          </cell>
          <cell r="K6653" t="str">
            <v>Paid</v>
          </cell>
        </row>
        <row r="6654">
          <cell r="J6654" t="str">
            <v>INV-050626105355</v>
          </cell>
          <cell r="K6654" t="str">
            <v>Invoice Sent</v>
          </cell>
        </row>
        <row r="6655">
          <cell r="J6655" t="str">
            <v>INV-011225101632</v>
          </cell>
          <cell r="K6655" t="str">
            <v>Paid</v>
          </cell>
        </row>
        <row r="6656">
          <cell r="J6656" t="str">
            <v>INV-050126144845</v>
          </cell>
          <cell r="K6656" t="str">
            <v>Paid</v>
          </cell>
        </row>
        <row r="6657">
          <cell r="J6657" t="str">
            <v>INV-040226164114</v>
          </cell>
          <cell r="K6657" t="str">
            <v>Paid</v>
          </cell>
        </row>
        <row r="6658">
          <cell r="J6658" t="str">
            <v>INV-130426115655</v>
          </cell>
          <cell r="K6658" t="str">
            <v>Paid</v>
          </cell>
        </row>
        <row r="6659">
          <cell r="J6659" t="str">
            <v>INV-110825095942</v>
          </cell>
          <cell r="K6659" t="str">
            <v>Paid</v>
          </cell>
        </row>
        <row r="6660">
          <cell r="J6660" t="str">
            <v>INV-061125095415</v>
          </cell>
          <cell r="K6660" t="str">
            <v>Paid</v>
          </cell>
        </row>
        <row r="6661">
          <cell r="J6661" t="str">
            <v>INV-041225095656</v>
          </cell>
          <cell r="K6661" t="str">
            <v>Paid</v>
          </cell>
        </row>
        <row r="6662">
          <cell r="J6662" t="str">
            <v>INV-050126110331</v>
          </cell>
          <cell r="K6662" t="str">
            <v>Paid</v>
          </cell>
        </row>
        <row r="6663">
          <cell r="J6663" t="str">
            <v>INV-050226032903</v>
          </cell>
          <cell r="K6663" t="str">
            <v>Paid</v>
          </cell>
        </row>
        <row r="6664">
          <cell r="J6664" t="str">
            <v>INV-030326160748</v>
          </cell>
          <cell r="K6664" t="str">
            <v>Paid</v>
          </cell>
        </row>
        <row r="6665">
          <cell r="J6665" t="str">
            <v>INV-010426183751</v>
          </cell>
          <cell r="K6665" t="str">
            <v>Paid</v>
          </cell>
        </row>
        <row r="6666">
          <cell r="J6666" t="str">
            <v>INV-231024151910</v>
          </cell>
          <cell r="K6666" t="str">
            <v>Paid</v>
          </cell>
        </row>
        <row r="6667">
          <cell r="J6667" t="str">
            <v>INV-050225162008</v>
          </cell>
          <cell r="K6667" t="str">
            <v>Paid</v>
          </cell>
        </row>
        <row r="6668">
          <cell r="J6668" t="str">
            <v>INV-050325100637</v>
          </cell>
          <cell r="K6668" t="str">
            <v>Paid</v>
          </cell>
        </row>
        <row r="6669">
          <cell r="J6669" t="str">
            <v>INV-020425192616</v>
          </cell>
          <cell r="K6669" t="str">
            <v>Paid</v>
          </cell>
        </row>
        <row r="6670">
          <cell r="J6670" t="str">
            <v>INV-050525150853</v>
          </cell>
          <cell r="K6670" t="str">
            <v>Paid</v>
          </cell>
        </row>
        <row r="6671">
          <cell r="J6671" t="str">
            <v>INV-040625103548</v>
          </cell>
          <cell r="K6671" t="str">
            <v>Paid</v>
          </cell>
        </row>
        <row r="6672">
          <cell r="J6672" t="str">
            <v>INV-030725112754</v>
          </cell>
          <cell r="K6672" t="str">
            <v>Paid</v>
          </cell>
        </row>
        <row r="6673">
          <cell r="J6673" t="str">
            <v>INV-040825190748</v>
          </cell>
          <cell r="K6673" t="str">
            <v>Paid</v>
          </cell>
        </row>
        <row r="6674">
          <cell r="J6674" t="str">
            <v>INV-020925172141</v>
          </cell>
          <cell r="K6674" t="str">
            <v>Paid</v>
          </cell>
        </row>
        <row r="6675">
          <cell r="J6675" t="str">
            <v>INV-031025134756</v>
          </cell>
          <cell r="K6675" t="str">
            <v>Paid</v>
          </cell>
        </row>
        <row r="6676">
          <cell r="J6676" t="str">
            <v>INV-051125094040</v>
          </cell>
          <cell r="K6676" t="str">
            <v>Paid</v>
          </cell>
        </row>
        <row r="6677">
          <cell r="J6677" t="str">
            <v>INV-021225184704</v>
          </cell>
          <cell r="K6677" t="str">
            <v>Paid</v>
          </cell>
        </row>
        <row r="6678">
          <cell r="J6678" t="str">
            <v>INV-020126162913</v>
          </cell>
          <cell r="K6678" t="str">
            <v>Paid</v>
          </cell>
        </row>
        <row r="6679">
          <cell r="J6679" t="str">
            <v>INV-030226095512</v>
          </cell>
          <cell r="K6679" t="str">
            <v>Paid</v>
          </cell>
        </row>
        <row r="6680">
          <cell r="J6680" t="str">
            <v>INV-020326193518</v>
          </cell>
          <cell r="K6680" t="str">
            <v>Paid</v>
          </cell>
        </row>
        <row r="6681">
          <cell r="J6681" t="str">
            <v>INV-010426180202</v>
          </cell>
          <cell r="K6681" t="str">
            <v>Paid</v>
          </cell>
        </row>
        <row r="6682">
          <cell r="J6682" t="str">
            <v>INV-040526125246</v>
          </cell>
          <cell r="K6682" t="str">
            <v>Paid</v>
          </cell>
        </row>
        <row r="6683">
          <cell r="J6683" t="str">
            <v>INV-010626191528</v>
          </cell>
          <cell r="K6683" t="str">
            <v>Paid</v>
          </cell>
        </row>
        <row r="6684">
          <cell r="J6684" t="str">
            <v>CARDS0002</v>
          </cell>
          <cell r="K6684" t="str">
            <v>Paid</v>
          </cell>
        </row>
        <row r="6685">
          <cell r="J6685" t="str">
            <v>CARDS0015</v>
          </cell>
          <cell r="K6685" t="str">
            <v>Paid</v>
          </cell>
        </row>
        <row r="6686">
          <cell r="J6686" t="str">
            <v>CARDS0029</v>
          </cell>
          <cell r="K6686" t="str">
            <v>Paid</v>
          </cell>
        </row>
        <row r="6687">
          <cell r="J6687" t="str">
            <v>CARDS0044</v>
          </cell>
          <cell r="K6687" t="str">
            <v>Paid</v>
          </cell>
        </row>
        <row r="6688">
          <cell r="J6688" t="str">
            <v>CARDS0067</v>
          </cell>
          <cell r="K6688" t="str">
            <v>Paid</v>
          </cell>
        </row>
        <row r="6689">
          <cell r="J6689" t="str">
            <v>CARDS0080</v>
          </cell>
          <cell r="K6689" t="str">
            <v>Paid</v>
          </cell>
        </row>
        <row r="6690">
          <cell r="J6690" t="str">
            <v>CARDS0097</v>
          </cell>
          <cell r="K6690" t="str">
            <v>Paid</v>
          </cell>
        </row>
        <row r="6691">
          <cell r="J6691" t="str">
            <v>CARDS0116</v>
          </cell>
          <cell r="K6691" t="str">
            <v>Paid</v>
          </cell>
        </row>
        <row r="6692">
          <cell r="J6692" t="str">
            <v>CARDS0134</v>
          </cell>
          <cell r="K6692" t="str">
            <v>Paid</v>
          </cell>
        </row>
        <row r="6693">
          <cell r="J6693" t="str">
            <v>CARDS0154</v>
          </cell>
          <cell r="K6693" t="str">
            <v>Paid</v>
          </cell>
        </row>
        <row r="6694">
          <cell r="J6694" t="str">
            <v>INV2021-Aspire-001</v>
          </cell>
          <cell r="K6694" t="str">
            <v>Paid</v>
          </cell>
        </row>
        <row r="6695">
          <cell r="J6695" t="str">
            <v>CARDS0170</v>
          </cell>
          <cell r="K6695" t="str">
            <v>Paid</v>
          </cell>
        </row>
        <row r="6696">
          <cell r="J6696" t="str">
            <v>CARDS0192</v>
          </cell>
          <cell r="K6696" t="str">
            <v>Paid</v>
          </cell>
        </row>
        <row r="6697">
          <cell r="J6697" t="str">
            <v>CARDS0212</v>
          </cell>
          <cell r="K6697" t="str">
            <v>Paid</v>
          </cell>
        </row>
        <row r="6698">
          <cell r="J6698" t="str">
            <v>INV2022- Aspire-002</v>
          </cell>
          <cell r="K6698" t="str">
            <v>Paid</v>
          </cell>
        </row>
        <row r="6699">
          <cell r="J6699" t="str">
            <v>CARDS0229</v>
          </cell>
          <cell r="K6699" t="str">
            <v>Paid</v>
          </cell>
        </row>
        <row r="6700">
          <cell r="J6700" t="str">
            <v>INV2022-Aspire-003</v>
          </cell>
          <cell r="K6700" t="str">
            <v>Paid</v>
          </cell>
        </row>
        <row r="6701">
          <cell r="J6701" t="str">
            <v>CARDS0246</v>
          </cell>
          <cell r="K6701" t="str">
            <v>Paid</v>
          </cell>
        </row>
        <row r="6702">
          <cell r="J6702" t="str">
            <v>INV2022-Aspire-004</v>
          </cell>
          <cell r="K6702" t="str">
            <v>Paid</v>
          </cell>
        </row>
        <row r="6703">
          <cell r="J6703" t="str">
            <v>CARDS0267</v>
          </cell>
          <cell r="K6703" t="str">
            <v>Net Off</v>
          </cell>
        </row>
        <row r="6704">
          <cell r="J6704" t="str">
            <v>DNCARDS0010</v>
          </cell>
          <cell r="K6704" t="str">
            <v>Net Off</v>
          </cell>
        </row>
        <row r="6705">
          <cell r="J6705" t="str">
            <v>CARDS0285</v>
          </cell>
          <cell r="K6705" t="str">
            <v>Net Off</v>
          </cell>
        </row>
        <row r="6706">
          <cell r="J6706" t="str">
            <v>CARDS0303</v>
          </cell>
          <cell r="K6706" t="str">
            <v>Paid</v>
          </cell>
        </row>
        <row r="6707">
          <cell r="J6707" t="str">
            <v>CARDS0317</v>
          </cell>
          <cell r="K6707" t="str">
            <v>Paid</v>
          </cell>
        </row>
        <row r="6708">
          <cell r="J6708" t="str">
            <v>CARDS0331</v>
          </cell>
          <cell r="K6708" t="str">
            <v>Paid</v>
          </cell>
        </row>
        <row r="6709">
          <cell r="J6709" t="str">
            <v>CNCARDS0025</v>
          </cell>
          <cell r="K6709" t="str">
            <v>Net Off</v>
          </cell>
        </row>
        <row r="6710">
          <cell r="J6710" t="str">
            <v>CNCARDS0026</v>
          </cell>
          <cell r="K6710" t="str">
            <v>Net Off</v>
          </cell>
        </row>
        <row r="6711">
          <cell r="J6711" t="str">
            <v>CNCARDS0027</v>
          </cell>
          <cell r="K6711" t="str">
            <v>Net Off</v>
          </cell>
        </row>
        <row r="6712">
          <cell r="J6712" t="str">
            <v>CARDS0344</v>
          </cell>
          <cell r="K6712" t="str">
            <v>Paid</v>
          </cell>
        </row>
        <row r="6713">
          <cell r="J6713" t="str">
            <v>CARDS0345</v>
          </cell>
          <cell r="K6713" t="str">
            <v>Paid</v>
          </cell>
        </row>
        <row r="6714">
          <cell r="J6714" t="str">
            <v>CNCARDS0024</v>
          </cell>
          <cell r="K6714" t="str">
            <v>Paid</v>
          </cell>
        </row>
        <row r="6715">
          <cell r="J6715" t="str">
            <v>INV-021122041328</v>
          </cell>
          <cell r="K6715" t="str">
            <v>Paid</v>
          </cell>
        </row>
        <row r="6716">
          <cell r="J6716" t="str">
            <v>INV-021222004053</v>
          </cell>
          <cell r="K6716" t="str">
            <v>Paid</v>
          </cell>
        </row>
        <row r="6717">
          <cell r="J6717" t="str">
            <v>INV-030123162215</v>
          </cell>
          <cell r="K6717" t="str">
            <v>Paid</v>
          </cell>
        </row>
        <row r="6718">
          <cell r="J6718" t="str">
            <v>INV-020223005004</v>
          </cell>
          <cell r="K6718" t="str">
            <v>Paid</v>
          </cell>
        </row>
        <row r="6719">
          <cell r="J6719" t="str">
            <v>INV-020323000623</v>
          </cell>
          <cell r="K6719" t="str">
            <v>Paid</v>
          </cell>
        </row>
        <row r="6720">
          <cell r="J6720" t="str">
            <v>INV-031123130411</v>
          </cell>
          <cell r="K6720" t="str">
            <v>Paid</v>
          </cell>
        </row>
        <row r="6721">
          <cell r="J6721" t="str">
            <v>INV-030423153524</v>
          </cell>
          <cell r="K6721" t="str">
            <v>Paid</v>
          </cell>
        </row>
        <row r="6722">
          <cell r="J6722" t="str">
            <v>INV-040923140916</v>
          </cell>
          <cell r="K6722" t="str">
            <v>Paid</v>
          </cell>
        </row>
        <row r="6723">
          <cell r="J6723" t="str">
            <v>INV-020523173214</v>
          </cell>
          <cell r="K6723" t="str">
            <v>Paid</v>
          </cell>
        </row>
        <row r="6724">
          <cell r="J6724" t="str">
            <v>INV-051023095023</v>
          </cell>
          <cell r="K6724" t="str">
            <v>Paid</v>
          </cell>
        </row>
        <row r="6725">
          <cell r="J6725" t="str">
            <v>INV-051223151431</v>
          </cell>
          <cell r="K6725" t="str">
            <v>Paid</v>
          </cell>
        </row>
        <row r="6726">
          <cell r="J6726" t="str">
            <v>CN-290523140038</v>
          </cell>
          <cell r="K6726" t="str">
            <v>Paid</v>
          </cell>
        </row>
        <row r="6727">
          <cell r="J6727" t="str">
            <v>INV-050623105154</v>
          </cell>
          <cell r="K6727" t="str">
            <v>Paid</v>
          </cell>
        </row>
        <row r="6728">
          <cell r="J6728" t="str">
            <v>INV-030723171130</v>
          </cell>
          <cell r="K6728" t="str">
            <v>Paid</v>
          </cell>
        </row>
        <row r="6729">
          <cell r="J6729" t="str">
            <v>INV-020823153919</v>
          </cell>
          <cell r="K6729" t="str">
            <v>Paid</v>
          </cell>
        </row>
        <row r="6730">
          <cell r="J6730" t="str">
            <v>INV-081223164049</v>
          </cell>
          <cell r="K6730" t="str">
            <v>Paid</v>
          </cell>
        </row>
        <row r="6731">
          <cell r="J6731" t="str">
            <v>INV-040124180211</v>
          </cell>
          <cell r="K6731" t="str">
            <v>Paid</v>
          </cell>
        </row>
        <row r="6732">
          <cell r="J6732" t="str">
            <v>INV-070224093810</v>
          </cell>
          <cell r="K6732" t="str">
            <v>Paid</v>
          </cell>
        </row>
        <row r="6733">
          <cell r="J6733" t="str">
            <v>INV-070324092441</v>
          </cell>
          <cell r="K6733" t="str">
            <v>Paid</v>
          </cell>
        </row>
        <row r="6734">
          <cell r="J6734" t="str">
            <v>INV-050424165039</v>
          </cell>
          <cell r="K6734" t="str">
            <v>Paid</v>
          </cell>
        </row>
        <row r="6735">
          <cell r="J6735" t="str">
            <v>INV-040724181629</v>
          </cell>
          <cell r="K6735" t="str">
            <v>Paid</v>
          </cell>
        </row>
        <row r="6736">
          <cell r="J6736" t="str">
            <v>INV-060524152253</v>
          </cell>
          <cell r="K6736" t="str">
            <v>Paid</v>
          </cell>
        </row>
        <row r="6737">
          <cell r="J6737" t="str">
            <v>INV-060824113848</v>
          </cell>
          <cell r="K6737" t="str">
            <v>Paid</v>
          </cell>
        </row>
        <row r="6738">
          <cell r="J6738" t="str">
            <v>INV-060924140532</v>
          </cell>
          <cell r="K6738" t="str">
            <v>Paid</v>
          </cell>
        </row>
        <row r="6739">
          <cell r="J6739" t="str">
            <v>INV-100624152001</v>
          </cell>
          <cell r="K6739" t="str">
            <v>Paid</v>
          </cell>
        </row>
        <row r="6740">
          <cell r="J6740" t="str">
            <v>CN-INV-250624164001</v>
          </cell>
          <cell r="K6740" t="str">
            <v>Paid</v>
          </cell>
        </row>
        <row r="6741">
          <cell r="J6741" t="str">
            <v>CN-INV-250624164002</v>
          </cell>
          <cell r="K6741" t="str">
            <v>Paid</v>
          </cell>
        </row>
        <row r="6742">
          <cell r="J6742" t="str">
            <v>CN-INV-250624164003</v>
          </cell>
          <cell r="K6742" t="str">
            <v>Paid</v>
          </cell>
        </row>
        <row r="6743">
          <cell r="J6743" t="str">
            <v>INV2024-ASPIRE-003</v>
          </cell>
          <cell r="K6743" t="str">
            <v>Paid</v>
          </cell>
        </row>
        <row r="6744">
          <cell r="J6744" t="str">
            <v>INV-091224123246</v>
          </cell>
          <cell r="K6744" t="str">
            <v>Paid</v>
          </cell>
        </row>
        <row r="6745">
          <cell r="J6745" t="str">
            <v>INV-081024173114</v>
          </cell>
          <cell r="K6745" t="str">
            <v>Paid</v>
          </cell>
        </row>
        <row r="6746">
          <cell r="J6746" t="str">
            <v>INV-081124142541</v>
          </cell>
          <cell r="K6746" t="str">
            <v>Paid</v>
          </cell>
        </row>
        <row r="6747">
          <cell r="J6747" t="str">
            <v>INV-181124100000</v>
          </cell>
          <cell r="K6747" t="str">
            <v>Paid</v>
          </cell>
        </row>
        <row r="6748">
          <cell r="J6748" t="str">
            <v>INV-181124101000</v>
          </cell>
          <cell r="K6748" t="str">
            <v>Paid</v>
          </cell>
        </row>
        <row r="6749">
          <cell r="J6749" t="str">
            <v>INV-181124102000</v>
          </cell>
          <cell r="K6749" t="str">
            <v>Paid</v>
          </cell>
        </row>
        <row r="6750">
          <cell r="J6750" t="str">
            <v>INV-080125104722</v>
          </cell>
          <cell r="K6750" t="str">
            <v>Paid</v>
          </cell>
        </row>
        <row r="6751">
          <cell r="J6751" t="str">
            <v>INV2025-Aspire-001</v>
          </cell>
          <cell r="K6751" t="str">
            <v>Paid</v>
          </cell>
        </row>
        <row r="6752">
          <cell r="J6752" t="str">
            <v>INV-220125103000</v>
          </cell>
          <cell r="K6752" t="str">
            <v>Paid</v>
          </cell>
        </row>
        <row r="6753">
          <cell r="J6753" t="str">
            <v>INV-060225130707</v>
          </cell>
          <cell r="K6753" t="str">
            <v>Paid</v>
          </cell>
        </row>
        <row r="6754">
          <cell r="J6754" t="str">
            <v>INV-260225110000</v>
          </cell>
          <cell r="K6754" t="str">
            <v>Paid</v>
          </cell>
        </row>
        <row r="6755">
          <cell r="J6755" t="str">
            <v>INV-050325164009</v>
          </cell>
          <cell r="K6755" t="str">
            <v>Paid</v>
          </cell>
        </row>
        <row r="6756">
          <cell r="J6756" t="str">
            <v>INV-200325093000</v>
          </cell>
          <cell r="K6756" t="str">
            <v>Paid</v>
          </cell>
        </row>
        <row r="6757">
          <cell r="J6757" t="str">
            <v>INV-030425190152</v>
          </cell>
          <cell r="K6757" t="str">
            <v>Paid</v>
          </cell>
        </row>
        <row r="6758">
          <cell r="J6758" t="str">
            <v>INV-21041100000</v>
          </cell>
          <cell r="K6758" t="str">
            <v>Paid</v>
          </cell>
        </row>
        <row r="6759">
          <cell r="J6759" t="str">
            <v>INV-060525110822</v>
          </cell>
          <cell r="K6759" t="str">
            <v>Paid</v>
          </cell>
        </row>
        <row r="6760">
          <cell r="J6760" t="str">
            <v>INV-1205150000</v>
          </cell>
          <cell r="K6760" t="str">
            <v>Paid</v>
          </cell>
        </row>
        <row r="6761">
          <cell r="J6761" t="str">
            <v>INV-040625171310</v>
          </cell>
          <cell r="K6761" t="str">
            <v>Paid</v>
          </cell>
        </row>
        <row r="6762">
          <cell r="J6762" t="str">
            <v>INV-250625200000</v>
          </cell>
          <cell r="K6762" t="str">
            <v>Paid</v>
          </cell>
        </row>
        <row r="6763">
          <cell r="J6763" t="str">
            <v>INV-040725152237</v>
          </cell>
          <cell r="K6763" t="str">
            <v>Paid</v>
          </cell>
        </row>
        <row r="6764">
          <cell r="J6764" t="str">
            <v>INV-160725200000</v>
          </cell>
          <cell r="K6764" t="str">
            <v>Paid</v>
          </cell>
        </row>
        <row r="6765">
          <cell r="J6765" t="str">
            <v>CN-INV-1205150000</v>
          </cell>
          <cell r="K6765" t="str">
            <v>Paid</v>
          </cell>
        </row>
        <row r="6766">
          <cell r="J6766" t="str">
            <v>CN-INV-160725200000</v>
          </cell>
          <cell r="K6766" t="str">
            <v>Paid</v>
          </cell>
        </row>
        <row r="6767">
          <cell r="J6767" t="str">
            <v>INV-060825103143</v>
          </cell>
          <cell r="K6767" t="str">
            <v>Paid</v>
          </cell>
        </row>
        <row r="6768">
          <cell r="J6768" t="str">
            <v>INV-190825200000</v>
          </cell>
          <cell r="K6768" t="str">
            <v>Paid</v>
          </cell>
        </row>
        <row r="6769">
          <cell r="J6769" t="str">
            <v>INV-030925143219</v>
          </cell>
          <cell r="K6769" t="str">
            <v>Paid</v>
          </cell>
        </row>
        <row r="6770">
          <cell r="J6770" t="str">
            <v>INV-160925200000</v>
          </cell>
          <cell r="K6770" t="str">
            <v>Paid</v>
          </cell>
        </row>
        <row r="6771">
          <cell r="J6771" t="str">
            <v>INV-061025140754</v>
          </cell>
          <cell r="K6771" t="str">
            <v>Paid</v>
          </cell>
        </row>
        <row r="6772">
          <cell r="J6772" t="str">
            <v>INV-300925200000</v>
          </cell>
          <cell r="K6772" t="str">
            <v>Paid</v>
          </cell>
        </row>
        <row r="6773">
          <cell r="J6773" t="str">
            <v>INV-061125114251</v>
          </cell>
          <cell r="K6773" t="str">
            <v>Paid</v>
          </cell>
        </row>
        <row r="6774">
          <cell r="J6774" t="str">
            <v>INV-171125220000</v>
          </cell>
          <cell r="K6774" t="str">
            <v>Paid</v>
          </cell>
        </row>
        <row r="6775">
          <cell r="J6775" t="str">
            <v>INV-041225180001</v>
          </cell>
          <cell r="K6775" t="str">
            <v>Paid</v>
          </cell>
        </row>
        <row r="6776">
          <cell r="J6776" t="str">
            <v>INV-151125220000</v>
          </cell>
          <cell r="K6776" t="str">
            <v>Paid</v>
          </cell>
        </row>
        <row r="6777">
          <cell r="J6777" t="str">
            <v>INV-060126132544</v>
          </cell>
          <cell r="K6777" t="str">
            <v>Paid</v>
          </cell>
        </row>
        <row r="6778">
          <cell r="J6778" t="str">
            <v>INV-230126220000</v>
          </cell>
          <cell r="K6778" t="str">
            <v>Paid</v>
          </cell>
        </row>
        <row r="6779">
          <cell r="J6779" t="str">
            <v>INV-070226172013</v>
          </cell>
          <cell r="K6779" t="str">
            <v>Paid</v>
          </cell>
        </row>
        <row r="6780">
          <cell r="J6780" t="str">
            <v>INV-200226220000</v>
          </cell>
          <cell r="K6780" t="str">
            <v>Paid</v>
          </cell>
        </row>
        <row r="6781">
          <cell r="J6781" t="str">
            <v>INV-040326135331</v>
          </cell>
          <cell r="K6781" t="str">
            <v>Paid</v>
          </cell>
        </row>
        <row r="6782">
          <cell r="J6782" t="str">
            <v>INV-230326220000</v>
          </cell>
          <cell r="K6782" t="str">
            <v>Paid</v>
          </cell>
        </row>
        <row r="6783">
          <cell r="J6783" t="str">
            <v>INV-030426152001</v>
          </cell>
          <cell r="K6783" t="str">
            <v>Paid</v>
          </cell>
        </row>
        <row r="6784">
          <cell r="J6784" t="str">
            <v>INV-240426220000</v>
          </cell>
          <cell r="K6784" t="str">
            <v>Paid</v>
          </cell>
        </row>
        <row r="6785">
          <cell r="J6785" t="str">
            <v>INV-220526121442</v>
          </cell>
          <cell r="K6785" t="str">
            <v>Paid</v>
          </cell>
        </row>
        <row r="6786">
          <cell r="J6786" t="str">
            <v>INV-270526152527</v>
          </cell>
          <cell r="K6786" t="str">
            <v>Invoice Sent</v>
          </cell>
        </row>
        <row r="6787">
          <cell r="J6787" t="str">
            <v>INV-240526220000</v>
          </cell>
          <cell r="K6787" t="str">
            <v>Invoice Sent</v>
          </cell>
        </row>
        <row r="6788">
          <cell r="J6788" t="str">
            <v>INV-040626125945</v>
          </cell>
          <cell r="K6788" t="str">
            <v>Invoice Sent</v>
          </cell>
        </row>
        <row r="6789">
          <cell r="J6789" t="str">
            <v>CARDS0348</v>
          </cell>
          <cell r="K6789" t="str">
            <v>Paid</v>
          </cell>
        </row>
        <row r="6790">
          <cell r="J6790" t="str">
            <v>INV2024-ASPIRE-001</v>
          </cell>
          <cell r="K6790" t="str">
            <v>Paid</v>
          </cell>
        </row>
        <row r="6791">
          <cell r="J6791" t="str">
            <v>INV2024-ASPIRE-002</v>
          </cell>
          <cell r="K6791" t="str">
            <v>Paid</v>
          </cell>
        </row>
        <row r="6792">
          <cell r="J6792" t="str">
            <v>INV-180825142233</v>
          </cell>
          <cell r="K6792" t="str">
            <v>Paid</v>
          </cell>
        </row>
        <row r="6793">
          <cell r="J6793" t="str">
            <v>INV-031025162730</v>
          </cell>
          <cell r="K6793" t="str">
            <v>Paid</v>
          </cell>
        </row>
        <row r="6794">
          <cell r="J6794" t="str">
            <v>INV-051125145635</v>
          </cell>
          <cell r="K6794" t="str">
            <v>Paid</v>
          </cell>
        </row>
        <row r="6795">
          <cell r="J6795" t="str">
            <v>INV-031225181510</v>
          </cell>
          <cell r="K6795" t="str">
            <v>Paid</v>
          </cell>
        </row>
        <row r="6796">
          <cell r="J6796" t="str">
            <v>INV-050126122159</v>
          </cell>
          <cell r="K6796" t="str">
            <v>Paid</v>
          </cell>
        </row>
        <row r="6797">
          <cell r="J6797" t="str">
            <v>INV-040226162909</v>
          </cell>
          <cell r="K6797" t="str">
            <v>Paid</v>
          </cell>
        </row>
        <row r="6798">
          <cell r="J6798" t="str">
            <v>INV-030326152512</v>
          </cell>
          <cell r="K6798" t="str">
            <v>Paid</v>
          </cell>
        </row>
        <row r="6799">
          <cell r="J6799" t="str">
            <v>INV-020426171751</v>
          </cell>
          <cell r="K6799" t="str">
            <v>Paid</v>
          </cell>
        </row>
        <row r="6800">
          <cell r="J6800" t="str">
            <v>INV-050526151544</v>
          </cell>
          <cell r="K6800" t="str">
            <v>Paid</v>
          </cell>
        </row>
        <row r="6801">
          <cell r="J6801" t="str">
            <v>INV-020626144009</v>
          </cell>
          <cell r="K6801" t="str">
            <v>Paid</v>
          </cell>
        </row>
        <row r="6802">
          <cell r="J6802" t="str">
            <v>INV-060626213209</v>
          </cell>
          <cell r="K6802" t="str">
            <v>Outstanding</v>
          </cell>
        </row>
        <row r="6803">
          <cell r="J6803" t="str">
            <v>INV-050525174704</v>
          </cell>
          <cell r="K6803" t="str">
            <v>Paid</v>
          </cell>
        </row>
        <row r="6804">
          <cell r="J6804" t="str">
            <v>INV-030625195429</v>
          </cell>
          <cell r="K6804" t="str">
            <v>Paid</v>
          </cell>
        </row>
        <row r="6805">
          <cell r="J6805" t="str">
            <v>INV-030725115931</v>
          </cell>
          <cell r="K6805" t="str">
            <v>Paid</v>
          </cell>
        </row>
        <row r="6806">
          <cell r="J6806" t="str">
            <v>INV-040825162312</v>
          </cell>
          <cell r="K6806" t="str">
            <v>Paid</v>
          </cell>
        </row>
        <row r="6807">
          <cell r="J6807" t="str">
            <v>INV-020925191440</v>
          </cell>
          <cell r="K6807" t="str">
            <v>Paid</v>
          </cell>
        </row>
        <row r="6808">
          <cell r="J6808" t="str">
            <v>INV-021025182543</v>
          </cell>
          <cell r="K6808" t="str">
            <v>Paid</v>
          </cell>
        </row>
        <row r="6809">
          <cell r="J6809" t="str">
            <v>INV-051125095708</v>
          </cell>
          <cell r="K6809" t="str">
            <v>Paid</v>
          </cell>
        </row>
        <row r="6810">
          <cell r="J6810" t="str">
            <v>INV-031225123701</v>
          </cell>
          <cell r="K6810" t="str">
            <v>Paid</v>
          </cell>
        </row>
        <row r="6811">
          <cell r="J6811" t="str">
            <v>INV-020126183622</v>
          </cell>
          <cell r="K6811" t="str">
            <v>Paid</v>
          </cell>
        </row>
        <row r="6812">
          <cell r="J6812" t="str">
            <v>INV-030226122636</v>
          </cell>
          <cell r="K6812" t="str">
            <v>Paid</v>
          </cell>
        </row>
        <row r="6813">
          <cell r="J6813" t="str">
            <v>INV-030326131416</v>
          </cell>
          <cell r="K6813" t="str">
            <v>Paid</v>
          </cell>
        </row>
        <row r="6814">
          <cell r="J6814" t="str">
            <v>INV-010426200152</v>
          </cell>
          <cell r="K6814" t="str">
            <v>Settled</v>
          </cell>
        </row>
        <row r="6815">
          <cell r="J6815" t="str">
            <v>INV-060526133122</v>
          </cell>
          <cell r="K6815" t="str">
            <v>Settled</v>
          </cell>
        </row>
        <row r="6816">
          <cell r="J6816" t="str">
            <v>INV-040626093718</v>
          </cell>
          <cell r="K6816" t="str">
            <v>Settled</v>
          </cell>
        </row>
        <row r="6817">
          <cell r="J6817" t="str">
            <v>CARDS0111</v>
          </cell>
          <cell r="K6817" t="str">
            <v>Paid</v>
          </cell>
        </row>
        <row r="6818">
          <cell r="J6818" t="str">
            <v>CARDS0130</v>
          </cell>
          <cell r="K6818" t="str">
            <v>Paid</v>
          </cell>
        </row>
        <row r="6819">
          <cell r="J6819" t="str">
            <v>CARDS0147</v>
          </cell>
          <cell r="K6819" t="str">
            <v>Paid</v>
          </cell>
        </row>
        <row r="6820">
          <cell r="J6820" t="str">
            <v>DNCARDS0007</v>
          </cell>
          <cell r="K6820" t="str">
            <v>Paid</v>
          </cell>
        </row>
        <row r="6821">
          <cell r="J6821" t="str">
            <v>CARDS0166</v>
          </cell>
          <cell r="K6821" t="str">
            <v>Paid</v>
          </cell>
        </row>
        <row r="6822">
          <cell r="J6822" t="str">
            <v>CNCARDS0011</v>
          </cell>
          <cell r="K6822" t="str">
            <v>Paid</v>
          </cell>
        </row>
        <row r="6823">
          <cell r="J6823" t="str">
            <v>CARDS0183</v>
          </cell>
          <cell r="K6823" t="str">
            <v>Waived Off</v>
          </cell>
        </row>
        <row r="6824">
          <cell r="J6824" t="str">
            <v>CARDS0204</v>
          </cell>
          <cell r="K6824" t="str">
            <v>Waived Off</v>
          </cell>
        </row>
        <row r="6825">
          <cell r="J6825" t="str">
            <v>CARDS0225</v>
          </cell>
          <cell r="K6825" t="str">
            <v>Waived Off</v>
          </cell>
        </row>
        <row r="6826">
          <cell r="J6826" t="str">
            <v>INV-031224173001</v>
          </cell>
          <cell r="K6826" t="str">
            <v>Paid</v>
          </cell>
        </row>
        <row r="6827">
          <cell r="J6827" t="str">
            <v>INV-040924125129</v>
          </cell>
          <cell r="K6827" t="str">
            <v>Paid</v>
          </cell>
        </row>
        <row r="6828">
          <cell r="J6828" t="str">
            <v>INV-021024155453</v>
          </cell>
          <cell r="K6828" t="str">
            <v>Paid</v>
          </cell>
        </row>
        <row r="6829">
          <cell r="J6829" t="str">
            <v>INV-051124175436</v>
          </cell>
          <cell r="K6829" t="str">
            <v>Paid</v>
          </cell>
        </row>
        <row r="6830">
          <cell r="J6830" t="str">
            <v>INV-060125103249</v>
          </cell>
          <cell r="K6830" t="str">
            <v>Paid</v>
          </cell>
        </row>
        <row r="6831">
          <cell r="J6831" t="str">
            <v>INV-040225154933</v>
          </cell>
          <cell r="K6831" t="str">
            <v>Paid</v>
          </cell>
        </row>
        <row r="6832">
          <cell r="J6832" t="str">
            <v>INV-020525185353</v>
          </cell>
          <cell r="K6832" t="str">
            <v>Paid</v>
          </cell>
        </row>
        <row r="6833">
          <cell r="J6833" t="str">
            <v>INV-030625151048</v>
          </cell>
          <cell r="K6833" t="str">
            <v>Paid</v>
          </cell>
        </row>
        <row r="6834">
          <cell r="J6834" t="str">
            <v>INV-020725165852</v>
          </cell>
          <cell r="K6834" t="str">
            <v>Paid</v>
          </cell>
        </row>
        <row r="6835">
          <cell r="J6835" t="str">
            <v>INV-040825133100</v>
          </cell>
          <cell r="K6835" t="str">
            <v>Paid</v>
          </cell>
        </row>
        <row r="6836">
          <cell r="J6836" t="str">
            <v>INV-020925122401</v>
          </cell>
          <cell r="K6836" t="str">
            <v>Paid</v>
          </cell>
        </row>
        <row r="6837">
          <cell r="J6837" t="str">
            <v>INV-021025132604</v>
          </cell>
          <cell r="K6837" t="str">
            <v>Paid</v>
          </cell>
        </row>
        <row r="6838">
          <cell r="J6838" t="str">
            <v>INV-031125184753</v>
          </cell>
          <cell r="K6838" t="str">
            <v>Paid</v>
          </cell>
        </row>
        <row r="6839">
          <cell r="J6839" t="str">
            <v>INV-021225130146</v>
          </cell>
          <cell r="K6839" t="str">
            <v>Paid</v>
          </cell>
        </row>
        <row r="6840">
          <cell r="J6840" t="str">
            <v>INV-020126135021</v>
          </cell>
          <cell r="K6840" t="str">
            <v>Paid</v>
          </cell>
        </row>
        <row r="6841">
          <cell r="J6841" t="str">
            <v>INV-020226153711</v>
          </cell>
          <cell r="K6841" t="str">
            <v>Paid</v>
          </cell>
        </row>
        <row r="6842">
          <cell r="J6842" t="str">
            <v>INV-030326093301</v>
          </cell>
          <cell r="K6842" t="str">
            <v>Paid</v>
          </cell>
        </row>
        <row r="6843">
          <cell r="J6843" t="str">
            <v>INV-010426153125</v>
          </cell>
          <cell r="K6843" t="str">
            <v>Paid</v>
          </cell>
        </row>
        <row r="6844">
          <cell r="J6844" t="str">
            <v>INV-040526104036</v>
          </cell>
          <cell r="K6844" t="str">
            <v>Paid</v>
          </cell>
        </row>
        <row r="6845">
          <cell r="J6845" t="str">
            <v>INV-010626171134</v>
          </cell>
          <cell r="K6845" t="str">
            <v>Paid</v>
          </cell>
        </row>
        <row r="6846">
          <cell r="J6846" t="str">
            <v>INV-121223103936</v>
          </cell>
          <cell r="K6846" t="str">
            <v>Waived Off</v>
          </cell>
        </row>
        <row r="6847">
          <cell r="J6847" t="str">
            <v>INV-020824175950</v>
          </cell>
          <cell r="K6847" t="str">
            <v>Paid</v>
          </cell>
        </row>
        <row r="6848">
          <cell r="J6848" t="str">
            <v>INV-030524141202</v>
          </cell>
          <cell r="K6848" t="str">
            <v>Paid</v>
          </cell>
        </row>
        <row r="6849">
          <cell r="J6849" t="str">
            <v>INV-030724155818</v>
          </cell>
          <cell r="K6849" t="str">
            <v>Paid</v>
          </cell>
        </row>
        <row r="6850">
          <cell r="J6850" t="str">
            <v>INV-040424094523</v>
          </cell>
          <cell r="K6850" t="str">
            <v>Paid</v>
          </cell>
        </row>
        <row r="6851">
          <cell r="J6851" t="str">
            <v>INV-040624111037</v>
          </cell>
          <cell r="K6851" t="str">
            <v>Paid</v>
          </cell>
        </row>
        <row r="6852">
          <cell r="J6852" t="str">
            <v>INV2021-B2B-001</v>
          </cell>
          <cell r="K6852" t="str">
            <v>Paid</v>
          </cell>
        </row>
        <row r="6853">
          <cell r="J6853" t="str">
            <v>INV2022-B2B-001</v>
          </cell>
          <cell r="K6853" t="str">
            <v>Paid</v>
          </cell>
        </row>
        <row r="6854">
          <cell r="J6854" t="str">
            <v>UKCARDS0009</v>
          </cell>
          <cell r="K6854" t="str">
            <v>Paid</v>
          </cell>
        </row>
        <row r="6855">
          <cell r="J6855" t="str">
            <v>INV2022-B2B-002</v>
          </cell>
          <cell r="K6855" t="str">
            <v>Paid</v>
          </cell>
        </row>
        <row r="6856">
          <cell r="J6856" t="str">
            <v>INV2022-B2B-003</v>
          </cell>
          <cell r="K6856" t="str">
            <v>Paid</v>
          </cell>
        </row>
        <row r="6857">
          <cell r="J6857" t="str">
            <v>INV2022-B2B-004</v>
          </cell>
          <cell r="K6857" t="str">
            <v>Paid</v>
          </cell>
        </row>
        <row r="6858">
          <cell r="J6858" t="str">
            <v>CN2022-B2B-001</v>
          </cell>
          <cell r="K6858" t="str">
            <v>Paid</v>
          </cell>
        </row>
        <row r="6859">
          <cell r="J6859" t="str">
            <v>UKCARDS0012</v>
          </cell>
          <cell r="K6859" t="str">
            <v>Paid</v>
          </cell>
        </row>
        <row r="6860">
          <cell r="J6860" t="str">
            <v>UKCARDS0013</v>
          </cell>
          <cell r="K6860" t="str">
            <v>Paid</v>
          </cell>
        </row>
        <row r="6861">
          <cell r="J6861" t="str">
            <v>INV2022-B2B-005</v>
          </cell>
          <cell r="K6861" t="str">
            <v>Paid</v>
          </cell>
        </row>
        <row r="6862">
          <cell r="J6862" t="str">
            <v>UKCARDS0014</v>
          </cell>
          <cell r="K6862" t="str">
            <v>Paid</v>
          </cell>
        </row>
        <row r="6863">
          <cell r="J6863" t="str">
            <v>CN2022-B2B-002</v>
          </cell>
          <cell r="K6863" t="str">
            <v>Paid</v>
          </cell>
        </row>
        <row r="6864">
          <cell r="J6864" t="str">
            <v>INV2022-B2B-006</v>
          </cell>
          <cell r="K6864" t="str">
            <v>Paid</v>
          </cell>
        </row>
        <row r="6865">
          <cell r="J6865" t="str">
            <v>INV-021122193506</v>
          </cell>
          <cell r="K6865" t="str">
            <v>Paid</v>
          </cell>
        </row>
        <row r="6866">
          <cell r="J6866" t="str">
            <v>INV2022-B2B-008</v>
          </cell>
          <cell r="K6866" t="str">
            <v>Paid</v>
          </cell>
        </row>
        <row r="6867">
          <cell r="J6867" t="str">
            <v>INV2022-B2B-007</v>
          </cell>
          <cell r="K6867" t="str">
            <v>Paid</v>
          </cell>
        </row>
        <row r="6868">
          <cell r="J6868" t="str">
            <v>INV-021222204526</v>
          </cell>
          <cell r="K6868" t="str">
            <v>Paid</v>
          </cell>
        </row>
        <row r="6869">
          <cell r="J6869" t="str">
            <v>INV2022-B2B-009</v>
          </cell>
          <cell r="K6869" t="str">
            <v>Paid</v>
          </cell>
        </row>
        <row r="6870">
          <cell r="J6870" t="str">
            <v>INV-040123221717</v>
          </cell>
          <cell r="K6870" t="str">
            <v>PAID</v>
          </cell>
        </row>
        <row r="6871">
          <cell r="J6871" t="str">
            <v>INV2023-B2B-001</v>
          </cell>
          <cell r="K6871" t="str">
            <v>Paid</v>
          </cell>
        </row>
        <row r="6872">
          <cell r="J6872" t="str">
            <v>INV-030223022246</v>
          </cell>
          <cell r="K6872" t="str">
            <v>Paid</v>
          </cell>
        </row>
        <row r="6873">
          <cell r="J6873" t="str">
            <v>DN-090223141230</v>
          </cell>
          <cell r="K6873" t="str">
            <v>Paid</v>
          </cell>
        </row>
        <row r="6874">
          <cell r="J6874" t="str">
            <v>CN-130223140000</v>
          </cell>
          <cell r="K6874" t="str">
            <v>PAID</v>
          </cell>
        </row>
        <row r="6875">
          <cell r="J6875" t="str">
            <v>DN-130223145927</v>
          </cell>
          <cell r="K6875" t="str">
            <v>Paid</v>
          </cell>
        </row>
        <row r="6876">
          <cell r="J6876" t="str">
            <v>DN-130223151042</v>
          </cell>
          <cell r="K6876" t="str">
            <v>Paid</v>
          </cell>
        </row>
        <row r="6877">
          <cell r="J6877" t="str">
            <v>DN-130223152014</v>
          </cell>
          <cell r="K6877" t="str">
            <v>Paid</v>
          </cell>
        </row>
        <row r="6878">
          <cell r="J6878" t="str">
            <v>DN-130223170926</v>
          </cell>
          <cell r="K6878" t="str">
            <v>Paid</v>
          </cell>
        </row>
        <row r="6879">
          <cell r="J6879" t="str">
            <v>DN-130223171154</v>
          </cell>
          <cell r="K6879" t="str">
            <v>Paid</v>
          </cell>
        </row>
        <row r="6880">
          <cell r="J6880" t="str">
            <v>DN-130223171532</v>
          </cell>
          <cell r="K6880" t="str">
            <v>Paid</v>
          </cell>
        </row>
        <row r="6881">
          <cell r="J6881" t="str">
            <v>INV2023-B2B-002</v>
          </cell>
          <cell r="K6881" t="str">
            <v>Paid</v>
          </cell>
        </row>
        <row r="6882">
          <cell r="J6882" t="str">
            <v>INV-020323223915</v>
          </cell>
          <cell r="K6882" t="str">
            <v>PAID</v>
          </cell>
        </row>
        <row r="6883">
          <cell r="J6883" t="str">
            <v>INV2023-B2B-003</v>
          </cell>
          <cell r="K6883" t="str">
            <v>Paid</v>
          </cell>
        </row>
        <row r="6884">
          <cell r="J6884" t="str">
            <v>INV-040423121740</v>
          </cell>
          <cell r="K6884" t="str">
            <v>PAID</v>
          </cell>
        </row>
        <row r="6885">
          <cell r="J6885" t="str">
            <v>INV2023-B2B-004</v>
          </cell>
          <cell r="K6885" t="str">
            <v>Paid</v>
          </cell>
        </row>
        <row r="6886">
          <cell r="J6886" t="str">
            <v>INV-030523193442</v>
          </cell>
          <cell r="K6886" t="str">
            <v>Paid</v>
          </cell>
        </row>
        <row r="6887">
          <cell r="J6887" t="str">
            <v>INV2023-B2B-005</v>
          </cell>
          <cell r="K6887" t="str">
            <v>Paid</v>
          </cell>
        </row>
        <row r="6888">
          <cell r="J6888" t="str">
            <v xml:space="preserve"> INV-020623162416</v>
          </cell>
          <cell r="K6888" t="str">
            <v>Paid</v>
          </cell>
        </row>
        <row r="6889">
          <cell r="J6889" t="str">
            <v>INV2023-B2B-006</v>
          </cell>
          <cell r="K6889" t="str">
            <v>Paid</v>
          </cell>
        </row>
        <row r="6890">
          <cell r="J6890" t="str">
            <v>INV-040723151707</v>
          </cell>
          <cell r="K6890" t="str">
            <v>Paid</v>
          </cell>
        </row>
        <row r="6891">
          <cell r="J6891" t="str">
            <v>INV-280526122557</v>
          </cell>
          <cell r="K6891" t="str">
            <v>Outstanding</v>
          </cell>
        </row>
        <row r="6892">
          <cell r="J6892" t="str">
            <v>INV-060825125341</v>
          </cell>
          <cell r="K6892" t="str">
            <v>Paid</v>
          </cell>
        </row>
        <row r="6893">
          <cell r="J6893" t="str">
            <v>INV-020925192512</v>
          </cell>
          <cell r="K6893" t="str">
            <v>Paid</v>
          </cell>
        </row>
        <row r="6894">
          <cell r="J6894" t="str">
            <v>INV-020226194757</v>
          </cell>
          <cell r="K6894" t="str">
            <v>Paid</v>
          </cell>
        </row>
        <row r="6895">
          <cell r="J6895" t="str">
            <v>INV-030426144837</v>
          </cell>
          <cell r="K6895" t="str">
            <v>Paid</v>
          </cell>
        </row>
        <row r="6896">
          <cell r="J6896" t="str">
            <v>INV-021025144400</v>
          </cell>
          <cell r="K6896" t="str">
            <v>Paid</v>
          </cell>
        </row>
        <row r="6897">
          <cell r="J6897" t="str">
            <v>INV-061125173517</v>
          </cell>
          <cell r="K6897" t="str">
            <v>Paid</v>
          </cell>
        </row>
        <row r="6898">
          <cell r="J6898" t="str">
            <v>INV-021225160258</v>
          </cell>
          <cell r="K6898" t="str">
            <v>Paid</v>
          </cell>
        </row>
        <row r="6899">
          <cell r="J6899" t="str">
            <v>INV-020126183633</v>
          </cell>
          <cell r="K6899" t="str">
            <v>Paid</v>
          </cell>
        </row>
        <row r="6900">
          <cell r="J6900" t="str">
            <v>INV-040326103402</v>
          </cell>
          <cell r="K6900" t="str">
            <v>Paid</v>
          </cell>
        </row>
        <row r="6901">
          <cell r="J6901" t="str">
            <v>INV-040526133737</v>
          </cell>
          <cell r="K6901" t="str">
            <v>Paid</v>
          </cell>
        </row>
        <row r="6902">
          <cell r="J6902" t="str">
            <v>INV-020626151409</v>
          </cell>
          <cell r="K6902" t="str">
            <v>Outstanding</v>
          </cell>
        </row>
        <row r="6903">
          <cell r="J6903" t="str">
            <v>INV-040725193200</v>
          </cell>
          <cell r="K6903" t="str">
            <v>Paid</v>
          </cell>
        </row>
        <row r="6904">
          <cell r="J6904" t="str">
            <v>INV-050825114009</v>
          </cell>
          <cell r="K6904" t="str">
            <v>Paid</v>
          </cell>
        </row>
        <row r="6905">
          <cell r="J6905" t="str">
            <v>INV-020925164052</v>
          </cell>
          <cell r="K6905" t="str">
            <v>Paid</v>
          </cell>
        </row>
        <row r="6906">
          <cell r="J6906" t="str">
            <v>INV-021025190149</v>
          </cell>
          <cell r="K6906" t="str">
            <v>Paid</v>
          </cell>
        </row>
        <row r="6907">
          <cell r="J6907" t="str">
            <v>INV-061125200628</v>
          </cell>
          <cell r="K6907" t="str">
            <v>Paid</v>
          </cell>
        </row>
        <row r="6908">
          <cell r="J6908" t="str">
            <v>INV-031225153853</v>
          </cell>
          <cell r="K6908" t="str">
            <v>Paid</v>
          </cell>
        </row>
        <row r="6909">
          <cell r="J6909" t="str">
            <v>INV-020126190235</v>
          </cell>
          <cell r="K6909" t="str">
            <v>Paid</v>
          </cell>
        </row>
        <row r="6910">
          <cell r="J6910" t="str">
            <v>INV-050226022712</v>
          </cell>
          <cell r="K6910" t="str">
            <v>Paid</v>
          </cell>
        </row>
        <row r="6911">
          <cell r="J6911" t="str">
            <v>INV-030326155624</v>
          </cell>
          <cell r="K6911" t="str">
            <v>Paid</v>
          </cell>
        </row>
        <row r="6912">
          <cell r="J6912" t="str">
            <v>INV-020426135419</v>
          </cell>
          <cell r="K6912" t="str">
            <v>Paid</v>
          </cell>
        </row>
        <row r="6913">
          <cell r="J6913" t="str">
            <v>CN-INV-100426165410</v>
          </cell>
          <cell r="K6913" t="str">
            <v>Paid</v>
          </cell>
        </row>
        <row r="6914">
          <cell r="J6914" t="str">
            <v>CN-INV-070526145007</v>
          </cell>
          <cell r="K6914" t="str">
            <v>Paid</v>
          </cell>
        </row>
        <row r="6915">
          <cell r="J6915" t="str">
            <v>INV-070526145007</v>
          </cell>
          <cell r="K6915" t="str">
            <v>Paid</v>
          </cell>
        </row>
        <row r="6916">
          <cell r="J6916" t="str">
            <v>CN-INV-040626171402</v>
          </cell>
          <cell r="K6916" t="str">
            <v>Paid</v>
          </cell>
        </row>
        <row r="6917">
          <cell r="J6917" t="str">
            <v>INV-040626162336</v>
          </cell>
          <cell r="K6917" t="str">
            <v>Paid</v>
          </cell>
        </row>
        <row r="6918">
          <cell r="J6918" t="str">
            <v>INV-030626192833</v>
          </cell>
          <cell r="K6918" t="str">
            <v>Paid</v>
          </cell>
        </row>
        <row r="6919">
          <cell r="J6919" t="str">
            <v>INV-110626150144</v>
          </cell>
          <cell r="K6919" t="str">
            <v>Outstanding</v>
          </cell>
        </row>
        <row r="6920">
          <cell r="J6920" t="str">
            <v>INV-030925114035</v>
          </cell>
          <cell r="K6920" t="str">
            <v>Paid</v>
          </cell>
        </row>
        <row r="6921">
          <cell r="J6921" t="str">
            <v>INV-031025164013</v>
          </cell>
          <cell r="K6921" t="str">
            <v>Paid</v>
          </cell>
        </row>
        <row r="6922">
          <cell r="J6922" t="str">
            <v>INV-061125123817</v>
          </cell>
          <cell r="K6922" t="str">
            <v>Paid</v>
          </cell>
        </row>
        <row r="6923">
          <cell r="J6923" t="str">
            <v>INV-031225150706</v>
          </cell>
          <cell r="K6923" t="str">
            <v>Paid</v>
          </cell>
        </row>
        <row r="6924">
          <cell r="J6924" t="str">
            <v>INV-050126113520</v>
          </cell>
          <cell r="K6924" t="str">
            <v>Paid</v>
          </cell>
        </row>
        <row r="6925">
          <cell r="J6925" t="str">
            <v>INV-050226024713</v>
          </cell>
          <cell r="K6925" t="str">
            <v>Paid</v>
          </cell>
        </row>
        <row r="6926">
          <cell r="J6926" t="str">
            <v>INV-030326163300</v>
          </cell>
          <cell r="K6926" t="str">
            <v>Paid</v>
          </cell>
        </row>
        <row r="6927">
          <cell r="J6927" t="str">
            <v>INV-010426192511</v>
          </cell>
          <cell r="K6927" t="str">
            <v>Paid</v>
          </cell>
        </row>
        <row r="6928">
          <cell r="J6928" t="str">
            <v>INV-050526111431</v>
          </cell>
          <cell r="K6928" t="str">
            <v>Paid</v>
          </cell>
        </row>
        <row r="6929">
          <cell r="J6929" t="str">
            <v>INV-020626155059</v>
          </cell>
          <cell r="K6929" t="str">
            <v>Paid</v>
          </cell>
        </row>
        <row r="6930">
          <cell r="J6930" t="str">
            <v>INV2022-BAN-002</v>
          </cell>
          <cell r="K6930" t="str">
            <v>Paid</v>
          </cell>
        </row>
        <row r="6931">
          <cell r="J6931" t="str">
            <v>INV2021-BAN-001</v>
          </cell>
          <cell r="K6931" t="str">
            <v>Paid</v>
          </cell>
        </row>
        <row r="6932">
          <cell r="J6932" t="str">
            <v>INV-2021-BNO-001</v>
          </cell>
          <cell r="K6932" t="str">
            <v>Paid</v>
          </cell>
        </row>
        <row r="6933">
          <cell r="J6933" t="str">
            <v>AUCARDS0008</v>
          </cell>
          <cell r="K6933" t="str">
            <v>Paid</v>
          </cell>
        </row>
        <row r="6934">
          <cell r="J6934" t="str">
            <v>AUCARDS0009</v>
          </cell>
          <cell r="K6934" t="str">
            <v>Paid</v>
          </cell>
        </row>
        <row r="6935">
          <cell r="J6935" t="str">
            <v>AUCARDS0012</v>
          </cell>
          <cell r="K6935" t="str">
            <v>Paid</v>
          </cell>
        </row>
        <row r="6936">
          <cell r="J6936" t="str">
            <v>AUCARDS0017</v>
          </cell>
          <cell r="K6936" t="str">
            <v>Paid</v>
          </cell>
        </row>
        <row r="6937">
          <cell r="J6937" t="str">
            <v>AUCARDS0019</v>
          </cell>
          <cell r="K6937" t="str">
            <v>Paid</v>
          </cell>
        </row>
        <row r="6938">
          <cell r="J6938" t="str">
            <v>AUCARDS0022</v>
          </cell>
          <cell r="K6938" t="str">
            <v>Paid</v>
          </cell>
        </row>
        <row r="6939">
          <cell r="J6939" t="str">
            <v>AUCARDS0032</v>
          </cell>
          <cell r="K6939" t="str">
            <v>Paid</v>
          </cell>
        </row>
        <row r="6940">
          <cell r="J6940" t="str">
            <v>AUCARDS0037</v>
          </cell>
          <cell r="K6940" t="str">
            <v>Paid</v>
          </cell>
        </row>
        <row r="6941">
          <cell r="J6941" t="str">
            <v>AUCARDS0043</v>
          </cell>
          <cell r="K6941" t="str">
            <v>Paid</v>
          </cell>
        </row>
        <row r="6942">
          <cell r="J6942" t="str">
            <v>AUCARDS0050</v>
          </cell>
          <cell r="K6942" t="str">
            <v>Paid</v>
          </cell>
        </row>
        <row r="6943">
          <cell r="J6943" t="str">
            <v>AUCARDS0056</v>
          </cell>
          <cell r="K6943" t="str">
            <v>Paid</v>
          </cell>
        </row>
        <row r="6944">
          <cell r="J6944" t="str">
            <v>INV-021122035854</v>
          </cell>
          <cell r="K6944" t="str">
            <v>Paid</v>
          </cell>
        </row>
        <row r="6945">
          <cell r="J6945" t="str">
            <v>INV-021222110706</v>
          </cell>
          <cell r="K6945" t="str">
            <v>Paid</v>
          </cell>
        </row>
        <row r="6946">
          <cell r="J6946" t="str">
            <v>INV-040123043229</v>
          </cell>
          <cell r="K6946" t="str">
            <v>Paid</v>
          </cell>
        </row>
        <row r="6947">
          <cell r="J6947" t="str">
            <v>INV-020223030041</v>
          </cell>
          <cell r="K6947" t="str">
            <v>Paid</v>
          </cell>
        </row>
        <row r="6948">
          <cell r="J6948" t="str">
            <v>INV-020323013044</v>
          </cell>
          <cell r="K6948" t="str">
            <v>Paid</v>
          </cell>
        </row>
        <row r="6949">
          <cell r="J6949" t="str">
            <v>INV-031123113121</v>
          </cell>
          <cell r="K6949" t="str">
            <v>Paid</v>
          </cell>
        </row>
        <row r="6950">
          <cell r="J6950" t="str">
            <v>INV-030423235542</v>
          </cell>
          <cell r="K6950" t="str">
            <v>Paid</v>
          </cell>
        </row>
        <row r="6951">
          <cell r="J6951" t="str">
            <v>INV-040923115018</v>
          </cell>
          <cell r="K6951" t="str">
            <v>Paid</v>
          </cell>
        </row>
        <row r="6952">
          <cell r="J6952" t="str">
            <v>INV-041023181503</v>
          </cell>
          <cell r="K6952" t="str">
            <v>Paid</v>
          </cell>
        </row>
        <row r="6953">
          <cell r="J6953" t="str">
            <v>INV-030523021832</v>
          </cell>
          <cell r="K6953" t="str">
            <v>Paid</v>
          </cell>
        </row>
        <row r="6954">
          <cell r="J6954" t="str">
            <v>INV-051223145110</v>
          </cell>
          <cell r="K6954" t="str">
            <v>Paid</v>
          </cell>
        </row>
        <row r="6955">
          <cell r="J6955" t="str">
            <v>INV-020623140846</v>
          </cell>
          <cell r="K6955" t="str">
            <v>Paid</v>
          </cell>
        </row>
        <row r="6956">
          <cell r="J6956" t="str">
            <v>INV-030723133247</v>
          </cell>
          <cell r="K6956" t="str">
            <v>Paid</v>
          </cell>
        </row>
        <row r="6957">
          <cell r="J6957" t="str">
            <v>INV-020823155712</v>
          </cell>
          <cell r="K6957" t="str">
            <v>Paid</v>
          </cell>
        </row>
        <row r="6958">
          <cell r="J6958" t="str">
            <v>INV-050124104134</v>
          </cell>
          <cell r="K6958" t="str">
            <v>Paid</v>
          </cell>
        </row>
        <row r="6959">
          <cell r="J6959" t="str">
            <v>INV-060224150027</v>
          </cell>
          <cell r="K6959" t="str">
            <v>Paid</v>
          </cell>
        </row>
        <row r="6960">
          <cell r="J6960" t="str">
            <v>INV-050424172038</v>
          </cell>
          <cell r="K6960" t="str">
            <v>Paid</v>
          </cell>
        </row>
        <row r="6961">
          <cell r="J6961" t="str">
            <v>INV-280624150900</v>
          </cell>
          <cell r="K6961" t="str">
            <v>Paid</v>
          </cell>
        </row>
        <row r="6962">
          <cell r="J6962" t="str">
            <v>INV-060324154433</v>
          </cell>
          <cell r="K6962" t="str">
            <v>Paid</v>
          </cell>
        </row>
        <row r="6963">
          <cell r="J6963" t="str">
            <v>INV-270824122838</v>
          </cell>
          <cell r="K6963" t="str">
            <v>Paid</v>
          </cell>
        </row>
        <row r="6964">
          <cell r="J6964" t="str">
            <v>INV-050225160831</v>
          </cell>
          <cell r="K6964" t="str">
            <v>Paid</v>
          </cell>
        </row>
        <row r="6965">
          <cell r="J6965" t="str">
            <v>INV-050325132549</v>
          </cell>
          <cell r="K6965" t="str">
            <v>Paid</v>
          </cell>
        </row>
        <row r="6966">
          <cell r="J6966" t="str">
            <v>INV-020425193831</v>
          </cell>
          <cell r="K6966" t="str">
            <v>Paid</v>
          </cell>
        </row>
        <row r="6967">
          <cell r="J6967" t="str">
            <v>INV-050525100747</v>
          </cell>
          <cell r="K6967" t="str">
            <v>Paid</v>
          </cell>
        </row>
        <row r="6968">
          <cell r="J6968" t="str">
            <v>INV-030625161219</v>
          </cell>
          <cell r="K6968" t="str">
            <v>Paid</v>
          </cell>
        </row>
        <row r="6969">
          <cell r="J6969" t="str">
            <v>INV-030725104050</v>
          </cell>
          <cell r="K6969" t="str">
            <v>Paid</v>
          </cell>
        </row>
        <row r="6970">
          <cell r="J6970" t="str">
            <v>INV-040825143502</v>
          </cell>
          <cell r="K6970" t="str">
            <v>Paid</v>
          </cell>
        </row>
        <row r="6971">
          <cell r="J6971" t="str">
            <v>INV-020925180852</v>
          </cell>
          <cell r="K6971" t="str">
            <v>Paid</v>
          </cell>
        </row>
        <row r="6972">
          <cell r="J6972" t="str">
            <v>INV-021025164338</v>
          </cell>
          <cell r="K6972" t="str">
            <v>Paid</v>
          </cell>
        </row>
        <row r="6973">
          <cell r="J6973" t="str">
            <v>INV-051125085451</v>
          </cell>
          <cell r="K6973" t="str">
            <v>Paid</v>
          </cell>
        </row>
        <row r="6974">
          <cell r="J6974" t="str">
            <v>INV-021225173421</v>
          </cell>
          <cell r="K6974" t="str">
            <v>Paid</v>
          </cell>
        </row>
        <row r="6975">
          <cell r="J6975" t="str">
            <v>INV-020126142807</v>
          </cell>
          <cell r="K6975" t="str">
            <v>Paid</v>
          </cell>
        </row>
        <row r="6976">
          <cell r="J6976" t="str">
            <v>INV-020226220956</v>
          </cell>
          <cell r="K6976" t="str">
            <v>Paid</v>
          </cell>
        </row>
        <row r="6977">
          <cell r="J6977" t="str">
            <v>INV-030326005231</v>
          </cell>
          <cell r="K6977" t="str">
            <v>Paid</v>
          </cell>
        </row>
        <row r="6978">
          <cell r="J6978" t="str">
            <v>INV-010426162449</v>
          </cell>
          <cell r="K6978" t="str">
            <v>Paid</v>
          </cell>
        </row>
        <row r="6979">
          <cell r="J6979" t="str">
            <v>INV-050526104933</v>
          </cell>
          <cell r="K6979" t="str">
            <v>Paid</v>
          </cell>
        </row>
        <row r="6980">
          <cell r="J6980" t="str">
            <v>INV-020626113827</v>
          </cell>
          <cell r="K6980" t="str">
            <v>Paid</v>
          </cell>
        </row>
        <row r="6981">
          <cell r="J6981" t="str">
            <v>INV-120225092830</v>
          </cell>
          <cell r="K6981" t="str">
            <v>Paid</v>
          </cell>
        </row>
        <row r="6982">
          <cell r="J6982" t="str">
            <v>INV-051125144313</v>
          </cell>
          <cell r="K6982" t="str">
            <v>Paid</v>
          </cell>
        </row>
        <row r="6983">
          <cell r="J6983" t="str">
            <v>INV-031225114343</v>
          </cell>
          <cell r="K6983" t="str">
            <v>Paid</v>
          </cell>
        </row>
        <row r="6984">
          <cell r="J6984" t="str">
            <v>INV-020126192443</v>
          </cell>
          <cell r="K6984" t="str">
            <v>Paid</v>
          </cell>
        </row>
        <row r="6985">
          <cell r="J6985" t="str">
            <v>INV-040226201806</v>
          </cell>
          <cell r="K6985" t="str">
            <v>Paid</v>
          </cell>
        </row>
        <row r="6986">
          <cell r="J6986" t="str">
            <v>INV-030326175549</v>
          </cell>
          <cell r="K6986" t="str">
            <v>Paid</v>
          </cell>
        </row>
        <row r="6987">
          <cell r="J6987" t="str">
            <v>INV-020426181839</v>
          </cell>
          <cell r="K6987" t="str">
            <v>Paid</v>
          </cell>
        </row>
        <row r="6988">
          <cell r="J6988" t="str">
            <v>INV-070526105949</v>
          </cell>
          <cell r="K6988" t="str">
            <v>Paid</v>
          </cell>
        </row>
        <row r="6989">
          <cell r="J6989" t="str">
            <v>INV-040626185025</v>
          </cell>
          <cell r="K6989" t="str">
            <v>Paid</v>
          </cell>
        </row>
        <row r="6990">
          <cell r="J6990" t="str">
            <v>INV2021-BLK-001</v>
          </cell>
          <cell r="K6990" t="str">
            <v>Waived Off</v>
          </cell>
        </row>
        <row r="6991">
          <cell r="J6991" t="str">
            <v>CARDS0012</v>
          </cell>
          <cell r="K6991" t="str">
            <v>Paid</v>
          </cell>
        </row>
        <row r="6992">
          <cell r="J6992" t="str">
            <v>INV2021-BSM-003</v>
          </cell>
          <cell r="K6992" t="str">
            <v>Paid</v>
          </cell>
        </row>
        <row r="6993">
          <cell r="J6993" t="str">
            <v>INV2021-BSM-004</v>
          </cell>
          <cell r="K6993" t="str">
            <v>Paid</v>
          </cell>
        </row>
        <row r="6994">
          <cell r="J6994" t="str">
            <v>CARDS0038</v>
          </cell>
          <cell r="K6994" t="str">
            <v>Paid</v>
          </cell>
        </row>
        <row r="6995">
          <cell r="J6995" t="str">
            <v>CARDS0053</v>
          </cell>
          <cell r="K6995" t="str">
            <v>Paid</v>
          </cell>
        </row>
        <row r="6996">
          <cell r="J6996" t="str">
            <v>CARDS0075</v>
          </cell>
          <cell r="K6996" t="str">
            <v>Paid</v>
          </cell>
        </row>
        <row r="6997">
          <cell r="J6997" t="str">
            <v>CARDS0088</v>
          </cell>
          <cell r="K6997" t="str">
            <v>Paid</v>
          </cell>
        </row>
        <row r="6998">
          <cell r="J6998" t="str">
            <v>INV2021-BSM-005</v>
          </cell>
          <cell r="K6998" t="str">
            <v>Paid</v>
          </cell>
        </row>
        <row r="6999">
          <cell r="J6999" t="str">
            <v>CARDS0105</v>
          </cell>
          <cell r="K6999" t="str">
            <v>Paid</v>
          </cell>
        </row>
        <row r="7000">
          <cell r="J7000" t="str">
            <v>INV2021-BSM-006</v>
          </cell>
          <cell r="K7000" t="str">
            <v>Paid</v>
          </cell>
        </row>
        <row r="7001">
          <cell r="J7001" t="str">
            <v>CARDS0124</v>
          </cell>
          <cell r="K7001" t="str">
            <v>Paid</v>
          </cell>
        </row>
        <row r="7002">
          <cell r="J7002" t="str">
            <v>CARDS0141</v>
          </cell>
          <cell r="K7002" t="str">
            <v>Paid</v>
          </cell>
        </row>
        <row r="7003">
          <cell r="J7003" t="str">
            <v>CNCARDS0006</v>
          </cell>
          <cell r="K7003" t="str">
            <v>Paid</v>
          </cell>
        </row>
        <row r="7004">
          <cell r="J7004" t="str">
            <v>INV2021-BSM-007</v>
          </cell>
          <cell r="K7004" t="str">
            <v>Paid</v>
          </cell>
        </row>
        <row r="7005">
          <cell r="J7005" t="str">
            <v>CARDS0160</v>
          </cell>
          <cell r="K7005" t="str">
            <v>Paid</v>
          </cell>
        </row>
        <row r="7006">
          <cell r="J7006" t="str">
            <v>CARDS0177</v>
          </cell>
          <cell r="K7006" t="str">
            <v>Paid</v>
          </cell>
        </row>
        <row r="7007">
          <cell r="J7007" t="str">
            <v>CARDS0197</v>
          </cell>
          <cell r="K7007" t="str">
            <v>Paid</v>
          </cell>
        </row>
        <row r="7008">
          <cell r="J7008" t="str">
            <v>CARDS0217</v>
          </cell>
          <cell r="K7008" t="str">
            <v>Paid</v>
          </cell>
        </row>
        <row r="7009">
          <cell r="J7009" t="str">
            <v>CARDS0235</v>
          </cell>
          <cell r="K7009" t="str">
            <v>Paid</v>
          </cell>
        </row>
        <row r="7010">
          <cell r="J7010" t="str">
            <v>CARDS0252</v>
          </cell>
          <cell r="K7010" t="str">
            <v>Paid</v>
          </cell>
        </row>
        <row r="7011">
          <cell r="J7011" t="str">
            <v>CARDS0273</v>
          </cell>
          <cell r="K7011" t="str">
            <v>Paid</v>
          </cell>
        </row>
        <row r="7012">
          <cell r="J7012" t="str">
            <v>DNCARDS0017</v>
          </cell>
          <cell r="K7012" t="str">
            <v>Paid</v>
          </cell>
        </row>
        <row r="7013">
          <cell r="J7013" t="str">
            <v>CARDS0291</v>
          </cell>
          <cell r="K7013" t="str">
            <v>Paid</v>
          </cell>
        </row>
        <row r="7014">
          <cell r="J7014" t="str">
            <v>CARDS0308</v>
          </cell>
          <cell r="K7014" t="str">
            <v>Paid</v>
          </cell>
        </row>
        <row r="7015">
          <cell r="J7015" t="str">
            <v>CNCARDS0023</v>
          </cell>
          <cell r="K7015" t="str">
            <v>Paid</v>
          </cell>
        </row>
        <row r="7016">
          <cell r="J7016" t="str">
            <v>CARDS0322</v>
          </cell>
          <cell r="K7016" t="str">
            <v>Paid</v>
          </cell>
        </row>
        <row r="7017">
          <cell r="J7017" t="str">
            <v>CARDS0335</v>
          </cell>
          <cell r="K7017" t="str">
            <v>Paid</v>
          </cell>
        </row>
        <row r="7018">
          <cell r="J7018" t="str">
            <v>INV-021122010944</v>
          </cell>
          <cell r="K7018" t="str">
            <v>Waived Off</v>
          </cell>
        </row>
        <row r="7019">
          <cell r="J7019" t="str">
            <v>INV-020824183048</v>
          </cell>
          <cell r="K7019" t="str">
            <v>Paid</v>
          </cell>
        </row>
        <row r="7020">
          <cell r="J7020" t="str">
            <v>INV-030724161650</v>
          </cell>
          <cell r="K7020" t="str">
            <v>Paid</v>
          </cell>
        </row>
        <row r="7021">
          <cell r="J7021" t="str">
            <v>INV-031224174211</v>
          </cell>
          <cell r="K7021" t="str">
            <v>Paid</v>
          </cell>
        </row>
        <row r="7022">
          <cell r="J7022" t="str">
            <v>INV-040924133958</v>
          </cell>
          <cell r="K7022" t="str">
            <v>Paid</v>
          </cell>
        </row>
        <row r="7023">
          <cell r="J7023" t="str">
            <v>INV-061124160547</v>
          </cell>
          <cell r="K7023" t="str">
            <v>Paid</v>
          </cell>
        </row>
        <row r="7024">
          <cell r="J7024" t="str">
            <v>INV-120624103954</v>
          </cell>
          <cell r="K7024" t="str">
            <v>Paid</v>
          </cell>
        </row>
        <row r="7025">
          <cell r="J7025" t="str">
            <v>INV-120624104928</v>
          </cell>
          <cell r="K7025" t="str">
            <v>Paid</v>
          </cell>
        </row>
        <row r="7026">
          <cell r="J7026" t="str">
            <v>INV-071024113632</v>
          </cell>
          <cell r="K7026" t="str">
            <v>Paid</v>
          </cell>
        </row>
        <row r="7027">
          <cell r="J7027" t="str">
            <v>INV-030125182949</v>
          </cell>
          <cell r="K7027" t="str">
            <v>Paid</v>
          </cell>
        </row>
        <row r="7028">
          <cell r="J7028" t="str">
            <v>INV-040225162357</v>
          </cell>
          <cell r="K7028" t="str">
            <v>Paid</v>
          </cell>
        </row>
        <row r="7029">
          <cell r="J7029" t="str">
            <v>INV-040325163300</v>
          </cell>
          <cell r="K7029" t="str">
            <v>Paid</v>
          </cell>
        </row>
        <row r="7030">
          <cell r="J7030" t="str">
            <v>INV-020425172537</v>
          </cell>
          <cell r="K7030" t="str">
            <v>Paid</v>
          </cell>
        </row>
        <row r="7031">
          <cell r="J7031" t="str">
            <v>INV-020525194652</v>
          </cell>
          <cell r="K7031" t="str">
            <v>Paid</v>
          </cell>
        </row>
        <row r="7032">
          <cell r="J7032" t="str">
            <v>INV-030625152343</v>
          </cell>
          <cell r="K7032" t="str">
            <v>Paid</v>
          </cell>
        </row>
        <row r="7033">
          <cell r="J7033" t="str">
            <v>INV-020725185352</v>
          </cell>
          <cell r="K7033" t="str">
            <v>Paid</v>
          </cell>
        </row>
        <row r="7034">
          <cell r="J7034" t="str">
            <v>INV-040825163548</v>
          </cell>
          <cell r="K7034" t="str">
            <v>Paid</v>
          </cell>
        </row>
        <row r="7035">
          <cell r="J7035" t="str">
            <v>INV-020925171947</v>
          </cell>
          <cell r="K7035" t="str">
            <v>Paid</v>
          </cell>
        </row>
        <row r="7036">
          <cell r="J7036" t="str">
            <v>INV-021025135208</v>
          </cell>
          <cell r="K7036" t="str">
            <v>Paid</v>
          </cell>
        </row>
        <row r="7037">
          <cell r="J7037" t="str">
            <v>INV-031125192326</v>
          </cell>
          <cell r="K7037" t="str">
            <v>Paid</v>
          </cell>
        </row>
        <row r="7038">
          <cell r="J7038" t="str">
            <v>INV-021225131711</v>
          </cell>
          <cell r="K7038" t="str">
            <v>Paid</v>
          </cell>
        </row>
        <row r="7039">
          <cell r="J7039" t="str">
            <v>INV-020126151700</v>
          </cell>
          <cell r="K7039" t="str">
            <v>Paid</v>
          </cell>
        </row>
        <row r="7040">
          <cell r="J7040" t="str">
            <v>INV-020226170303</v>
          </cell>
          <cell r="K7040" t="str">
            <v>Paid</v>
          </cell>
        </row>
        <row r="7041">
          <cell r="J7041" t="str">
            <v>INV-030326095359</v>
          </cell>
          <cell r="K7041" t="str">
            <v>Paid</v>
          </cell>
        </row>
        <row r="7042">
          <cell r="J7042" t="str">
            <v>INV-010426160120</v>
          </cell>
          <cell r="K7042" t="str">
            <v>Paid</v>
          </cell>
        </row>
        <row r="7043">
          <cell r="J7043" t="str">
            <v>INV-040526104941</v>
          </cell>
          <cell r="K7043" t="str">
            <v>Paid</v>
          </cell>
        </row>
        <row r="7044">
          <cell r="J7044" t="str">
            <v>INV-010626173440</v>
          </cell>
          <cell r="K7044" t="str">
            <v>Outstanding</v>
          </cell>
        </row>
        <row r="7045">
          <cell r="J7045" t="str">
            <v>CN-INV-040626101138</v>
          </cell>
          <cell r="K7045" t="str">
            <v>Outstanding</v>
          </cell>
        </row>
        <row r="7046">
          <cell r="J7046" t="str">
            <v>CARDS0206</v>
          </cell>
          <cell r="K7046" t="str">
            <v>Waived Off</v>
          </cell>
        </row>
        <row r="7047">
          <cell r="J7047" t="str">
            <v>INV2021-BCM-001</v>
          </cell>
          <cell r="K7047" t="str">
            <v>Paid</v>
          </cell>
        </row>
        <row r="7048">
          <cell r="J7048" t="str">
            <v>AUCARDS0024</v>
          </cell>
          <cell r="K7048" t="str">
            <v>Paid</v>
          </cell>
        </row>
        <row r="7049">
          <cell r="J7049" t="str">
            <v>AUCARDS0034</v>
          </cell>
          <cell r="K7049" t="str">
            <v>Paid</v>
          </cell>
        </row>
        <row r="7050">
          <cell r="J7050" t="str">
            <v>CNCARDS0017</v>
          </cell>
          <cell r="K7050" t="str">
            <v>Paid</v>
          </cell>
        </row>
        <row r="7051">
          <cell r="J7051" t="str">
            <v>AUCARDS0039</v>
          </cell>
          <cell r="K7051" t="str">
            <v>Paid</v>
          </cell>
        </row>
        <row r="7052">
          <cell r="J7052" t="str">
            <v>AUCARDS0045</v>
          </cell>
          <cell r="K7052" t="str">
            <v>Paid</v>
          </cell>
        </row>
        <row r="7053">
          <cell r="J7053" t="str">
            <v>AUCARDS0052</v>
          </cell>
          <cell r="K7053" t="str">
            <v>Paid</v>
          </cell>
        </row>
        <row r="7054">
          <cell r="J7054" t="str">
            <v>AUCARDS0058</v>
          </cell>
          <cell r="K7054" t="str">
            <v>Paid</v>
          </cell>
        </row>
        <row r="7055">
          <cell r="J7055" t="str">
            <v>INV-021122050731</v>
          </cell>
          <cell r="K7055" t="str">
            <v>Paid</v>
          </cell>
        </row>
        <row r="7056">
          <cell r="J7056" t="str">
            <v>INV-021222123643</v>
          </cell>
          <cell r="K7056" t="str">
            <v>Paid</v>
          </cell>
        </row>
        <row r="7057">
          <cell r="J7057" t="str">
            <v>INV-040123113502</v>
          </cell>
          <cell r="K7057" t="str">
            <v>Paid</v>
          </cell>
        </row>
        <row r="7058">
          <cell r="J7058" t="str">
            <v>INV-020223224115</v>
          </cell>
          <cell r="K7058" t="str">
            <v>Paid</v>
          </cell>
        </row>
        <row r="7059">
          <cell r="J7059" t="str">
            <v>INV-020323151137</v>
          </cell>
          <cell r="K7059" t="str">
            <v>Paid</v>
          </cell>
        </row>
        <row r="7060">
          <cell r="J7060" t="str">
            <v>INV-040423000527</v>
          </cell>
          <cell r="K7060" t="str">
            <v>Paid</v>
          </cell>
        </row>
        <row r="7061">
          <cell r="J7061" t="str">
            <v>INV-080626181247</v>
          </cell>
          <cell r="K7061" t="str">
            <v>Outstanding</v>
          </cell>
        </row>
        <row r="7062">
          <cell r="J7062" t="str">
            <v>INV-031025135018</v>
          </cell>
          <cell r="K7062" t="str">
            <v>Paid</v>
          </cell>
        </row>
        <row r="7063">
          <cell r="J7063" t="str">
            <v>INV-050526110126</v>
          </cell>
          <cell r="K7063" t="str">
            <v>Paid</v>
          </cell>
        </row>
        <row r="7064">
          <cell r="J7064" t="str">
            <v>INV-040626104650</v>
          </cell>
          <cell r="K7064" t="str">
            <v>Outstanding</v>
          </cell>
        </row>
        <row r="7065">
          <cell r="J7065" t="str">
            <v>INV2021-AUBCM-002</v>
          </cell>
          <cell r="K7065" t="str">
            <v>Paid</v>
          </cell>
        </row>
        <row r="7066">
          <cell r="J7066" t="str">
            <v>INV2021-AUBCM-003</v>
          </cell>
          <cell r="K7066" t="str">
            <v>Paid</v>
          </cell>
        </row>
        <row r="7067">
          <cell r="J7067" t="str">
            <v>INV2021-AUBCM-004</v>
          </cell>
          <cell r="K7067" t="str">
            <v>Paid</v>
          </cell>
        </row>
        <row r="7068">
          <cell r="J7068" t="str">
            <v>INV2021-AUBCM-005</v>
          </cell>
          <cell r="K7068" t="str">
            <v>Paid</v>
          </cell>
        </row>
        <row r="7069">
          <cell r="J7069" t="str">
            <v>INV2021-AUBCM-006</v>
          </cell>
          <cell r="K7069" t="str">
            <v>Paid</v>
          </cell>
        </row>
        <row r="7070">
          <cell r="J7070" t="str">
            <v>INV-2021-BCM-007</v>
          </cell>
          <cell r="K7070" t="str">
            <v>Paid</v>
          </cell>
        </row>
        <row r="7071">
          <cell r="J7071" t="str">
            <v>INV-2021-BCM-008</v>
          </cell>
          <cell r="K7071" t="str">
            <v>Paid</v>
          </cell>
        </row>
        <row r="7072">
          <cell r="J7072" t="str">
            <v>INV2021-BCM-009</v>
          </cell>
          <cell r="K7072" t="str">
            <v>Paid</v>
          </cell>
        </row>
        <row r="7073">
          <cell r="J7073" t="str">
            <v>AUCARDS0003</v>
          </cell>
          <cell r="K7073" t="str">
            <v>Paid</v>
          </cell>
        </row>
        <row r="7074">
          <cell r="J7074" t="str">
            <v>AUCARDS0005</v>
          </cell>
          <cell r="K7074" t="str">
            <v>Paid</v>
          </cell>
        </row>
        <row r="7075">
          <cell r="J7075" t="str">
            <v>AUCARDS0007</v>
          </cell>
          <cell r="K7075" t="str">
            <v>Paid</v>
          </cell>
        </row>
        <row r="7076">
          <cell r="J7076" t="str">
            <v>AUCARDS0011</v>
          </cell>
          <cell r="K7076" t="str">
            <v>Paid</v>
          </cell>
        </row>
        <row r="7077">
          <cell r="J7077" t="str">
            <v>INV2021-BOP-001</v>
          </cell>
          <cell r="K7077" t="str">
            <v>Waived Off</v>
          </cell>
        </row>
        <row r="7078">
          <cell r="J7078" t="str">
            <v>INV2022-BOP-001</v>
          </cell>
          <cell r="K7078" t="str">
            <v>Waived Off</v>
          </cell>
        </row>
        <row r="7079">
          <cell r="J7079" t="str">
            <v>INV-291123175735</v>
          </cell>
          <cell r="K7079" t="str">
            <v>Paid</v>
          </cell>
        </row>
        <row r="7080">
          <cell r="J7080" t="str">
            <v>INV-291123173518</v>
          </cell>
          <cell r="K7080" t="str">
            <v>Paid</v>
          </cell>
        </row>
        <row r="7081">
          <cell r="J7081" t="str">
            <v>INV-291123174159</v>
          </cell>
          <cell r="K7081" t="str">
            <v>Paid</v>
          </cell>
        </row>
        <row r="7082">
          <cell r="J7082" t="str">
            <v>CN-INV3107241745</v>
          </cell>
          <cell r="K7082" t="str">
            <v>Paid</v>
          </cell>
        </row>
        <row r="7083">
          <cell r="J7083" t="str">
            <v>INV2023-BKNG-001</v>
          </cell>
          <cell r="K7083" t="str">
            <v>Paid</v>
          </cell>
        </row>
        <row r="7084">
          <cell r="J7084" t="str">
            <v>INV-291123171340</v>
          </cell>
          <cell r="K7084" t="str">
            <v>Paid</v>
          </cell>
        </row>
        <row r="7085">
          <cell r="J7085" t="str">
            <v>INV-250923174414</v>
          </cell>
          <cell r="K7085" t="str">
            <v>Paid</v>
          </cell>
        </row>
        <row r="7086">
          <cell r="J7086" t="str">
            <v>CARDS0009</v>
          </cell>
          <cell r="K7086" t="str">
            <v>Paid</v>
          </cell>
        </row>
        <row r="7087">
          <cell r="J7087" t="str">
            <v>CARDS0020</v>
          </cell>
          <cell r="K7087" t="str">
            <v>Paid</v>
          </cell>
        </row>
        <row r="7088">
          <cell r="J7088" t="str">
            <v>CARDS0034</v>
          </cell>
          <cell r="K7088" t="str">
            <v>Paid</v>
          </cell>
        </row>
        <row r="7089">
          <cell r="J7089" t="str">
            <v>CARDS0050</v>
          </cell>
          <cell r="K7089" t="str">
            <v>Paid</v>
          </cell>
        </row>
        <row r="7090">
          <cell r="J7090" t="str">
            <v>INV2021-BFT-001</v>
          </cell>
          <cell r="K7090" t="str">
            <v>Waived Off</v>
          </cell>
        </row>
        <row r="7091">
          <cell r="J7091" t="str">
            <v>INV-120724114008</v>
          </cell>
          <cell r="K7091" t="str">
            <v>Paid</v>
          </cell>
        </row>
        <row r="7092">
          <cell r="J7092" t="str">
            <v>INV-041224181528</v>
          </cell>
          <cell r="K7092" t="str">
            <v>Paid</v>
          </cell>
        </row>
        <row r="7093">
          <cell r="J7093" t="str">
            <v>INV-060125111547</v>
          </cell>
          <cell r="K7093" t="str">
            <v>Paid</v>
          </cell>
        </row>
        <row r="7094">
          <cell r="J7094" t="str">
            <v>INV-050225122446</v>
          </cell>
          <cell r="K7094" t="str">
            <v>Paid</v>
          </cell>
        </row>
        <row r="7095">
          <cell r="J7095" t="str">
            <v>INV-040325194028</v>
          </cell>
          <cell r="K7095" t="str">
            <v>Paid</v>
          </cell>
        </row>
        <row r="7096">
          <cell r="J7096" t="str">
            <v>INV-020425191709</v>
          </cell>
          <cell r="K7096" t="str">
            <v>Paid</v>
          </cell>
        </row>
        <row r="7097">
          <cell r="J7097" t="str">
            <v>INV-050525151352</v>
          </cell>
          <cell r="K7097" t="str">
            <v>Paid</v>
          </cell>
        </row>
        <row r="7098">
          <cell r="J7098" t="str">
            <v>INV-030625194106</v>
          </cell>
          <cell r="K7098" t="str">
            <v>Paid</v>
          </cell>
        </row>
        <row r="7099">
          <cell r="J7099" t="str">
            <v>INV-030725102536</v>
          </cell>
          <cell r="K7099" t="str">
            <v>Paid</v>
          </cell>
        </row>
        <row r="7100">
          <cell r="J7100" t="str">
            <v>INV-040825135149</v>
          </cell>
          <cell r="K7100" t="str">
            <v>Net Off</v>
          </cell>
        </row>
        <row r="7101">
          <cell r="J7101" t="str">
            <v>INV-020925161627</v>
          </cell>
          <cell r="K7101" t="str">
            <v>Net Off</v>
          </cell>
        </row>
        <row r="7102">
          <cell r="J7102" t="str">
            <v>INV-021025161120</v>
          </cell>
          <cell r="K7102" t="str">
            <v>Net Off</v>
          </cell>
        </row>
        <row r="7103">
          <cell r="J7103" t="str">
            <v>INV-051125092759</v>
          </cell>
          <cell r="K7103" t="str">
            <v>Net Off</v>
          </cell>
        </row>
        <row r="7104">
          <cell r="J7104" t="str">
            <v>INV-021225163914</v>
          </cell>
          <cell r="K7104" t="str">
            <v>Net Off</v>
          </cell>
        </row>
        <row r="7105">
          <cell r="J7105" t="str">
            <v>INV-020126141332</v>
          </cell>
          <cell r="K7105" t="str">
            <v>Net Off</v>
          </cell>
        </row>
        <row r="7106">
          <cell r="J7106" t="str">
            <v>INV-020226220215</v>
          </cell>
          <cell r="K7106" t="str">
            <v>Net Off</v>
          </cell>
        </row>
        <row r="7107">
          <cell r="J7107" t="str">
            <v>CN-INV-230326125513</v>
          </cell>
          <cell r="K7107" t="str">
            <v>Net Off</v>
          </cell>
        </row>
        <row r="7108">
          <cell r="J7108" t="str">
            <v>INV2021-BGL-002</v>
          </cell>
          <cell r="K7108" t="str">
            <v>Paid</v>
          </cell>
        </row>
        <row r="7109">
          <cell r="J7109" t="str">
            <v>INV2021-BGL-003</v>
          </cell>
          <cell r="K7109" t="str">
            <v>Paid</v>
          </cell>
        </row>
        <row r="7110">
          <cell r="J7110" t="str">
            <v>CN2021-BGL-001</v>
          </cell>
          <cell r="K7110" t="str">
            <v>Paid</v>
          </cell>
        </row>
        <row r="7111">
          <cell r="J7111" t="str">
            <v>INV21-BGL-015</v>
          </cell>
          <cell r="K7111" t="str">
            <v>Paid</v>
          </cell>
        </row>
        <row r="7112">
          <cell r="J7112" t="str">
            <v>INV2021-BGL-004</v>
          </cell>
          <cell r="K7112" t="str">
            <v>Paid</v>
          </cell>
        </row>
        <row r="7113">
          <cell r="J7113" t="str">
            <v>INV2021-BGL-005</v>
          </cell>
          <cell r="K7113" t="str">
            <v>Paid</v>
          </cell>
        </row>
        <row r="7114">
          <cell r="J7114" t="str">
            <v>INV2021-BGL-006</v>
          </cell>
          <cell r="K7114" t="str">
            <v>Paid</v>
          </cell>
        </row>
        <row r="7115">
          <cell r="J7115" t="str">
            <v>INV-2021-BGL-007</v>
          </cell>
          <cell r="K7115" t="str">
            <v>Paid</v>
          </cell>
        </row>
        <row r="7116">
          <cell r="J7116" t="str">
            <v>INV-2021-BGL-008</v>
          </cell>
          <cell r="K7116" t="str">
            <v>Paid</v>
          </cell>
        </row>
        <row r="7117">
          <cell r="J7117" t="str">
            <v>INV2021-BGL-009</v>
          </cell>
          <cell r="K7117" t="str">
            <v>Paid</v>
          </cell>
        </row>
        <row r="7118">
          <cell r="J7118" t="str">
            <v>AUCARDS0002</v>
          </cell>
          <cell r="K7118" t="str">
            <v>Paid</v>
          </cell>
        </row>
        <row r="7119">
          <cell r="J7119" t="str">
            <v>AUCARDS0004</v>
          </cell>
          <cell r="K7119" t="str">
            <v>Paid</v>
          </cell>
        </row>
        <row r="7120">
          <cell r="J7120" t="str">
            <v>AUCARDS0006</v>
          </cell>
          <cell r="K7120" t="str">
            <v>Paid</v>
          </cell>
        </row>
        <row r="7121">
          <cell r="J7121" t="str">
            <v>AUCARDS0013</v>
          </cell>
          <cell r="K7121" t="str">
            <v>Paid</v>
          </cell>
        </row>
        <row r="7122">
          <cell r="J7122" t="str">
            <v>AUCARDS0016</v>
          </cell>
          <cell r="K7122" t="str">
            <v>Paid</v>
          </cell>
        </row>
        <row r="7123">
          <cell r="J7123" t="str">
            <v>AUCARDS0018</v>
          </cell>
          <cell r="K7123" t="str">
            <v>Paid</v>
          </cell>
        </row>
        <row r="7124">
          <cell r="J7124" t="str">
            <v>AUCARDS0021</v>
          </cell>
          <cell r="K7124" t="str">
            <v>Paid</v>
          </cell>
        </row>
        <row r="7125">
          <cell r="J7125" t="str">
            <v>INV2022-BGL-017</v>
          </cell>
          <cell r="K7125" t="str">
            <v>Paid</v>
          </cell>
        </row>
        <row r="7126">
          <cell r="J7126" t="str">
            <v>AUCARDS0031</v>
          </cell>
          <cell r="K7126" t="str">
            <v>Paid</v>
          </cell>
        </row>
        <row r="7127">
          <cell r="J7127" t="str">
            <v>AUCARDS0036</v>
          </cell>
          <cell r="K7127" t="str">
            <v>Paid</v>
          </cell>
        </row>
        <row r="7128">
          <cell r="J7128" t="str">
            <v>DNCARDS0018</v>
          </cell>
          <cell r="K7128" t="str">
            <v>Paid</v>
          </cell>
        </row>
        <row r="7129">
          <cell r="J7129" t="str">
            <v>AUCARDS0041</v>
          </cell>
          <cell r="K7129" t="str">
            <v>Paid</v>
          </cell>
        </row>
        <row r="7130">
          <cell r="J7130" t="str">
            <v>AUCARDS0042</v>
          </cell>
          <cell r="K7130" t="str">
            <v>Paid</v>
          </cell>
        </row>
        <row r="7131">
          <cell r="J7131" t="str">
            <v>AUCARDS0049</v>
          </cell>
          <cell r="K7131" t="str">
            <v>Paid</v>
          </cell>
        </row>
        <row r="7132">
          <cell r="J7132" t="str">
            <v>CNAUDCARDS0001</v>
          </cell>
          <cell r="K7132" t="str">
            <v>Paid</v>
          </cell>
        </row>
        <row r="7133">
          <cell r="J7133" t="str">
            <v>AUCARDS0055</v>
          </cell>
          <cell r="K7133" t="str">
            <v>Paid</v>
          </cell>
        </row>
        <row r="7134">
          <cell r="J7134" t="str">
            <v>INV-021122154012</v>
          </cell>
          <cell r="K7134" t="str">
            <v>Paid</v>
          </cell>
        </row>
        <row r="7135">
          <cell r="J7135" t="str">
            <v>INV-021222040919</v>
          </cell>
          <cell r="K7135" t="str">
            <v>Paid</v>
          </cell>
        </row>
        <row r="7136">
          <cell r="J7136" t="str">
            <v>INV-040123034738</v>
          </cell>
          <cell r="K7136" t="str">
            <v>Paid</v>
          </cell>
        </row>
        <row r="7137">
          <cell r="J7137" t="str">
            <v>INV-030223152404</v>
          </cell>
          <cell r="K7137" t="str">
            <v>Paid</v>
          </cell>
        </row>
        <row r="7138">
          <cell r="J7138" t="str">
            <v>INV-020323154513</v>
          </cell>
          <cell r="K7138" t="str">
            <v>Paid</v>
          </cell>
        </row>
        <row r="7139">
          <cell r="J7139" t="str">
            <v>INV-031123122339</v>
          </cell>
          <cell r="K7139" t="str">
            <v>Paid</v>
          </cell>
        </row>
        <row r="7140">
          <cell r="J7140" t="str">
            <v>INV-030423234023</v>
          </cell>
          <cell r="K7140" t="str">
            <v>Paid</v>
          </cell>
        </row>
        <row r="7141">
          <cell r="J7141" t="str">
            <v>INV-040923115119</v>
          </cell>
          <cell r="K7141" t="str">
            <v>Paid</v>
          </cell>
        </row>
        <row r="7142">
          <cell r="J7142" t="str">
            <v>INV-030523150526</v>
          </cell>
          <cell r="K7142" t="str">
            <v>Paid</v>
          </cell>
        </row>
        <row r="7143">
          <cell r="J7143" t="str">
            <v>INV-051223183118</v>
          </cell>
          <cell r="K7143" t="str">
            <v>Paid</v>
          </cell>
        </row>
        <row r="7144">
          <cell r="J7144" t="str">
            <v>INV-020623144709</v>
          </cell>
          <cell r="K7144" t="str">
            <v>Paid</v>
          </cell>
        </row>
        <row r="7145">
          <cell r="J7145" t="str">
            <v>INV-061023114542</v>
          </cell>
          <cell r="K7145" t="str">
            <v>Paid</v>
          </cell>
        </row>
        <row r="7146">
          <cell r="J7146" t="str">
            <v>INV-030723175516</v>
          </cell>
          <cell r="K7146" t="str">
            <v>Paid</v>
          </cell>
        </row>
        <row r="7147">
          <cell r="J7147" t="str">
            <v>INV-030823162713</v>
          </cell>
          <cell r="K7147" t="str">
            <v>Paid</v>
          </cell>
        </row>
        <row r="7148">
          <cell r="J7148" t="str">
            <v>INV-050124143719</v>
          </cell>
          <cell r="K7148" t="str">
            <v>Paid</v>
          </cell>
        </row>
        <row r="7149">
          <cell r="J7149" t="str">
            <v>INV-060224151306</v>
          </cell>
          <cell r="K7149" t="str">
            <v>Paid</v>
          </cell>
        </row>
        <row r="7150">
          <cell r="J7150" t="str">
            <v>INV-070324105850</v>
          </cell>
          <cell r="K7150" t="str">
            <v>Paid</v>
          </cell>
        </row>
        <row r="7151">
          <cell r="J7151" t="str">
            <v>INV-080424090447</v>
          </cell>
          <cell r="K7151" t="str">
            <v>Paid</v>
          </cell>
        </row>
        <row r="7152">
          <cell r="J7152" t="str">
            <v>INV-060524143820</v>
          </cell>
          <cell r="K7152" t="str">
            <v>Paid</v>
          </cell>
        </row>
        <row r="7153">
          <cell r="J7153" t="str">
            <v>INV-050724155131</v>
          </cell>
          <cell r="K7153" t="str">
            <v>Paid</v>
          </cell>
        </row>
        <row r="7154">
          <cell r="J7154" t="str">
            <v>INV-060624122450</v>
          </cell>
          <cell r="K7154" t="str">
            <v>Paid</v>
          </cell>
        </row>
        <row r="7155">
          <cell r="J7155" t="str">
            <v>INV-060824101609</v>
          </cell>
          <cell r="K7155" t="str">
            <v>Paid</v>
          </cell>
        </row>
        <row r="7156">
          <cell r="J7156" t="str">
            <v>INV-060924161152</v>
          </cell>
          <cell r="K7156" t="str">
            <v>Paid</v>
          </cell>
        </row>
        <row r="7157">
          <cell r="J7157" t="str">
            <v>INV-061224131546</v>
          </cell>
          <cell r="K7157" t="str">
            <v>Paid</v>
          </cell>
        </row>
        <row r="7158">
          <cell r="J7158" t="str">
            <v>INV-081024165413</v>
          </cell>
          <cell r="K7158" t="str">
            <v>Paid</v>
          </cell>
        </row>
        <row r="7159">
          <cell r="J7159" t="str">
            <v>INV-090824192758</v>
          </cell>
          <cell r="K7159" t="str">
            <v>Paid</v>
          </cell>
        </row>
        <row r="7160">
          <cell r="J7160" t="str">
            <v>INV-081124102925</v>
          </cell>
          <cell r="K7160" t="str">
            <v>Paid</v>
          </cell>
        </row>
        <row r="7161">
          <cell r="J7161" t="str">
            <v>INV-080125095903</v>
          </cell>
          <cell r="K7161" t="str">
            <v>Paid</v>
          </cell>
        </row>
        <row r="7162">
          <cell r="J7162" t="str">
            <v>INV-060225111602</v>
          </cell>
          <cell r="K7162" t="str">
            <v>Paid</v>
          </cell>
        </row>
        <row r="7163">
          <cell r="J7163" t="str">
            <v>INV-050325141418</v>
          </cell>
          <cell r="K7163" t="str">
            <v>Paid</v>
          </cell>
        </row>
        <row r="7164">
          <cell r="J7164" t="str">
            <v>INV-030425184457</v>
          </cell>
          <cell r="K7164" t="str">
            <v>Paid</v>
          </cell>
        </row>
        <row r="7165">
          <cell r="J7165" t="str">
            <v>INV-060525103809</v>
          </cell>
          <cell r="K7165" t="str">
            <v>Paid</v>
          </cell>
        </row>
        <row r="7166">
          <cell r="J7166" t="str">
            <v>INV-040625165224</v>
          </cell>
          <cell r="K7166" t="str">
            <v>Paid</v>
          </cell>
        </row>
        <row r="7167">
          <cell r="J7167" t="str">
            <v>INV-040725135058</v>
          </cell>
          <cell r="K7167" t="str">
            <v>Paid</v>
          </cell>
        </row>
        <row r="7168">
          <cell r="J7168" t="str">
            <v>INV-060825094710</v>
          </cell>
          <cell r="K7168" t="str">
            <v>Paid</v>
          </cell>
        </row>
        <row r="7169">
          <cell r="J7169" t="str">
            <v>INV-040925092141</v>
          </cell>
          <cell r="K7169" t="str">
            <v>Paid</v>
          </cell>
        </row>
        <row r="7170">
          <cell r="J7170" t="str">
            <v>INV-061025154358</v>
          </cell>
          <cell r="K7170" t="str">
            <v>Paid</v>
          </cell>
        </row>
        <row r="7171">
          <cell r="J7171" t="str">
            <v>INV-061125111559</v>
          </cell>
          <cell r="K7171" t="str">
            <v>Paid</v>
          </cell>
        </row>
        <row r="7172">
          <cell r="J7172" t="str">
            <v>INV-041225151052</v>
          </cell>
          <cell r="K7172" t="str">
            <v>Paid</v>
          </cell>
        </row>
        <row r="7173">
          <cell r="J7173" t="str">
            <v>INV-060126122618</v>
          </cell>
          <cell r="K7173" t="str">
            <v>Outstanding</v>
          </cell>
        </row>
        <row r="7174">
          <cell r="J7174" t="str">
            <v>INV-070226133026</v>
          </cell>
          <cell r="K7174" t="str">
            <v>Outstanding</v>
          </cell>
        </row>
        <row r="7175">
          <cell r="J7175" t="str">
            <v>INV-200226170000</v>
          </cell>
          <cell r="K7175" t="str">
            <v>Outstanding</v>
          </cell>
        </row>
        <row r="7176">
          <cell r="J7176" t="str">
            <v>INV-040326125850</v>
          </cell>
          <cell r="K7176" t="str">
            <v>Outstanding</v>
          </cell>
        </row>
        <row r="7177">
          <cell r="J7177" t="str">
            <v>INV-030426112139</v>
          </cell>
          <cell r="K7177" t="str">
            <v>Outstanding</v>
          </cell>
        </row>
        <row r="7178">
          <cell r="J7178" t="str">
            <v>INV-290526111409</v>
          </cell>
          <cell r="K7178" t="str">
            <v>Invoice Sent</v>
          </cell>
        </row>
        <row r="7179">
          <cell r="J7179" t="str">
            <v>INV-030626161636</v>
          </cell>
          <cell r="K7179" t="str">
            <v>Invoice Sent</v>
          </cell>
        </row>
        <row r="7180">
          <cell r="J7180" t="str">
            <v>INV-140225111500</v>
          </cell>
          <cell r="K7180" t="str">
            <v>Paid</v>
          </cell>
        </row>
        <row r="7181">
          <cell r="J7181" t="str">
            <v>INV-250325112500</v>
          </cell>
          <cell r="K7181" t="str">
            <v>Paid</v>
          </cell>
        </row>
        <row r="7182">
          <cell r="J7182" t="str">
            <v>INV160420250000</v>
          </cell>
          <cell r="K7182" t="str">
            <v>Paid</v>
          </cell>
        </row>
        <row r="7183">
          <cell r="J7183" t="str">
            <v>INV-250421110000</v>
          </cell>
          <cell r="K7183" t="str">
            <v>Paid</v>
          </cell>
        </row>
        <row r="7184">
          <cell r="J7184" t="str">
            <v>INV-120525190000</v>
          </cell>
          <cell r="K7184" t="str">
            <v>Paid</v>
          </cell>
        </row>
        <row r="7185">
          <cell r="J7185" t="str">
            <v>INV-160625120000</v>
          </cell>
          <cell r="K7185" t="str">
            <v>Paid</v>
          </cell>
        </row>
        <row r="7186">
          <cell r="J7186" t="str">
            <v>INV-080725120000</v>
          </cell>
          <cell r="K7186" t="str">
            <v>Paid</v>
          </cell>
        </row>
        <row r="7187">
          <cell r="J7187" t="str">
            <v>INV250720251000</v>
          </cell>
          <cell r="K7187" t="str">
            <v>Paid</v>
          </cell>
        </row>
        <row r="7188">
          <cell r="J7188" t="str">
            <v>INV-190825170000</v>
          </cell>
          <cell r="K7188" t="str">
            <v>Paid</v>
          </cell>
        </row>
        <row r="7189">
          <cell r="J7189" t="str">
            <v>INV-160925170000</v>
          </cell>
          <cell r="K7189" t="str">
            <v>Paid</v>
          </cell>
        </row>
        <row r="7190">
          <cell r="J7190" t="str">
            <v>INV-281025170000</v>
          </cell>
          <cell r="K7190" t="str">
            <v>Partially Paid</v>
          </cell>
        </row>
        <row r="7191">
          <cell r="J7191" t="str">
            <v>INV-171125170000</v>
          </cell>
          <cell r="K7191" t="str">
            <v>Outstanding</v>
          </cell>
        </row>
        <row r="7192">
          <cell r="J7192" t="str">
            <v>INV-151225170000</v>
          </cell>
          <cell r="K7192" t="str">
            <v>Outstanding</v>
          </cell>
        </row>
        <row r="7193">
          <cell r="J7193" t="str">
            <v>INV-230126170000</v>
          </cell>
          <cell r="K7193" t="str">
            <v>Outstanding</v>
          </cell>
        </row>
        <row r="7194">
          <cell r="J7194" t="str">
            <v>INV-220126180527</v>
          </cell>
          <cell r="K7194" t="str">
            <v>Paid</v>
          </cell>
        </row>
        <row r="7195">
          <cell r="J7195" t="str">
            <v>INV-020426094445</v>
          </cell>
          <cell r="K7195" t="str">
            <v>Paid</v>
          </cell>
        </row>
        <row r="7196">
          <cell r="J7196" t="str">
            <v>CARDS0283</v>
          </cell>
          <cell r="K7196" t="str">
            <v>Paid</v>
          </cell>
        </row>
        <row r="7197">
          <cell r="J7197" t="str">
            <v>CARDS0330</v>
          </cell>
          <cell r="K7197" t="str">
            <v>Paid</v>
          </cell>
        </row>
        <row r="7198">
          <cell r="J7198" t="str">
            <v>INV-031123154609</v>
          </cell>
          <cell r="K7198" t="str">
            <v>Paid</v>
          </cell>
        </row>
        <row r="7199">
          <cell r="J7199" t="str">
            <v>INV-041223151730</v>
          </cell>
          <cell r="K7199" t="str">
            <v>Paid</v>
          </cell>
        </row>
        <row r="7200">
          <cell r="J7200" t="str">
            <v>INV-050923150630</v>
          </cell>
          <cell r="K7200" t="str">
            <v>Paid</v>
          </cell>
        </row>
        <row r="7201">
          <cell r="J7201" t="str">
            <v>INV-051023160323</v>
          </cell>
          <cell r="K7201" t="str">
            <v>Paid</v>
          </cell>
        </row>
        <row r="7202">
          <cell r="J7202" t="str">
            <v>INV-190623175128</v>
          </cell>
          <cell r="K7202" t="str">
            <v>Paid</v>
          </cell>
        </row>
        <row r="7203">
          <cell r="J7203" t="str">
            <v>INV-050723103611</v>
          </cell>
          <cell r="K7203" t="str">
            <v>Paid</v>
          </cell>
        </row>
        <row r="7204">
          <cell r="J7204" t="str">
            <v>INV-040823104458</v>
          </cell>
          <cell r="K7204" t="str">
            <v>Paid</v>
          </cell>
        </row>
        <row r="7205">
          <cell r="J7205" t="str">
            <v>INV-040124123541</v>
          </cell>
          <cell r="K7205" t="str">
            <v>Paid</v>
          </cell>
        </row>
        <row r="7206">
          <cell r="J7206" t="str">
            <v>INV-050224113453</v>
          </cell>
          <cell r="K7206" t="str">
            <v>Paid</v>
          </cell>
        </row>
        <row r="7207">
          <cell r="J7207" t="str">
            <v>INV-020824162132</v>
          </cell>
          <cell r="K7207" t="str">
            <v>Paid</v>
          </cell>
        </row>
        <row r="7208">
          <cell r="J7208" t="str">
            <v>INV-030424154658</v>
          </cell>
          <cell r="K7208" t="str">
            <v>Paid</v>
          </cell>
        </row>
        <row r="7209">
          <cell r="J7209" t="str">
            <v>INV-050324105148</v>
          </cell>
          <cell r="K7209" t="str">
            <v>Paid</v>
          </cell>
        </row>
        <row r="7210">
          <cell r="J7210" t="str">
            <v>INV-030524095950</v>
          </cell>
          <cell r="K7210" t="str">
            <v>Paid</v>
          </cell>
        </row>
        <row r="7211">
          <cell r="J7211" t="str">
            <v>INV-030724112600</v>
          </cell>
          <cell r="K7211" t="str">
            <v>Paid</v>
          </cell>
        </row>
        <row r="7212">
          <cell r="J7212" t="str">
            <v>INV-031224160123</v>
          </cell>
          <cell r="K7212" t="str">
            <v>Paid</v>
          </cell>
        </row>
        <row r="7213">
          <cell r="J7213" t="str">
            <v>INV-040624104613</v>
          </cell>
          <cell r="K7213" t="str">
            <v>Paid</v>
          </cell>
        </row>
        <row r="7214">
          <cell r="J7214" t="str">
            <v>INV-040924094054</v>
          </cell>
          <cell r="K7214" t="str">
            <v>Paid</v>
          </cell>
        </row>
        <row r="7215">
          <cell r="J7215" t="str">
            <v>INV-021024150830</v>
          </cell>
          <cell r="K7215" t="str">
            <v>Paid</v>
          </cell>
        </row>
        <row r="7216">
          <cell r="J7216" t="str">
            <v>INV-051124162737</v>
          </cell>
          <cell r="K7216" t="str">
            <v>Paid</v>
          </cell>
        </row>
        <row r="7217">
          <cell r="J7217" t="str">
            <v>INV-060125094220</v>
          </cell>
          <cell r="K7217" t="str">
            <v>Paid</v>
          </cell>
        </row>
        <row r="7218">
          <cell r="J7218" t="str">
            <v>INV-040225134334</v>
          </cell>
          <cell r="K7218" t="str">
            <v>Paid</v>
          </cell>
        </row>
        <row r="7219">
          <cell r="J7219" t="str">
            <v>INV-040325134724</v>
          </cell>
          <cell r="K7219" t="str">
            <v>Paid</v>
          </cell>
        </row>
        <row r="7220">
          <cell r="J7220" t="str">
            <v>INV-020425152451</v>
          </cell>
          <cell r="K7220" t="str">
            <v>Paid</v>
          </cell>
        </row>
        <row r="7221">
          <cell r="J7221" t="str">
            <v>INV-020525174612</v>
          </cell>
          <cell r="K7221" t="str">
            <v>Paid</v>
          </cell>
        </row>
        <row r="7222">
          <cell r="J7222" t="str">
            <v>INV-030625131223</v>
          </cell>
          <cell r="K7222" t="str">
            <v>Paid</v>
          </cell>
        </row>
        <row r="7223">
          <cell r="J7223" t="str">
            <v>INV-020725160443</v>
          </cell>
          <cell r="K7223" t="str">
            <v>Paid</v>
          </cell>
        </row>
        <row r="7224">
          <cell r="J7224" t="str">
            <v>INV-040825115357</v>
          </cell>
          <cell r="K7224" t="str">
            <v>Paid</v>
          </cell>
        </row>
        <row r="7225">
          <cell r="J7225" t="str">
            <v>INV-020925111409</v>
          </cell>
          <cell r="K7225" t="str">
            <v>Paid</v>
          </cell>
        </row>
        <row r="7226">
          <cell r="J7226" t="str">
            <v>INV-021025095212</v>
          </cell>
          <cell r="K7226" t="str">
            <v>Paid</v>
          </cell>
        </row>
        <row r="7227">
          <cell r="J7227" t="str">
            <v>INV-031125160832</v>
          </cell>
          <cell r="K7227" t="str">
            <v>Paid</v>
          </cell>
        </row>
        <row r="7228">
          <cell r="J7228" t="str">
            <v>INV-021225114731</v>
          </cell>
          <cell r="K7228" t="str">
            <v>Paid</v>
          </cell>
        </row>
        <row r="7229">
          <cell r="J7229" t="str">
            <v>INV-020126121334</v>
          </cell>
          <cell r="K7229" t="str">
            <v>Paid</v>
          </cell>
        </row>
        <row r="7230">
          <cell r="J7230" t="str">
            <v>INV-020226132958</v>
          </cell>
          <cell r="K7230" t="str">
            <v>Paid</v>
          </cell>
        </row>
        <row r="7231">
          <cell r="J7231" t="str">
            <v>INV-020326173239</v>
          </cell>
          <cell r="K7231" t="str">
            <v>Paid</v>
          </cell>
        </row>
        <row r="7232">
          <cell r="J7232" t="str">
            <v>INV-010426135837</v>
          </cell>
          <cell r="K7232" t="str">
            <v>Paid</v>
          </cell>
        </row>
        <row r="7233">
          <cell r="J7233" t="str">
            <v>INV-040526093036</v>
          </cell>
          <cell r="K7233" t="str">
            <v>Paid</v>
          </cell>
        </row>
        <row r="7234">
          <cell r="J7234" t="str">
            <v>INV-010626161528</v>
          </cell>
          <cell r="K7234" t="str">
            <v>Paid</v>
          </cell>
        </row>
        <row r="7235">
          <cell r="J7235" t="str">
            <v>INV-031024114149</v>
          </cell>
          <cell r="K7235" t="str">
            <v>Paid</v>
          </cell>
        </row>
        <row r="7236">
          <cell r="J7236" t="str">
            <v>INV-031224193650</v>
          </cell>
          <cell r="K7236" t="str">
            <v>Paid</v>
          </cell>
        </row>
        <row r="7237">
          <cell r="J7237" t="str">
            <v>INV-040924175148</v>
          </cell>
          <cell r="K7237" t="str">
            <v>Paid</v>
          </cell>
        </row>
        <row r="7238">
          <cell r="J7238" t="str">
            <v>INV-050824121243</v>
          </cell>
          <cell r="K7238" t="str">
            <v>Paid</v>
          </cell>
        </row>
        <row r="7239">
          <cell r="J7239" t="str">
            <v>INV-061124192622</v>
          </cell>
          <cell r="K7239" t="str">
            <v>Paid</v>
          </cell>
        </row>
        <row r="7240">
          <cell r="J7240" t="str">
            <v>INV-030125163420</v>
          </cell>
          <cell r="K7240" t="str">
            <v>Paid</v>
          </cell>
        </row>
        <row r="7241">
          <cell r="J7241" t="str">
            <v>INV-040225175600</v>
          </cell>
          <cell r="K7241" t="str">
            <v>Paid</v>
          </cell>
        </row>
        <row r="7242">
          <cell r="J7242" t="str">
            <v>INV-040325182734</v>
          </cell>
          <cell r="K7242" t="str">
            <v>Paid</v>
          </cell>
        </row>
        <row r="7243">
          <cell r="J7243" t="str">
            <v>INV-020425182030</v>
          </cell>
          <cell r="K7243" t="str">
            <v>Paid</v>
          </cell>
        </row>
        <row r="7244">
          <cell r="J7244" t="str">
            <v>INV-020525200321</v>
          </cell>
          <cell r="K7244" t="str">
            <v>Paid</v>
          </cell>
        </row>
        <row r="7245">
          <cell r="J7245" t="str">
            <v>INV-040624124725</v>
          </cell>
          <cell r="K7245" t="str">
            <v>Paid</v>
          </cell>
        </row>
        <row r="7246">
          <cell r="J7246" t="str">
            <v>INV-060524114633</v>
          </cell>
          <cell r="K7246" t="str">
            <v>Paid</v>
          </cell>
        </row>
        <row r="7247">
          <cell r="J7247" t="str">
            <v>CARDS0039</v>
          </cell>
          <cell r="K7247" t="str">
            <v>Paid</v>
          </cell>
        </row>
        <row r="7248">
          <cell r="J7248" t="str">
            <v>CARDS0076</v>
          </cell>
          <cell r="K7248" t="str">
            <v>Paid</v>
          </cell>
        </row>
        <row r="7249">
          <cell r="J7249" t="str">
            <v>CARDS0090</v>
          </cell>
          <cell r="K7249" t="str">
            <v>Paid</v>
          </cell>
        </row>
        <row r="7250">
          <cell r="J7250" t="str">
            <v>CARDS0107</v>
          </cell>
          <cell r="K7250" t="str">
            <v>Paid</v>
          </cell>
        </row>
        <row r="7251">
          <cell r="J7251" t="str">
            <v>CARDS0126</v>
          </cell>
          <cell r="K7251" t="str">
            <v>Paid</v>
          </cell>
        </row>
        <row r="7252">
          <cell r="J7252" t="str">
            <v>CARDS0143</v>
          </cell>
          <cell r="K7252" t="str">
            <v>Paid</v>
          </cell>
        </row>
        <row r="7253">
          <cell r="J7253" t="str">
            <v>CARDS0162</v>
          </cell>
          <cell r="K7253" t="str">
            <v>Paid</v>
          </cell>
        </row>
        <row r="7254">
          <cell r="J7254" t="str">
            <v>CARDS0179</v>
          </cell>
          <cell r="K7254" t="str">
            <v>Paid</v>
          </cell>
        </row>
        <row r="7255">
          <cell r="J7255" t="str">
            <v>CARDS0199</v>
          </cell>
          <cell r="K7255" t="str">
            <v>Paid</v>
          </cell>
        </row>
        <row r="7256">
          <cell r="J7256" t="str">
            <v>CARDS0220</v>
          </cell>
          <cell r="K7256" t="str">
            <v>Paid</v>
          </cell>
        </row>
        <row r="7257">
          <cell r="J7257" t="str">
            <v>CARDS0236</v>
          </cell>
          <cell r="K7257" t="str">
            <v>Paid</v>
          </cell>
        </row>
        <row r="7258">
          <cell r="J7258" t="str">
            <v>CARDS0253</v>
          </cell>
          <cell r="K7258" t="str">
            <v>Paid</v>
          </cell>
        </row>
        <row r="7259">
          <cell r="J7259" t="str">
            <v>CARDS0274</v>
          </cell>
          <cell r="K7259" t="str">
            <v>Paid</v>
          </cell>
        </row>
        <row r="7260">
          <cell r="J7260" t="str">
            <v>DNCARDS0014</v>
          </cell>
          <cell r="K7260" t="str">
            <v>Paid</v>
          </cell>
        </row>
        <row r="7261">
          <cell r="J7261" t="str">
            <v>CARDS0292</v>
          </cell>
          <cell r="K7261" t="str">
            <v>Paid</v>
          </cell>
        </row>
        <row r="7262">
          <cell r="J7262" t="str">
            <v>DNCARDS0019</v>
          </cell>
          <cell r="K7262" t="str">
            <v>Paid</v>
          </cell>
        </row>
        <row r="7263">
          <cell r="J7263" t="str">
            <v>CARDS0310</v>
          </cell>
          <cell r="K7263" t="str">
            <v>Paid</v>
          </cell>
        </row>
        <row r="7264">
          <cell r="J7264" t="str">
            <v>CARDS0323</v>
          </cell>
          <cell r="K7264" t="str">
            <v>Paid</v>
          </cell>
        </row>
        <row r="7265">
          <cell r="J7265" t="str">
            <v>CARDS0336</v>
          </cell>
          <cell r="K7265" t="str">
            <v>Paid</v>
          </cell>
        </row>
        <row r="7266">
          <cell r="J7266" t="str">
            <v>INV-021122043643</v>
          </cell>
          <cell r="K7266" t="str">
            <v>Paid</v>
          </cell>
        </row>
        <row r="7267">
          <cell r="J7267" t="str">
            <v>INV-011222232942</v>
          </cell>
          <cell r="K7267" t="str">
            <v>Paid</v>
          </cell>
        </row>
        <row r="7268">
          <cell r="J7268" t="str">
            <v>INV-030123175040</v>
          </cell>
          <cell r="K7268" t="str">
            <v>Paid</v>
          </cell>
        </row>
        <row r="7269">
          <cell r="J7269" t="str">
            <v>INV-020223011905</v>
          </cell>
          <cell r="K7269" t="str">
            <v>Paid</v>
          </cell>
        </row>
        <row r="7270">
          <cell r="J7270" t="str">
            <v>INV-020323003828</v>
          </cell>
          <cell r="K7270" t="str">
            <v>Paid</v>
          </cell>
        </row>
        <row r="7271">
          <cell r="J7271" t="str">
            <v>INV-031123132604</v>
          </cell>
          <cell r="K7271" t="str">
            <v>Paid</v>
          </cell>
        </row>
        <row r="7272">
          <cell r="J7272" t="str">
            <v>INV-030423154423</v>
          </cell>
          <cell r="K7272" t="str">
            <v>Paid</v>
          </cell>
        </row>
        <row r="7273">
          <cell r="J7273" t="str">
            <v>INV-040923160014</v>
          </cell>
          <cell r="K7273" t="str">
            <v>Paid</v>
          </cell>
        </row>
        <row r="7274">
          <cell r="J7274" t="str">
            <v>INV-020523181606</v>
          </cell>
          <cell r="K7274" t="str">
            <v>Paid</v>
          </cell>
        </row>
        <row r="7275">
          <cell r="J7275" t="str">
            <v>INV-051023115858</v>
          </cell>
          <cell r="K7275" t="str">
            <v>Paid</v>
          </cell>
        </row>
        <row r="7276">
          <cell r="J7276" t="str">
            <v>INV-051223154247</v>
          </cell>
          <cell r="K7276" t="str">
            <v>Paid</v>
          </cell>
        </row>
        <row r="7277">
          <cell r="J7277" t="str">
            <v>INV-050623104640</v>
          </cell>
          <cell r="K7277" t="str">
            <v>Paid</v>
          </cell>
        </row>
        <row r="7278">
          <cell r="J7278" t="str">
            <v>INV-030723171922</v>
          </cell>
          <cell r="K7278" t="str">
            <v>Paid</v>
          </cell>
        </row>
        <row r="7279">
          <cell r="J7279" t="str">
            <v>INV-020823153205</v>
          </cell>
          <cell r="K7279" t="str">
            <v>Paid</v>
          </cell>
        </row>
        <row r="7280">
          <cell r="J7280" t="str">
            <v>INV-040124162649</v>
          </cell>
          <cell r="K7280" t="str">
            <v>Paid</v>
          </cell>
        </row>
        <row r="7281">
          <cell r="J7281" t="str">
            <v>INV-070224101515</v>
          </cell>
          <cell r="K7281" t="str">
            <v>Paid</v>
          </cell>
        </row>
        <row r="7282">
          <cell r="J7282" t="str">
            <v>INV-060324164203</v>
          </cell>
          <cell r="K7282" t="str">
            <v>Paid</v>
          </cell>
        </row>
        <row r="7283">
          <cell r="J7283" t="str">
            <v>INV-050424174403</v>
          </cell>
          <cell r="K7283" t="str">
            <v>Net Off</v>
          </cell>
        </row>
        <row r="7284">
          <cell r="J7284" t="str">
            <v>INV-060524141741</v>
          </cell>
          <cell r="K7284" t="str">
            <v>Net Off</v>
          </cell>
        </row>
        <row r="7285">
          <cell r="J7285" t="str">
            <v>CN-INV-240325151115</v>
          </cell>
          <cell r="K7285" t="str">
            <v>Net Off</v>
          </cell>
        </row>
        <row r="7286">
          <cell r="J7286" t="str">
            <v>INV-180325101821</v>
          </cell>
          <cell r="K7286" t="str">
            <v>Paid</v>
          </cell>
        </row>
        <row r="7287">
          <cell r="J7287" t="str">
            <v>INV-030425135734</v>
          </cell>
          <cell r="K7287" t="str">
            <v>Paid</v>
          </cell>
        </row>
        <row r="7288">
          <cell r="J7288" t="str">
            <v>INV-050525123529</v>
          </cell>
          <cell r="K7288" t="str">
            <v>Paid</v>
          </cell>
        </row>
        <row r="7289">
          <cell r="J7289" t="str">
            <v>INV-030625182728</v>
          </cell>
          <cell r="K7289" t="str">
            <v>Net Off</v>
          </cell>
        </row>
        <row r="7290">
          <cell r="J7290" t="str">
            <v>INV-030725123338</v>
          </cell>
          <cell r="K7290" t="str">
            <v>Net Off</v>
          </cell>
        </row>
        <row r="7291">
          <cell r="J7291" t="str">
            <v>INV-050825114948</v>
          </cell>
          <cell r="K7291" t="str">
            <v>Net Off</v>
          </cell>
        </row>
        <row r="7292">
          <cell r="J7292" t="str">
            <v>INV-031025113615</v>
          </cell>
          <cell r="K7292" t="str">
            <v>Paid</v>
          </cell>
        </row>
        <row r="7293">
          <cell r="J7293" t="str">
            <v>CN-INV-091025160903</v>
          </cell>
          <cell r="K7293" t="str">
            <v>Net Off</v>
          </cell>
        </row>
        <row r="7294">
          <cell r="J7294" t="str">
            <v>INV-041125175721</v>
          </cell>
          <cell r="K7294" t="str">
            <v>Paid</v>
          </cell>
        </row>
        <row r="7295">
          <cell r="J7295" t="str">
            <v>INV-031225093641</v>
          </cell>
          <cell r="K7295" t="str">
            <v>Paid</v>
          </cell>
        </row>
        <row r="7296">
          <cell r="J7296" t="str">
            <v>INV-020126190939</v>
          </cell>
          <cell r="K7296" t="str">
            <v>Paid</v>
          </cell>
        </row>
        <row r="7297">
          <cell r="J7297" t="str">
            <v>INV-040226191953</v>
          </cell>
          <cell r="K7297" t="str">
            <v>Paid</v>
          </cell>
        </row>
        <row r="7298">
          <cell r="J7298" t="str">
            <v>INV-030326191331</v>
          </cell>
          <cell r="K7298" t="str">
            <v>Paid</v>
          </cell>
        </row>
        <row r="7299">
          <cell r="J7299" t="str">
            <v>INV-010426164512</v>
          </cell>
          <cell r="K7299" t="str">
            <v>Paid</v>
          </cell>
        </row>
        <row r="7300">
          <cell r="J7300" t="str">
            <v>INV-040526140556</v>
          </cell>
          <cell r="K7300" t="str">
            <v>Paid</v>
          </cell>
        </row>
        <row r="7301">
          <cell r="J7301" t="str">
            <v>INV-020626161624</v>
          </cell>
          <cell r="K7301" t="str">
            <v>Outstanding</v>
          </cell>
        </row>
        <row r="7302">
          <cell r="J7302" t="str">
            <v>CARDS0057</v>
          </cell>
          <cell r="K7302" t="str">
            <v>Paid</v>
          </cell>
        </row>
        <row r="7303">
          <cell r="J7303" t="str">
            <v>INV2021-CCF-001</v>
          </cell>
          <cell r="K7303" t="str">
            <v>Paid</v>
          </cell>
        </row>
        <row r="7304">
          <cell r="J7304" t="str">
            <v>CARDS0114</v>
          </cell>
          <cell r="K7304" t="str">
            <v>Paid</v>
          </cell>
        </row>
        <row r="7305">
          <cell r="J7305" t="str">
            <v>INV2022-CCF-002</v>
          </cell>
          <cell r="K7305" t="str">
            <v>Waived Off</v>
          </cell>
        </row>
        <row r="7306">
          <cell r="J7306" t="str">
            <v>INV2022-CTS-003</v>
          </cell>
          <cell r="K7306" t="str">
            <v>Paid</v>
          </cell>
        </row>
        <row r="7307">
          <cell r="J7307" t="str">
            <v>CARDS0265</v>
          </cell>
          <cell r="K7307" t="str">
            <v>Paid</v>
          </cell>
        </row>
        <row r="7308">
          <cell r="J7308" t="str">
            <v>INV2021-CML-001</v>
          </cell>
          <cell r="K7308" t="str">
            <v>Paid</v>
          </cell>
        </row>
        <row r="7309">
          <cell r="J7309" t="str">
            <v>INV2021-CML-002</v>
          </cell>
          <cell r="K7309" t="str">
            <v>Paid</v>
          </cell>
        </row>
        <row r="7310">
          <cell r="J7310" t="str">
            <v>HKCARDS0011</v>
          </cell>
          <cell r="K7310" t="str">
            <v>Paid</v>
          </cell>
        </row>
        <row r="7311">
          <cell r="J7311" t="str">
            <v>HKCARDS0015</v>
          </cell>
          <cell r="K7311" t="str">
            <v>Paid</v>
          </cell>
        </row>
        <row r="7312">
          <cell r="J7312" t="str">
            <v>HKCARDS0021</v>
          </cell>
          <cell r="K7312" t="str">
            <v>Paid</v>
          </cell>
        </row>
        <row r="7313">
          <cell r="J7313" t="str">
            <v>HKCARDS0026</v>
          </cell>
          <cell r="K7313" t="str">
            <v>Paid</v>
          </cell>
        </row>
        <row r="7314">
          <cell r="J7314" t="str">
            <v>HKCARDS0030</v>
          </cell>
          <cell r="K7314" t="str">
            <v>Paid</v>
          </cell>
        </row>
        <row r="7315">
          <cell r="J7315" t="str">
            <v>HKCARDS0035</v>
          </cell>
          <cell r="K7315" t="str">
            <v>Paid</v>
          </cell>
        </row>
        <row r="7316">
          <cell r="J7316" t="str">
            <v>HKCARDS0040</v>
          </cell>
          <cell r="K7316" t="str">
            <v>Paid</v>
          </cell>
        </row>
        <row r="7317">
          <cell r="J7317" t="str">
            <v>HKCARDS0081</v>
          </cell>
          <cell r="K7317" t="str">
            <v>Paid</v>
          </cell>
        </row>
        <row r="7318">
          <cell r="J7318" t="str">
            <v>HKCARDS0086</v>
          </cell>
          <cell r="K7318" t="str">
            <v>Paid</v>
          </cell>
        </row>
        <row r="7319">
          <cell r="J7319" t="str">
            <v>HKCARDS0100</v>
          </cell>
          <cell r="K7319" t="str">
            <v>Paid</v>
          </cell>
        </row>
        <row r="7320">
          <cell r="J7320" t="str">
            <v>INV-021122114822</v>
          </cell>
          <cell r="K7320" t="str">
            <v>Paid</v>
          </cell>
        </row>
        <row r="7321">
          <cell r="J7321" t="str">
            <v>INV-021222030447</v>
          </cell>
          <cell r="K7321" t="str">
            <v>Paid</v>
          </cell>
        </row>
        <row r="7322">
          <cell r="J7322" t="str">
            <v>INV-040123003244</v>
          </cell>
          <cell r="K7322" t="str">
            <v>Paid</v>
          </cell>
        </row>
        <row r="7323">
          <cell r="J7323" t="str">
            <v>DN-021222030447</v>
          </cell>
          <cell r="K7323" t="str">
            <v>Paid</v>
          </cell>
        </row>
        <row r="7324">
          <cell r="J7324" t="str">
            <v>INV-020223023705</v>
          </cell>
          <cell r="K7324" t="str">
            <v>Paid</v>
          </cell>
        </row>
        <row r="7325">
          <cell r="J7325" t="str">
            <v>INV-020323010736</v>
          </cell>
          <cell r="K7325" t="str">
            <v>Paid</v>
          </cell>
        </row>
        <row r="7326">
          <cell r="J7326" t="str">
            <v>INV-031123164928</v>
          </cell>
          <cell r="K7326" t="str">
            <v>Paid</v>
          </cell>
        </row>
        <row r="7327">
          <cell r="J7327" t="str">
            <v>INV-030423225735</v>
          </cell>
          <cell r="K7327" t="str">
            <v>Paid</v>
          </cell>
        </row>
        <row r="7328">
          <cell r="J7328" t="str">
            <v>INV-040923161839</v>
          </cell>
          <cell r="K7328" t="str">
            <v>Paid</v>
          </cell>
        </row>
        <row r="7329">
          <cell r="J7329" t="str">
            <v>INV-020523184849</v>
          </cell>
          <cell r="K7329" t="str">
            <v>Paid</v>
          </cell>
        </row>
        <row r="7330">
          <cell r="J7330" t="str">
            <v>INV-051023131659</v>
          </cell>
          <cell r="K7330" t="str">
            <v>Paid</v>
          </cell>
        </row>
        <row r="7331">
          <cell r="J7331" t="str">
            <v>INV-051223123719</v>
          </cell>
          <cell r="K7331" t="str">
            <v>Paid</v>
          </cell>
        </row>
        <row r="7332">
          <cell r="J7332" t="str">
            <v>INV-020623190942</v>
          </cell>
          <cell r="K7332" t="str">
            <v>Paid</v>
          </cell>
        </row>
        <row r="7333">
          <cell r="J7333" t="str">
            <v>INV-040723111006</v>
          </cell>
          <cell r="K7333" t="str">
            <v>Paid</v>
          </cell>
        </row>
        <row r="7334">
          <cell r="J7334" t="str">
            <v>INV-030823142217</v>
          </cell>
          <cell r="K7334" t="str">
            <v>Paid</v>
          </cell>
        </row>
        <row r="7335">
          <cell r="J7335" t="str">
            <v>INV-040124182330</v>
          </cell>
          <cell r="K7335" t="str">
            <v>Paid</v>
          </cell>
        </row>
        <row r="7336">
          <cell r="J7336" t="str">
            <v>INV-060224175050</v>
          </cell>
          <cell r="K7336" t="str">
            <v>Paid</v>
          </cell>
        </row>
        <row r="7337">
          <cell r="J7337" t="str">
            <v>INV-060324125053</v>
          </cell>
          <cell r="K7337" t="str">
            <v>Paid</v>
          </cell>
        </row>
        <row r="7338">
          <cell r="J7338" t="str">
            <v>INV-040424163118</v>
          </cell>
          <cell r="K7338" t="str">
            <v>Paid</v>
          </cell>
        </row>
        <row r="7339">
          <cell r="J7339" t="str">
            <v>INV-060524181022</v>
          </cell>
          <cell r="K7339" t="str">
            <v>Paid</v>
          </cell>
        </row>
        <row r="7340">
          <cell r="J7340" t="str">
            <v>CARDS0185</v>
          </cell>
          <cell r="K7340" t="str">
            <v>Paid</v>
          </cell>
        </row>
        <row r="7341">
          <cell r="J7341" t="str">
            <v>CNCARDS0016</v>
          </cell>
          <cell r="K7341" t="str">
            <v>Paid</v>
          </cell>
        </row>
        <row r="7342">
          <cell r="J7342" t="str">
            <v>INV-060125152522</v>
          </cell>
          <cell r="K7342" t="str">
            <v>Paid</v>
          </cell>
        </row>
        <row r="7343">
          <cell r="J7343" t="str">
            <v>INV-050225121716</v>
          </cell>
          <cell r="K7343" t="str">
            <v>Paid</v>
          </cell>
        </row>
        <row r="7344">
          <cell r="J7344" t="str">
            <v>INV-050325100117</v>
          </cell>
          <cell r="K7344" t="str">
            <v>Paid</v>
          </cell>
        </row>
        <row r="7345">
          <cell r="J7345" t="str">
            <v>INV-020425191032</v>
          </cell>
          <cell r="K7345" t="str">
            <v>Paid</v>
          </cell>
        </row>
        <row r="7346">
          <cell r="J7346" t="str">
            <v>INV-030625165516</v>
          </cell>
          <cell r="K7346" t="str">
            <v>Paid</v>
          </cell>
        </row>
        <row r="7347">
          <cell r="J7347" t="str">
            <v>INV-040825154425</v>
          </cell>
          <cell r="K7347" t="str">
            <v>Paid</v>
          </cell>
        </row>
        <row r="7348">
          <cell r="J7348" t="str">
            <v>INV-020925171147</v>
          </cell>
          <cell r="K7348" t="str">
            <v>Paid</v>
          </cell>
        </row>
        <row r="7349">
          <cell r="J7349" t="str">
            <v>INV-031025125538</v>
          </cell>
          <cell r="K7349" t="str">
            <v>Paid</v>
          </cell>
        </row>
        <row r="7350">
          <cell r="J7350" t="str">
            <v>INV-021225193132</v>
          </cell>
          <cell r="K7350" t="str">
            <v>Paid</v>
          </cell>
        </row>
        <row r="7351">
          <cell r="J7351" t="str">
            <v>INV-050126145501</v>
          </cell>
          <cell r="K7351" t="str">
            <v>Paid</v>
          </cell>
        </row>
        <row r="7352">
          <cell r="J7352" t="str">
            <v>UKCARDS0011</v>
          </cell>
          <cell r="K7352" t="str">
            <v>Paid</v>
          </cell>
        </row>
        <row r="7353">
          <cell r="J7353" t="str">
            <v>INV-161122161237</v>
          </cell>
          <cell r="K7353" t="str">
            <v>Paid</v>
          </cell>
        </row>
        <row r="7354">
          <cell r="J7354" t="str">
            <v>DN-100223104530</v>
          </cell>
          <cell r="K7354" t="str">
            <v>Paid</v>
          </cell>
        </row>
        <row r="7355">
          <cell r="J7355" t="str">
            <v>INV-170723113304</v>
          </cell>
          <cell r="K7355" t="str">
            <v>Paid</v>
          </cell>
        </row>
        <row r="7356">
          <cell r="J7356" t="str">
            <v>INV-061123160135</v>
          </cell>
          <cell r="K7356" t="str">
            <v>Paid</v>
          </cell>
        </row>
        <row r="7357">
          <cell r="J7357" t="str">
            <v>INV-070224111027</v>
          </cell>
          <cell r="K7357" t="str">
            <v>Paid</v>
          </cell>
        </row>
        <row r="7358">
          <cell r="J7358" t="str">
            <v>INV-141122212824</v>
          </cell>
          <cell r="K7358" t="str">
            <v>Paid</v>
          </cell>
        </row>
        <row r="7359">
          <cell r="J7359" t="str">
            <v>DN-100223105230</v>
          </cell>
          <cell r="K7359" t="str">
            <v>Paid</v>
          </cell>
        </row>
        <row r="7360">
          <cell r="J7360" t="str">
            <v>INV-140223202912</v>
          </cell>
          <cell r="K7360" t="str">
            <v>Paid</v>
          </cell>
        </row>
        <row r="7361">
          <cell r="J7361" t="str">
            <v>INV-051023155056</v>
          </cell>
          <cell r="K7361" t="str">
            <v>Paid</v>
          </cell>
        </row>
        <row r="7362">
          <cell r="J7362" t="str">
            <v>INV-060923162250</v>
          </cell>
          <cell r="K7362" t="str">
            <v>Paid</v>
          </cell>
        </row>
        <row r="7363">
          <cell r="J7363" t="str">
            <v>INV-061223112158</v>
          </cell>
          <cell r="K7363" t="str">
            <v>Paid</v>
          </cell>
        </row>
        <row r="7364">
          <cell r="J7364" t="str">
            <v>INV-070823161349</v>
          </cell>
          <cell r="K7364" t="str">
            <v>Paid</v>
          </cell>
        </row>
        <row r="7365">
          <cell r="J7365" t="str">
            <v>INV-040124182908</v>
          </cell>
          <cell r="K7365" t="str">
            <v>Paid</v>
          </cell>
        </row>
        <row r="7366">
          <cell r="J7366" t="str">
            <v>INV-090226192522</v>
          </cell>
          <cell r="K7366" t="str">
            <v>Paid</v>
          </cell>
        </row>
        <row r="7367">
          <cell r="J7367" t="str">
            <v>INV-030925130534</v>
          </cell>
          <cell r="K7367" t="str">
            <v>Paid</v>
          </cell>
        </row>
        <row r="7368">
          <cell r="J7368" t="str">
            <v>INV-060126092059</v>
          </cell>
          <cell r="K7368" t="str">
            <v>Paid</v>
          </cell>
        </row>
        <row r="7369">
          <cell r="J7369" t="str">
            <v>INV-050226125828</v>
          </cell>
          <cell r="K7369" t="str">
            <v>Paid</v>
          </cell>
        </row>
        <row r="7370">
          <cell r="J7370" t="str">
            <v>INV-040326120929</v>
          </cell>
          <cell r="K7370" t="str">
            <v>Paid</v>
          </cell>
        </row>
        <row r="7371">
          <cell r="J7371" t="str">
            <v>INV-020426133054</v>
          </cell>
          <cell r="K7371" t="str">
            <v>Paid</v>
          </cell>
        </row>
        <row r="7372">
          <cell r="J7372" t="str">
            <v>INV-040526161334</v>
          </cell>
          <cell r="K7372" t="str">
            <v>Paid</v>
          </cell>
        </row>
        <row r="7373">
          <cell r="J7373" t="str">
            <v>INV-020626181646</v>
          </cell>
          <cell r="K7373" t="str">
            <v>Paid</v>
          </cell>
        </row>
        <row r="7374">
          <cell r="J7374" t="str">
            <v>CARDS0094</v>
          </cell>
          <cell r="K7374" t="str">
            <v>Paid</v>
          </cell>
        </row>
        <row r="7375">
          <cell r="J7375" t="str">
            <v>INV-220724104105</v>
          </cell>
          <cell r="K7375" t="str">
            <v>Paid</v>
          </cell>
        </row>
        <row r="7376">
          <cell r="J7376" t="str">
            <v>CN-INV-160625145410</v>
          </cell>
          <cell r="K7376" t="str">
            <v>Paid</v>
          </cell>
        </row>
        <row r="7377">
          <cell r="J7377" t="str">
            <v>CARDS0261</v>
          </cell>
          <cell r="K7377" t="str">
            <v>Waived Off</v>
          </cell>
        </row>
        <row r="7378">
          <cell r="J7378" t="str">
            <v>INV2021-DCR-001</v>
          </cell>
          <cell r="K7378" t="str">
            <v>Waived Off</v>
          </cell>
        </row>
        <row r="7379">
          <cell r="J7379" t="str">
            <v>INV2021-DLI-006</v>
          </cell>
          <cell r="K7379" t="str">
            <v>Paid</v>
          </cell>
        </row>
        <row r="7380">
          <cell r="J7380" t="str">
            <v>INV2021-DLI-007</v>
          </cell>
          <cell r="K7380" t="str">
            <v>Paid</v>
          </cell>
        </row>
        <row r="7381">
          <cell r="J7381" t="str">
            <v>CARDS0022</v>
          </cell>
          <cell r="K7381" t="str">
            <v>Paid</v>
          </cell>
        </row>
        <row r="7382">
          <cell r="J7382" t="str">
            <v>CARDS0036</v>
          </cell>
          <cell r="K7382" t="str">
            <v>Paid</v>
          </cell>
        </row>
        <row r="7383">
          <cell r="J7383" t="str">
            <v>CARDS0049</v>
          </cell>
          <cell r="K7383" t="str">
            <v>Paid</v>
          </cell>
        </row>
        <row r="7384">
          <cell r="J7384" t="str">
            <v>DNCARDS0002</v>
          </cell>
          <cell r="K7384" t="str">
            <v>Paid</v>
          </cell>
        </row>
        <row r="7385">
          <cell r="J7385" t="str">
            <v>CARDS0072</v>
          </cell>
          <cell r="K7385" t="str">
            <v>Paid</v>
          </cell>
        </row>
        <row r="7386">
          <cell r="J7386" t="str">
            <v>CARDS0085</v>
          </cell>
          <cell r="K7386" t="str">
            <v>Paid</v>
          </cell>
        </row>
        <row r="7387">
          <cell r="J7387" t="str">
            <v>CARDS0102</v>
          </cell>
          <cell r="K7387" t="str">
            <v>Paid</v>
          </cell>
        </row>
        <row r="7388">
          <cell r="J7388" t="str">
            <v>INV2021-DLI-008</v>
          </cell>
          <cell r="K7388" t="str">
            <v>Paid</v>
          </cell>
        </row>
        <row r="7389">
          <cell r="J7389" t="str">
            <v>CARDS0121</v>
          </cell>
          <cell r="K7389" t="str">
            <v>Net Off</v>
          </cell>
        </row>
        <row r="7390">
          <cell r="J7390" t="str">
            <v>CARDS0138</v>
          </cell>
          <cell r="K7390" t="str">
            <v>Net Off</v>
          </cell>
        </row>
        <row r="7391">
          <cell r="J7391" t="str">
            <v>CARDS0168</v>
          </cell>
          <cell r="K7391" t="str">
            <v>Paid</v>
          </cell>
        </row>
        <row r="7392">
          <cell r="J7392" t="str">
            <v>CNCARDS0009</v>
          </cell>
          <cell r="K7392" t="str">
            <v>Paid</v>
          </cell>
        </row>
        <row r="7393">
          <cell r="J7393" t="str">
            <v>CARDS0175</v>
          </cell>
          <cell r="K7393" t="str">
            <v>Paid</v>
          </cell>
        </row>
        <row r="7394">
          <cell r="J7394" t="str">
            <v>CARDS0201</v>
          </cell>
          <cell r="K7394" t="str">
            <v>Paid</v>
          </cell>
        </row>
        <row r="7395">
          <cell r="J7395" t="str">
            <v>CARDS0218</v>
          </cell>
          <cell r="K7395" t="str">
            <v>Paid</v>
          </cell>
        </row>
        <row r="7396">
          <cell r="J7396" t="str">
            <v>CARDS0234</v>
          </cell>
          <cell r="K7396" t="str">
            <v>Paid</v>
          </cell>
        </row>
        <row r="7397">
          <cell r="J7397" t="str">
            <v>INV2022-DLI-001</v>
          </cell>
          <cell r="K7397" t="str">
            <v>Paid</v>
          </cell>
        </row>
        <row r="7398">
          <cell r="J7398" t="str">
            <v>CARDS0251</v>
          </cell>
          <cell r="K7398" t="str">
            <v>Paid</v>
          </cell>
        </row>
        <row r="7399">
          <cell r="J7399" t="str">
            <v>CARDS0272</v>
          </cell>
          <cell r="K7399" t="str">
            <v>Paid</v>
          </cell>
        </row>
        <row r="7400">
          <cell r="J7400" t="str">
            <v>CARDS0290</v>
          </cell>
          <cell r="K7400" t="str">
            <v>Paid</v>
          </cell>
        </row>
        <row r="7401">
          <cell r="J7401" t="str">
            <v>INV2022-DLI-002</v>
          </cell>
          <cell r="K7401" t="str">
            <v>Paid</v>
          </cell>
        </row>
        <row r="7402">
          <cell r="J7402" t="str">
            <v>CARDS0321</v>
          </cell>
          <cell r="K7402" t="str">
            <v>Paid</v>
          </cell>
        </row>
        <row r="7403">
          <cell r="J7403" t="str">
            <v>CARDS0334</v>
          </cell>
          <cell r="K7403" t="str">
            <v>Paid</v>
          </cell>
        </row>
        <row r="7404">
          <cell r="J7404" t="str">
            <v>INV-021122190155</v>
          </cell>
          <cell r="K7404" t="str">
            <v>Paid</v>
          </cell>
        </row>
        <row r="7405">
          <cell r="J7405" t="str">
            <v>INV-021222194133</v>
          </cell>
          <cell r="K7405" t="str">
            <v>Paid</v>
          </cell>
        </row>
        <row r="7406">
          <cell r="J7406" t="str">
            <v>INV2022-DLI-003</v>
          </cell>
          <cell r="K7406" t="str">
            <v>PAID</v>
          </cell>
        </row>
        <row r="7407">
          <cell r="J7407" t="str">
            <v>INV-040123020531</v>
          </cell>
          <cell r="K7407" t="str">
            <v>Paid</v>
          </cell>
        </row>
        <row r="7408">
          <cell r="J7408" t="str">
            <v>DNCARDS0334</v>
          </cell>
          <cell r="K7408" t="str">
            <v>PAID</v>
          </cell>
        </row>
        <row r="7409">
          <cell r="J7409" t="str">
            <v>DN-040123020531</v>
          </cell>
          <cell r="K7409" t="str">
            <v>Paid</v>
          </cell>
        </row>
        <row r="7410">
          <cell r="J7410" t="str">
            <v>DN-021122190155</v>
          </cell>
          <cell r="K7410" t="str">
            <v>Paid</v>
          </cell>
        </row>
        <row r="7411">
          <cell r="J7411" t="str">
            <v>DN-021222194133</v>
          </cell>
          <cell r="K7411" t="str">
            <v>Paid</v>
          </cell>
        </row>
        <row r="7412">
          <cell r="J7412" t="str">
            <v>INV-020223032225</v>
          </cell>
          <cell r="K7412" t="str">
            <v>Paid</v>
          </cell>
        </row>
        <row r="7413">
          <cell r="J7413" t="str">
            <v>INV-020323021932</v>
          </cell>
          <cell r="K7413" t="str">
            <v>Paid</v>
          </cell>
        </row>
        <row r="7414">
          <cell r="J7414" t="str">
            <v>INV-031123153407</v>
          </cell>
          <cell r="K7414" t="str">
            <v>Paid</v>
          </cell>
        </row>
        <row r="7415">
          <cell r="J7415" t="str">
            <v>INV-020423220920</v>
          </cell>
          <cell r="K7415" t="str">
            <v>Paid</v>
          </cell>
        </row>
        <row r="7416">
          <cell r="J7416" t="str">
            <v>INV-040923164345</v>
          </cell>
          <cell r="K7416" t="str">
            <v>Paid</v>
          </cell>
        </row>
        <row r="7417">
          <cell r="J7417" t="str">
            <v>INV-020523180141</v>
          </cell>
          <cell r="K7417" t="str">
            <v>Paid</v>
          </cell>
        </row>
        <row r="7418">
          <cell r="J7418" t="str">
            <v>INV-051023123647</v>
          </cell>
          <cell r="K7418" t="str">
            <v>Paid</v>
          </cell>
        </row>
        <row r="7419">
          <cell r="J7419" t="str">
            <v>INV-051223181737</v>
          </cell>
          <cell r="K7419" t="str">
            <v>Paid</v>
          </cell>
        </row>
        <row r="7420">
          <cell r="J7420" t="str">
            <v>INV-050623163105</v>
          </cell>
          <cell r="K7420" t="str">
            <v>Paid</v>
          </cell>
        </row>
        <row r="7421">
          <cell r="J7421" t="str">
            <v>INV-040723101458</v>
          </cell>
          <cell r="K7421" t="str">
            <v>Paid</v>
          </cell>
        </row>
        <row r="7422">
          <cell r="J7422" t="str">
            <v>INV-020823170404</v>
          </cell>
          <cell r="K7422" t="str">
            <v>Paid</v>
          </cell>
        </row>
        <row r="7423">
          <cell r="J7423" t="str">
            <v>INV-080124103933</v>
          </cell>
          <cell r="K7423" t="str">
            <v>Paid</v>
          </cell>
        </row>
        <row r="7424">
          <cell r="J7424" t="str">
            <v>INV-060224181352</v>
          </cell>
          <cell r="K7424" t="str">
            <v>Paid</v>
          </cell>
        </row>
        <row r="7425">
          <cell r="J7425" t="str">
            <v>INV-070324090817</v>
          </cell>
          <cell r="K7425" t="str">
            <v>Paid</v>
          </cell>
        </row>
        <row r="7426">
          <cell r="J7426" t="str">
            <v>INV-050424092505</v>
          </cell>
          <cell r="K7426" t="str">
            <v>Paid</v>
          </cell>
        </row>
        <row r="7427">
          <cell r="J7427" t="str">
            <v>INV-060524164301</v>
          </cell>
          <cell r="K7427" t="str">
            <v>Paid</v>
          </cell>
        </row>
        <row r="7428">
          <cell r="J7428" t="str">
            <v>INV-050624114223</v>
          </cell>
          <cell r="K7428" t="str">
            <v>Paid</v>
          </cell>
        </row>
        <row r="7429">
          <cell r="J7429" t="str">
            <v>INV-050724105757</v>
          </cell>
          <cell r="K7429" t="str">
            <v>Paid</v>
          </cell>
        </row>
        <row r="7430">
          <cell r="J7430" t="str">
            <v>INV-050824175332</v>
          </cell>
          <cell r="K7430" t="str">
            <v>Paid</v>
          </cell>
        </row>
        <row r="7431">
          <cell r="J7431" t="str">
            <v>INV-061224183731</v>
          </cell>
          <cell r="K7431" t="str">
            <v>Paid</v>
          </cell>
        </row>
        <row r="7432">
          <cell r="J7432" t="str">
            <v>CN-INV3107241805</v>
          </cell>
          <cell r="K7432" t="str">
            <v>Paid</v>
          </cell>
        </row>
        <row r="7433">
          <cell r="J7433" t="str">
            <v>INV-090924122749</v>
          </cell>
          <cell r="K7433" t="str">
            <v>Paid</v>
          </cell>
        </row>
        <row r="7434">
          <cell r="J7434" t="str">
            <v>INV-081024100258</v>
          </cell>
          <cell r="K7434" t="str">
            <v>Paid</v>
          </cell>
        </row>
        <row r="7435">
          <cell r="J7435" t="str">
            <v>INV-071124113859</v>
          </cell>
          <cell r="K7435" t="str">
            <v>Paid</v>
          </cell>
        </row>
        <row r="7436">
          <cell r="J7436" t="str">
            <v>INV-080125110915</v>
          </cell>
          <cell r="K7436" t="str">
            <v>Paid</v>
          </cell>
        </row>
        <row r="7437">
          <cell r="J7437" t="str">
            <v>INV-060225164137</v>
          </cell>
          <cell r="K7437" t="str">
            <v>Paid</v>
          </cell>
        </row>
        <row r="7438">
          <cell r="J7438" t="str">
            <v>INV-070325120022</v>
          </cell>
          <cell r="K7438" t="str">
            <v>Paid</v>
          </cell>
        </row>
        <row r="7439">
          <cell r="J7439" t="str">
            <v>INV-010425175830</v>
          </cell>
          <cell r="K7439" t="str">
            <v>Paid</v>
          </cell>
        </row>
        <row r="7440">
          <cell r="J7440" t="str">
            <v>INV-110724170118</v>
          </cell>
          <cell r="K7440" t="str">
            <v>Paid</v>
          </cell>
        </row>
        <row r="7441">
          <cell r="J7441" t="str">
            <v>INV-030425104926</v>
          </cell>
          <cell r="K7441" t="str">
            <v>Paid</v>
          </cell>
        </row>
        <row r="7442">
          <cell r="J7442" t="str">
            <v>CARDS0150</v>
          </cell>
          <cell r="K7442" t="str">
            <v>Paid</v>
          </cell>
        </row>
        <row r="7443">
          <cell r="J7443" t="str">
            <v>INV2022-SPENMO-001</v>
          </cell>
          <cell r="K7443" t="str">
            <v>Paid</v>
          </cell>
        </row>
        <row r="7444">
          <cell r="J7444" t="str">
            <v>INV-031123125726</v>
          </cell>
          <cell r="K7444" t="str">
            <v>Paid</v>
          </cell>
        </row>
        <row r="7445">
          <cell r="J7445" t="str">
            <v>INV-040923152418</v>
          </cell>
          <cell r="K7445" t="str">
            <v>Paid</v>
          </cell>
        </row>
        <row r="7446">
          <cell r="J7446" t="str">
            <v>INV-140423155828</v>
          </cell>
          <cell r="K7446" t="str">
            <v>Paid</v>
          </cell>
        </row>
        <row r="7447">
          <cell r="J7447" t="str">
            <v>INV-140423161542</v>
          </cell>
          <cell r="K7447" t="str">
            <v>Paid</v>
          </cell>
        </row>
        <row r="7448">
          <cell r="J7448" t="str">
            <v>INV-140423162330</v>
          </cell>
          <cell r="K7448" t="str">
            <v>Paid</v>
          </cell>
        </row>
        <row r="7449">
          <cell r="J7449" t="str">
            <v>INV-140423162837</v>
          </cell>
          <cell r="K7449" t="str">
            <v>Paid</v>
          </cell>
        </row>
        <row r="7450">
          <cell r="J7450" t="str">
            <v>INV-030523183513</v>
          </cell>
          <cell r="K7450" t="str">
            <v>Paid</v>
          </cell>
        </row>
        <row r="7451">
          <cell r="J7451" t="str">
            <v>INV-051023102919</v>
          </cell>
          <cell r="K7451" t="str">
            <v>Paid</v>
          </cell>
        </row>
        <row r="7452">
          <cell r="J7452" t="str">
            <v>INV-051223150358</v>
          </cell>
          <cell r="K7452" t="str">
            <v>Paid</v>
          </cell>
        </row>
        <row r="7453">
          <cell r="J7453" t="str">
            <v>INV-050623125833</v>
          </cell>
          <cell r="K7453" t="str">
            <v>Paid</v>
          </cell>
        </row>
        <row r="7454">
          <cell r="J7454" t="str">
            <v>INV-030723163547</v>
          </cell>
          <cell r="K7454" t="str">
            <v>Paid</v>
          </cell>
        </row>
        <row r="7455">
          <cell r="J7455" t="str">
            <v>INV-020823133045</v>
          </cell>
          <cell r="K7455" t="str">
            <v>Paid</v>
          </cell>
        </row>
        <row r="7456">
          <cell r="J7456" t="str">
            <v>INV-040124155654</v>
          </cell>
          <cell r="K7456" t="str">
            <v>Paid</v>
          </cell>
        </row>
        <row r="7457">
          <cell r="J7457" t="str">
            <v>INV-070224093756</v>
          </cell>
          <cell r="K7457" t="str">
            <v>Paid</v>
          </cell>
        </row>
        <row r="7458">
          <cell r="J7458" t="str">
            <v>INV-060324190020</v>
          </cell>
          <cell r="K7458" t="str">
            <v>Paid</v>
          </cell>
        </row>
        <row r="7459">
          <cell r="J7459" t="str">
            <v>INV-050424114519</v>
          </cell>
          <cell r="K7459" t="str">
            <v>Paid</v>
          </cell>
        </row>
        <row r="7460">
          <cell r="J7460" t="str">
            <v>INV-050624160739</v>
          </cell>
          <cell r="K7460" t="str">
            <v>Paid</v>
          </cell>
        </row>
        <row r="7461">
          <cell r="J7461" t="str">
            <v>INV-060524155754</v>
          </cell>
          <cell r="K7461" t="str">
            <v>Paid</v>
          </cell>
        </row>
        <row r="7462">
          <cell r="J7462" t="str">
            <v>INV-280524102431</v>
          </cell>
          <cell r="K7462" t="str">
            <v>Paid</v>
          </cell>
        </row>
        <row r="7463">
          <cell r="J7463" t="str">
            <v>INV-280524114729</v>
          </cell>
          <cell r="K7463" t="str">
            <v>Paid</v>
          </cell>
        </row>
        <row r="7464">
          <cell r="J7464" t="str">
            <v>INV-280524125027</v>
          </cell>
          <cell r="K7464" t="str">
            <v>Paid</v>
          </cell>
        </row>
        <row r="7465">
          <cell r="J7465" t="str">
            <v>INV-280524130915</v>
          </cell>
          <cell r="K7465" t="str">
            <v>Paid</v>
          </cell>
        </row>
        <row r="7466">
          <cell r="J7466" t="str">
            <v>CN-INV-280524122930</v>
          </cell>
          <cell r="K7466" t="str">
            <v>Paid</v>
          </cell>
        </row>
        <row r="7467">
          <cell r="J7467" t="str">
            <v>INV-061224150432</v>
          </cell>
          <cell r="K7467" t="str">
            <v>Paid</v>
          </cell>
        </row>
        <row r="7468">
          <cell r="J7468" t="str">
            <v>INV-080724140517</v>
          </cell>
          <cell r="K7468" t="str">
            <v>Paid</v>
          </cell>
        </row>
        <row r="7469">
          <cell r="J7469" t="str">
            <v>CN-INV-220724132120</v>
          </cell>
          <cell r="K7469" t="str">
            <v>Paid</v>
          </cell>
        </row>
        <row r="7470">
          <cell r="J7470" t="str">
            <v>INV-080824121805</v>
          </cell>
          <cell r="K7470" t="str">
            <v>Paid</v>
          </cell>
        </row>
        <row r="7471">
          <cell r="J7471" t="str">
            <v>INV-100924124342</v>
          </cell>
          <cell r="K7471" t="str">
            <v>Paid</v>
          </cell>
        </row>
        <row r="7472">
          <cell r="J7472" t="str">
            <v>INV-091024142510</v>
          </cell>
          <cell r="K7472" t="str">
            <v>Paid</v>
          </cell>
        </row>
        <row r="7473">
          <cell r="J7473" t="str">
            <v>INV-241024152825</v>
          </cell>
          <cell r="K7473" t="str">
            <v>Paid</v>
          </cell>
        </row>
        <row r="7474">
          <cell r="J7474" t="str">
            <v>INV-081124121647</v>
          </cell>
          <cell r="K7474" t="str">
            <v>Paid</v>
          </cell>
        </row>
        <row r="7475">
          <cell r="J7475" t="str">
            <v>INV2024-SPENMO-001</v>
          </cell>
          <cell r="K7475" t="str">
            <v>Paid</v>
          </cell>
        </row>
        <row r="7476">
          <cell r="J7476" t="str">
            <v>INV-070125123411</v>
          </cell>
          <cell r="K7476" t="str">
            <v>Paid</v>
          </cell>
        </row>
        <row r="7477">
          <cell r="J7477" t="str">
            <v>INV-060225122626</v>
          </cell>
          <cell r="K7477" t="str">
            <v>Paid</v>
          </cell>
        </row>
        <row r="7478">
          <cell r="J7478" t="str">
            <v>INV-060325121544</v>
          </cell>
          <cell r="K7478" t="str">
            <v>Paid</v>
          </cell>
        </row>
        <row r="7479">
          <cell r="J7479" t="str">
            <v>INV-040425180235</v>
          </cell>
          <cell r="K7479" t="str">
            <v>Paid</v>
          </cell>
        </row>
        <row r="7480">
          <cell r="J7480" t="str">
            <v>INV-060525162516</v>
          </cell>
          <cell r="K7480" t="str">
            <v>Paid</v>
          </cell>
        </row>
        <row r="7481">
          <cell r="J7481" t="str">
            <v>INV-050625134234</v>
          </cell>
          <cell r="K7481" t="str">
            <v>Paid</v>
          </cell>
        </row>
        <row r="7482">
          <cell r="J7482" t="str">
            <v>INV-040725182553</v>
          </cell>
          <cell r="K7482" t="str">
            <v>Paid</v>
          </cell>
        </row>
        <row r="7483">
          <cell r="J7483" t="str">
            <v>INV-060825161559</v>
          </cell>
          <cell r="K7483" t="str">
            <v>Paid</v>
          </cell>
        </row>
        <row r="7484">
          <cell r="J7484" t="str">
            <v>INV-040925120602</v>
          </cell>
          <cell r="K7484" t="str">
            <v>Paid</v>
          </cell>
        </row>
        <row r="7485">
          <cell r="J7485" t="str">
            <v>25112025167000</v>
          </cell>
          <cell r="K7485" t="str">
            <v>Paid</v>
          </cell>
        </row>
        <row r="7486">
          <cell r="J7486" t="str">
            <v>INV-040924163557</v>
          </cell>
          <cell r="K7486" t="str">
            <v>Paid</v>
          </cell>
        </row>
        <row r="7487">
          <cell r="J7487" t="str">
            <v>INV-170424170819</v>
          </cell>
          <cell r="K7487" t="str">
            <v>Paid</v>
          </cell>
        </row>
        <row r="7488">
          <cell r="J7488" t="str">
            <v>CN-INV-040924163557</v>
          </cell>
          <cell r="K7488" t="str">
            <v>Paid</v>
          </cell>
        </row>
        <row r="7489">
          <cell r="J7489" t="str">
            <v>INV2021-DVL-001</v>
          </cell>
          <cell r="K7489" t="str">
            <v>Waived Off</v>
          </cell>
        </row>
        <row r="7490">
          <cell r="J7490" t="str">
            <v>INV-281024170208</v>
          </cell>
          <cell r="K7490" t="str">
            <v>Paid</v>
          </cell>
        </row>
        <row r="7491">
          <cell r="J7491" t="str">
            <v>INV-040825171757</v>
          </cell>
          <cell r="K7491" t="str">
            <v>Paid</v>
          </cell>
        </row>
        <row r="7492">
          <cell r="J7492" t="str">
            <v>INV-030925123403</v>
          </cell>
          <cell r="K7492" t="str">
            <v>Paid</v>
          </cell>
        </row>
        <row r="7493">
          <cell r="J7493" t="str">
            <v>INV-031025173634</v>
          </cell>
          <cell r="K7493" t="str">
            <v>Paid</v>
          </cell>
        </row>
        <row r="7494">
          <cell r="J7494" t="str">
            <v>INV-051125113908</v>
          </cell>
          <cell r="K7494" t="str">
            <v>Paid</v>
          </cell>
        </row>
        <row r="7495">
          <cell r="J7495" t="str">
            <v>INV-031225110514</v>
          </cell>
          <cell r="K7495" t="str">
            <v>Paid</v>
          </cell>
        </row>
        <row r="7496">
          <cell r="J7496" t="str">
            <v>INV-050126162303</v>
          </cell>
          <cell r="K7496" t="str">
            <v>Paid</v>
          </cell>
        </row>
        <row r="7497">
          <cell r="J7497" t="str">
            <v>INV-040226200358</v>
          </cell>
          <cell r="K7497" t="str">
            <v>Paid</v>
          </cell>
        </row>
        <row r="7498">
          <cell r="J7498" t="str">
            <v>INV-030326185225</v>
          </cell>
          <cell r="K7498" t="str">
            <v>Paid</v>
          </cell>
        </row>
        <row r="7499">
          <cell r="J7499" t="str">
            <v>INV-020426134455</v>
          </cell>
          <cell r="K7499" t="str">
            <v>Paid</v>
          </cell>
        </row>
        <row r="7500">
          <cell r="J7500" t="str">
            <v>INV-040526171536</v>
          </cell>
          <cell r="K7500" t="str">
            <v>Paid</v>
          </cell>
        </row>
        <row r="7501">
          <cell r="J7501" t="str">
            <v>INV-020626174106</v>
          </cell>
          <cell r="K7501" t="str">
            <v>Paid</v>
          </cell>
        </row>
        <row r="7502">
          <cell r="J7502" t="str">
            <v>INV-040725104417</v>
          </cell>
          <cell r="K7502" t="str">
            <v>Paid</v>
          </cell>
        </row>
        <row r="7503">
          <cell r="J7503" t="str">
            <v>CARDS0003</v>
          </cell>
          <cell r="K7503" t="str">
            <v>Waived Off</v>
          </cell>
        </row>
        <row r="7504">
          <cell r="J7504" t="str">
            <v>CARDS0016</v>
          </cell>
          <cell r="K7504" t="str">
            <v>Waived Off</v>
          </cell>
        </row>
        <row r="7505">
          <cell r="J7505" t="str">
            <v>CARDS0030</v>
          </cell>
          <cell r="K7505" t="str">
            <v>Waived Off</v>
          </cell>
        </row>
        <row r="7506">
          <cell r="J7506" t="str">
            <v>CARDS0045</v>
          </cell>
          <cell r="K7506" t="str">
            <v>Waived Off</v>
          </cell>
        </row>
        <row r="7507">
          <cell r="J7507" t="str">
            <v>DNCARDS0005</v>
          </cell>
          <cell r="K7507" t="str">
            <v>Waived Off</v>
          </cell>
        </row>
        <row r="7508">
          <cell r="J7508" t="str">
            <v>CARDS0068</v>
          </cell>
          <cell r="K7508" t="str">
            <v>Waived Off</v>
          </cell>
        </row>
        <row r="7509">
          <cell r="J7509" t="str">
            <v>CARDS0081</v>
          </cell>
          <cell r="K7509" t="str">
            <v>Waived Off</v>
          </cell>
        </row>
        <row r="7510">
          <cell r="J7510" t="str">
            <v>CARDS0098</v>
          </cell>
          <cell r="K7510" t="str">
            <v>Waived Off</v>
          </cell>
        </row>
        <row r="7511">
          <cell r="J7511" t="str">
            <v>CARDS0117</v>
          </cell>
          <cell r="K7511" t="str">
            <v>Waived Off</v>
          </cell>
        </row>
        <row r="7512">
          <cell r="J7512" t="str">
            <v>CARDS0135</v>
          </cell>
          <cell r="K7512" t="str">
            <v>Waived Off</v>
          </cell>
        </row>
        <row r="7513">
          <cell r="J7513" t="str">
            <v>CARDS0155</v>
          </cell>
          <cell r="K7513" t="str">
            <v>Waived Off</v>
          </cell>
        </row>
        <row r="7514">
          <cell r="J7514" t="str">
            <v>CARDS0171</v>
          </cell>
          <cell r="K7514" t="str">
            <v>Waived Off</v>
          </cell>
        </row>
        <row r="7515">
          <cell r="J7515" t="str">
            <v>CARDS0193</v>
          </cell>
          <cell r="K7515" t="str">
            <v>Waived Off</v>
          </cell>
        </row>
        <row r="7516">
          <cell r="J7516" t="str">
            <v>CARDS0213</v>
          </cell>
          <cell r="K7516" t="str">
            <v>Waived Off</v>
          </cell>
        </row>
        <row r="7517">
          <cell r="J7517" t="str">
            <v>CARDS0230</v>
          </cell>
          <cell r="K7517" t="str">
            <v>Waived Off</v>
          </cell>
        </row>
        <row r="7518">
          <cell r="J7518" t="str">
            <v>CARDS0247</v>
          </cell>
          <cell r="K7518" t="str">
            <v>Waived Off</v>
          </cell>
        </row>
        <row r="7519">
          <cell r="J7519" t="str">
            <v>CARDS0268</v>
          </cell>
          <cell r="K7519" t="str">
            <v>Waived Off</v>
          </cell>
        </row>
        <row r="7520">
          <cell r="J7520" t="str">
            <v>CARDS0286</v>
          </cell>
          <cell r="K7520" t="str">
            <v>Waived Off</v>
          </cell>
        </row>
        <row r="7521">
          <cell r="J7521" t="str">
            <v>CARDS0304</v>
          </cell>
          <cell r="K7521" t="str">
            <v>Waived Off</v>
          </cell>
        </row>
        <row r="7522">
          <cell r="J7522" t="str">
            <v>INV-090125195627</v>
          </cell>
          <cell r="K7522" t="str">
            <v>Net Off</v>
          </cell>
        </row>
        <row r="7523">
          <cell r="J7523" t="str">
            <v>CR-INV-090125195627</v>
          </cell>
          <cell r="K7523" t="str">
            <v>Net Off</v>
          </cell>
        </row>
        <row r="7524">
          <cell r="J7524" t="str">
            <v>INV-130824154647</v>
          </cell>
          <cell r="K7524" t="str">
            <v>Paid</v>
          </cell>
        </row>
        <row r="7525">
          <cell r="J7525" t="str">
            <v>INV-051224160915</v>
          </cell>
          <cell r="K7525" t="str">
            <v>Paid</v>
          </cell>
        </row>
        <row r="7526">
          <cell r="J7526" t="str">
            <v>INV-060125141110</v>
          </cell>
          <cell r="K7526" t="str">
            <v>Paid</v>
          </cell>
        </row>
        <row r="7527">
          <cell r="J7527" t="str">
            <v>INV-050325101952</v>
          </cell>
          <cell r="K7527" t="str">
            <v>Paid</v>
          </cell>
        </row>
        <row r="7528">
          <cell r="J7528" t="str">
            <v>INV-020425191827</v>
          </cell>
          <cell r="K7528" t="str">
            <v>Paid</v>
          </cell>
        </row>
        <row r="7529">
          <cell r="J7529" t="str">
            <v>INV-050525151741</v>
          </cell>
          <cell r="K7529" t="str">
            <v>Paid</v>
          </cell>
        </row>
        <row r="7530">
          <cell r="J7530" t="str">
            <v>INV-040625115238</v>
          </cell>
          <cell r="K7530" t="str">
            <v>Paid</v>
          </cell>
        </row>
        <row r="7531">
          <cell r="J7531" t="str">
            <v>INV-030725115211</v>
          </cell>
          <cell r="K7531" t="str">
            <v>Paid</v>
          </cell>
        </row>
        <row r="7532">
          <cell r="J7532" t="str">
            <v>INV-040825185658</v>
          </cell>
          <cell r="K7532" t="str">
            <v>Paid</v>
          </cell>
        </row>
        <row r="7533">
          <cell r="J7533" t="str">
            <v>INV-020925181540</v>
          </cell>
          <cell r="K7533" t="str">
            <v>Paid</v>
          </cell>
        </row>
        <row r="7534">
          <cell r="J7534" t="str">
            <v>INV-021025181515</v>
          </cell>
          <cell r="K7534" t="str">
            <v>Paid</v>
          </cell>
        </row>
        <row r="7535">
          <cell r="J7535" t="str">
            <v>INV-051125095004</v>
          </cell>
          <cell r="K7535" t="str">
            <v>Paid</v>
          </cell>
        </row>
        <row r="7536">
          <cell r="J7536" t="str">
            <v>INV-021225193028</v>
          </cell>
          <cell r="K7536" t="str">
            <v>Paid</v>
          </cell>
        </row>
        <row r="7537">
          <cell r="J7537" t="str">
            <v>INV-020126164232</v>
          </cell>
          <cell r="K7537" t="str">
            <v>Paid</v>
          </cell>
        </row>
        <row r="7538">
          <cell r="J7538" t="str">
            <v>INV-030226100136</v>
          </cell>
          <cell r="K7538" t="str">
            <v>Paid</v>
          </cell>
        </row>
        <row r="7539">
          <cell r="J7539" t="str">
            <v>INV-030326092207</v>
          </cell>
          <cell r="K7539" t="str">
            <v>Paid</v>
          </cell>
        </row>
        <row r="7540">
          <cell r="J7540" t="str">
            <v>INV-010426175809</v>
          </cell>
          <cell r="K7540" t="str">
            <v>Paid</v>
          </cell>
        </row>
        <row r="7541">
          <cell r="J7541" t="str">
            <v>INV-040526125929</v>
          </cell>
          <cell r="K7541" t="str">
            <v>Paid</v>
          </cell>
        </row>
        <row r="7542">
          <cell r="J7542" t="str">
            <v>INV-010626191917</v>
          </cell>
          <cell r="K7542" t="str">
            <v>Paid</v>
          </cell>
        </row>
        <row r="7543">
          <cell r="J7543" t="str">
            <v>INV2021-EPI-001</v>
          </cell>
          <cell r="K7543" t="str">
            <v>Paid</v>
          </cell>
        </row>
        <row r="7544">
          <cell r="J7544" t="str">
            <v>HKCARDS0007</v>
          </cell>
          <cell r="K7544" t="str">
            <v>Paid</v>
          </cell>
        </row>
        <row r="7545">
          <cell r="J7545" t="str">
            <v>HKCARDS0013</v>
          </cell>
          <cell r="K7545" t="str">
            <v>Paid</v>
          </cell>
        </row>
        <row r="7546">
          <cell r="J7546" t="str">
            <v>HKCARDS0017</v>
          </cell>
          <cell r="K7546" t="str">
            <v>Paid</v>
          </cell>
        </row>
        <row r="7547">
          <cell r="J7547" t="str">
            <v>HKCARDS0023</v>
          </cell>
          <cell r="K7547" t="str">
            <v>Paid</v>
          </cell>
        </row>
        <row r="7548">
          <cell r="J7548" t="str">
            <v>HKCARDS0028</v>
          </cell>
          <cell r="K7548" t="str">
            <v>Paid</v>
          </cell>
        </row>
        <row r="7549">
          <cell r="J7549" t="str">
            <v>HKCARDS0032</v>
          </cell>
          <cell r="K7549" t="str">
            <v>Paid</v>
          </cell>
        </row>
        <row r="7550">
          <cell r="J7550" t="str">
            <v>HKCARDS0038</v>
          </cell>
          <cell r="K7550" t="str">
            <v>Paid</v>
          </cell>
        </row>
        <row r="7551">
          <cell r="J7551" t="str">
            <v>HKCARDS0042</v>
          </cell>
          <cell r="K7551" t="str">
            <v>Paid</v>
          </cell>
        </row>
        <row r="7552">
          <cell r="J7552" t="str">
            <v>HKCARDS0083</v>
          </cell>
          <cell r="K7552" t="str">
            <v>Paid</v>
          </cell>
        </row>
        <row r="7553">
          <cell r="J7553" t="str">
            <v>HKCARDS0088</v>
          </cell>
          <cell r="K7553" t="str">
            <v>Paid</v>
          </cell>
        </row>
        <row r="7554">
          <cell r="J7554" t="str">
            <v>HKCARDS0102</v>
          </cell>
          <cell r="K7554" t="str">
            <v>Paid</v>
          </cell>
        </row>
        <row r="7555">
          <cell r="J7555" t="str">
            <v>INV-021122173542</v>
          </cell>
          <cell r="K7555" t="str">
            <v>Paid</v>
          </cell>
        </row>
        <row r="7556">
          <cell r="J7556" t="str">
            <v>INV-021222032332</v>
          </cell>
          <cell r="K7556" t="str">
            <v>Paid</v>
          </cell>
        </row>
        <row r="7557">
          <cell r="J7557" t="str">
            <v>INV-040123011047</v>
          </cell>
          <cell r="K7557" t="str">
            <v>Paid</v>
          </cell>
        </row>
        <row r="7558">
          <cell r="J7558" t="str">
            <v>INV-020223025427</v>
          </cell>
          <cell r="K7558" t="str">
            <v>Paid</v>
          </cell>
        </row>
        <row r="7559">
          <cell r="J7559" t="str">
            <v>INV-020323012709</v>
          </cell>
          <cell r="K7559" t="str">
            <v>Paid</v>
          </cell>
        </row>
        <row r="7560">
          <cell r="J7560" t="str">
            <v>INV-031123170545</v>
          </cell>
          <cell r="K7560" t="str">
            <v>Paid</v>
          </cell>
        </row>
        <row r="7561">
          <cell r="J7561" t="str">
            <v>INV-030423233045</v>
          </cell>
          <cell r="K7561" t="str">
            <v>Paid</v>
          </cell>
        </row>
        <row r="7562">
          <cell r="J7562" t="str">
            <v>INV-040923152447</v>
          </cell>
          <cell r="K7562" t="str">
            <v>Paid</v>
          </cell>
        </row>
        <row r="7563">
          <cell r="J7563" t="str">
            <v>INV-020523190517</v>
          </cell>
          <cell r="K7563" t="str">
            <v>Paid</v>
          </cell>
        </row>
        <row r="7564">
          <cell r="J7564" t="str">
            <v>INV-051023121957</v>
          </cell>
          <cell r="K7564" t="str">
            <v>Paid</v>
          </cell>
        </row>
        <row r="7565">
          <cell r="J7565" t="str">
            <v>INV-051223123011</v>
          </cell>
          <cell r="K7565" t="str">
            <v>Paid</v>
          </cell>
        </row>
        <row r="7566">
          <cell r="J7566" t="str">
            <v>INV-020623193228</v>
          </cell>
          <cell r="K7566" t="str">
            <v>Paid</v>
          </cell>
        </row>
        <row r="7567">
          <cell r="J7567" t="str">
            <v>INV-040723110401</v>
          </cell>
          <cell r="K7567" t="str">
            <v>Paid</v>
          </cell>
        </row>
        <row r="7568">
          <cell r="J7568" t="str">
            <v>INV-030823143444</v>
          </cell>
          <cell r="K7568" t="str">
            <v>Paid</v>
          </cell>
        </row>
        <row r="7569">
          <cell r="J7569" t="str">
            <v>INV-040124163633</v>
          </cell>
          <cell r="K7569" t="str">
            <v>Paid</v>
          </cell>
        </row>
        <row r="7570">
          <cell r="J7570" t="str">
            <v>INV-070224095738</v>
          </cell>
          <cell r="K7570" t="str">
            <v>Paid</v>
          </cell>
        </row>
        <row r="7571">
          <cell r="J7571" t="str">
            <v>INV-060324105303</v>
          </cell>
          <cell r="K7571" t="str">
            <v>Paid</v>
          </cell>
        </row>
        <row r="7572">
          <cell r="J7572" t="str">
            <v>INV-060326152527</v>
          </cell>
          <cell r="K7572" t="str">
            <v>Paid</v>
          </cell>
        </row>
        <row r="7573">
          <cell r="J7573" t="str">
            <v>INV-020426184039</v>
          </cell>
          <cell r="K7573" t="str">
            <v>Paid</v>
          </cell>
        </row>
        <row r="7574">
          <cell r="J7574" t="str">
            <v>INV-050526093206</v>
          </cell>
          <cell r="K7574" t="str">
            <v>Paid</v>
          </cell>
        </row>
        <row r="7575">
          <cell r="J7575" t="str">
            <v>INV-020626110828</v>
          </cell>
          <cell r="K7575" t="str">
            <v>Paid</v>
          </cell>
        </row>
        <row r="7576">
          <cell r="J7576" t="str">
            <v>INV-050625151157</v>
          </cell>
          <cell r="K7576" t="str">
            <v>Paid</v>
          </cell>
        </row>
        <row r="7577">
          <cell r="J7577" t="str">
            <v>INV-040725113028</v>
          </cell>
          <cell r="K7577" t="str">
            <v>Paid</v>
          </cell>
        </row>
        <row r="7578">
          <cell r="J7578" t="str">
            <v>INV-050825152827</v>
          </cell>
          <cell r="K7578" t="str">
            <v>Paid</v>
          </cell>
        </row>
        <row r="7579">
          <cell r="J7579" t="str">
            <v>INV-030925081021</v>
          </cell>
          <cell r="K7579" t="str">
            <v>Paid</v>
          </cell>
        </row>
        <row r="7580">
          <cell r="J7580" t="str">
            <v>INV-031025182917</v>
          </cell>
          <cell r="K7580" t="str">
            <v>Paid</v>
          </cell>
        </row>
        <row r="7581">
          <cell r="J7581" t="str">
            <v>INV-061125131459</v>
          </cell>
          <cell r="K7581" t="str">
            <v>Paid</v>
          </cell>
        </row>
        <row r="7582">
          <cell r="J7582" t="str">
            <v>INV-031225121529</v>
          </cell>
          <cell r="K7582" t="str">
            <v>Paid</v>
          </cell>
        </row>
        <row r="7583">
          <cell r="J7583" t="str">
            <v>INV-050126184609</v>
          </cell>
          <cell r="K7583" t="str">
            <v>Paid</v>
          </cell>
        </row>
        <row r="7584">
          <cell r="J7584" t="str">
            <v>INV-040226171625</v>
          </cell>
          <cell r="K7584" t="str">
            <v>Paid</v>
          </cell>
        </row>
        <row r="7585">
          <cell r="J7585" t="str">
            <v>INV-040326135554</v>
          </cell>
          <cell r="K7585" t="str">
            <v>Paid</v>
          </cell>
        </row>
        <row r="7586">
          <cell r="J7586" t="str">
            <v>INV-030426170238</v>
          </cell>
          <cell r="K7586" t="str">
            <v>Paid</v>
          </cell>
        </row>
        <row r="7587">
          <cell r="J7587" t="str">
            <v>INV-040526204049</v>
          </cell>
          <cell r="K7587" t="str">
            <v>Outstanding</v>
          </cell>
        </row>
        <row r="7588">
          <cell r="J7588" t="str">
            <v>INV-030626161519</v>
          </cell>
          <cell r="K7588" t="str">
            <v>Outstanding</v>
          </cell>
        </row>
        <row r="7589">
          <cell r="J7589" t="str">
            <v>INV-050625152807</v>
          </cell>
          <cell r="K7589" t="str">
            <v>Paid</v>
          </cell>
        </row>
        <row r="7590">
          <cell r="J7590" t="str">
            <v>INV-040725110130</v>
          </cell>
          <cell r="K7590" t="str">
            <v>Paid</v>
          </cell>
        </row>
        <row r="7591">
          <cell r="J7591" t="str">
            <v>INV-050825160935</v>
          </cell>
          <cell r="K7591" t="str">
            <v>Paid</v>
          </cell>
        </row>
        <row r="7592">
          <cell r="J7592" t="str">
            <v>INV-030925083059</v>
          </cell>
          <cell r="K7592" t="str">
            <v>Paid</v>
          </cell>
        </row>
        <row r="7593">
          <cell r="J7593" t="str">
            <v>INV-061025111735</v>
          </cell>
          <cell r="K7593" t="str">
            <v>Paid</v>
          </cell>
        </row>
        <row r="7594">
          <cell r="J7594" t="str">
            <v>INV-061125150929</v>
          </cell>
          <cell r="K7594" t="str">
            <v>Paid</v>
          </cell>
        </row>
        <row r="7595">
          <cell r="J7595" t="str">
            <v>INV-031225125223</v>
          </cell>
          <cell r="K7595" t="str">
            <v>Paid</v>
          </cell>
        </row>
        <row r="7596">
          <cell r="J7596" t="str">
            <v>INV-050126190843</v>
          </cell>
          <cell r="K7596" t="str">
            <v>Paid</v>
          </cell>
        </row>
        <row r="7597">
          <cell r="J7597" t="str">
            <v>INV-040226181813</v>
          </cell>
          <cell r="K7597" t="str">
            <v>Paid</v>
          </cell>
        </row>
        <row r="7598">
          <cell r="J7598" t="str">
            <v>INV-040326162658</v>
          </cell>
          <cell r="K7598" t="str">
            <v>Paid</v>
          </cell>
        </row>
        <row r="7599">
          <cell r="J7599" t="str">
            <v>INV-030426193741</v>
          </cell>
          <cell r="K7599" t="str">
            <v>Paid</v>
          </cell>
        </row>
        <row r="7600">
          <cell r="J7600" t="str">
            <v>INV-040526222935</v>
          </cell>
          <cell r="K7600" t="str">
            <v>Paid</v>
          </cell>
        </row>
        <row r="7601">
          <cell r="J7601" t="str">
            <v>INV-030626165908</v>
          </cell>
          <cell r="K7601" t="str">
            <v>Outstanding</v>
          </cell>
        </row>
        <row r="7602">
          <cell r="J7602" t="str">
            <v>INV-060125173325</v>
          </cell>
          <cell r="K7602" t="str">
            <v>Paid</v>
          </cell>
        </row>
        <row r="7603">
          <cell r="J7603" t="str">
            <v>INV-050225155212</v>
          </cell>
          <cell r="K7603" t="str">
            <v>Paid</v>
          </cell>
        </row>
        <row r="7604">
          <cell r="J7604" t="str">
            <v>INV-040325184348</v>
          </cell>
          <cell r="K7604" t="str">
            <v>Paid</v>
          </cell>
        </row>
        <row r="7605">
          <cell r="J7605" t="str">
            <v>INV-020425185222</v>
          </cell>
          <cell r="K7605" t="str">
            <v>Paid</v>
          </cell>
        </row>
        <row r="7606">
          <cell r="J7606" t="str">
            <v>INV-050525173242</v>
          </cell>
          <cell r="K7606" t="str">
            <v>Net Off</v>
          </cell>
        </row>
        <row r="7607">
          <cell r="J7607" t="str">
            <v>INV-060625114540</v>
          </cell>
          <cell r="K7607" t="str">
            <v>Paid</v>
          </cell>
        </row>
        <row r="7608">
          <cell r="J7608" t="str">
            <v>INV-060625121720</v>
          </cell>
          <cell r="K7608" t="str">
            <v>Paid</v>
          </cell>
        </row>
        <row r="7609">
          <cell r="J7609" t="str">
            <v>CN-INV-050525173242</v>
          </cell>
          <cell r="K7609" t="str">
            <v>Net Off</v>
          </cell>
        </row>
        <row r="7610">
          <cell r="J7610" t="str">
            <v>INV-020725195454</v>
          </cell>
          <cell r="K7610" t="str">
            <v>Paid</v>
          </cell>
        </row>
        <row r="7611">
          <cell r="J7611" t="str">
            <v>INV-040825184649</v>
          </cell>
          <cell r="K7611" t="str">
            <v>Paid</v>
          </cell>
        </row>
        <row r="7612">
          <cell r="J7612" t="str">
            <v>INV-020925125429</v>
          </cell>
          <cell r="K7612" t="str">
            <v>Paid</v>
          </cell>
        </row>
        <row r="7613">
          <cell r="J7613" t="str">
            <v>INV-021025154145</v>
          </cell>
          <cell r="K7613" t="str">
            <v>Paid</v>
          </cell>
        </row>
        <row r="7614">
          <cell r="J7614" t="str">
            <v>INV-061125190516</v>
          </cell>
          <cell r="K7614" t="str">
            <v>Paid</v>
          </cell>
        </row>
        <row r="7615">
          <cell r="J7615" t="str">
            <v>CN-INV-061125190516</v>
          </cell>
          <cell r="K7615" t="str">
            <v>Paid</v>
          </cell>
        </row>
        <row r="7616">
          <cell r="J7616" t="str">
            <v>INV-031225114152</v>
          </cell>
          <cell r="K7616" t="str">
            <v>Paid</v>
          </cell>
        </row>
        <row r="7617">
          <cell r="J7617" t="str">
            <v>INV-020126174418</v>
          </cell>
          <cell r="K7617" t="str">
            <v>Paid</v>
          </cell>
        </row>
        <row r="7618">
          <cell r="J7618" t="str">
            <v>INV-030226101052</v>
          </cell>
          <cell r="K7618" t="str">
            <v>Paid</v>
          </cell>
        </row>
        <row r="7619">
          <cell r="J7619" t="str">
            <v>INV-030326121550</v>
          </cell>
          <cell r="K7619" t="str">
            <v>Paid</v>
          </cell>
        </row>
        <row r="7620">
          <cell r="J7620" t="str">
            <v>INV-010426174822</v>
          </cell>
          <cell r="K7620" t="str">
            <v>Paid</v>
          </cell>
        </row>
        <row r="7621">
          <cell r="J7621" t="str">
            <v>INV-060526192657</v>
          </cell>
          <cell r="K7621" t="str">
            <v>Paid</v>
          </cell>
        </row>
        <row r="7622">
          <cell r="J7622" t="str">
            <v>INV-030626153347</v>
          </cell>
          <cell r="K7622" t="str">
            <v>Paid</v>
          </cell>
        </row>
        <row r="7623">
          <cell r="J7623" t="str">
            <v>INV2021-EPS-001</v>
          </cell>
          <cell r="K7623" t="str">
            <v>Waived Off</v>
          </cell>
        </row>
        <row r="7624">
          <cell r="J7624" t="str">
            <v>INV-110526145754</v>
          </cell>
          <cell r="K7624" t="str">
            <v>Outstanding</v>
          </cell>
        </row>
        <row r="7625">
          <cell r="J7625" t="str">
            <v>INV-181225104616</v>
          </cell>
          <cell r="K7625" t="str">
            <v>Paid</v>
          </cell>
        </row>
        <row r="7626">
          <cell r="J7626" t="str">
            <v>INV-110225132938</v>
          </cell>
          <cell r="K7626" t="str">
            <v>Paid</v>
          </cell>
        </row>
        <row r="7627">
          <cell r="J7627" t="str">
            <v>INV-020625194906</v>
          </cell>
          <cell r="K7627" t="str">
            <v>Paid</v>
          </cell>
        </row>
        <row r="7628">
          <cell r="J7628" t="str">
            <v>INV-010925091851</v>
          </cell>
          <cell r="K7628" t="str">
            <v>Paid</v>
          </cell>
        </row>
        <row r="7629">
          <cell r="J7629" t="str">
            <v>INV-031025104052</v>
          </cell>
          <cell r="K7629" t="str">
            <v>Paid</v>
          </cell>
        </row>
        <row r="7630">
          <cell r="J7630" t="str">
            <v>INV-021225200651</v>
          </cell>
          <cell r="K7630" t="str">
            <v>Paid</v>
          </cell>
        </row>
        <row r="7631">
          <cell r="J7631" t="str">
            <v>INV-021225200014</v>
          </cell>
          <cell r="K7631" t="str">
            <v>Paid</v>
          </cell>
        </row>
        <row r="7632">
          <cell r="J7632" t="str">
            <v>INV-060226135736</v>
          </cell>
          <cell r="K7632" t="str">
            <v>Outstanding</v>
          </cell>
        </row>
        <row r="7633">
          <cell r="J7633" t="str">
            <v>INV-030326151733</v>
          </cell>
          <cell r="K7633" t="str">
            <v>Outstanding</v>
          </cell>
        </row>
        <row r="7634">
          <cell r="J7634" t="str">
            <v>INV-020426173052</v>
          </cell>
          <cell r="K7634" t="str">
            <v>Outstanding</v>
          </cell>
        </row>
        <row r="7635">
          <cell r="J7635" t="str">
            <v>INV-050526150527</v>
          </cell>
          <cell r="K7635" t="str">
            <v>Outstanding</v>
          </cell>
        </row>
        <row r="7636">
          <cell r="J7636" t="str">
            <v>INV-020626125728</v>
          </cell>
          <cell r="K7636" t="str">
            <v>Outstanding</v>
          </cell>
        </row>
        <row r="7637">
          <cell r="J7637" t="str">
            <v>INV-170223180014</v>
          </cell>
          <cell r="K7637" t="str">
            <v>Paid</v>
          </cell>
        </row>
        <row r="7638">
          <cell r="J7638" t="str">
            <v>INV-050523115751</v>
          </cell>
          <cell r="K7638" t="str">
            <v>Waived Off</v>
          </cell>
        </row>
        <row r="7639">
          <cell r="J7639" t="str">
            <v>INV-150923133943</v>
          </cell>
          <cell r="K7639" t="str">
            <v>Waived Off</v>
          </cell>
        </row>
        <row r="7640">
          <cell r="J7640" t="str">
            <v>INV-121225102235</v>
          </cell>
          <cell r="K7640" t="str">
            <v>Paid</v>
          </cell>
        </row>
        <row r="7641">
          <cell r="J7641" t="str">
            <v>INV-060326111243</v>
          </cell>
          <cell r="K7641" t="str">
            <v>Paid</v>
          </cell>
        </row>
        <row r="7642">
          <cell r="J7642" t="str">
            <v>INV-020426191851</v>
          </cell>
          <cell r="K7642" t="str">
            <v>Paid</v>
          </cell>
        </row>
        <row r="7643">
          <cell r="J7643" t="str">
            <v>INV-050526165209</v>
          </cell>
          <cell r="K7643" t="str">
            <v>Paid</v>
          </cell>
        </row>
        <row r="7644">
          <cell r="J7644" t="str">
            <v>INV-050626114427</v>
          </cell>
          <cell r="K7644" t="str">
            <v>Paid</v>
          </cell>
        </row>
        <row r="7645">
          <cell r="J7645" t="str">
            <v>INV-090925165512</v>
          </cell>
          <cell r="K7645" t="str">
            <v>Paid</v>
          </cell>
        </row>
        <row r="7646">
          <cell r="J7646" t="str">
            <v>INV-050126095427</v>
          </cell>
          <cell r="K7646" t="str">
            <v>Outstanding</v>
          </cell>
        </row>
        <row r="7647">
          <cell r="J7647" t="str">
            <v>INV-060226120820</v>
          </cell>
          <cell r="K7647" t="str">
            <v>Outstanding</v>
          </cell>
        </row>
        <row r="7648">
          <cell r="J7648" t="str">
            <v>INV-040326132912</v>
          </cell>
          <cell r="K7648" t="str">
            <v>Outstanding</v>
          </cell>
        </row>
        <row r="7649">
          <cell r="J7649" t="str">
            <v>INV-030426123312</v>
          </cell>
          <cell r="K7649" t="str">
            <v>Outstanding</v>
          </cell>
        </row>
        <row r="7650">
          <cell r="J7650" t="str">
            <v>INV-040526162158</v>
          </cell>
          <cell r="K7650" t="str">
            <v>Outstanding</v>
          </cell>
        </row>
        <row r="7651">
          <cell r="J7651" t="str">
            <v>INV2021-FBS-001</v>
          </cell>
          <cell r="K7651" t="str">
            <v>Paid</v>
          </cell>
        </row>
        <row r="7652">
          <cell r="J7652" t="str">
            <v>INV-050724170245</v>
          </cell>
          <cell r="K7652" t="str">
            <v>Paid</v>
          </cell>
        </row>
        <row r="7653">
          <cell r="J7653" t="str">
            <v>INV-110624125421</v>
          </cell>
          <cell r="K7653" t="str">
            <v>Paid</v>
          </cell>
        </row>
        <row r="7654">
          <cell r="J7654" t="str">
            <v>INV-090824185046</v>
          </cell>
          <cell r="K7654" t="str">
            <v>Paid</v>
          </cell>
        </row>
        <row r="7655">
          <cell r="J7655" t="str">
            <v>INV-090924170332</v>
          </cell>
          <cell r="K7655" t="str">
            <v>Paid</v>
          </cell>
        </row>
        <row r="7656">
          <cell r="J7656" t="str">
            <v>INV-091224150629</v>
          </cell>
          <cell r="K7656" t="str">
            <v>Paid</v>
          </cell>
        </row>
        <row r="7657">
          <cell r="J7657" t="str">
            <v>INV-081024105817</v>
          </cell>
          <cell r="K7657" t="str">
            <v>Paid</v>
          </cell>
        </row>
        <row r="7658">
          <cell r="J7658" t="str">
            <v>INV-071124183934</v>
          </cell>
          <cell r="K7658" t="str">
            <v>Paid</v>
          </cell>
        </row>
        <row r="7659">
          <cell r="J7659" t="str">
            <v>INV-080125112914</v>
          </cell>
          <cell r="K7659" t="str">
            <v>Paid</v>
          </cell>
        </row>
        <row r="7660">
          <cell r="J7660" t="str">
            <v>INV-070225163258</v>
          </cell>
          <cell r="K7660" t="str">
            <v>Paid</v>
          </cell>
        </row>
        <row r="7661">
          <cell r="J7661" t="str">
            <v>INV-070325111755</v>
          </cell>
          <cell r="K7661" t="str">
            <v>Paid</v>
          </cell>
        </row>
        <row r="7662">
          <cell r="J7662" t="str">
            <v>INV-040425173503</v>
          </cell>
          <cell r="K7662" t="str">
            <v>Paid</v>
          </cell>
        </row>
        <row r="7663">
          <cell r="J7663" t="str">
            <v>INV-070525093956</v>
          </cell>
          <cell r="K7663" t="str">
            <v>Paid</v>
          </cell>
        </row>
        <row r="7664">
          <cell r="J7664" t="str">
            <v>INV-050625191211</v>
          </cell>
          <cell r="K7664" t="str">
            <v>Paid</v>
          </cell>
        </row>
        <row r="7665">
          <cell r="J7665" t="str">
            <v>INV-260625093215</v>
          </cell>
          <cell r="K7665" t="str">
            <v>Paid</v>
          </cell>
        </row>
        <row r="7666">
          <cell r="J7666" t="str">
            <v>INV-050725115338</v>
          </cell>
          <cell r="K7666" t="str">
            <v>Paid</v>
          </cell>
        </row>
        <row r="7667">
          <cell r="J7667" t="str">
            <v>INV-070825093934</v>
          </cell>
          <cell r="K7667" t="str">
            <v>Paid</v>
          </cell>
        </row>
        <row r="7668">
          <cell r="J7668" t="str">
            <v>INV-050925125927</v>
          </cell>
          <cell r="K7668" t="str">
            <v>Paid</v>
          </cell>
        </row>
        <row r="7669">
          <cell r="J7669" t="str">
            <v>INV-061025213059</v>
          </cell>
          <cell r="K7669" t="str">
            <v>Paid</v>
          </cell>
        </row>
        <row r="7670">
          <cell r="J7670" t="str">
            <v>INV-061125172533</v>
          </cell>
          <cell r="K7670" t="str">
            <v>Paid</v>
          </cell>
        </row>
        <row r="7671">
          <cell r="J7671" t="str">
            <v>CN-INV-061025213059</v>
          </cell>
          <cell r="K7671" t="str">
            <v>Paid</v>
          </cell>
        </row>
        <row r="7672">
          <cell r="J7672" t="str">
            <v>INV-041225164530</v>
          </cell>
          <cell r="K7672" t="str">
            <v>Paid</v>
          </cell>
        </row>
        <row r="7673">
          <cell r="J7673" t="str">
            <v>INV-060126172556</v>
          </cell>
          <cell r="K7673" t="str">
            <v>Paid</v>
          </cell>
        </row>
        <row r="7674">
          <cell r="J7674" t="str">
            <v>INV-080226190250</v>
          </cell>
          <cell r="K7674" t="str">
            <v>Paid</v>
          </cell>
        </row>
        <row r="7675">
          <cell r="J7675" t="str">
            <v>INV-050326163610</v>
          </cell>
          <cell r="K7675" t="str">
            <v>Paid</v>
          </cell>
        </row>
        <row r="7676">
          <cell r="J7676" t="str">
            <v>INV-060426123818</v>
          </cell>
          <cell r="K7676" t="str">
            <v>Paid</v>
          </cell>
        </row>
        <row r="7677">
          <cell r="J7677" t="str">
            <v>INV-070526171516</v>
          </cell>
          <cell r="K7677" t="str">
            <v>Paid</v>
          </cell>
        </row>
        <row r="7678">
          <cell r="J7678" t="str">
            <v>CN-INV-130526184353</v>
          </cell>
          <cell r="K7678" t="str">
            <v>Paid</v>
          </cell>
        </row>
        <row r="7679">
          <cell r="J7679" t="str">
            <v>INV-040626183811</v>
          </cell>
          <cell r="K7679" t="str">
            <v>Paid</v>
          </cell>
        </row>
        <row r="7680">
          <cell r="J7680" t="str">
            <v>HKCARDS0001</v>
          </cell>
          <cell r="K7680" t="str">
            <v>Net Off</v>
          </cell>
        </row>
        <row r="7681">
          <cell r="J7681" t="str">
            <v>CNHKCARDS0002</v>
          </cell>
          <cell r="K7681" t="str">
            <v>Net Off</v>
          </cell>
        </row>
        <row r="7682">
          <cell r="J7682" t="str">
            <v>INV2021-FDE-002</v>
          </cell>
          <cell r="K7682" t="str">
            <v>Net Off</v>
          </cell>
        </row>
        <row r="7683">
          <cell r="J7683" t="str">
            <v>CN2021-FDE-001</v>
          </cell>
          <cell r="K7683" t="str">
            <v>Net Off</v>
          </cell>
        </row>
        <row r="7684">
          <cell r="J7684" t="str">
            <v>CN2021-FDE-002</v>
          </cell>
          <cell r="K7684" t="str">
            <v>Net Off</v>
          </cell>
        </row>
        <row r="7685">
          <cell r="J7685" t="str">
            <v>INV-110225170830</v>
          </cell>
          <cell r="K7685" t="str">
            <v>Paid</v>
          </cell>
        </row>
        <row r="7686">
          <cell r="J7686" t="str">
            <v>INV-040625120235</v>
          </cell>
          <cell r="K7686" t="str">
            <v>Paid</v>
          </cell>
        </row>
        <row r="7687">
          <cell r="J7687" t="str">
            <v>INV-030725151105</v>
          </cell>
          <cell r="K7687" t="str">
            <v>Paid</v>
          </cell>
        </row>
        <row r="7688">
          <cell r="J7688" t="str">
            <v>INV-040825193833</v>
          </cell>
          <cell r="K7688" t="str">
            <v>Paid</v>
          </cell>
        </row>
        <row r="7689">
          <cell r="J7689" t="str">
            <v>INV-020925160357</v>
          </cell>
          <cell r="K7689" t="str">
            <v>Paid</v>
          </cell>
        </row>
        <row r="7690">
          <cell r="J7690" t="str">
            <v>INV-021025191835</v>
          </cell>
          <cell r="K7690" t="str">
            <v>Paid</v>
          </cell>
        </row>
        <row r="7691">
          <cell r="J7691" t="str">
            <v>INV-041125173839</v>
          </cell>
          <cell r="K7691" t="str">
            <v>Paid</v>
          </cell>
        </row>
        <row r="7692">
          <cell r="J7692" t="str">
            <v>INV-031225113615</v>
          </cell>
          <cell r="K7692" t="str">
            <v>Paid</v>
          </cell>
        </row>
        <row r="7693">
          <cell r="J7693" t="str">
            <v>INV-020126193151</v>
          </cell>
          <cell r="K7693" t="str">
            <v>Paid</v>
          </cell>
        </row>
        <row r="7694">
          <cell r="J7694" t="str">
            <v>INV-040226203353</v>
          </cell>
          <cell r="K7694" t="str">
            <v>Paid</v>
          </cell>
        </row>
        <row r="7695">
          <cell r="J7695" t="str">
            <v>INV-030326103344</v>
          </cell>
          <cell r="K7695" t="str">
            <v>Paid</v>
          </cell>
        </row>
        <row r="7696">
          <cell r="J7696" t="str">
            <v>INV-010426170848</v>
          </cell>
          <cell r="K7696" t="str">
            <v>Paid</v>
          </cell>
        </row>
        <row r="7697">
          <cell r="J7697" t="str">
            <v>INV-040526152537</v>
          </cell>
          <cell r="K7697" t="str">
            <v>Paid</v>
          </cell>
        </row>
        <row r="7698">
          <cell r="J7698" t="str">
            <v>INV-010626194231</v>
          </cell>
          <cell r="K7698" t="str">
            <v>Outstanding</v>
          </cell>
        </row>
        <row r="7699">
          <cell r="J7699" t="str">
            <v>INV-041024171735</v>
          </cell>
          <cell r="K7699" t="str">
            <v>Paid</v>
          </cell>
        </row>
        <row r="7700">
          <cell r="J7700" t="str">
            <v>INV-030425193141</v>
          </cell>
          <cell r="K7700" t="str">
            <v>Paid</v>
          </cell>
        </row>
        <row r="7701">
          <cell r="J7701" t="str">
            <v>INV-061125101527</v>
          </cell>
          <cell r="K7701" t="str">
            <v>Paid</v>
          </cell>
        </row>
        <row r="7702">
          <cell r="J7702" t="str">
            <v>INV-031225181000</v>
          </cell>
          <cell r="K7702" t="str">
            <v>Paid</v>
          </cell>
        </row>
        <row r="7703">
          <cell r="J7703" t="str">
            <v>INV-050126111150</v>
          </cell>
          <cell r="K7703" t="str">
            <v>Paid</v>
          </cell>
        </row>
        <row r="7704">
          <cell r="J7704" t="str">
            <v>INV-050226031828</v>
          </cell>
          <cell r="K7704" t="str">
            <v>Paid</v>
          </cell>
        </row>
        <row r="7705">
          <cell r="J7705" t="str">
            <v>INV-030326161558</v>
          </cell>
          <cell r="K7705" t="str">
            <v>Paid</v>
          </cell>
        </row>
        <row r="7706">
          <cell r="J7706" t="str">
            <v>INV-020426162228</v>
          </cell>
          <cell r="K7706" t="str">
            <v>Paid</v>
          </cell>
        </row>
        <row r="7707">
          <cell r="J7707" t="str">
            <v>INV-040526193804</v>
          </cell>
          <cell r="K7707" t="str">
            <v>Paid</v>
          </cell>
        </row>
        <row r="7708">
          <cell r="J7708" t="str">
            <v>INV-020626150926</v>
          </cell>
          <cell r="K7708" t="str">
            <v>Outstanding</v>
          </cell>
        </row>
        <row r="7709">
          <cell r="J7709" t="str">
            <v>CARDS0023</v>
          </cell>
          <cell r="K7709" t="str">
            <v>Waived Off</v>
          </cell>
        </row>
        <row r="7710">
          <cell r="J7710" t="str">
            <v>INV2021-GET-006</v>
          </cell>
          <cell r="K7710" t="str">
            <v>Paid</v>
          </cell>
        </row>
        <row r="7711">
          <cell r="J7711" t="str">
            <v>INV2021-GET-007</v>
          </cell>
          <cell r="K7711" t="str">
            <v>Paid</v>
          </cell>
        </row>
        <row r="7712">
          <cell r="J7712" t="str">
            <v>CARDS0037</v>
          </cell>
          <cell r="K7712" t="str">
            <v>Waived Off</v>
          </cell>
        </row>
        <row r="7713">
          <cell r="J7713" t="str">
            <v>CARDS0052</v>
          </cell>
          <cell r="K7713" t="str">
            <v>Waived Off</v>
          </cell>
        </row>
        <row r="7714">
          <cell r="J7714" t="str">
            <v>DNCARDS0003</v>
          </cell>
          <cell r="K7714" t="str">
            <v>Waived Off</v>
          </cell>
        </row>
        <row r="7715">
          <cell r="J7715" t="str">
            <v>CARDS0074</v>
          </cell>
          <cell r="K7715" t="str">
            <v>Waived Off</v>
          </cell>
        </row>
        <row r="7716">
          <cell r="J7716" t="str">
            <v>CNCARDS0003</v>
          </cell>
          <cell r="K7716" t="str">
            <v>Waived Off</v>
          </cell>
        </row>
        <row r="7717">
          <cell r="J7717" t="str">
            <v>CARDS0087</v>
          </cell>
          <cell r="K7717" t="str">
            <v>Waived Off</v>
          </cell>
        </row>
        <row r="7718">
          <cell r="J7718" t="str">
            <v>CARDS0104</v>
          </cell>
          <cell r="K7718" t="str">
            <v>Waived Off</v>
          </cell>
        </row>
        <row r="7719">
          <cell r="J7719" t="str">
            <v>CARDS0123</v>
          </cell>
          <cell r="K7719" t="str">
            <v>Waived Off</v>
          </cell>
        </row>
        <row r="7720">
          <cell r="J7720" t="str">
            <v>CARDS0139</v>
          </cell>
          <cell r="K7720" t="str">
            <v>Waived Off</v>
          </cell>
        </row>
        <row r="7721">
          <cell r="J7721" t="str">
            <v>CNCARDS0008</v>
          </cell>
          <cell r="K7721" t="str">
            <v>Waived Off</v>
          </cell>
        </row>
        <row r="7722">
          <cell r="J7722" t="str">
            <v>CARDS0158</v>
          </cell>
          <cell r="K7722" t="str">
            <v>Waived Off</v>
          </cell>
        </row>
        <row r="7723">
          <cell r="J7723" t="str">
            <v>CARDS0174</v>
          </cell>
          <cell r="K7723" t="str">
            <v>Waived Off</v>
          </cell>
        </row>
        <row r="7724">
          <cell r="J7724" t="str">
            <v>CARDS0196</v>
          </cell>
          <cell r="K7724" t="str">
            <v>Waived Off</v>
          </cell>
        </row>
        <row r="7725">
          <cell r="J7725" t="str">
            <v>CARDS0216</v>
          </cell>
          <cell r="K7725" t="str">
            <v>Waived Off</v>
          </cell>
        </row>
        <row r="7726">
          <cell r="J7726" t="str">
            <v>CNCARDS0014</v>
          </cell>
          <cell r="K7726" t="str">
            <v>Waived Off</v>
          </cell>
        </row>
        <row r="7727">
          <cell r="J7727" t="str">
            <v>CARDS0233</v>
          </cell>
          <cell r="K7727" t="str">
            <v>Waived Off</v>
          </cell>
        </row>
        <row r="7728">
          <cell r="J7728" t="str">
            <v>CARDS0250</v>
          </cell>
          <cell r="K7728" t="str">
            <v>Waived Off</v>
          </cell>
        </row>
        <row r="7729">
          <cell r="J7729" t="str">
            <v>CARDS0271</v>
          </cell>
          <cell r="K7729" t="str">
            <v>Waived Off</v>
          </cell>
        </row>
        <row r="7730">
          <cell r="J7730" t="str">
            <v>DNCARDS0013</v>
          </cell>
          <cell r="K7730" t="str">
            <v>Waived Off</v>
          </cell>
        </row>
        <row r="7731">
          <cell r="J7731" t="str">
            <v>CARDS0289</v>
          </cell>
          <cell r="K7731" t="str">
            <v>Waived Off</v>
          </cell>
        </row>
        <row r="7732">
          <cell r="J7732" t="str">
            <v>CARDS0307</v>
          </cell>
          <cell r="K7732" t="str">
            <v>Waived Off</v>
          </cell>
        </row>
        <row r="7733">
          <cell r="J7733" t="str">
            <v>INV-020323180913</v>
          </cell>
          <cell r="K7733" t="str">
            <v>Paid</v>
          </cell>
        </row>
        <row r="7734">
          <cell r="J7734" t="str">
            <v>INV-031123145548</v>
          </cell>
          <cell r="K7734" t="str">
            <v>Paid</v>
          </cell>
        </row>
        <row r="7735">
          <cell r="J7735" t="str">
            <v>CN-280323205327</v>
          </cell>
          <cell r="K7735" t="str">
            <v>Paid</v>
          </cell>
        </row>
        <row r="7736">
          <cell r="J7736" t="str">
            <v>INV-040423143346</v>
          </cell>
          <cell r="K7736" t="str">
            <v>Paid</v>
          </cell>
        </row>
        <row r="7737">
          <cell r="J7737" t="str">
            <v>INV-040923170957</v>
          </cell>
          <cell r="K7737" t="str">
            <v>Paid</v>
          </cell>
        </row>
        <row r="7738">
          <cell r="J7738" t="str">
            <v>INV-030523174018</v>
          </cell>
          <cell r="K7738" t="str">
            <v>Paid</v>
          </cell>
        </row>
        <row r="7739">
          <cell r="J7739" t="str">
            <v>INV-051023110144</v>
          </cell>
          <cell r="K7739" t="str">
            <v>Paid</v>
          </cell>
        </row>
        <row r="7740">
          <cell r="J7740" t="str">
            <v>INV-051223154709</v>
          </cell>
          <cell r="K7740" t="str">
            <v>Paid</v>
          </cell>
        </row>
        <row r="7741">
          <cell r="J7741" t="str">
            <v>INV-050623151837</v>
          </cell>
          <cell r="K7741" t="str">
            <v>Paid</v>
          </cell>
        </row>
        <row r="7742">
          <cell r="J7742" t="str">
            <v>INV-040723111734</v>
          </cell>
          <cell r="K7742" t="str">
            <v>Paid</v>
          </cell>
        </row>
        <row r="7743">
          <cell r="J7743" t="str">
            <v>INV-030823114209</v>
          </cell>
          <cell r="K7743" t="str">
            <v>Paid</v>
          </cell>
        </row>
        <row r="7744">
          <cell r="J7744" t="str">
            <v>INV-050124123456</v>
          </cell>
          <cell r="K7744" t="str">
            <v>Paid</v>
          </cell>
        </row>
        <row r="7745">
          <cell r="J7745" t="str">
            <v>INV-070224125408</v>
          </cell>
          <cell r="K7745" t="str">
            <v>Paid</v>
          </cell>
        </row>
        <row r="7746">
          <cell r="J7746" t="str">
            <v>INV-060324181019</v>
          </cell>
          <cell r="K7746" t="str">
            <v>Paid</v>
          </cell>
        </row>
        <row r="7747">
          <cell r="J7747" t="str">
            <v>INV-050424193004</v>
          </cell>
          <cell r="K7747" t="str">
            <v>Paid</v>
          </cell>
        </row>
        <row r="7748">
          <cell r="J7748" t="str">
            <v>INV-050624170903</v>
          </cell>
          <cell r="K7748" t="str">
            <v>Paid</v>
          </cell>
        </row>
        <row r="7749">
          <cell r="J7749" t="str">
            <v>INV-070524105355</v>
          </cell>
          <cell r="K7749" t="str">
            <v>Paid</v>
          </cell>
        </row>
        <row r="7750">
          <cell r="J7750" t="str">
            <v>INV-050724091650</v>
          </cell>
          <cell r="K7750" t="str">
            <v>Paid</v>
          </cell>
        </row>
        <row r="7751">
          <cell r="J7751" t="str">
            <v>CN-INV-050424193004</v>
          </cell>
          <cell r="K7751" t="str">
            <v>Paid</v>
          </cell>
        </row>
        <row r="7752">
          <cell r="J7752" t="str">
            <v>INV-060824170227</v>
          </cell>
          <cell r="K7752" t="str">
            <v>Paid</v>
          </cell>
        </row>
        <row r="7753">
          <cell r="J7753" t="str">
            <v>INV-060924164337</v>
          </cell>
          <cell r="K7753" t="str">
            <v>Paid</v>
          </cell>
        </row>
        <row r="7754">
          <cell r="J7754" t="str">
            <v>CN-INV-240125160710</v>
          </cell>
          <cell r="K7754" t="str">
            <v>Net Off</v>
          </cell>
        </row>
        <row r="7755">
          <cell r="J7755" t="str">
            <v>HKCARDS0053</v>
          </cell>
          <cell r="K7755" t="str">
            <v>Waived Off</v>
          </cell>
        </row>
        <row r="7756">
          <cell r="J7756" t="str">
            <v>HKCARDS0061</v>
          </cell>
          <cell r="K7756" t="str">
            <v>Waived Off</v>
          </cell>
        </row>
        <row r="7757">
          <cell r="J7757" t="str">
            <v>HKCARDS0070</v>
          </cell>
          <cell r="K7757" t="str">
            <v>Waived Off</v>
          </cell>
        </row>
        <row r="7758">
          <cell r="J7758" t="str">
            <v>HKCARDS0079</v>
          </cell>
          <cell r="K7758" t="str">
            <v>Waived Off</v>
          </cell>
        </row>
        <row r="7759">
          <cell r="J7759" t="str">
            <v>HKCARDS0097</v>
          </cell>
          <cell r="K7759" t="str">
            <v>Waived Off</v>
          </cell>
        </row>
        <row r="7760">
          <cell r="J7760" t="str">
            <v>HKCARDS0111</v>
          </cell>
          <cell r="K7760" t="str">
            <v>Waived Off</v>
          </cell>
        </row>
        <row r="7761">
          <cell r="J7761" t="str">
            <v>INV-030423001335</v>
          </cell>
          <cell r="K7761" t="str">
            <v>Waived Off</v>
          </cell>
        </row>
        <row r="7762">
          <cell r="J7762" t="str">
            <v>UKCARDS0001</v>
          </cell>
          <cell r="K7762" t="str">
            <v>Paid</v>
          </cell>
        </row>
        <row r="7763">
          <cell r="J7763" t="str">
            <v>UKCARDS0003</v>
          </cell>
          <cell r="K7763" t="str">
            <v>Waived Off</v>
          </cell>
        </row>
        <row r="7764">
          <cell r="J7764" t="str">
            <v>INV-220524150506</v>
          </cell>
          <cell r="K7764" t="str">
            <v>Paid</v>
          </cell>
        </row>
        <row r="7765">
          <cell r="J7765" t="str">
            <v>INV-050324161740</v>
          </cell>
          <cell r="K7765" t="str">
            <v>Paid</v>
          </cell>
        </row>
        <row r="7766">
          <cell r="J7766" t="str">
            <v>CN-INV-290824125001</v>
          </cell>
          <cell r="K7766" t="str">
            <v>Paid</v>
          </cell>
        </row>
        <row r="7767">
          <cell r="J7767" t="str">
            <v>INV2021-GEP-001</v>
          </cell>
          <cell r="K7767" t="str">
            <v>Paid</v>
          </cell>
        </row>
        <row r="7768">
          <cell r="J7768" t="str">
            <v>INV2021-GEP-002</v>
          </cell>
          <cell r="K7768" t="str">
            <v>Paid</v>
          </cell>
        </row>
        <row r="7769">
          <cell r="J7769" t="str">
            <v>HKCARDS0050</v>
          </cell>
          <cell r="K7769" t="str">
            <v>Waived Off</v>
          </cell>
        </row>
        <row r="7770">
          <cell r="J7770" t="str">
            <v>HKCARDS0058</v>
          </cell>
          <cell r="K7770" t="str">
            <v>Waived Off</v>
          </cell>
        </row>
        <row r="7771">
          <cell r="J7771" t="str">
            <v>HKCARDS0067</v>
          </cell>
          <cell r="K7771" t="str">
            <v>Waived Off</v>
          </cell>
        </row>
        <row r="7772">
          <cell r="J7772" t="str">
            <v>HKCARDS0076</v>
          </cell>
          <cell r="K7772" t="str">
            <v>Waived Off</v>
          </cell>
        </row>
        <row r="7773">
          <cell r="J7773" t="str">
            <v>HKCARDS0108</v>
          </cell>
          <cell r="K7773" t="str">
            <v>Paid</v>
          </cell>
        </row>
        <row r="7774">
          <cell r="J7774" t="str">
            <v>CNHKCARDS0012</v>
          </cell>
          <cell r="K7774" t="str">
            <v>Paid</v>
          </cell>
        </row>
        <row r="7775">
          <cell r="J7775" t="str">
            <v>INV-021122063127</v>
          </cell>
          <cell r="K7775" t="str">
            <v>Paid</v>
          </cell>
        </row>
        <row r="7776">
          <cell r="J7776" t="str">
            <v>INV-021222022207</v>
          </cell>
          <cell r="K7776" t="str">
            <v>Paid</v>
          </cell>
        </row>
        <row r="7777">
          <cell r="J7777" t="str">
            <v>INV-030123142718</v>
          </cell>
          <cell r="K7777" t="str">
            <v>Paid</v>
          </cell>
        </row>
        <row r="7778">
          <cell r="J7778" t="str">
            <v>INV-020223041733</v>
          </cell>
          <cell r="K7778" t="str">
            <v>Paid</v>
          </cell>
        </row>
        <row r="7779">
          <cell r="J7779" t="str">
            <v>INV-020323032617</v>
          </cell>
          <cell r="K7779" t="str">
            <v>Paid</v>
          </cell>
        </row>
        <row r="7780">
          <cell r="J7780" t="str">
            <v>INV-031123174930</v>
          </cell>
          <cell r="K7780" t="str">
            <v>Paid</v>
          </cell>
        </row>
        <row r="7781">
          <cell r="J7781" t="str">
            <v>INV-030423000427</v>
          </cell>
          <cell r="K7781" t="str">
            <v>Paid</v>
          </cell>
        </row>
        <row r="7782">
          <cell r="J7782" t="str">
            <v>INV-020523214244</v>
          </cell>
          <cell r="K7782" t="str">
            <v>Paid</v>
          </cell>
        </row>
        <row r="7783">
          <cell r="J7783" t="str">
            <v>INV-050923101100</v>
          </cell>
          <cell r="K7783" t="str">
            <v>Paid</v>
          </cell>
        </row>
        <row r="7784">
          <cell r="J7784" t="str">
            <v>INV-051023144806</v>
          </cell>
          <cell r="K7784" t="str">
            <v>Paid</v>
          </cell>
        </row>
        <row r="7785">
          <cell r="J7785" t="str">
            <v>INV-051223101644</v>
          </cell>
          <cell r="K7785" t="str">
            <v>Paid</v>
          </cell>
        </row>
        <row r="7786">
          <cell r="J7786" t="str">
            <v>INV-020623185918</v>
          </cell>
          <cell r="K7786" t="str">
            <v>Paid</v>
          </cell>
        </row>
        <row r="7787">
          <cell r="J7787" t="str">
            <v>INV-040723171341</v>
          </cell>
          <cell r="K7787" t="str">
            <v>Paid</v>
          </cell>
        </row>
        <row r="7788">
          <cell r="J7788" t="str">
            <v>INV-030823153854</v>
          </cell>
          <cell r="K7788" t="str">
            <v>Paid</v>
          </cell>
        </row>
        <row r="7789">
          <cell r="J7789" t="str">
            <v>INV-050124134432</v>
          </cell>
          <cell r="K7789" t="str">
            <v>Paid</v>
          </cell>
        </row>
        <row r="7790">
          <cell r="J7790" t="str">
            <v>INV-060224183328</v>
          </cell>
          <cell r="K7790" t="str">
            <v>Paid</v>
          </cell>
        </row>
        <row r="7791">
          <cell r="J7791" t="str">
            <v>INV-060324123105</v>
          </cell>
          <cell r="K7791" t="str">
            <v>Paid</v>
          </cell>
        </row>
        <row r="7792">
          <cell r="J7792" t="str">
            <v>INV-050424080326</v>
          </cell>
          <cell r="K7792" t="str">
            <v>Paid</v>
          </cell>
        </row>
        <row r="7793">
          <cell r="J7793" t="str">
            <v>INV-040724190830</v>
          </cell>
          <cell r="K7793" t="str">
            <v>Paid</v>
          </cell>
        </row>
        <row r="7794">
          <cell r="J7794" t="str">
            <v>INV-050624120324</v>
          </cell>
          <cell r="K7794" t="str">
            <v>Paid</v>
          </cell>
        </row>
        <row r="7795">
          <cell r="J7795" t="str">
            <v>INV-070524134459</v>
          </cell>
          <cell r="K7795" t="str">
            <v>Paid</v>
          </cell>
        </row>
        <row r="7796">
          <cell r="J7796" t="str">
            <v>INV-050924171249</v>
          </cell>
          <cell r="K7796" t="str">
            <v>Paid</v>
          </cell>
        </row>
        <row r="7797">
          <cell r="J7797" t="str">
            <v>INV-061224162029</v>
          </cell>
          <cell r="K7797" t="str">
            <v>Paid</v>
          </cell>
        </row>
        <row r="7798">
          <cell r="J7798" t="str">
            <v>INV-070824101256</v>
          </cell>
          <cell r="K7798" t="str">
            <v>Paid</v>
          </cell>
        </row>
        <row r="7799">
          <cell r="J7799" t="str">
            <v>INV-071024170632</v>
          </cell>
          <cell r="K7799" t="str">
            <v>Paid</v>
          </cell>
        </row>
        <row r="7800">
          <cell r="J7800" t="str">
            <v>INV-071124175052</v>
          </cell>
          <cell r="K7800" t="str">
            <v>Paid</v>
          </cell>
        </row>
        <row r="7801">
          <cell r="J7801" t="str">
            <v>INV-070125122309</v>
          </cell>
          <cell r="K7801" t="str">
            <v>Paid</v>
          </cell>
        </row>
        <row r="7802">
          <cell r="J7802" t="str">
            <v>INV-070225104300</v>
          </cell>
          <cell r="K7802" t="str">
            <v>Paid</v>
          </cell>
        </row>
        <row r="7803">
          <cell r="J7803" t="str">
            <v>INV-050325173408</v>
          </cell>
          <cell r="K7803" t="str">
            <v>Paid</v>
          </cell>
        </row>
        <row r="7804">
          <cell r="J7804" t="str">
            <v>INV-030425183747</v>
          </cell>
          <cell r="K7804" t="str">
            <v>Paid</v>
          </cell>
        </row>
        <row r="7805">
          <cell r="J7805" t="str">
            <v>INV-060525114427</v>
          </cell>
          <cell r="K7805" t="str">
            <v>Paid</v>
          </cell>
        </row>
        <row r="7806">
          <cell r="J7806" t="str">
            <v>INV-050625142513</v>
          </cell>
          <cell r="K7806" t="str">
            <v>Paid</v>
          </cell>
        </row>
        <row r="7807">
          <cell r="J7807" t="str">
            <v>INV-070725095251</v>
          </cell>
          <cell r="K7807" t="str">
            <v>Paid</v>
          </cell>
        </row>
        <row r="7808">
          <cell r="J7808" t="str">
            <v>INV-060825113042</v>
          </cell>
          <cell r="K7808" t="str">
            <v>Paid</v>
          </cell>
        </row>
        <row r="7809">
          <cell r="J7809" t="str">
            <v>INV-040925135745</v>
          </cell>
          <cell r="K7809" t="str">
            <v>Paid</v>
          </cell>
        </row>
        <row r="7810">
          <cell r="J7810" t="str">
            <v>INV-061025142623</v>
          </cell>
          <cell r="K7810" t="str">
            <v>Paid</v>
          </cell>
        </row>
        <row r="7811">
          <cell r="J7811" t="str">
            <v>INV-061125113021</v>
          </cell>
          <cell r="K7811" t="str">
            <v>Paid</v>
          </cell>
        </row>
        <row r="7812">
          <cell r="J7812" t="str">
            <v>INV-041225160347</v>
          </cell>
          <cell r="K7812" t="str">
            <v>Paid</v>
          </cell>
        </row>
        <row r="7813">
          <cell r="J7813" t="str">
            <v>INV-060126162316</v>
          </cell>
          <cell r="K7813" t="str">
            <v>Paid</v>
          </cell>
        </row>
        <row r="7814">
          <cell r="J7814" t="str">
            <v>INV-070226150656</v>
          </cell>
          <cell r="K7814" t="str">
            <v>Paid</v>
          </cell>
        </row>
        <row r="7815">
          <cell r="J7815" t="str">
            <v>INV-050326132528</v>
          </cell>
          <cell r="K7815" t="str">
            <v>Paid</v>
          </cell>
        </row>
        <row r="7816">
          <cell r="J7816" t="str">
            <v>INV-030426173422</v>
          </cell>
          <cell r="K7816" t="str">
            <v>Paid</v>
          </cell>
        </row>
        <row r="7817">
          <cell r="J7817" t="str">
            <v>INV-070526124101</v>
          </cell>
          <cell r="K7817" t="str">
            <v>Outstanding</v>
          </cell>
        </row>
        <row r="7818">
          <cell r="J7818" t="str">
            <v>INV-030626171604</v>
          </cell>
          <cell r="K7818" t="str">
            <v>Outstanding</v>
          </cell>
        </row>
        <row r="7819">
          <cell r="J7819" t="str">
            <v>INV-120625131652</v>
          </cell>
          <cell r="K7819" t="str">
            <v>Paid</v>
          </cell>
        </row>
        <row r="7820">
          <cell r="J7820" t="str">
            <v>INV-030925131537</v>
          </cell>
          <cell r="K7820" t="str">
            <v>Paid</v>
          </cell>
        </row>
        <row r="7821">
          <cell r="J7821" t="str">
            <v>INV-031025193547</v>
          </cell>
          <cell r="K7821" t="str">
            <v>Paid</v>
          </cell>
        </row>
        <row r="7822">
          <cell r="J7822" t="str">
            <v>INV-051125184510</v>
          </cell>
          <cell r="K7822" t="str">
            <v>Paid</v>
          </cell>
        </row>
        <row r="7823">
          <cell r="J7823" t="str">
            <v>INV-031225182053</v>
          </cell>
          <cell r="K7823" t="str">
            <v>Paid</v>
          </cell>
        </row>
        <row r="7824">
          <cell r="J7824" t="str">
            <v>INV-060126090108</v>
          </cell>
          <cell r="K7824" t="str">
            <v>Paid</v>
          </cell>
        </row>
        <row r="7825">
          <cell r="J7825" t="str">
            <v>INV-060226113511</v>
          </cell>
          <cell r="K7825" t="str">
            <v>Paid</v>
          </cell>
        </row>
        <row r="7826">
          <cell r="J7826" t="str">
            <v>INV-050326103533</v>
          </cell>
          <cell r="K7826" t="str">
            <v>Paid</v>
          </cell>
        </row>
        <row r="7827">
          <cell r="J7827" t="str">
            <v>INV-030426125108</v>
          </cell>
          <cell r="K7827" t="str">
            <v>Paid</v>
          </cell>
        </row>
        <row r="7828">
          <cell r="J7828" t="str">
            <v>INV-050526181126</v>
          </cell>
          <cell r="K7828" t="str">
            <v>Paid</v>
          </cell>
        </row>
        <row r="7829">
          <cell r="J7829" t="str">
            <v>INV-050626115054</v>
          </cell>
          <cell r="K7829" t="str">
            <v>Outstanding</v>
          </cell>
        </row>
        <row r="7830">
          <cell r="J7830" t="str">
            <v>INV-051125174340</v>
          </cell>
          <cell r="K7830" t="str">
            <v>Paid</v>
          </cell>
        </row>
        <row r="7831">
          <cell r="J7831" t="str">
            <v>INV-021225174912</v>
          </cell>
          <cell r="K7831" t="str">
            <v>Paid</v>
          </cell>
        </row>
        <row r="7832">
          <cell r="J7832" t="str">
            <v>INV-050126153824</v>
          </cell>
          <cell r="K7832" t="str">
            <v>Paid</v>
          </cell>
        </row>
        <row r="7833">
          <cell r="J7833" t="str">
            <v>INV-030226120720</v>
          </cell>
          <cell r="K7833" t="str">
            <v>Paid</v>
          </cell>
        </row>
        <row r="7834">
          <cell r="J7834" t="str">
            <v>INV-030326125714</v>
          </cell>
          <cell r="K7834" t="str">
            <v>Paid</v>
          </cell>
        </row>
        <row r="7835">
          <cell r="J7835" t="str">
            <v>INV-010426185520</v>
          </cell>
          <cell r="K7835" t="str">
            <v>Paid</v>
          </cell>
        </row>
        <row r="7836">
          <cell r="J7836" t="str">
            <v>INV-060526164706</v>
          </cell>
          <cell r="K7836" t="str">
            <v>Paid</v>
          </cell>
        </row>
        <row r="7837">
          <cell r="J7837" t="str">
            <v>INV-040626154237</v>
          </cell>
          <cell r="K7837" t="str">
            <v>Paid</v>
          </cell>
        </row>
        <row r="7838">
          <cell r="J7838" t="str">
            <v>HKCARDS0037</v>
          </cell>
          <cell r="K7838" t="str">
            <v>Paid</v>
          </cell>
        </row>
        <row r="7839">
          <cell r="J7839" t="str">
            <v>HKCARDS0049</v>
          </cell>
          <cell r="K7839" t="str">
            <v>Net Off</v>
          </cell>
        </row>
        <row r="7840">
          <cell r="J7840" t="str">
            <v>HKCARDS0094</v>
          </cell>
          <cell r="K7840" t="str">
            <v>Net Off</v>
          </cell>
        </row>
        <row r="7841">
          <cell r="J7841" t="str">
            <v>CNHKCARDS0011</v>
          </cell>
          <cell r="K7841" t="str">
            <v>Net Off</v>
          </cell>
        </row>
        <row r="7842">
          <cell r="J7842" t="str">
            <v>HKCARDS0107</v>
          </cell>
          <cell r="K7842" t="str">
            <v>Paid</v>
          </cell>
        </row>
        <row r="7843">
          <cell r="J7843" t="str">
            <v>INV-021122132332</v>
          </cell>
          <cell r="K7843" t="str">
            <v>Paid</v>
          </cell>
        </row>
        <row r="7844">
          <cell r="J7844" t="str">
            <v>INV-021222140036</v>
          </cell>
          <cell r="K7844" t="str">
            <v>Paid</v>
          </cell>
        </row>
        <row r="7845">
          <cell r="J7845" t="str">
            <v>INV-040123012158</v>
          </cell>
          <cell r="K7845" t="str">
            <v>Paid</v>
          </cell>
        </row>
        <row r="7846">
          <cell r="J7846" t="str">
            <v>INV-020223042028</v>
          </cell>
          <cell r="K7846" t="str">
            <v>Paid</v>
          </cell>
        </row>
        <row r="7847">
          <cell r="J7847" t="str">
            <v>INV-020323033155</v>
          </cell>
          <cell r="K7847" t="str">
            <v>Paid</v>
          </cell>
        </row>
        <row r="7848">
          <cell r="J7848" t="str">
            <v>INV-031123183327</v>
          </cell>
          <cell r="K7848" t="str">
            <v>Paid</v>
          </cell>
        </row>
        <row r="7849">
          <cell r="J7849" t="str">
            <v>INV-040423002647</v>
          </cell>
          <cell r="K7849" t="str">
            <v>Paid</v>
          </cell>
        </row>
        <row r="7850">
          <cell r="J7850" t="str">
            <v>INV-020523232844</v>
          </cell>
          <cell r="K7850" t="str">
            <v>Paid</v>
          </cell>
        </row>
        <row r="7851">
          <cell r="J7851" t="str">
            <v>INV-050923105018</v>
          </cell>
          <cell r="K7851" t="str">
            <v>Paid</v>
          </cell>
        </row>
        <row r="7852">
          <cell r="J7852" t="str">
            <v>INV-051023150240</v>
          </cell>
          <cell r="K7852" t="str">
            <v>Paid</v>
          </cell>
        </row>
        <row r="7853">
          <cell r="J7853" t="str">
            <v>INV-051223111408</v>
          </cell>
          <cell r="K7853" t="str">
            <v>Paid</v>
          </cell>
        </row>
        <row r="7854">
          <cell r="J7854" t="str">
            <v>INV-020623191014</v>
          </cell>
          <cell r="K7854" t="str">
            <v>Paid</v>
          </cell>
        </row>
        <row r="7855">
          <cell r="J7855" t="str">
            <v>INV-040723152428</v>
          </cell>
          <cell r="K7855" t="str">
            <v>Paid</v>
          </cell>
        </row>
        <row r="7856">
          <cell r="J7856" t="str">
            <v>INV-030823162034</v>
          </cell>
          <cell r="K7856" t="str">
            <v>Paid</v>
          </cell>
        </row>
        <row r="7857">
          <cell r="J7857" t="str">
            <v>INV-050124125418</v>
          </cell>
          <cell r="K7857" t="str">
            <v>Paid</v>
          </cell>
        </row>
        <row r="7858">
          <cell r="J7858" t="str">
            <v>INV-060224181405</v>
          </cell>
          <cell r="K7858" t="str">
            <v>Paid</v>
          </cell>
        </row>
        <row r="7859">
          <cell r="J7859" t="str">
            <v>INV-060324120008</v>
          </cell>
          <cell r="K7859" t="str">
            <v>Paid</v>
          </cell>
        </row>
        <row r="7860">
          <cell r="J7860" t="str">
            <v>INV-060424115229</v>
          </cell>
          <cell r="K7860" t="str">
            <v>Paid</v>
          </cell>
        </row>
        <row r="7861">
          <cell r="J7861" t="str">
            <v>INV-050624143157</v>
          </cell>
          <cell r="K7861" t="str">
            <v>Paid</v>
          </cell>
        </row>
        <row r="7862">
          <cell r="J7862" t="str">
            <v>INV-070524140602</v>
          </cell>
          <cell r="K7862" t="str">
            <v>Paid</v>
          </cell>
        </row>
        <row r="7863">
          <cell r="J7863" t="str">
            <v>INV-050724102115</v>
          </cell>
          <cell r="K7863" t="str">
            <v>Paid</v>
          </cell>
        </row>
        <row r="7864">
          <cell r="J7864" t="str">
            <v>INV-070824111000</v>
          </cell>
          <cell r="K7864" t="str">
            <v>Paid</v>
          </cell>
        </row>
        <row r="7865">
          <cell r="J7865" t="str">
            <v>INV-071024181803</v>
          </cell>
          <cell r="K7865" t="str">
            <v>Paid</v>
          </cell>
        </row>
        <row r="7866">
          <cell r="J7866" t="str">
            <v>INV-081124150748</v>
          </cell>
          <cell r="K7866" t="str">
            <v>Paid</v>
          </cell>
        </row>
        <row r="7867">
          <cell r="J7867" t="str">
            <v>INV-090924124920</v>
          </cell>
          <cell r="K7867" t="str">
            <v>Paid</v>
          </cell>
        </row>
        <row r="7868">
          <cell r="J7868" t="str">
            <v>INV-061224172833</v>
          </cell>
          <cell r="K7868" t="str">
            <v>Paid</v>
          </cell>
        </row>
        <row r="7869">
          <cell r="J7869" t="str">
            <v>INV-070125122911</v>
          </cell>
          <cell r="K7869" t="str">
            <v>Paid</v>
          </cell>
        </row>
        <row r="7870">
          <cell r="J7870" t="str">
            <v>INV-070225103110</v>
          </cell>
          <cell r="K7870" t="str">
            <v>Paid</v>
          </cell>
        </row>
        <row r="7871">
          <cell r="J7871" t="str">
            <v>INV-050325174530</v>
          </cell>
          <cell r="K7871" t="str">
            <v>Paid</v>
          </cell>
        </row>
        <row r="7872">
          <cell r="J7872" t="str">
            <v>INV-030425184525</v>
          </cell>
          <cell r="K7872" t="str">
            <v>Paid</v>
          </cell>
        </row>
        <row r="7873">
          <cell r="J7873" t="str">
            <v>INV-110425163005</v>
          </cell>
          <cell r="K7873" t="str">
            <v>Paid</v>
          </cell>
        </row>
        <row r="7874">
          <cell r="J7874" t="str">
            <v>INV-060526225354</v>
          </cell>
          <cell r="K7874" t="str">
            <v>Paid</v>
          </cell>
        </row>
        <row r="7875">
          <cell r="J7875" t="str">
            <v>INV-050626131948</v>
          </cell>
          <cell r="K7875" t="str">
            <v>Paid</v>
          </cell>
        </row>
        <row r="7876">
          <cell r="J7876" t="str">
            <v>INV-250326154417</v>
          </cell>
          <cell r="K7876" t="str">
            <v>Paid</v>
          </cell>
        </row>
        <row r="7877">
          <cell r="J7877" t="str">
            <v>INV-080426104349</v>
          </cell>
          <cell r="K7877" t="str">
            <v>Outstanding</v>
          </cell>
        </row>
        <row r="7878">
          <cell r="J7878" t="str">
            <v>INV-110526134838</v>
          </cell>
          <cell r="K7878" t="str">
            <v>Outstanding</v>
          </cell>
        </row>
        <row r="7879">
          <cell r="J7879" t="str">
            <v>INV-050626142540</v>
          </cell>
          <cell r="K7879" t="str">
            <v>Outstanding</v>
          </cell>
        </row>
        <row r="7880">
          <cell r="J7880" t="str">
            <v>INV-300824181629</v>
          </cell>
          <cell r="K7880" t="str">
            <v>Paid</v>
          </cell>
        </row>
        <row r="7881">
          <cell r="J7881" t="str">
            <v>INV-030125180553</v>
          </cell>
          <cell r="K7881" t="str">
            <v>Paid</v>
          </cell>
        </row>
        <row r="7882">
          <cell r="J7882" t="str">
            <v>INV-050225125845</v>
          </cell>
          <cell r="K7882" t="str">
            <v>Paid</v>
          </cell>
        </row>
        <row r="7883">
          <cell r="J7883" t="str">
            <v>INV-050325095226</v>
          </cell>
          <cell r="K7883" t="str">
            <v>Paid</v>
          </cell>
        </row>
        <row r="7884">
          <cell r="J7884" t="str">
            <v>INV-020425201320</v>
          </cell>
          <cell r="K7884" t="str">
            <v>Paid</v>
          </cell>
        </row>
        <row r="7885">
          <cell r="J7885" t="str">
            <v>INV-050525152349</v>
          </cell>
          <cell r="K7885" t="str">
            <v>Paid</v>
          </cell>
        </row>
        <row r="7886">
          <cell r="J7886" t="str">
            <v>INV-040625131446</v>
          </cell>
          <cell r="K7886" t="str">
            <v>Paid</v>
          </cell>
        </row>
        <row r="7887">
          <cell r="J7887" t="str">
            <v>INV-030725105825</v>
          </cell>
          <cell r="K7887" t="str">
            <v>Paid</v>
          </cell>
        </row>
        <row r="7888">
          <cell r="J7888" t="str">
            <v>INV-050825110915</v>
          </cell>
          <cell r="K7888" t="str">
            <v>Paid</v>
          </cell>
        </row>
        <row r="7889">
          <cell r="J7889" t="str">
            <v>INV-020925162520</v>
          </cell>
          <cell r="K7889" t="str">
            <v>Paid</v>
          </cell>
        </row>
        <row r="7890">
          <cell r="J7890" t="str">
            <v>INV-021025164321</v>
          </cell>
          <cell r="K7890" t="str">
            <v>Paid</v>
          </cell>
        </row>
        <row r="7891">
          <cell r="J7891" t="str">
            <v>INV-051125100011</v>
          </cell>
          <cell r="K7891" t="str">
            <v>Paid</v>
          </cell>
        </row>
        <row r="7892">
          <cell r="J7892" t="str">
            <v>INV-021225181139</v>
          </cell>
          <cell r="K7892" t="str">
            <v>Paid</v>
          </cell>
        </row>
        <row r="7893">
          <cell r="J7893" t="str">
            <v>INV-020226221846</v>
          </cell>
          <cell r="K7893" t="str">
            <v>Paid</v>
          </cell>
        </row>
        <row r="7894">
          <cell r="J7894" t="str">
            <v>INV-020326194750</v>
          </cell>
          <cell r="K7894" t="str">
            <v>Paid</v>
          </cell>
        </row>
        <row r="7895">
          <cell r="J7895" t="str">
            <v>INV-020426125723</v>
          </cell>
          <cell r="K7895" t="str">
            <v>Paid</v>
          </cell>
        </row>
        <row r="7896">
          <cell r="J7896" t="str">
            <v>INV-040526124041</v>
          </cell>
          <cell r="K7896" t="str">
            <v>Paid</v>
          </cell>
        </row>
        <row r="7897">
          <cell r="J7897" t="str">
            <v>INV-010626190230</v>
          </cell>
          <cell r="K7897" t="str">
            <v>Paid</v>
          </cell>
        </row>
        <row r="7898">
          <cell r="J7898" t="str">
            <v>INV-060125133439</v>
          </cell>
          <cell r="K7898" t="str">
            <v>Paid</v>
          </cell>
        </row>
        <row r="7899">
          <cell r="J7899" t="str">
            <v>INV-050225162023</v>
          </cell>
          <cell r="K7899" t="str">
            <v>Paid</v>
          </cell>
        </row>
        <row r="7900">
          <cell r="J7900" t="str">
            <v>INV-040325192119</v>
          </cell>
          <cell r="K7900" t="str">
            <v>Paid</v>
          </cell>
        </row>
        <row r="7901">
          <cell r="J7901" t="str">
            <v>INV-030425131619</v>
          </cell>
          <cell r="K7901" t="str">
            <v>Paid</v>
          </cell>
        </row>
        <row r="7902">
          <cell r="J7902" t="str">
            <v>INV-170425130539</v>
          </cell>
          <cell r="K7902" t="str">
            <v>Paid</v>
          </cell>
        </row>
        <row r="7903">
          <cell r="J7903" t="str">
            <v>INV-050525172128</v>
          </cell>
          <cell r="K7903" t="str">
            <v>Paid</v>
          </cell>
        </row>
        <row r="7904">
          <cell r="J7904" t="str">
            <v>INV-040625111735</v>
          </cell>
          <cell r="K7904" t="str">
            <v>Paid</v>
          </cell>
        </row>
        <row r="7905">
          <cell r="J7905" t="str">
            <v>INV-020725173902</v>
          </cell>
          <cell r="K7905" t="str">
            <v>Paid</v>
          </cell>
        </row>
        <row r="7906">
          <cell r="J7906" t="str">
            <v>INV-040825134130</v>
          </cell>
          <cell r="K7906" t="str">
            <v>Paid</v>
          </cell>
        </row>
        <row r="7907">
          <cell r="J7907" t="str">
            <v>INV-020925152407</v>
          </cell>
          <cell r="K7907" t="str">
            <v>Paid</v>
          </cell>
        </row>
        <row r="7908">
          <cell r="J7908" t="str">
            <v>INV-021025135644</v>
          </cell>
          <cell r="K7908" t="str">
            <v>Paid</v>
          </cell>
        </row>
        <row r="7909">
          <cell r="J7909" t="str">
            <v>INV-041125162504</v>
          </cell>
          <cell r="K7909" t="str">
            <v>Paid</v>
          </cell>
        </row>
        <row r="7910">
          <cell r="J7910" t="str">
            <v>INV-021225154117</v>
          </cell>
          <cell r="K7910" t="str">
            <v>Paid</v>
          </cell>
        </row>
        <row r="7911">
          <cell r="J7911" t="str">
            <v>INV-020126171358</v>
          </cell>
          <cell r="K7911" t="str">
            <v>Paid</v>
          </cell>
        </row>
        <row r="7912">
          <cell r="J7912" t="str">
            <v>INV-020226191052</v>
          </cell>
          <cell r="K7912" t="str">
            <v>Paid</v>
          </cell>
        </row>
        <row r="7913">
          <cell r="J7913" t="str">
            <v>INV-020326192002</v>
          </cell>
          <cell r="K7913" t="str">
            <v>Paid</v>
          </cell>
        </row>
        <row r="7914">
          <cell r="J7914" t="str">
            <v>INV-010426152601</v>
          </cell>
          <cell r="K7914" t="str">
            <v>Paid</v>
          </cell>
        </row>
        <row r="7915">
          <cell r="J7915" t="str">
            <v>INV-040526132053</v>
          </cell>
          <cell r="K7915" t="str">
            <v>Paid</v>
          </cell>
        </row>
        <row r="7916">
          <cell r="J7916" t="str">
            <v>INV-010626175940</v>
          </cell>
          <cell r="K7916" t="str">
            <v>Paid</v>
          </cell>
        </row>
        <row r="7917">
          <cell r="J7917" t="str">
            <v>INV-050526151431</v>
          </cell>
          <cell r="K7917" t="str">
            <v>Paid</v>
          </cell>
        </row>
        <row r="7918">
          <cell r="J7918" t="str">
            <v>INV-020626115655</v>
          </cell>
          <cell r="K7918" t="str">
            <v>Paid</v>
          </cell>
        </row>
        <row r="7919">
          <cell r="J7919" t="str">
            <v>INV-031024130015</v>
          </cell>
          <cell r="K7919" t="str">
            <v>Paid</v>
          </cell>
        </row>
        <row r="7920">
          <cell r="J7920" t="str">
            <v>INV-031224182433</v>
          </cell>
          <cell r="K7920" t="str">
            <v>Paid</v>
          </cell>
        </row>
        <row r="7921">
          <cell r="J7921" t="str">
            <v>INV-050924110606</v>
          </cell>
          <cell r="K7921" t="str">
            <v>Paid</v>
          </cell>
        </row>
        <row r="7922">
          <cell r="J7922" t="str">
            <v>INV-131124125333</v>
          </cell>
          <cell r="K7922" t="str">
            <v>Paid</v>
          </cell>
        </row>
        <row r="7923">
          <cell r="J7923" t="str">
            <v>INV-030125165714</v>
          </cell>
          <cell r="K7923" t="str">
            <v>Paid</v>
          </cell>
        </row>
        <row r="7924">
          <cell r="J7924" t="str">
            <v>INV-050225122000</v>
          </cell>
          <cell r="K7924" t="str">
            <v>Paid</v>
          </cell>
        </row>
        <row r="7925">
          <cell r="J7925" t="str">
            <v>INV-040325172017</v>
          </cell>
          <cell r="K7925" t="str">
            <v>Paid</v>
          </cell>
        </row>
        <row r="7926">
          <cell r="J7926" t="str">
            <v>INV-030425115426</v>
          </cell>
          <cell r="K7926" t="str">
            <v>Paid</v>
          </cell>
        </row>
        <row r="7927">
          <cell r="J7927" t="str">
            <v>INV-050525170034</v>
          </cell>
          <cell r="K7927" t="str">
            <v>Paid</v>
          </cell>
        </row>
        <row r="7928">
          <cell r="J7928" t="str">
            <v>INV-030625173247</v>
          </cell>
          <cell r="K7928" t="str">
            <v>Paid</v>
          </cell>
        </row>
        <row r="7929">
          <cell r="J7929" t="str">
            <v>INV-030725174030</v>
          </cell>
          <cell r="K7929" t="str">
            <v>Paid</v>
          </cell>
        </row>
        <row r="7930">
          <cell r="J7930" t="str">
            <v>INV-050825122429</v>
          </cell>
          <cell r="K7930" t="str">
            <v>Paid</v>
          </cell>
        </row>
        <row r="7931">
          <cell r="J7931" t="str">
            <v>INV-030925090551</v>
          </cell>
          <cell r="K7931" t="str">
            <v>Paid</v>
          </cell>
        </row>
        <row r="7932">
          <cell r="J7932" t="str">
            <v>INV-021025162106</v>
          </cell>
          <cell r="K7932" t="str">
            <v>Paid</v>
          </cell>
        </row>
        <row r="7933">
          <cell r="J7933" t="str">
            <v>INV-061125153249</v>
          </cell>
          <cell r="K7933" t="str">
            <v>Paid</v>
          </cell>
        </row>
        <row r="7934">
          <cell r="J7934" t="str">
            <v>INV-021225183415</v>
          </cell>
          <cell r="K7934" t="str">
            <v>Paid</v>
          </cell>
        </row>
        <row r="7935">
          <cell r="J7935" t="str">
            <v>INV-050126152156</v>
          </cell>
          <cell r="K7935" t="str">
            <v>Paid</v>
          </cell>
        </row>
        <row r="7936">
          <cell r="J7936" t="str">
            <v>INV-020226175351</v>
          </cell>
          <cell r="K7936" t="str">
            <v>Paid</v>
          </cell>
        </row>
        <row r="7937">
          <cell r="J7937" t="str">
            <v>INV-030326150329</v>
          </cell>
          <cell r="K7937" t="str">
            <v>Paid</v>
          </cell>
        </row>
        <row r="7938">
          <cell r="J7938" t="str">
            <v>INV-020426115108</v>
          </cell>
          <cell r="K7938" t="str">
            <v>Paid</v>
          </cell>
        </row>
        <row r="7939">
          <cell r="J7939" t="str">
            <v>INV-040526115212</v>
          </cell>
          <cell r="K7939" t="str">
            <v>Paid</v>
          </cell>
        </row>
        <row r="7940">
          <cell r="J7940" t="str">
            <v>INV-010626180340</v>
          </cell>
          <cell r="K7940" t="str">
            <v>Paid</v>
          </cell>
        </row>
        <row r="7941">
          <cell r="J7941" t="str">
            <v>INV-300924111758</v>
          </cell>
          <cell r="K7941" t="str">
            <v>Paid</v>
          </cell>
        </row>
        <row r="7942">
          <cell r="J7942" t="str">
            <v>INV-050225181235</v>
          </cell>
          <cell r="K7942" t="str">
            <v>Paid</v>
          </cell>
        </row>
        <row r="7943">
          <cell r="J7943" t="str">
            <v>INV-040325191041</v>
          </cell>
          <cell r="K7943" t="str">
            <v>Paid</v>
          </cell>
        </row>
        <row r="7944">
          <cell r="J7944" t="str">
            <v>INV-030425123914</v>
          </cell>
          <cell r="K7944" t="str">
            <v>Paid</v>
          </cell>
        </row>
        <row r="7945">
          <cell r="J7945" t="str">
            <v>INV-050525175352</v>
          </cell>
          <cell r="K7945" t="str">
            <v>Paid</v>
          </cell>
        </row>
        <row r="7946">
          <cell r="J7946" t="str">
            <v>INV-040625130810</v>
          </cell>
          <cell r="K7946" t="str">
            <v>Paid</v>
          </cell>
        </row>
        <row r="7947">
          <cell r="J7947" t="str">
            <v>INV-020725194147</v>
          </cell>
          <cell r="K7947" t="str">
            <v>Paid</v>
          </cell>
        </row>
        <row r="7948">
          <cell r="J7948" t="str">
            <v>INV-040825154931</v>
          </cell>
          <cell r="K7948" t="str">
            <v>Paid</v>
          </cell>
        </row>
        <row r="7949">
          <cell r="J7949" t="str">
            <v>INV-030925093254</v>
          </cell>
          <cell r="K7949" t="str">
            <v>Paid</v>
          </cell>
        </row>
        <row r="7950">
          <cell r="J7950" t="str">
            <v>INV-031025141602</v>
          </cell>
          <cell r="K7950" t="str">
            <v>Paid</v>
          </cell>
        </row>
        <row r="7951">
          <cell r="J7951" t="str">
            <v>INV-051125153010</v>
          </cell>
          <cell r="K7951" t="str">
            <v>Paid</v>
          </cell>
        </row>
        <row r="7952">
          <cell r="J7952" t="str">
            <v>INV-031225120809</v>
          </cell>
          <cell r="K7952" t="str">
            <v>Paid</v>
          </cell>
        </row>
        <row r="7953">
          <cell r="J7953" t="str">
            <v>INV-060126092635</v>
          </cell>
          <cell r="K7953" t="str">
            <v>Paid</v>
          </cell>
        </row>
        <row r="7954">
          <cell r="J7954" t="str">
            <v>INV-030226111338</v>
          </cell>
          <cell r="K7954" t="str">
            <v>Paid</v>
          </cell>
        </row>
        <row r="7955">
          <cell r="J7955" t="str">
            <v>INV-040326103800</v>
          </cell>
          <cell r="K7955" t="str">
            <v>Paid</v>
          </cell>
        </row>
        <row r="7956">
          <cell r="J7956" t="str">
            <v>INV-020426130646</v>
          </cell>
          <cell r="K7956" t="str">
            <v>Paid</v>
          </cell>
        </row>
        <row r="7957">
          <cell r="J7957" t="str">
            <v>INV-040526130934</v>
          </cell>
          <cell r="K7957" t="str">
            <v>Paid</v>
          </cell>
        </row>
        <row r="7958">
          <cell r="J7958" t="str">
            <v>INV-020626184321</v>
          </cell>
          <cell r="K7958" t="str">
            <v>Paid</v>
          </cell>
        </row>
        <row r="7959">
          <cell r="J7959" t="str">
            <v>INV-230223101328</v>
          </cell>
          <cell r="K7959" t="str">
            <v>Paid</v>
          </cell>
        </row>
        <row r="7960">
          <cell r="J7960" t="str">
            <v>INV-050923165139</v>
          </cell>
          <cell r="K7960" t="str">
            <v>Paid</v>
          </cell>
        </row>
        <row r="7961">
          <cell r="J7961" t="str">
            <v>INV-051023185140</v>
          </cell>
          <cell r="K7961" t="str">
            <v>Paid</v>
          </cell>
        </row>
        <row r="7962">
          <cell r="J7962" t="str">
            <v>INV-160623130512</v>
          </cell>
          <cell r="K7962" t="str">
            <v>Paid</v>
          </cell>
        </row>
        <row r="7963">
          <cell r="J7963" t="str">
            <v>INV-050723140732</v>
          </cell>
          <cell r="K7963" t="str">
            <v>Paid</v>
          </cell>
        </row>
        <row r="7964">
          <cell r="J7964" t="str">
            <v>INV-040823131602</v>
          </cell>
          <cell r="K7964" t="str">
            <v>Paid</v>
          </cell>
        </row>
        <row r="7965">
          <cell r="J7965" t="str">
            <v>INV-061123154141</v>
          </cell>
          <cell r="K7965" t="str">
            <v>Paid</v>
          </cell>
        </row>
        <row r="7966">
          <cell r="J7966" t="str">
            <v>INV-050923172015</v>
          </cell>
          <cell r="K7966" t="str">
            <v>Paid</v>
          </cell>
        </row>
        <row r="7967">
          <cell r="J7967" t="str">
            <v>INV-051023182421</v>
          </cell>
          <cell r="K7967" t="str">
            <v>Paid</v>
          </cell>
        </row>
        <row r="7968">
          <cell r="J7968" t="str">
            <v>INV-160623112306</v>
          </cell>
          <cell r="K7968" t="str">
            <v>Paid</v>
          </cell>
        </row>
        <row r="7969">
          <cell r="J7969" t="str">
            <v>INV-050723143354</v>
          </cell>
          <cell r="K7969" t="str">
            <v>Paid</v>
          </cell>
        </row>
        <row r="7970">
          <cell r="J7970" t="str">
            <v>INV-040823111331</v>
          </cell>
          <cell r="K7970" t="str">
            <v>Paid</v>
          </cell>
        </row>
        <row r="7971">
          <cell r="J7971" t="str">
            <v>INV-061123155704</v>
          </cell>
          <cell r="K7971" t="str">
            <v>Paid</v>
          </cell>
        </row>
        <row r="7972">
          <cell r="J7972" t="str">
            <v>INV-050923174304</v>
          </cell>
          <cell r="K7972" t="str">
            <v>Paid</v>
          </cell>
        </row>
        <row r="7973">
          <cell r="J7973" t="str">
            <v>INV-051023181223</v>
          </cell>
          <cell r="K7973" t="str">
            <v>Paid</v>
          </cell>
        </row>
        <row r="7974">
          <cell r="J7974" t="str">
            <v>INV-061123160324</v>
          </cell>
          <cell r="K7974" t="str">
            <v>Paid</v>
          </cell>
        </row>
        <row r="7975">
          <cell r="J7975" t="str">
            <v>INV-160623110158</v>
          </cell>
          <cell r="K7975" t="str">
            <v>Paid</v>
          </cell>
        </row>
        <row r="7976">
          <cell r="J7976" t="str">
            <v>INV-050723144958</v>
          </cell>
          <cell r="K7976" t="str">
            <v>Paid</v>
          </cell>
        </row>
        <row r="7977">
          <cell r="J7977" t="str">
            <v>INV-040823130608</v>
          </cell>
          <cell r="K7977" t="str">
            <v>Paid</v>
          </cell>
        </row>
        <row r="7978">
          <cell r="J7978" t="str">
            <v>INV-061123161430</v>
          </cell>
          <cell r="K7978" t="str">
            <v>Paid</v>
          </cell>
        </row>
        <row r="7979">
          <cell r="J7979" t="str">
            <v>INV-050923170902</v>
          </cell>
          <cell r="K7979" t="str">
            <v>Paid</v>
          </cell>
        </row>
        <row r="7980">
          <cell r="J7980" t="str">
            <v>INV-051023183709</v>
          </cell>
          <cell r="K7980" t="str">
            <v>Paid</v>
          </cell>
        </row>
        <row r="7981">
          <cell r="J7981" t="str">
            <v>INV-040823133455</v>
          </cell>
          <cell r="K7981" t="str">
            <v>Paid</v>
          </cell>
        </row>
        <row r="7982">
          <cell r="J7982" t="str">
            <v>INV-051125130433</v>
          </cell>
          <cell r="K7982" t="str">
            <v>Paid</v>
          </cell>
        </row>
        <row r="7983">
          <cell r="J7983" t="str">
            <v>INV-040625192401</v>
          </cell>
          <cell r="K7983" t="str">
            <v>Paid</v>
          </cell>
        </row>
        <row r="7984">
          <cell r="J7984" t="str">
            <v>INV-030725145844</v>
          </cell>
          <cell r="K7984" t="str">
            <v>Paid</v>
          </cell>
        </row>
        <row r="7985">
          <cell r="J7985" t="str">
            <v>INV-040825194237</v>
          </cell>
          <cell r="K7985" t="str">
            <v>Paid</v>
          </cell>
        </row>
        <row r="7986">
          <cell r="J7986" t="str">
            <v>INV-020925155514</v>
          </cell>
          <cell r="K7986" t="str">
            <v>Paid</v>
          </cell>
        </row>
        <row r="7987">
          <cell r="J7987" t="str">
            <v>INV-031025165151</v>
          </cell>
          <cell r="K7987" t="str">
            <v>Paid</v>
          </cell>
        </row>
        <row r="7988">
          <cell r="J7988" t="str">
            <v>INV-041125174920</v>
          </cell>
          <cell r="K7988" t="str">
            <v>Paid</v>
          </cell>
        </row>
        <row r="7989">
          <cell r="J7989" t="str">
            <v>INV-031225112803</v>
          </cell>
          <cell r="K7989" t="str">
            <v>Paid</v>
          </cell>
        </row>
        <row r="7990">
          <cell r="J7990" t="str">
            <v>INV-020126195315</v>
          </cell>
          <cell r="K7990" t="str">
            <v>Paid</v>
          </cell>
        </row>
        <row r="7991">
          <cell r="J7991" t="str">
            <v>INV-040226204605</v>
          </cell>
          <cell r="K7991" t="str">
            <v>Paid</v>
          </cell>
        </row>
        <row r="7992">
          <cell r="J7992" t="str">
            <v>INV-030326102913</v>
          </cell>
          <cell r="K7992" t="str">
            <v>Paid</v>
          </cell>
        </row>
        <row r="7993">
          <cell r="J7993" t="str">
            <v>INV-010426171818</v>
          </cell>
          <cell r="K7993" t="str">
            <v>Paid</v>
          </cell>
        </row>
        <row r="7994">
          <cell r="J7994" t="str">
            <v>INV-040526154325</v>
          </cell>
          <cell r="K7994" t="str">
            <v>Paid</v>
          </cell>
        </row>
        <row r="7995">
          <cell r="J7995" t="str">
            <v>INV-020626163823</v>
          </cell>
          <cell r="K7995" t="str">
            <v>Paid</v>
          </cell>
        </row>
        <row r="7996">
          <cell r="J7996" t="str">
            <v>HKCARDS0045</v>
          </cell>
          <cell r="K7996" t="str">
            <v>Waived Off</v>
          </cell>
        </row>
        <row r="7997">
          <cell r="J7997" t="str">
            <v>HKCARDS0055</v>
          </cell>
          <cell r="K7997" t="str">
            <v>Waived Off</v>
          </cell>
        </row>
        <row r="7998">
          <cell r="J7998" t="str">
            <v>HKCARDS0063</v>
          </cell>
          <cell r="K7998" t="str">
            <v>Waived Off</v>
          </cell>
        </row>
        <row r="7999">
          <cell r="J7999" t="str">
            <v>HKCARDS0072</v>
          </cell>
          <cell r="K7999" t="str">
            <v>Waived Off</v>
          </cell>
        </row>
        <row r="8000">
          <cell r="J8000" t="str">
            <v>HKCARDS0090</v>
          </cell>
          <cell r="K8000" t="str">
            <v>Waived Off</v>
          </cell>
        </row>
        <row r="8001">
          <cell r="J8001" t="str">
            <v>HKCARDS0104</v>
          </cell>
          <cell r="K8001" t="str">
            <v>Waived Off</v>
          </cell>
        </row>
        <row r="8002">
          <cell r="J8002" t="str">
            <v>INV-021122062803</v>
          </cell>
          <cell r="K8002" t="str">
            <v>Waived Off</v>
          </cell>
        </row>
        <row r="8003">
          <cell r="J8003" t="str">
            <v>INV-030123141224</v>
          </cell>
          <cell r="K8003" t="str">
            <v>Waived Off</v>
          </cell>
        </row>
        <row r="8004">
          <cell r="J8004" t="str">
            <v>INV-020323032842</v>
          </cell>
          <cell r="K8004" t="str">
            <v>Waived Off</v>
          </cell>
        </row>
        <row r="8005">
          <cell r="J8005" t="str">
            <v>INV-020523200805</v>
          </cell>
          <cell r="K8005" t="str">
            <v>Waived Off</v>
          </cell>
        </row>
        <row r="8006">
          <cell r="J8006" t="str">
            <v>INV-050923094715</v>
          </cell>
          <cell r="K8006" t="str">
            <v>Waived Off</v>
          </cell>
        </row>
        <row r="8007">
          <cell r="J8007" t="str">
            <v>INV-020623182843</v>
          </cell>
          <cell r="K8007" t="str">
            <v>Waived Off</v>
          </cell>
        </row>
        <row r="8008">
          <cell r="J8008" t="str">
            <v>INV-040723124213</v>
          </cell>
          <cell r="K8008" t="str">
            <v>Waived Off</v>
          </cell>
        </row>
        <row r="8009">
          <cell r="J8009" t="str">
            <v>INV-030823140629</v>
          </cell>
          <cell r="K8009" t="str">
            <v>Waived Off</v>
          </cell>
        </row>
        <row r="8010">
          <cell r="J8010" t="str">
            <v>INV-021222021104</v>
          </cell>
          <cell r="K8010" t="str">
            <v>Waived Off</v>
          </cell>
        </row>
        <row r="8011">
          <cell r="J8011" t="str">
            <v>CARDS0151</v>
          </cell>
          <cell r="K8011" t="str">
            <v>Paid</v>
          </cell>
        </row>
        <row r="8012">
          <cell r="J8012" t="str">
            <v>NV2022-HLF-001</v>
          </cell>
          <cell r="K8012" t="str">
            <v>Paid</v>
          </cell>
        </row>
        <row r="8013">
          <cell r="J8013" t="str">
            <v>CARDS0210</v>
          </cell>
          <cell r="K8013" t="str">
            <v>Paid</v>
          </cell>
        </row>
        <row r="8014">
          <cell r="J8014" t="str">
            <v>CARDS0263</v>
          </cell>
          <cell r="K8014" t="str">
            <v>Paid</v>
          </cell>
        </row>
        <row r="8015">
          <cell r="J8015" t="str">
            <v>INV2022-HLF-003</v>
          </cell>
          <cell r="K8015" t="str">
            <v>Paid</v>
          </cell>
        </row>
        <row r="8016">
          <cell r="J8016" t="str">
            <v>CARDS0281</v>
          </cell>
          <cell r="K8016" t="str">
            <v>Paid</v>
          </cell>
        </row>
        <row r="8017">
          <cell r="J8017" t="str">
            <v>CARDS0296</v>
          </cell>
          <cell r="K8017" t="str">
            <v>Paid</v>
          </cell>
        </row>
        <row r="8018">
          <cell r="J8018" t="str">
            <v>CNCARDS0022</v>
          </cell>
          <cell r="K8018" t="str">
            <v>Paid</v>
          </cell>
        </row>
        <row r="8019">
          <cell r="J8019" t="str">
            <v>DNCARDS0020</v>
          </cell>
          <cell r="K8019" t="str">
            <v>Paid</v>
          </cell>
        </row>
        <row r="8020">
          <cell r="J8020" t="str">
            <v>CARDS0313</v>
          </cell>
          <cell r="K8020" t="str">
            <v>Paid</v>
          </cell>
        </row>
        <row r="8021">
          <cell r="J8021" t="str">
            <v>CARDS0327</v>
          </cell>
          <cell r="K8021" t="str">
            <v>Paid</v>
          </cell>
        </row>
        <row r="8022">
          <cell r="J8022" t="str">
            <v>CARDS0340</v>
          </cell>
          <cell r="K8022" t="str">
            <v>Paid</v>
          </cell>
        </row>
        <row r="8023">
          <cell r="J8023" t="str">
            <v>INV-021122043058</v>
          </cell>
          <cell r="K8023" t="str">
            <v>Paid</v>
          </cell>
        </row>
        <row r="8024">
          <cell r="J8024" t="str">
            <v>INV-021222143714</v>
          </cell>
          <cell r="K8024" t="str">
            <v>Paid</v>
          </cell>
        </row>
        <row r="8025">
          <cell r="J8025" t="str">
            <v>CN30122022192635</v>
          </cell>
          <cell r="K8025" t="str">
            <v>Paid</v>
          </cell>
        </row>
        <row r="8026">
          <cell r="J8026" t="str">
            <v>INV-040123171308</v>
          </cell>
          <cell r="K8026" t="str">
            <v>Paid</v>
          </cell>
        </row>
        <row r="8027">
          <cell r="J8027" t="str">
            <v>CN-021122043058</v>
          </cell>
          <cell r="K8027" t="str">
            <v>Paid</v>
          </cell>
        </row>
        <row r="8028">
          <cell r="J8028" t="str">
            <v>DN-021222143714</v>
          </cell>
          <cell r="K8028" t="str">
            <v>Paid</v>
          </cell>
        </row>
        <row r="8029">
          <cell r="J8029" t="str">
            <v>CN-180123151022</v>
          </cell>
          <cell r="K8029" t="str">
            <v>Paid</v>
          </cell>
        </row>
        <row r="8030">
          <cell r="J8030" t="str">
            <v>INV-030223160924</v>
          </cell>
          <cell r="K8030" t="str">
            <v>Paid</v>
          </cell>
        </row>
        <row r="8031">
          <cell r="J8031" t="str">
            <v>CN-120423141052</v>
          </cell>
          <cell r="K8031" t="str">
            <v>Paid</v>
          </cell>
        </row>
        <row r="8032">
          <cell r="J8032" t="str">
            <v>CN-120423142931</v>
          </cell>
          <cell r="K8032" t="str">
            <v>Paid</v>
          </cell>
        </row>
        <row r="8033">
          <cell r="J8033" t="str">
            <v>CN-170523141011</v>
          </cell>
          <cell r="K8033" t="str">
            <v>Paid</v>
          </cell>
        </row>
        <row r="8034">
          <cell r="J8034" t="str">
            <v>INV-030523185011</v>
          </cell>
          <cell r="K8034" t="str">
            <v>Paid</v>
          </cell>
        </row>
        <row r="8035">
          <cell r="J8035" t="str">
            <v>INV-050923114042</v>
          </cell>
          <cell r="K8035" t="str">
            <v>Paid</v>
          </cell>
        </row>
        <row r="8036">
          <cell r="J8036" t="str">
            <v>CN-100523152237</v>
          </cell>
          <cell r="K8036" t="str">
            <v>Paid</v>
          </cell>
        </row>
        <row r="8037">
          <cell r="J8037" t="str">
            <v>CN-170523152332</v>
          </cell>
          <cell r="K8037" t="str">
            <v>Paid</v>
          </cell>
        </row>
        <row r="8038">
          <cell r="J8038" t="str">
            <v>INV-050623131731</v>
          </cell>
          <cell r="K8038" t="str">
            <v>Paid</v>
          </cell>
        </row>
        <row r="8039">
          <cell r="J8039" t="str">
            <v xml:space="preserve">INV-080623-CR-1852 </v>
          </cell>
          <cell r="K8039" t="str">
            <v>Paid</v>
          </cell>
        </row>
        <row r="8040">
          <cell r="J8040" t="str">
            <v>INV-061023122112</v>
          </cell>
          <cell r="K8040" t="str">
            <v>Paid</v>
          </cell>
        </row>
        <row r="8041">
          <cell r="J8041" t="str">
            <v>INV-061223091757</v>
          </cell>
          <cell r="K8041" t="str">
            <v>Paid</v>
          </cell>
        </row>
        <row r="8042">
          <cell r="J8042" t="str">
            <v>INV-070723-DFE</v>
          </cell>
          <cell r="K8042" t="str">
            <v>Paid</v>
          </cell>
        </row>
        <row r="8043">
          <cell r="J8043" t="str">
            <v>INV-030823115150</v>
          </cell>
          <cell r="K8043" t="str">
            <v>Paid</v>
          </cell>
        </row>
        <row r="8044">
          <cell r="J8044" t="str">
            <v>INV-090124091920</v>
          </cell>
          <cell r="K8044" t="str">
            <v>Paid</v>
          </cell>
        </row>
        <row r="8045">
          <cell r="J8045" t="str">
            <v>INV-061123172342</v>
          </cell>
          <cell r="K8045" t="str">
            <v>Paid</v>
          </cell>
        </row>
        <row r="8046">
          <cell r="J8046" t="str">
            <v>INV-020323192743</v>
          </cell>
          <cell r="K8046" t="str">
            <v>Paid</v>
          </cell>
        </row>
        <row r="8047">
          <cell r="J8047" t="str">
            <v>INV-040423012020</v>
          </cell>
          <cell r="K8047" t="str">
            <v>Paid</v>
          </cell>
        </row>
        <row r="8048">
          <cell r="J8048" t="str">
            <v>INV-040723164129</v>
          </cell>
          <cell r="K8048" t="str">
            <v>Paid</v>
          </cell>
        </row>
        <row r="8049">
          <cell r="J8049" t="str">
            <v>INV-090224092723</v>
          </cell>
          <cell r="K8049" t="str">
            <v>Paid</v>
          </cell>
        </row>
        <row r="8050">
          <cell r="J8050" t="str">
            <v>INV-160324103338</v>
          </cell>
          <cell r="K8050" t="str">
            <v>Paid</v>
          </cell>
        </row>
        <row r="8051">
          <cell r="J8051" t="str">
            <v>INV-060424151742</v>
          </cell>
          <cell r="K8051" t="str">
            <v>Paid</v>
          </cell>
        </row>
        <row r="8052">
          <cell r="J8052" t="str">
            <v>INV-100524122142</v>
          </cell>
          <cell r="K8052" t="str">
            <v>Paid</v>
          </cell>
        </row>
        <row r="8053">
          <cell r="J8053" t="str">
            <v>INV-060724131904</v>
          </cell>
          <cell r="K8053" t="str">
            <v>Paid</v>
          </cell>
        </row>
        <row r="8054">
          <cell r="J8054" t="str">
            <v>INV-110624092439</v>
          </cell>
          <cell r="K8054" t="str">
            <v>Paid</v>
          </cell>
        </row>
        <row r="8055">
          <cell r="J8055" t="str">
            <v>CN-INV-190624174810</v>
          </cell>
          <cell r="K8055" t="str">
            <v>Paid</v>
          </cell>
        </row>
        <row r="8056">
          <cell r="J8056" t="str">
            <v>INV-020323192743_R</v>
          </cell>
          <cell r="K8056" t="str">
            <v>Paid</v>
          </cell>
        </row>
        <row r="8057">
          <cell r="J8057" t="str">
            <v>INV-040423012020_R</v>
          </cell>
          <cell r="K8057" t="str">
            <v>Paid</v>
          </cell>
        </row>
        <row r="8058">
          <cell r="J8058" t="str">
            <v>INV-040723164129_R</v>
          </cell>
          <cell r="K8058" t="str">
            <v>Paid</v>
          </cell>
        </row>
        <row r="8059">
          <cell r="J8059" t="str">
            <v>INV-061123172342_R</v>
          </cell>
          <cell r="K8059" t="str">
            <v>Paid</v>
          </cell>
        </row>
        <row r="8060">
          <cell r="J8060" t="str">
            <v>INV-160324103338_R</v>
          </cell>
          <cell r="K8060" t="str">
            <v>Paid</v>
          </cell>
        </row>
        <row r="8061">
          <cell r="J8061" t="str">
            <v>INV-080824094030</v>
          </cell>
          <cell r="K8061" t="str">
            <v>Paid</v>
          </cell>
        </row>
        <row r="8062">
          <cell r="J8062" t="str">
            <v>INV-090924175949</v>
          </cell>
          <cell r="K8062" t="str">
            <v>Paid</v>
          </cell>
        </row>
        <row r="8063">
          <cell r="J8063" t="str">
            <v>INV-091024115301</v>
          </cell>
          <cell r="K8063" t="str">
            <v>Paid</v>
          </cell>
        </row>
        <row r="8064">
          <cell r="J8064" t="str">
            <v>INV-111024174735</v>
          </cell>
          <cell r="K8064" t="str">
            <v>Paid</v>
          </cell>
        </row>
        <row r="8065">
          <cell r="J8065" t="str">
            <v>INV-291024140500</v>
          </cell>
          <cell r="K8065" t="str">
            <v>Paid</v>
          </cell>
        </row>
        <row r="8066">
          <cell r="J8066" t="str">
            <v>INV-291024143100</v>
          </cell>
          <cell r="K8066" t="str">
            <v>Paid</v>
          </cell>
        </row>
        <row r="8067">
          <cell r="J8067" t="str">
            <v>INV-291024145400</v>
          </cell>
          <cell r="K8067" t="str">
            <v>Paid</v>
          </cell>
        </row>
        <row r="8068">
          <cell r="J8068" t="str">
            <v>INV-291024150400</v>
          </cell>
          <cell r="K8068" t="str">
            <v>Paid</v>
          </cell>
        </row>
        <row r="8069">
          <cell r="J8069" t="str">
            <v>INV-291024152100</v>
          </cell>
          <cell r="K8069" t="str">
            <v>Paid</v>
          </cell>
        </row>
        <row r="8070">
          <cell r="J8070" t="str">
            <v>INV-081124174031</v>
          </cell>
          <cell r="K8070" t="str">
            <v>Paid</v>
          </cell>
        </row>
        <row r="8071">
          <cell r="J8071" t="str">
            <v>INV-191124185536</v>
          </cell>
          <cell r="K8071" t="str">
            <v>Paid</v>
          </cell>
        </row>
        <row r="8072">
          <cell r="J8072" t="str">
            <v>INV-101224094537</v>
          </cell>
          <cell r="K8072" t="str">
            <v>Paid</v>
          </cell>
        </row>
        <row r="8073">
          <cell r="J8073" t="str">
            <v>INV-070125134003</v>
          </cell>
          <cell r="K8073" t="str">
            <v>Paid</v>
          </cell>
        </row>
        <row r="8074">
          <cell r="J8074" t="str">
            <v>HKCARDS0046</v>
          </cell>
          <cell r="K8074" t="str">
            <v>Waived Off</v>
          </cell>
        </row>
        <row r="8075">
          <cell r="J8075" t="str">
            <v>HKCARDS0064</v>
          </cell>
          <cell r="K8075" t="str">
            <v>Waived Off</v>
          </cell>
        </row>
        <row r="8076">
          <cell r="J8076" t="str">
            <v>HKCARDS0073</v>
          </cell>
          <cell r="K8076" t="str">
            <v>Waived Off</v>
          </cell>
        </row>
        <row r="8077">
          <cell r="J8077" t="str">
            <v>HKCARDS0091</v>
          </cell>
          <cell r="K8077" t="str">
            <v>Waived Off</v>
          </cell>
        </row>
        <row r="8078">
          <cell r="J8078" t="str">
            <v>INV-130226161341</v>
          </cell>
          <cell r="K8078" t="str">
            <v>Paid</v>
          </cell>
        </row>
        <row r="8079">
          <cell r="J8079" t="str">
            <v>INV-020426180801</v>
          </cell>
          <cell r="K8079" t="str">
            <v>Outstanding</v>
          </cell>
        </row>
        <row r="8080">
          <cell r="J8080" t="str">
            <v>INV-020626105038</v>
          </cell>
          <cell r="K8080" t="str">
            <v>Outstanding</v>
          </cell>
        </row>
        <row r="8081">
          <cell r="J8081" t="str">
            <v>HKCARDS0047</v>
          </cell>
          <cell r="K8081" t="str">
            <v>Waived Off</v>
          </cell>
        </row>
        <row r="8082">
          <cell r="J8082" t="str">
            <v>HKCARDS0056</v>
          </cell>
          <cell r="K8082" t="str">
            <v>Waived Off</v>
          </cell>
        </row>
        <row r="8083">
          <cell r="J8083" t="str">
            <v>HKCARDS0065</v>
          </cell>
          <cell r="K8083" t="str">
            <v>Waived Off</v>
          </cell>
        </row>
        <row r="8084">
          <cell r="J8084" t="str">
            <v>HKCARDS0074</v>
          </cell>
          <cell r="K8084" t="str">
            <v>Waived Off</v>
          </cell>
        </row>
        <row r="8085">
          <cell r="J8085" t="str">
            <v>HKCARDS0092</v>
          </cell>
          <cell r="K8085" t="str">
            <v>Waived Off</v>
          </cell>
        </row>
        <row r="8086">
          <cell r="J8086" t="str">
            <v>HKCARDS0105</v>
          </cell>
          <cell r="K8086" t="str">
            <v>Waived Off</v>
          </cell>
        </row>
        <row r="8087">
          <cell r="J8087" t="str">
            <v>INV-021122062947</v>
          </cell>
          <cell r="K8087" t="str">
            <v>Waived Off</v>
          </cell>
        </row>
        <row r="8088">
          <cell r="J8088" t="str">
            <v>INV-021222021755</v>
          </cell>
          <cell r="K8088" t="str">
            <v>Waived Off</v>
          </cell>
        </row>
        <row r="8089">
          <cell r="J8089" t="str">
            <v>INV-030123141944</v>
          </cell>
          <cell r="K8089" t="str">
            <v>Waived Off</v>
          </cell>
        </row>
        <row r="8090">
          <cell r="J8090" t="str">
            <v>INV-020223040955</v>
          </cell>
          <cell r="K8090" t="str">
            <v>Waived Off</v>
          </cell>
        </row>
        <row r="8091">
          <cell r="J8091" t="str">
            <v>INV-020323031652</v>
          </cell>
          <cell r="K8091" t="str">
            <v>Waived Off</v>
          </cell>
        </row>
        <row r="8092">
          <cell r="J8092" t="str">
            <v>INV-020423235946</v>
          </cell>
          <cell r="K8092" t="str">
            <v>Waived Off</v>
          </cell>
        </row>
        <row r="8093">
          <cell r="J8093" t="str">
            <v>INV-020523201519</v>
          </cell>
          <cell r="K8093" t="str">
            <v>Waived Off</v>
          </cell>
        </row>
        <row r="8094">
          <cell r="J8094" t="str">
            <v>INV-050923094410</v>
          </cell>
          <cell r="K8094" t="str">
            <v>Waived Off</v>
          </cell>
        </row>
        <row r="8095">
          <cell r="J8095" t="str">
            <v>INV-051023132557</v>
          </cell>
          <cell r="K8095" t="str">
            <v>Waived Off</v>
          </cell>
        </row>
        <row r="8096">
          <cell r="J8096" t="str">
            <v>INV-020623182846</v>
          </cell>
          <cell r="K8096" t="str">
            <v>Waived Off</v>
          </cell>
        </row>
        <row r="8097">
          <cell r="J8097" t="str">
            <v>INV-040723125039</v>
          </cell>
          <cell r="K8097" t="str">
            <v>Waived Off</v>
          </cell>
        </row>
        <row r="8098">
          <cell r="J8098" t="str">
            <v>INV-030823142037</v>
          </cell>
          <cell r="K8098" t="str">
            <v>Waived Off</v>
          </cell>
        </row>
        <row r="8099">
          <cell r="J8099" t="str">
            <v>INV-150923180218</v>
          </cell>
          <cell r="K8099" t="str">
            <v>Paid</v>
          </cell>
        </row>
        <row r="8100">
          <cell r="J8100" t="str">
            <v>CARDS0062</v>
          </cell>
          <cell r="K8100" t="str">
            <v>Paid</v>
          </cell>
        </row>
        <row r="8101">
          <cell r="J8101" t="str">
            <v>CNCARDS0004</v>
          </cell>
          <cell r="K8101" t="str">
            <v>Paid</v>
          </cell>
        </row>
        <row r="8102">
          <cell r="J8102" t="str">
            <v>CN-INV-120324102650</v>
          </cell>
          <cell r="K8102" t="str">
            <v>Paid</v>
          </cell>
        </row>
        <row r="8103">
          <cell r="J8103" t="str">
            <v>CN-INV-251024111650</v>
          </cell>
          <cell r="K8103" t="str">
            <v>Paid</v>
          </cell>
        </row>
        <row r="8104">
          <cell r="J8104" t="str">
            <v>CARDS0260</v>
          </cell>
          <cell r="K8104" t="str">
            <v>Paid</v>
          </cell>
        </row>
        <row r="8105">
          <cell r="J8105" t="str">
            <v xml:space="preserve">  INV2022-IAPPS-001</v>
          </cell>
          <cell r="K8105" t="str">
            <v>Paid</v>
          </cell>
        </row>
        <row r="8106">
          <cell r="J8106" t="str">
            <v>CARDS0350</v>
          </cell>
          <cell r="K8106" t="str">
            <v>Paid</v>
          </cell>
        </row>
        <row r="8107">
          <cell r="J8107" t="str">
            <v>INV2023-IAPPS-002</v>
          </cell>
          <cell r="K8107" t="str">
            <v>Paid</v>
          </cell>
        </row>
        <row r="8108">
          <cell r="J8108" t="str">
            <v>INV-050623105746</v>
          </cell>
          <cell r="K8108" t="str">
            <v>Paid</v>
          </cell>
        </row>
        <row r="8109">
          <cell r="J8109" t="str">
            <v>INV2023-IAPPS-003</v>
          </cell>
          <cell r="K8109" t="str">
            <v>Paid</v>
          </cell>
        </row>
        <row r="8110">
          <cell r="J8110" t="str">
            <v>INV2023-IAPPS-004</v>
          </cell>
          <cell r="K8110" t="str">
            <v>Paid</v>
          </cell>
        </row>
        <row r="8111">
          <cell r="J8111" t="str">
            <v>INV2023-IAPPS-005</v>
          </cell>
          <cell r="K8111" t="str">
            <v>Paid</v>
          </cell>
        </row>
        <row r="8112">
          <cell r="J8112" t="str">
            <v>INV2023-IAPPS-006</v>
          </cell>
          <cell r="K8112" t="str">
            <v>Paid</v>
          </cell>
        </row>
        <row r="8113">
          <cell r="J8113" t="str">
            <v>INV-230823131124</v>
          </cell>
          <cell r="K8113" t="str">
            <v>Waived Off</v>
          </cell>
        </row>
        <row r="8114">
          <cell r="J8114" t="str">
            <v>INV2023-IAPPS-007</v>
          </cell>
          <cell r="K8114" t="str">
            <v>Paid</v>
          </cell>
        </row>
        <row r="8115">
          <cell r="J8115" t="str">
            <v>INV2023-IAPPS-008</v>
          </cell>
          <cell r="K8115" t="str">
            <v>Paid</v>
          </cell>
        </row>
        <row r="8116">
          <cell r="J8116" t="str">
            <v>INV2023-IAPPS-009</v>
          </cell>
          <cell r="K8116" t="str">
            <v>Paid</v>
          </cell>
        </row>
        <row r="8117">
          <cell r="J8117" t="str">
            <v>INV2023-IAPPS-010</v>
          </cell>
          <cell r="K8117" t="str">
            <v>Paid</v>
          </cell>
        </row>
        <row r="8118">
          <cell r="J8118" t="str">
            <v>INV-280224144828</v>
          </cell>
          <cell r="K8118" t="str">
            <v>Paid</v>
          </cell>
        </row>
        <row r="8119">
          <cell r="J8119" t="str">
            <v>INV-090324180044</v>
          </cell>
          <cell r="K8119" t="str">
            <v>Paid</v>
          </cell>
        </row>
        <row r="8120">
          <cell r="J8120" t="str">
            <v>CR-INV-120424154404</v>
          </cell>
          <cell r="K8120" t="str">
            <v>Paid</v>
          </cell>
        </row>
        <row r="8121">
          <cell r="J8121" t="str">
            <v>INV-080524145757</v>
          </cell>
          <cell r="K8121" t="str">
            <v>Paid</v>
          </cell>
        </row>
        <row r="8122">
          <cell r="J8122" t="str">
            <v>INV-070624185037</v>
          </cell>
          <cell r="K8122" t="str">
            <v>Paid</v>
          </cell>
        </row>
        <row r="8123">
          <cell r="J8123" t="str">
            <v>INV-100724121243</v>
          </cell>
          <cell r="K8123" t="str">
            <v>Paid</v>
          </cell>
        </row>
        <row r="8124">
          <cell r="J8124" t="str">
            <v>INV-300724152221</v>
          </cell>
          <cell r="K8124" t="str">
            <v>Paid</v>
          </cell>
        </row>
        <row r="8125">
          <cell r="J8125" t="str">
            <v>CR-INV-070624185037</v>
          </cell>
          <cell r="K8125" t="str">
            <v>Paid</v>
          </cell>
        </row>
        <row r="8126">
          <cell r="J8126" t="str">
            <v>CR-INV-100724121243</v>
          </cell>
          <cell r="K8126" t="str">
            <v>Paid</v>
          </cell>
        </row>
        <row r="8127">
          <cell r="J8127" t="str">
            <v>INV-310724105241</v>
          </cell>
          <cell r="K8127" t="str">
            <v>Paid</v>
          </cell>
        </row>
        <row r="8128">
          <cell r="J8128" t="str">
            <v>INV-310724150152</v>
          </cell>
          <cell r="K8128" t="str">
            <v>Paid</v>
          </cell>
        </row>
        <row r="8129">
          <cell r="J8129" t="str">
            <v>INV-090824174553</v>
          </cell>
          <cell r="K8129" t="str">
            <v>Paid</v>
          </cell>
        </row>
        <row r="8130">
          <cell r="J8130" t="str">
            <v>CN-INV-16084160001</v>
          </cell>
          <cell r="K8130" t="str">
            <v>Paid</v>
          </cell>
        </row>
        <row r="8131">
          <cell r="J8131" t="str">
            <v>CN-INV-16084160002</v>
          </cell>
          <cell r="K8131" t="str">
            <v>Paid</v>
          </cell>
        </row>
        <row r="8132">
          <cell r="J8132" t="str">
            <v>INV-120924110510</v>
          </cell>
          <cell r="K8132" t="str">
            <v>Paid</v>
          </cell>
        </row>
        <row r="8133">
          <cell r="J8133" t="str">
            <v>INV-141024114636</v>
          </cell>
          <cell r="K8133" t="str">
            <v>Paid</v>
          </cell>
        </row>
        <row r="8134">
          <cell r="J8134" t="str">
            <v>INV-231024145700</v>
          </cell>
          <cell r="K8134" t="str">
            <v>Net Off</v>
          </cell>
        </row>
        <row r="8135">
          <cell r="J8135" t="str">
            <v>INV-231024151000</v>
          </cell>
          <cell r="K8135" t="str">
            <v>Net Off</v>
          </cell>
        </row>
        <row r="8136">
          <cell r="J8136" t="str">
            <v>CN-INV-291024141400</v>
          </cell>
          <cell r="K8136" t="str">
            <v>Net Off</v>
          </cell>
        </row>
        <row r="8137">
          <cell r="J8137" t="str">
            <v>INV-121124124801</v>
          </cell>
          <cell r="K8137" t="str">
            <v>Paid</v>
          </cell>
        </row>
        <row r="8138">
          <cell r="J8138" t="str">
            <v>INV-120424161421</v>
          </cell>
          <cell r="K8138" t="str">
            <v>Paid</v>
          </cell>
        </row>
        <row r="8139">
          <cell r="J8139" t="str">
            <v>INV-120424163202</v>
          </cell>
          <cell r="K8139" t="str">
            <v>Paid</v>
          </cell>
        </row>
        <row r="8140">
          <cell r="J8140" t="str">
            <v>INV-120424164446</v>
          </cell>
          <cell r="K8140" t="str">
            <v>Paid</v>
          </cell>
        </row>
        <row r="8141">
          <cell r="J8141" t="str">
            <v>INV-120424172714</v>
          </cell>
          <cell r="K8141" t="str">
            <v>Paid</v>
          </cell>
        </row>
        <row r="8142">
          <cell r="J8142" t="str">
            <v>INV-120424174630</v>
          </cell>
          <cell r="K8142" t="str">
            <v>Paid</v>
          </cell>
        </row>
        <row r="8143">
          <cell r="J8143" t="str">
            <v>INV-120424180152</v>
          </cell>
          <cell r="K8143" t="str">
            <v>Paid</v>
          </cell>
        </row>
        <row r="8144">
          <cell r="J8144" t="str">
            <v>INV-120424154404</v>
          </cell>
          <cell r="K8144" t="str">
            <v>Paid</v>
          </cell>
        </row>
        <row r="8145">
          <cell r="J8145" t="str">
            <v>INV-120424170633</v>
          </cell>
          <cell r="K8145" t="str">
            <v>Paid</v>
          </cell>
        </row>
        <row r="8146">
          <cell r="J8146" t="str">
            <v>INV-120424193254</v>
          </cell>
          <cell r="K8146" t="str">
            <v>Paid</v>
          </cell>
        </row>
        <row r="8147">
          <cell r="J8147" t="str">
            <v>INV-111224134826</v>
          </cell>
          <cell r="K8147" t="str">
            <v>Paid</v>
          </cell>
        </row>
        <row r="8148">
          <cell r="J8148" t="str">
            <v>INV-090125121228</v>
          </cell>
          <cell r="K8148" t="str">
            <v>Paid</v>
          </cell>
        </row>
        <row r="8149">
          <cell r="J8149" t="str">
            <v>INV-130225093131</v>
          </cell>
          <cell r="K8149" t="str">
            <v>Paid</v>
          </cell>
        </row>
        <row r="8150">
          <cell r="J8150" t="str">
            <v>INV-070325160404</v>
          </cell>
          <cell r="K8150" t="str">
            <v>Paid</v>
          </cell>
        </row>
        <row r="8151">
          <cell r="J8151" t="str">
            <v>INV-070425121057</v>
          </cell>
          <cell r="K8151" t="str">
            <v>Paid</v>
          </cell>
        </row>
        <row r="8152">
          <cell r="J8152" t="str">
            <v>CN-INV-060525100100</v>
          </cell>
          <cell r="K8152" t="str">
            <v>Net off</v>
          </cell>
        </row>
        <row r="8153">
          <cell r="J8153" t="str">
            <v>INV-070525121617</v>
          </cell>
          <cell r="K8153" t="str">
            <v>Paid</v>
          </cell>
        </row>
        <row r="8154">
          <cell r="J8154" t="str">
            <v>INV-060625155104</v>
          </cell>
          <cell r="K8154" t="str">
            <v>Paid</v>
          </cell>
        </row>
        <row r="8155">
          <cell r="J8155" t="str">
            <v>INV-070725095427</v>
          </cell>
          <cell r="K8155" t="str">
            <v>Paid</v>
          </cell>
        </row>
        <row r="8156">
          <cell r="J8156" t="str">
            <v>INV-070825124120</v>
          </cell>
          <cell r="K8156" t="str">
            <v>Paid</v>
          </cell>
        </row>
        <row r="8157">
          <cell r="J8157" t="str">
            <v>INV-090925122257</v>
          </cell>
          <cell r="K8157" t="str">
            <v>Paid</v>
          </cell>
        </row>
        <row r="8158">
          <cell r="J8158" t="str">
            <v>INV-1709251520000</v>
          </cell>
          <cell r="K8158" t="str">
            <v>Paid</v>
          </cell>
        </row>
        <row r="8159">
          <cell r="J8159" t="str">
            <v>INV-240624173800</v>
          </cell>
          <cell r="K8159" t="str">
            <v>Paid</v>
          </cell>
        </row>
        <row r="8160">
          <cell r="J8160" t="str">
            <v>CN-INV-240624173800</v>
          </cell>
          <cell r="K8160" t="str">
            <v>Paid</v>
          </cell>
        </row>
        <row r="8161">
          <cell r="J8161" t="str">
            <v>INV-060326112524</v>
          </cell>
          <cell r="K8161" t="str">
            <v>Paid</v>
          </cell>
        </row>
        <row r="8162">
          <cell r="J8162" t="str">
            <v>INV-070426091914</v>
          </cell>
          <cell r="K8162" t="str">
            <v>Paid</v>
          </cell>
        </row>
        <row r="8163">
          <cell r="J8163" t="str">
            <v>INV-080526115757</v>
          </cell>
          <cell r="K8163" t="str">
            <v>Paid</v>
          </cell>
        </row>
        <row r="8164">
          <cell r="J8164" t="str">
            <v>INV-050626113137</v>
          </cell>
          <cell r="K8164" t="str">
            <v>Paid</v>
          </cell>
        </row>
        <row r="8165">
          <cell r="J8165" t="str">
            <v>INV-300925184720</v>
          </cell>
          <cell r="K8165" t="str">
            <v>Paid</v>
          </cell>
        </row>
        <row r="8166">
          <cell r="J8166" t="str">
            <v>CARDS0056</v>
          </cell>
          <cell r="K8166" t="str">
            <v>Paid</v>
          </cell>
        </row>
        <row r="8167">
          <cell r="J8167" t="str">
            <v>CARDS0149</v>
          </cell>
          <cell r="K8167" t="str">
            <v>Paid</v>
          </cell>
        </row>
        <row r="8168">
          <cell r="J8168" t="str">
            <v>INV2022-IFAST-001</v>
          </cell>
          <cell r="K8168" t="str">
            <v>Paid</v>
          </cell>
        </row>
        <row r="8169">
          <cell r="J8169" t="str">
            <v>CARDS0346</v>
          </cell>
          <cell r="K8169" t="str">
            <v>Paid</v>
          </cell>
        </row>
        <row r="8170">
          <cell r="J8170" t="str">
            <v>INV-021122145717</v>
          </cell>
          <cell r="K8170" t="str">
            <v>Paid</v>
          </cell>
        </row>
        <row r="8171">
          <cell r="J8171" t="str">
            <v>INV2022-IFAST-002</v>
          </cell>
          <cell r="K8171" t="str">
            <v>Paid</v>
          </cell>
        </row>
        <row r="8172">
          <cell r="J8172" t="str">
            <v>INV-021222185636</v>
          </cell>
          <cell r="K8172" t="str">
            <v>Paid</v>
          </cell>
        </row>
        <row r="8173">
          <cell r="J8173" t="str">
            <v>INV-040123140404</v>
          </cell>
          <cell r="K8173" t="str">
            <v>Paid</v>
          </cell>
        </row>
        <row r="8174">
          <cell r="J8174" t="str">
            <v>INV-020223051442</v>
          </cell>
          <cell r="K8174" t="str">
            <v>Paid</v>
          </cell>
        </row>
        <row r="8175">
          <cell r="J8175" t="str">
            <v>INV-020323104522</v>
          </cell>
          <cell r="K8175" t="str">
            <v>Paid</v>
          </cell>
        </row>
        <row r="8176">
          <cell r="J8176" t="str">
            <v>INV-031123143446</v>
          </cell>
          <cell r="K8176" t="str">
            <v>Paid</v>
          </cell>
        </row>
        <row r="8177">
          <cell r="J8177" t="str">
            <v>INV-040423034922</v>
          </cell>
          <cell r="K8177" t="str">
            <v>Paid</v>
          </cell>
        </row>
        <row r="8178">
          <cell r="J8178" t="str">
            <v>INV-040923181042</v>
          </cell>
          <cell r="K8178" t="str">
            <v>Paid</v>
          </cell>
        </row>
        <row r="8179">
          <cell r="J8179" t="str">
            <v>INV-030523030516</v>
          </cell>
          <cell r="K8179" t="str">
            <v>Paid</v>
          </cell>
        </row>
        <row r="8180">
          <cell r="J8180" t="str">
            <v>INV-051023120254</v>
          </cell>
          <cell r="K8180" t="str">
            <v>Paid</v>
          </cell>
        </row>
        <row r="8181">
          <cell r="J8181" t="str">
            <v>INV-050623110538</v>
          </cell>
          <cell r="K8181" t="str">
            <v>Paid</v>
          </cell>
        </row>
        <row r="8182">
          <cell r="J8182" t="str">
            <v>INV2023-IFAST-003</v>
          </cell>
          <cell r="K8182" t="str">
            <v>Paid</v>
          </cell>
        </row>
        <row r="8183">
          <cell r="J8183" t="str">
            <v>INV-061223115906</v>
          </cell>
          <cell r="K8183" t="str">
            <v>Paid</v>
          </cell>
        </row>
        <row r="8184">
          <cell r="J8184" t="str">
            <v>INV-030723171931</v>
          </cell>
          <cell r="K8184" t="str">
            <v>Paid</v>
          </cell>
        </row>
        <row r="8185">
          <cell r="J8185" t="str">
            <v>INV-020823143543</v>
          </cell>
          <cell r="K8185" t="str">
            <v>Paid</v>
          </cell>
        </row>
        <row r="8186">
          <cell r="J8186" t="str">
            <v>INV2023-IFAST-004</v>
          </cell>
          <cell r="K8186" t="str">
            <v>Paid</v>
          </cell>
        </row>
        <row r="8187">
          <cell r="J8187" t="str">
            <v>INV2023-IFAST-005</v>
          </cell>
          <cell r="K8187" t="str">
            <v>Paid</v>
          </cell>
        </row>
        <row r="8188">
          <cell r="J8188" t="str">
            <v>CN-IFAST-301023</v>
          </cell>
          <cell r="K8188" t="str">
            <v>Paid</v>
          </cell>
        </row>
        <row r="8189">
          <cell r="J8189" t="str">
            <v>INV-110124175501</v>
          </cell>
          <cell r="K8189" t="str">
            <v>Paid</v>
          </cell>
        </row>
        <row r="8190">
          <cell r="J8190" t="str">
            <v>INV-050124142030</v>
          </cell>
          <cell r="K8190" t="str">
            <v>Paid</v>
          </cell>
        </row>
        <row r="8191">
          <cell r="J8191" t="str">
            <v>INV-080224204500</v>
          </cell>
          <cell r="K8191" t="str">
            <v>Paid</v>
          </cell>
        </row>
        <row r="8192">
          <cell r="J8192" t="str">
            <v>INV-050324114000</v>
          </cell>
          <cell r="K8192" t="str">
            <v>Paid</v>
          </cell>
        </row>
        <row r="8193">
          <cell r="J8193" t="str">
            <v>INV-070324132355</v>
          </cell>
          <cell r="K8193" t="str">
            <v>Paid</v>
          </cell>
        </row>
        <row r="8194">
          <cell r="J8194" t="str">
            <v>INV-070324133432</v>
          </cell>
          <cell r="K8194" t="str">
            <v>Paid</v>
          </cell>
        </row>
        <row r="8195">
          <cell r="J8195" t="str">
            <v>INV-010424112600</v>
          </cell>
          <cell r="K8195" t="str">
            <v>Paid</v>
          </cell>
        </row>
        <row r="8196">
          <cell r="J8196" t="str">
            <v>INV-050424180019</v>
          </cell>
          <cell r="K8196" t="str">
            <v>Paid</v>
          </cell>
        </row>
        <row r="8197">
          <cell r="J8197" t="str">
            <v>INV-060524183420</v>
          </cell>
          <cell r="K8197" t="str">
            <v>Paid</v>
          </cell>
        </row>
        <row r="8198">
          <cell r="J8198" t="str">
            <v>INV-060524150700_1</v>
          </cell>
          <cell r="K8198" t="str">
            <v>Paid</v>
          </cell>
        </row>
        <row r="8199">
          <cell r="J8199" t="str">
            <v>INV-140524102800</v>
          </cell>
          <cell r="K8199" t="str">
            <v>Paid</v>
          </cell>
        </row>
        <row r="8200">
          <cell r="J8200" t="str">
            <v>INV-140524103300</v>
          </cell>
          <cell r="K8200" t="str">
            <v>Paid</v>
          </cell>
        </row>
        <row r="8201">
          <cell r="J8201" t="str">
            <v>INV-140524103500</v>
          </cell>
          <cell r="K8201" t="str">
            <v>Paid</v>
          </cell>
        </row>
        <row r="8202">
          <cell r="J8202" t="str">
            <v>INV-140524103600</v>
          </cell>
          <cell r="K8202" t="str">
            <v>Paid</v>
          </cell>
        </row>
        <row r="8203">
          <cell r="J8203" t="str">
            <v>INV-050624150100</v>
          </cell>
          <cell r="K8203" t="str">
            <v>Paid</v>
          </cell>
        </row>
        <row r="8204">
          <cell r="J8204" t="str">
            <v>INV-050624150200</v>
          </cell>
          <cell r="K8204" t="str">
            <v>Paid</v>
          </cell>
        </row>
        <row r="8205">
          <cell r="J8205" t="str">
            <v>INV-050624150300</v>
          </cell>
          <cell r="K8205" t="str">
            <v>Paid</v>
          </cell>
        </row>
        <row r="8206">
          <cell r="J8206" t="str">
            <v>INV-070624110814</v>
          </cell>
          <cell r="K8206" t="str">
            <v>Paid</v>
          </cell>
        </row>
        <row r="8207">
          <cell r="J8207" t="str">
            <v>INV-060724114531</v>
          </cell>
          <cell r="K8207" t="str">
            <v>Paid</v>
          </cell>
        </row>
        <row r="8208">
          <cell r="J8208" t="str">
            <v>INV-100624093000</v>
          </cell>
          <cell r="K8208" t="str">
            <v>Paid</v>
          </cell>
        </row>
        <row r="8209">
          <cell r="J8209" t="str">
            <v>INV-070824151931</v>
          </cell>
          <cell r="K8209" t="str">
            <v>Paid</v>
          </cell>
        </row>
        <row r="8210">
          <cell r="J8210" t="str">
            <v>INV-260724093000</v>
          </cell>
          <cell r="K8210" t="str">
            <v>Paid</v>
          </cell>
        </row>
        <row r="8211">
          <cell r="J8211" t="str">
            <v>INV-081124141026</v>
          </cell>
          <cell r="K8211" t="str">
            <v>Paid</v>
          </cell>
        </row>
        <row r="8212">
          <cell r="J8212" t="str">
            <v>INV-060924174220</v>
          </cell>
          <cell r="K8212" t="str">
            <v>Paid</v>
          </cell>
        </row>
        <row r="8213">
          <cell r="J8213" t="str">
            <v>INV-240924102000</v>
          </cell>
          <cell r="K8213" t="str">
            <v>Paid</v>
          </cell>
        </row>
        <row r="8214">
          <cell r="J8214" t="str">
            <v>INV-240924133000</v>
          </cell>
          <cell r="K8214" t="str">
            <v>Paid</v>
          </cell>
        </row>
        <row r="8215">
          <cell r="J8215" t="str">
            <v>INV-240924140500</v>
          </cell>
          <cell r="K8215" t="str">
            <v>Paid</v>
          </cell>
        </row>
        <row r="8216">
          <cell r="J8216" t="str">
            <v>INV-011024164000</v>
          </cell>
          <cell r="K8216" t="str">
            <v>Paid</v>
          </cell>
        </row>
        <row r="8217">
          <cell r="J8217" t="str">
            <v>INV-081024111500</v>
          </cell>
          <cell r="K8217" t="str">
            <v>Paid</v>
          </cell>
        </row>
        <row r="8218">
          <cell r="J8218" t="str">
            <v>INV-081024113000</v>
          </cell>
          <cell r="K8218" t="str">
            <v>Paid</v>
          </cell>
        </row>
        <row r="8219">
          <cell r="J8219" t="str">
            <v>INV-101024150401</v>
          </cell>
          <cell r="K8219" t="str">
            <v>Paid</v>
          </cell>
        </row>
        <row r="8220">
          <cell r="J8220" t="str">
            <v>INV-181124094000</v>
          </cell>
          <cell r="K8220" t="str">
            <v>Paid</v>
          </cell>
        </row>
        <row r="8221">
          <cell r="J8221" t="str">
            <v>INV-181124093000</v>
          </cell>
          <cell r="K8221" t="str">
            <v>Paid</v>
          </cell>
        </row>
        <row r="8222">
          <cell r="J8222" t="str">
            <v>INV-181124095000</v>
          </cell>
          <cell r="K8222" t="str">
            <v>Paid</v>
          </cell>
        </row>
        <row r="8223">
          <cell r="J8223" t="str">
            <v>INV-111224133019</v>
          </cell>
          <cell r="K8223" t="str">
            <v>Paid</v>
          </cell>
        </row>
        <row r="8224">
          <cell r="J8224" t="str">
            <v>INV-080125155555</v>
          </cell>
          <cell r="K8224" t="str">
            <v>Paid</v>
          </cell>
        </row>
        <row r="8225">
          <cell r="J8225" t="str">
            <v>INV-270125090000</v>
          </cell>
          <cell r="K8225" t="str">
            <v>Paid</v>
          </cell>
        </row>
        <row r="8226">
          <cell r="J8226" t="str">
            <v>INV-270125155000</v>
          </cell>
          <cell r="K8226" t="str">
            <v>Paid</v>
          </cell>
        </row>
        <row r="8227">
          <cell r="J8227" t="str">
            <v>INV-100225132642</v>
          </cell>
          <cell r="K8227" t="str">
            <v>Paid</v>
          </cell>
        </row>
        <row r="8228">
          <cell r="J8228" t="str">
            <v>INV-060325160412</v>
          </cell>
          <cell r="K8228" t="str">
            <v>Paid</v>
          </cell>
        </row>
        <row r="8229">
          <cell r="J8229" t="str">
            <v>INV-040425140000</v>
          </cell>
          <cell r="K8229" t="str">
            <v>Paid</v>
          </cell>
        </row>
        <row r="8230">
          <cell r="J8230" t="str">
            <v>INV-040425093000</v>
          </cell>
          <cell r="K8230" t="str">
            <v>Paid</v>
          </cell>
        </row>
        <row r="8231">
          <cell r="J8231" t="str">
            <v>INV-040425103000</v>
          </cell>
          <cell r="K8231" t="str">
            <v>Paid</v>
          </cell>
        </row>
        <row r="8232">
          <cell r="J8232" t="str">
            <v>INV-070425153921</v>
          </cell>
          <cell r="K8232" t="str">
            <v>Paid</v>
          </cell>
        </row>
        <row r="8233">
          <cell r="J8233" t="str">
            <v>INV-070525121922</v>
          </cell>
          <cell r="K8233" t="str">
            <v>Paid</v>
          </cell>
        </row>
        <row r="8234">
          <cell r="J8234" t="str">
            <v>INV-120525130000</v>
          </cell>
          <cell r="K8234" t="str">
            <v>Paid</v>
          </cell>
        </row>
        <row r="8235">
          <cell r="J8235" t="str">
            <v>INV-120525140000</v>
          </cell>
          <cell r="K8235" t="str">
            <v>Paid</v>
          </cell>
        </row>
        <row r="8236">
          <cell r="J8236" t="str">
            <v>INV-120525150000</v>
          </cell>
          <cell r="K8236" t="str">
            <v>Paid</v>
          </cell>
        </row>
        <row r="8237">
          <cell r="J8237" t="str">
            <v>INV-060625171350</v>
          </cell>
          <cell r="K8237" t="str">
            <v>Paid</v>
          </cell>
        </row>
        <row r="8238">
          <cell r="J8238" t="str">
            <v>INV-070725173639</v>
          </cell>
          <cell r="K8238" t="str">
            <v>Paid</v>
          </cell>
        </row>
        <row r="8239">
          <cell r="J8239" t="str">
            <v>INV-080725190000</v>
          </cell>
          <cell r="K8239" t="str">
            <v>Paid</v>
          </cell>
        </row>
        <row r="8240">
          <cell r="J8240" t="str">
            <v>INV-160725135000</v>
          </cell>
          <cell r="K8240" t="str">
            <v>Paid</v>
          </cell>
        </row>
        <row r="8241">
          <cell r="J8241" t="str">
            <v>INV-160725185000</v>
          </cell>
          <cell r="K8241" t="str">
            <v>Paid</v>
          </cell>
        </row>
        <row r="8242">
          <cell r="J8242" t="str">
            <v>INV-070825121258</v>
          </cell>
          <cell r="K8242" t="str">
            <v>Paid</v>
          </cell>
        </row>
        <row r="8243">
          <cell r="J8243" t="str">
            <v>INV-050925145108</v>
          </cell>
          <cell r="K8243" t="str">
            <v>Paid</v>
          </cell>
        </row>
        <row r="8244">
          <cell r="J8244" t="str">
            <v>INV-160925190000</v>
          </cell>
          <cell r="K8244" t="str">
            <v>Paid</v>
          </cell>
        </row>
        <row r="8245">
          <cell r="J8245" t="str">
            <v>INV-160925145000</v>
          </cell>
          <cell r="K8245" t="str">
            <v>Paid</v>
          </cell>
        </row>
        <row r="8246">
          <cell r="J8246" t="str">
            <v>INV-160925150000</v>
          </cell>
          <cell r="K8246" t="str">
            <v>Paid</v>
          </cell>
        </row>
        <row r="8247">
          <cell r="J8247" t="str">
            <v>INV-071025122117</v>
          </cell>
          <cell r="K8247" t="str">
            <v>Paid</v>
          </cell>
        </row>
        <row r="8248">
          <cell r="J8248" t="str">
            <v>INV-071125151633</v>
          </cell>
          <cell r="K8248" t="str">
            <v>Paid</v>
          </cell>
        </row>
        <row r="8249">
          <cell r="J8249" t="str">
            <v>INV-171125191000</v>
          </cell>
          <cell r="K8249" t="str">
            <v>Paid</v>
          </cell>
        </row>
        <row r="8250">
          <cell r="J8250" t="str">
            <v>INV-171125145000</v>
          </cell>
          <cell r="K8250" t="str">
            <v>Paid</v>
          </cell>
        </row>
        <row r="8251">
          <cell r="J8251" t="str">
            <v>INV-171125146000</v>
          </cell>
          <cell r="K8251" t="str">
            <v>Paid</v>
          </cell>
        </row>
        <row r="8252">
          <cell r="J8252" t="str">
            <v>INV-051225122457</v>
          </cell>
          <cell r="K8252" t="str">
            <v>Paid</v>
          </cell>
        </row>
        <row r="8253">
          <cell r="J8253" t="str">
            <v>INV-070126152638</v>
          </cell>
          <cell r="K8253" t="str">
            <v>Paid</v>
          </cell>
        </row>
        <row r="8254">
          <cell r="J8254" t="str">
            <v>INV-230126146000</v>
          </cell>
          <cell r="K8254" t="str">
            <v>Paid</v>
          </cell>
        </row>
        <row r="8255">
          <cell r="J8255" t="str">
            <v>INV-230126181000</v>
          </cell>
          <cell r="K8255" t="str">
            <v>Paid</v>
          </cell>
        </row>
        <row r="8256">
          <cell r="J8256" t="str">
            <v>INV-230126196000</v>
          </cell>
          <cell r="K8256" t="str">
            <v>Paid</v>
          </cell>
        </row>
        <row r="8257">
          <cell r="J8257" t="str">
            <v>INV-090226113449</v>
          </cell>
          <cell r="K8257" t="str">
            <v>Paid</v>
          </cell>
        </row>
        <row r="8258">
          <cell r="J8258" t="str">
            <v>INV-060326122710</v>
          </cell>
          <cell r="K8258" t="str">
            <v>Paid</v>
          </cell>
        </row>
        <row r="8259">
          <cell r="J8259" t="str">
            <v>INV-230326181000</v>
          </cell>
          <cell r="K8259" t="str">
            <v>Paid</v>
          </cell>
        </row>
        <row r="8260">
          <cell r="J8260" t="str">
            <v>INV-230326196000</v>
          </cell>
          <cell r="K8260" t="str">
            <v>Paid</v>
          </cell>
        </row>
        <row r="8261">
          <cell r="J8261" t="str">
            <v>INV-230326197000</v>
          </cell>
          <cell r="K8261" t="str">
            <v>Paid</v>
          </cell>
        </row>
        <row r="8262">
          <cell r="J8262" t="str">
            <v>INV-070426110454</v>
          </cell>
          <cell r="K8262" t="str">
            <v>Paid</v>
          </cell>
        </row>
        <row r="8263">
          <cell r="J8263" t="str">
            <v>INV-080526172434</v>
          </cell>
          <cell r="K8263" t="str">
            <v>Paid</v>
          </cell>
        </row>
        <row r="8264">
          <cell r="J8264" t="str">
            <v>INV-230526181000</v>
          </cell>
          <cell r="K8264" t="str">
            <v>Paid</v>
          </cell>
        </row>
        <row r="8265">
          <cell r="J8265" t="str">
            <v>INV-270626197000</v>
          </cell>
          <cell r="K8265" t="str">
            <v>Paid</v>
          </cell>
        </row>
        <row r="8266">
          <cell r="J8266" t="str">
            <v>INV-050626132806</v>
          </cell>
          <cell r="K8266" t="str">
            <v>Paid</v>
          </cell>
        </row>
        <row r="8267">
          <cell r="J8267" t="str">
            <v>INV2021-ITT-001</v>
          </cell>
          <cell r="K8267" t="str">
            <v>Paid</v>
          </cell>
        </row>
        <row r="8268">
          <cell r="J8268" t="str">
            <v>CNHKCARDS0001</v>
          </cell>
          <cell r="K8268" t="str">
            <v>Paid</v>
          </cell>
        </row>
        <row r="8269">
          <cell r="J8269" t="str">
            <v>INV2021-ICD-001</v>
          </cell>
          <cell r="K8269" t="str">
            <v>Paid</v>
          </cell>
        </row>
        <row r="8270">
          <cell r="J8270" t="str">
            <v>INV2021-ICD-002</v>
          </cell>
          <cell r="K8270" t="str">
            <v>Paid</v>
          </cell>
        </row>
        <row r="8271">
          <cell r="J8271" t="str">
            <v>INV-050825120819</v>
          </cell>
          <cell r="K8271" t="str">
            <v>Paid</v>
          </cell>
        </row>
        <row r="8272">
          <cell r="J8272" t="str">
            <v>INV-031025171612</v>
          </cell>
          <cell r="K8272" t="str">
            <v>Paid</v>
          </cell>
        </row>
        <row r="8273">
          <cell r="J8273" t="str">
            <v>INV-041125170811</v>
          </cell>
          <cell r="K8273" t="str">
            <v>Paid</v>
          </cell>
        </row>
        <row r="8274">
          <cell r="J8274" t="str">
            <v>INV-021225190800</v>
          </cell>
          <cell r="K8274" t="str">
            <v>Paid</v>
          </cell>
        </row>
        <row r="8275">
          <cell r="J8275" t="str">
            <v>INV-050126182028</v>
          </cell>
          <cell r="K8275" t="str">
            <v>Paid</v>
          </cell>
        </row>
        <row r="8276">
          <cell r="J8276" t="str">
            <v>INV-040226210124</v>
          </cell>
          <cell r="K8276" t="str">
            <v>Paid</v>
          </cell>
        </row>
        <row r="8277">
          <cell r="J8277" t="str">
            <v>INV-030326184550</v>
          </cell>
          <cell r="K8277" t="str">
            <v>Paid</v>
          </cell>
        </row>
        <row r="8278">
          <cell r="J8278" t="str">
            <v>INV-010426200457</v>
          </cell>
          <cell r="K8278" t="str">
            <v>Paid</v>
          </cell>
        </row>
        <row r="8279">
          <cell r="J8279" t="str">
            <v>INV-040526191023</v>
          </cell>
          <cell r="K8279" t="str">
            <v>Paid</v>
          </cell>
        </row>
        <row r="8280">
          <cell r="J8280" t="str">
            <v>INV-020626170512</v>
          </cell>
          <cell r="K8280" t="str">
            <v>Paid</v>
          </cell>
        </row>
        <row r="8281">
          <cell r="J8281" t="str">
            <v>INV-181125183215</v>
          </cell>
          <cell r="K8281" t="str">
            <v>Paid</v>
          </cell>
        </row>
        <row r="8282">
          <cell r="J8282" t="str">
            <v>INV-080626185319</v>
          </cell>
          <cell r="K8282" t="str">
            <v>Outstanding</v>
          </cell>
        </row>
        <row r="8283">
          <cell r="J8283" t="str">
            <v>INV-011225094728</v>
          </cell>
          <cell r="K8283" t="str">
            <v>Paid</v>
          </cell>
        </row>
        <row r="8284">
          <cell r="J8284" t="str">
            <v>INV-060126114015</v>
          </cell>
          <cell r="K8284" t="str">
            <v>Paid</v>
          </cell>
        </row>
        <row r="8285">
          <cell r="J8285" t="str">
            <v>INV-040226161408</v>
          </cell>
          <cell r="K8285" t="str">
            <v>Paid</v>
          </cell>
        </row>
        <row r="8286">
          <cell r="J8286" t="str">
            <v>INV-040326102534</v>
          </cell>
          <cell r="K8286" t="str">
            <v>Paid</v>
          </cell>
        </row>
        <row r="8287">
          <cell r="J8287" t="str">
            <v>INV-020426183006</v>
          </cell>
          <cell r="K8287" t="str">
            <v>Paid</v>
          </cell>
        </row>
        <row r="8288">
          <cell r="J8288" t="str">
            <v>INV-050526163618</v>
          </cell>
          <cell r="K8288" t="str">
            <v>Paid</v>
          </cell>
        </row>
        <row r="8289">
          <cell r="J8289" t="str">
            <v>INV-020626121630</v>
          </cell>
          <cell r="K8289" t="str">
            <v>Paid</v>
          </cell>
        </row>
        <row r="8290">
          <cell r="J8290" t="str">
            <v>INV-110324155919</v>
          </cell>
          <cell r="K8290" t="str">
            <v>Paid</v>
          </cell>
        </row>
        <row r="8291">
          <cell r="J8291" t="str">
            <v>INV-031224185808</v>
          </cell>
          <cell r="K8291" t="str">
            <v>Paid</v>
          </cell>
        </row>
        <row r="8292">
          <cell r="J8292" t="str">
            <v>INV-061124155425</v>
          </cell>
          <cell r="K8292" t="str">
            <v>Paid</v>
          </cell>
        </row>
        <row r="8293">
          <cell r="J8293" t="str">
            <v>INV-030125171619</v>
          </cell>
          <cell r="K8293" t="str">
            <v>Paid</v>
          </cell>
        </row>
        <row r="8294">
          <cell r="J8294" t="str">
            <v>INV-040225163655</v>
          </cell>
          <cell r="K8294" t="str">
            <v>Paid</v>
          </cell>
        </row>
        <row r="8295">
          <cell r="J8295" t="str">
            <v>INV-040325173610</v>
          </cell>
          <cell r="K8295" t="str">
            <v>Paid</v>
          </cell>
        </row>
        <row r="8296">
          <cell r="J8296" t="str">
            <v>INV-030425095433</v>
          </cell>
          <cell r="K8296" t="str">
            <v>Paid</v>
          </cell>
        </row>
        <row r="8297">
          <cell r="J8297" t="str">
            <v>INV-050525103237</v>
          </cell>
          <cell r="K8297" t="str">
            <v>Paid</v>
          </cell>
        </row>
        <row r="8298">
          <cell r="J8298" t="str">
            <v>INV-030625175022</v>
          </cell>
          <cell r="K8298" t="str">
            <v>Paid</v>
          </cell>
        </row>
        <row r="8299">
          <cell r="J8299" t="str">
            <v>INV-020725192552</v>
          </cell>
          <cell r="K8299" t="str">
            <v>Paid</v>
          </cell>
        </row>
        <row r="8300">
          <cell r="J8300" t="str">
            <v>INV-050825135749</v>
          </cell>
          <cell r="K8300" t="str">
            <v>Paid</v>
          </cell>
        </row>
        <row r="8301">
          <cell r="J8301" t="str">
            <v>INV-041125145134</v>
          </cell>
          <cell r="K8301" t="str">
            <v>Paid</v>
          </cell>
        </row>
        <row r="8302">
          <cell r="J8302" t="str">
            <v>INV-021225185612</v>
          </cell>
          <cell r="K8302" t="str">
            <v>Partially Paid</v>
          </cell>
        </row>
        <row r="8303">
          <cell r="J8303" t="str">
            <v>INV-050126150313</v>
          </cell>
          <cell r="K8303" t="str">
            <v>Force Settlement</v>
          </cell>
        </row>
        <row r="8304">
          <cell r="J8304" t="str">
            <v>INV-020226182425</v>
          </cell>
          <cell r="K8304" t="str">
            <v>Force Settlement</v>
          </cell>
        </row>
        <row r="8305">
          <cell r="J8305" t="str">
            <v>INV-020326191014</v>
          </cell>
          <cell r="K8305" t="str">
            <v>Force Settlement</v>
          </cell>
        </row>
        <row r="8306">
          <cell r="J8306" t="str">
            <v>INV-120525160319</v>
          </cell>
          <cell r="K8306" t="str">
            <v>Paid</v>
          </cell>
        </row>
        <row r="8307">
          <cell r="J8307" t="str">
            <v>INV-060526185833</v>
          </cell>
          <cell r="K8307" t="str">
            <v>Paid</v>
          </cell>
        </row>
        <row r="8308">
          <cell r="J8308" t="str">
            <v>INV-020626094119</v>
          </cell>
          <cell r="K8308" t="str">
            <v>Paid</v>
          </cell>
        </row>
        <row r="8309">
          <cell r="J8309" t="str">
            <v>CARDS0004</v>
          </cell>
          <cell r="K8309" t="str">
            <v>Paid</v>
          </cell>
        </row>
        <row r="8310">
          <cell r="J8310" t="str">
            <v>CARDS0026</v>
          </cell>
          <cell r="K8310" t="str">
            <v>Paid</v>
          </cell>
        </row>
        <row r="8311">
          <cell r="J8311" t="str">
            <v>INV-270526184417</v>
          </cell>
          <cell r="K8311" t="str">
            <v>Paid</v>
          </cell>
        </row>
        <row r="8312">
          <cell r="J8312" t="str">
            <v>INV-061025171407</v>
          </cell>
          <cell r="K8312" t="str">
            <v>Paid</v>
          </cell>
        </row>
        <row r="8313">
          <cell r="J8313" t="str">
            <v>INV-051125174218</v>
          </cell>
          <cell r="K8313" t="str">
            <v>Partially Paid</v>
          </cell>
        </row>
        <row r="8314">
          <cell r="J8314" t="str">
            <v>INV-031225135349</v>
          </cell>
          <cell r="K8314" t="str">
            <v>Paid</v>
          </cell>
        </row>
        <row r="8315">
          <cell r="J8315" t="str">
            <v>INV-050126184308</v>
          </cell>
          <cell r="K8315" t="str">
            <v>Outstanding</v>
          </cell>
        </row>
        <row r="8316">
          <cell r="J8316" t="str">
            <v>INV-040226140355</v>
          </cell>
          <cell r="K8316" t="str">
            <v>Paid</v>
          </cell>
        </row>
        <row r="8317">
          <cell r="J8317" t="str">
            <v>INV-040326132449</v>
          </cell>
          <cell r="K8317" t="str">
            <v>Partially Paid</v>
          </cell>
        </row>
        <row r="8318">
          <cell r="J8318" t="str">
            <v>INV-030426152534</v>
          </cell>
          <cell r="K8318" t="str">
            <v>Outstanding</v>
          </cell>
        </row>
        <row r="8319">
          <cell r="J8319" t="str">
            <v>INV-040526200003</v>
          </cell>
          <cell r="K8319" t="str">
            <v>Outstanding</v>
          </cell>
        </row>
        <row r="8320">
          <cell r="J8320" t="str">
            <v>INV-040626125713</v>
          </cell>
          <cell r="K8320" t="str">
            <v>Outstanding</v>
          </cell>
        </row>
        <row r="8321">
          <cell r="J8321" t="str">
            <v>INV-161224100203</v>
          </cell>
          <cell r="K8321" t="str">
            <v>Net Off</v>
          </cell>
        </row>
        <row r="8322">
          <cell r="J8322" t="str">
            <v>CR-INV-310325190855</v>
          </cell>
          <cell r="K8322" t="str">
            <v>Net Off</v>
          </cell>
        </row>
        <row r="8323">
          <cell r="J8323" t="str">
            <v>CARDS0024</v>
          </cell>
          <cell r="K8323" t="str">
            <v>Paid</v>
          </cell>
        </row>
        <row r="8324">
          <cell r="J8324" t="str">
            <v>CARDS0063</v>
          </cell>
          <cell r="K8324" t="str">
            <v>Paid</v>
          </cell>
        </row>
        <row r="8325">
          <cell r="J8325" t="str">
            <v>CARDS0092</v>
          </cell>
          <cell r="K8325" t="str">
            <v>Paid</v>
          </cell>
        </row>
        <row r="8326">
          <cell r="J8326" t="str">
            <v>CARDS0109</v>
          </cell>
          <cell r="K8326" t="str">
            <v>Paid</v>
          </cell>
        </row>
        <row r="8327">
          <cell r="J8327" t="str">
            <v>CARDS0128</v>
          </cell>
          <cell r="K8327" t="str">
            <v>Paid</v>
          </cell>
        </row>
        <row r="8328">
          <cell r="J8328" t="str">
            <v>CARDS0145</v>
          </cell>
          <cell r="K8328" t="str">
            <v>Paid</v>
          </cell>
        </row>
        <row r="8329">
          <cell r="J8329" t="str">
            <v>CARDS0164</v>
          </cell>
          <cell r="K8329" t="str">
            <v>Paid</v>
          </cell>
        </row>
        <row r="8330">
          <cell r="J8330" t="str">
            <v>CARDS0181</v>
          </cell>
          <cell r="K8330" t="str">
            <v>Paid</v>
          </cell>
        </row>
        <row r="8331">
          <cell r="J8331" t="str">
            <v>CARDS0202</v>
          </cell>
          <cell r="K8331" t="str">
            <v>Paid</v>
          </cell>
        </row>
        <row r="8332">
          <cell r="J8332" t="str">
            <v>CARDS0223</v>
          </cell>
          <cell r="K8332" t="str">
            <v>Paid</v>
          </cell>
        </row>
        <row r="8333">
          <cell r="J8333" t="str">
            <v>CARDS0239</v>
          </cell>
          <cell r="K8333" t="str">
            <v>Paid</v>
          </cell>
        </row>
        <row r="8334">
          <cell r="J8334" t="str">
            <v>CARDS0256</v>
          </cell>
          <cell r="K8334" t="str">
            <v>Paid</v>
          </cell>
        </row>
        <row r="8335">
          <cell r="J8335" t="str">
            <v>CARDS0278</v>
          </cell>
          <cell r="K8335" t="str">
            <v>Paid</v>
          </cell>
        </row>
        <row r="8336">
          <cell r="J8336" t="str">
            <v>CARDS0297</v>
          </cell>
          <cell r="K8336" t="str">
            <v>Paid</v>
          </cell>
        </row>
        <row r="8337">
          <cell r="J8337" t="str">
            <v>CARDS0314</v>
          </cell>
          <cell r="K8337" t="str">
            <v>Paid</v>
          </cell>
        </row>
        <row r="8338">
          <cell r="J8338" t="str">
            <v>INV2021-KKM-001</v>
          </cell>
          <cell r="K8338" t="str">
            <v>Waived Off</v>
          </cell>
        </row>
        <row r="8339">
          <cell r="J8339" t="str">
            <v>INV-100225201139</v>
          </cell>
          <cell r="K8339" t="str">
            <v>Paid</v>
          </cell>
        </row>
        <row r="8340">
          <cell r="J8340" t="str">
            <v>INV-050525160151</v>
          </cell>
          <cell r="K8340" t="str">
            <v>Paid</v>
          </cell>
        </row>
        <row r="8341">
          <cell r="J8341" t="str">
            <v>INV-040625122721</v>
          </cell>
          <cell r="K8341" t="str">
            <v>Paid</v>
          </cell>
        </row>
        <row r="8342">
          <cell r="J8342" t="str">
            <v>INV-030725181309</v>
          </cell>
          <cell r="K8342" t="str">
            <v>Paid</v>
          </cell>
        </row>
        <row r="8343">
          <cell r="J8343" t="str">
            <v>INV-050825131751</v>
          </cell>
          <cell r="K8343" t="str">
            <v>Paid</v>
          </cell>
        </row>
        <row r="8344">
          <cell r="J8344" t="str">
            <v>INV-020925154413</v>
          </cell>
          <cell r="K8344" t="str">
            <v>Paid</v>
          </cell>
        </row>
        <row r="8345">
          <cell r="J8345" t="str">
            <v>INV-031025123651</v>
          </cell>
          <cell r="K8345" t="str">
            <v>Paid</v>
          </cell>
        </row>
        <row r="8346">
          <cell r="J8346" t="str">
            <v>INV-061125125528</v>
          </cell>
          <cell r="K8346" t="str">
            <v>Paid</v>
          </cell>
        </row>
        <row r="8347">
          <cell r="J8347" t="str">
            <v>INV-031225104412</v>
          </cell>
          <cell r="K8347" t="str">
            <v>Paid</v>
          </cell>
        </row>
        <row r="8348">
          <cell r="J8348" t="str">
            <v>INV-030126110019</v>
          </cell>
          <cell r="K8348" t="str">
            <v>Paid</v>
          </cell>
        </row>
        <row r="8349">
          <cell r="J8349" t="str">
            <v>INV-050226123513</v>
          </cell>
          <cell r="K8349" t="str">
            <v>Paid</v>
          </cell>
        </row>
        <row r="8350">
          <cell r="J8350" t="str">
            <v>INV-030326190814</v>
          </cell>
          <cell r="K8350" t="str">
            <v>Paid</v>
          </cell>
        </row>
        <row r="8351">
          <cell r="J8351" t="str">
            <v>INV-010426194307</v>
          </cell>
          <cell r="K8351" t="str">
            <v>Paid</v>
          </cell>
        </row>
        <row r="8352">
          <cell r="J8352" t="str">
            <v>INV-040526165805</v>
          </cell>
          <cell r="K8352" t="str">
            <v>Paid</v>
          </cell>
        </row>
        <row r="8353">
          <cell r="J8353" t="str">
            <v>INV-020626171319</v>
          </cell>
          <cell r="K8353" t="str">
            <v>Paid</v>
          </cell>
        </row>
        <row r="8354">
          <cell r="J8354" t="str">
            <v>INV-040625125754</v>
          </cell>
          <cell r="K8354" t="str">
            <v>Paid</v>
          </cell>
        </row>
        <row r="8355">
          <cell r="J8355" t="str">
            <v>INV-040725102659</v>
          </cell>
          <cell r="K8355" t="str">
            <v>Paid</v>
          </cell>
        </row>
        <row r="8356">
          <cell r="J8356" t="str">
            <v>INV-050825103405</v>
          </cell>
          <cell r="K8356" t="str">
            <v>Paid</v>
          </cell>
        </row>
        <row r="8357">
          <cell r="J8357" t="str">
            <v>INV-031025181834</v>
          </cell>
          <cell r="K8357" t="str">
            <v>Paid</v>
          </cell>
        </row>
        <row r="8358">
          <cell r="J8358" t="str">
            <v>INV-041125190329</v>
          </cell>
          <cell r="K8358" t="str">
            <v>Paid</v>
          </cell>
        </row>
        <row r="8359">
          <cell r="J8359" t="str">
            <v>INV-031225103628</v>
          </cell>
          <cell r="K8359" t="str">
            <v>Paid</v>
          </cell>
        </row>
        <row r="8360">
          <cell r="J8360" t="str">
            <v>INV-050126121320</v>
          </cell>
          <cell r="K8360" t="str">
            <v>Paid</v>
          </cell>
        </row>
        <row r="8361">
          <cell r="J8361" t="str">
            <v>INV-050226013546</v>
          </cell>
          <cell r="K8361" t="str">
            <v>Paid</v>
          </cell>
        </row>
        <row r="8362">
          <cell r="J8362" t="str">
            <v>INV-030326183405</v>
          </cell>
          <cell r="K8362" t="str">
            <v>Paid</v>
          </cell>
        </row>
        <row r="8363">
          <cell r="J8363" t="str">
            <v>INV-010426195023</v>
          </cell>
          <cell r="K8363" t="str">
            <v>Paid</v>
          </cell>
        </row>
        <row r="8364">
          <cell r="J8364" t="str">
            <v>INV-040526185154</v>
          </cell>
          <cell r="K8364" t="str">
            <v>Paid</v>
          </cell>
        </row>
        <row r="8365">
          <cell r="J8365" t="str">
            <v>INV-020626165523</v>
          </cell>
          <cell r="K8365" t="str">
            <v>Paid</v>
          </cell>
        </row>
        <row r="8366">
          <cell r="J8366" t="str">
            <v>INV-020824190856</v>
          </cell>
          <cell r="K8366" t="str">
            <v>Paid</v>
          </cell>
        </row>
        <row r="8367">
          <cell r="J8367" t="str">
            <v>INV-040724120701</v>
          </cell>
          <cell r="K8367" t="str">
            <v>Paid</v>
          </cell>
        </row>
        <row r="8368">
          <cell r="J8368" t="str">
            <v>INV-050924101940</v>
          </cell>
          <cell r="K8368" t="str">
            <v>Paid</v>
          </cell>
        </row>
        <row r="8369">
          <cell r="J8369" t="str">
            <v>CN-INV-040724120701</v>
          </cell>
          <cell r="K8369" t="str">
            <v>Paid</v>
          </cell>
        </row>
        <row r="8370">
          <cell r="J8370" t="str">
            <v>INV-031024122744</v>
          </cell>
          <cell r="K8370" t="str">
            <v>Paid</v>
          </cell>
        </row>
        <row r="8371">
          <cell r="J8371" t="str">
            <v>INV-061124170407</v>
          </cell>
          <cell r="K8371" t="str">
            <v>Paid</v>
          </cell>
        </row>
        <row r="8372">
          <cell r="J8372" t="str">
            <v>INV-031224183717</v>
          </cell>
          <cell r="K8372" t="str">
            <v>Paid</v>
          </cell>
        </row>
        <row r="8373">
          <cell r="J8373" t="str">
            <v>INV-030125153928</v>
          </cell>
          <cell r="K8373" t="str">
            <v>Paid</v>
          </cell>
        </row>
        <row r="8374">
          <cell r="J8374" t="str">
            <v>INV-050225111053</v>
          </cell>
          <cell r="K8374" t="str">
            <v>Paid</v>
          </cell>
        </row>
        <row r="8375">
          <cell r="J8375" t="str">
            <v>INV-040325175440</v>
          </cell>
          <cell r="K8375" t="str">
            <v>Paid</v>
          </cell>
        </row>
        <row r="8376">
          <cell r="J8376" t="str">
            <v>INV-030425095916</v>
          </cell>
          <cell r="K8376" t="str">
            <v>Paid</v>
          </cell>
        </row>
        <row r="8377">
          <cell r="J8377" t="str">
            <v>INV-020525200825</v>
          </cell>
          <cell r="K8377" t="str">
            <v>Paid</v>
          </cell>
        </row>
        <row r="8378">
          <cell r="J8378" t="str">
            <v>INV-030625164341</v>
          </cell>
          <cell r="K8378" t="str">
            <v>Paid</v>
          </cell>
        </row>
        <row r="8379">
          <cell r="J8379" t="str">
            <v>INV-020725191543</v>
          </cell>
          <cell r="K8379" t="str">
            <v>Paid</v>
          </cell>
        </row>
        <row r="8380">
          <cell r="J8380" t="str">
            <v>INV-050825121420</v>
          </cell>
          <cell r="K8380" t="str">
            <v>Paid</v>
          </cell>
        </row>
        <row r="8381">
          <cell r="J8381" t="str">
            <v>INV-020925183058</v>
          </cell>
          <cell r="K8381" t="str">
            <v>Paid</v>
          </cell>
        </row>
        <row r="8382">
          <cell r="J8382" t="str">
            <v>INV-021025132655</v>
          </cell>
          <cell r="K8382" t="str">
            <v>Paid</v>
          </cell>
        </row>
        <row r="8383">
          <cell r="J8383" t="str">
            <v>INV-041125135302</v>
          </cell>
          <cell r="K8383" t="str">
            <v>Paid</v>
          </cell>
        </row>
        <row r="8384">
          <cell r="J8384" t="str">
            <v>INV-021225154550</v>
          </cell>
          <cell r="K8384" t="str">
            <v>Paid</v>
          </cell>
        </row>
        <row r="8385">
          <cell r="J8385" t="str">
            <v>INV-021225160826</v>
          </cell>
          <cell r="K8385" t="str">
            <v>Paid</v>
          </cell>
        </row>
        <row r="8386">
          <cell r="J8386" t="str">
            <v>INV21-KVB-001</v>
          </cell>
          <cell r="K8386" t="str">
            <v>Paid</v>
          </cell>
        </row>
        <row r="8387">
          <cell r="J8387" t="str">
            <v>AUCARDS0025</v>
          </cell>
          <cell r="K8387" t="str">
            <v>Paid</v>
          </cell>
        </row>
        <row r="8388">
          <cell r="J8388" t="str">
            <v>AUCARDS0048</v>
          </cell>
          <cell r="K8388" t="str">
            <v>Paid</v>
          </cell>
        </row>
        <row r="8389">
          <cell r="J8389" t="str">
            <v>AUCARDS0054</v>
          </cell>
          <cell r="K8389" t="str">
            <v>Paid</v>
          </cell>
        </row>
        <row r="8390">
          <cell r="J8390" t="str">
            <v>AUCARDS0060</v>
          </cell>
          <cell r="K8390" t="str">
            <v>Paid</v>
          </cell>
        </row>
        <row r="8391">
          <cell r="J8391" t="str">
            <v>INV-021122052729</v>
          </cell>
          <cell r="K8391" t="str">
            <v>Paid</v>
          </cell>
        </row>
        <row r="8392">
          <cell r="J8392" t="str">
            <v>INV-021222105758</v>
          </cell>
          <cell r="K8392" t="str">
            <v>Paid</v>
          </cell>
        </row>
        <row r="8393">
          <cell r="J8393" t="str">
            <v>INV-040123132544</v>
          </cell>
          <cell r="K8393" t="str">
            <v>Paid</v>
          </cell>
        </row>
        <row r="8394">
          <cell r="J8394" t="str">
            <v>INV-020223031545</v>
          </cell>
          <cell r="K8394" t="str">
            <v>Paid</v>
          </cell>
        </row>
        <row r="8395">
          <cell r="J8395" t="str">
            <v>INV-020323021418</v>
          </cell>
          <cell r="K8395" t="str">
            <v>Paid</v>
          </cell>
        </row>
        <row r="8396">
          <cell r="J8396" t="str">
            <v>INV-040423002032</v>
          </cell>
          <cell r="K8396" t="str">
            <v>Paid</v>
          </cell>
        </row>
        <row r="8397">
          <cell r="J8397" t="str">
            <v>INV-020523231024</v>
          </cell>
          <cell r="K8397" t="str">
            <v>Paid</v>
          </cell>
        </row>
        <row r="8398">
          <cell r="J8398" t="str">
            <v>INV-020623143144</v>
          </cell>
          <cell r="K8398" t="str">
            <v>Paid</v>
          </cell>
        </row>
        <row r="8399">
          <cell r="J8399" t="str">
            <v>INV-030723134536</v>
          </cell>
          <cell r="K8399" t="str">
            <v>Paid</v>
          </cell>
        </row>
        <row r="8400">
          <cell r="J8400" t="str">
            <v>INV-020823134402</v>
          </cell>
          <cell r="K8400" t="str">
            <v>Paid</v>
          </cell>
        </row>
        <row r="8401">
          <cell r="J8401" t="str">
            <v>CARDS0190</v>
          </cell>
          <cell r="K8401" t="str">
            <v>Paid</v>
          </cell>
        </row>
        <row r="8402">
          <cell r="J8402" t="str">
            <v>INV-041223153241</v>
          </cell>
          <cell r="K8402" t="str">
            <v>Paid</v>
          </cell>
        </row>
        <row r="8403">
          <cell r="J8403" t="str">
            <v>INV-050923185336</v>
          </cell>
          <cell r="K8403" t="str">
            <v>Paid</v>
          </cell>
        </row>
        <row r="8404">
          <cell r="J8404" t="str">
            <v>INV-061023122003</v>
          </cell>
          <cell r="K8404" t="str">
            <v>Paid</v>
          </cell>
        </row>
        <row r="8405">
          <cell r="J8405" t="str">
            <v>INV-060723180240</v>
          </cell>
          <cell r="K8405" t="str">
            <v>Paid</v>
          </cell>
        </row>
        <row r="8406">
          <cell r="J8406" t="str">
            <v>INV-061123094737</v>
          </cell>
          <cell r="K8406" t="str">
            <v>Paid</v>
          </cell>
        </row>
        <row r="8407">
          <cell r="J8407" t="str">
            <v>INV-190324171650</v>
          </cell>
          <cell r="K8407" t="str">
            <v>Paid</v>
          </cell>
        </row>
        <row r="8408">
          <cell r="J8408" t="str">
            <v>INV-050424071529</v>
          </cell>
          <cell r="K8408" t="str">
            <v>Paid</v>
          </cell>
        </row>
        <row r="8409">
          <cell r="J8409" t="str">
            <v>INV-040724193123</v>
          </cell>
          <cell r="K8409" t="str">
            <v>Paid</v>
          </cell>
        </row>
        <row r="8410">
          <cell r="J8410" t="str">
            <v>INV-041024140840</v>
          </cell>
          <cell r="K8410" t="str">
            <v>Paid</v>
          </cell>
        </row>
        <row r="8411">
          <cell r="J8411" t="str">
            <v>INV-060524143405</v>
          </cell>
          <cell r="K8411" t="str">
            <v>Paid</v>
          </cell>
        </row>
        <row r="8412">
          <cell r="J8412" t="str">
            <v>INV-050924171518</v>
          </cell>
          <cell r="K8412" t="str">
            <v>Paid</v>
          </cell>
        </row>
        <row r="8413">
          <cell r="J8413" t="str">
            <v>INV-110624151554</v>
          </cell>
          <cell r="K8413" t="str">
            <v>Paid</v>
          </cell>
        </row>
        <row r="8414">
          <cell r="J8414" t="str">
            <v>INV-281124152151</v>
          </cell>
          <cell r="K8414" t="str">
            <v>Paid</v>
          </cell>
        </row>
        <row r="8415">
          <cell r="J8415" t="str">
            <v>CN-INV-281124143511</v>
          </cell>
          <cell r="K8415" t="str">
            <v>Paid</v>
          </cell>
        </row>
        <row r="8416">
          <cell r="J8416" t="str">
            <v>INV-041224141936</v>
          </cell>
          <cell r="K8416" t="str">
            <v>Paid</v>
          </cell>
        </row>
        <row r="8417">
          <cell r="J8417" t="str">
            <v>INV-060125152942</v>
          </cell>
          <cell r="K8417" t="str">
            <v>Paid</v>
          </cell>
        </row>
        <row r="8418">
          <cell r="J8418" t="str">
            <v>INV-050225102919</v>
          </cell>
          <cell r="K8418" t="str">
            <v>Net Off</v>
          </cell>
        </row>
        <row r="8419">
          <cell r="J8419" t="str">
            <v>INV-040124175745</v>
          </cell>
          <cell r="K8419" t="str">
            <v>Paid</v>
          </cell>
        </row>
        <row r="8420">
          <cell r="J8420" t="str">
            <v>INV-050224164220</v>
          </cell>
          <cell r="K8420" t="str">
            <v>Paid</v>
          </cell>
        </row>
        <row r="8421">
          <cell r="J8421" t="str">
            <v>INV-080824091603</v>
          </cell>
          <cell r="K8421" t="str">
            <v>Paid</v>
          </cell>
        </row>
        <row r="8422">
          <cell r="J8422" t="str">
            <v>INV-130224171634</v>
          </cell>
          <cell r="K8422" t="str">
            <v>Paid</v>
          </cell>
        </row>
        <row r="8423">
          <cell r="J8423" t="str">
            <v>HKCARDS0018</v>
          </cell>
          <cell r="K8423" t="str">
            <v>Paid</v>
          </cell>
        </row>
        <row r="8424">
          <cell r="J8424" t="str">
            <v>HKCARDS0033</v>
          </cell>
          <cell r="K8424" t="str">
            <v>Paid</v>
          </cell>
        </row>
        <row r="8425">
          <cell r="J8425" t="str">
            <v>HKCARDS0077</v>
          </cell>
          <cell r="K8425" t="str">
            <v>Paid</v>
          </cell>
        </row>
        <row r="8426">
          <cell r="J8426" t="str">
            <v>HKCARDS0051</v>
          </cell>
          <cell r="K8426" t="str">
            <v>Waived Off</v>
          </cell>
        </row>
        <row r="8427">
          <cell r="J8427" t="str">
            <v>HKCARDS0059</v>
          </cell>
          <cell r="K8427" t="str">
            <v>Waived Off</v>
          </cell>
        </row>
        <row r="8428">
          <cell r="J8428" t="str">
            <v>HKCARDS0068</v>
          </cell>
          <cell r="K8428" t="str">
            <v>Waived Off</v>
          </cell>
        </row>
        <row r="8429">
          <cell r="J8429" t="str">
            <v>HKCARDS0095</v>
          </cell>
          <cell r="K8429" t="str">
            <v>Paid</v>
          </cell>
        </row>
        <row r="8430">
          <cell r="J8430" t="str">
            <v>HKCARDS0109</v>
          </cell>
          <cell r="K8430" t="str">
            <v>Paid</v>
          </cell>
        </row>
        <row r="8431">
          <cell r="J8431" t="str">
            <v>INV-021122063235</v>
          </cell>
          <cell r="K8431" t="str">
            <v>Paid</v>
          </cell>
        </row>
        <row r="8432">
          <cell r="J8432" t="str">
            <v>INV-021222022629</v>
          </cell>
          <cell r="K8432" t="str">
            <v>Paid</v>
          </cell>
        </row>
        <row r="8433">
          <cell r="J8433" t="str">
            <v>INV-030123143203</v>
          </cell>
          <cell r="K8433" t="str">
            <v>Paid</v>
          </cell>
        </row>
        <row r="8434">
          <cell r="J8434" t="str">
            <v>INV-020223041327</v>
          </cell>
          <cell r="K8434" t="str">
            <v>Paid</v>
          </cell>
        </row>
        <row r="8435">
          <cell r="J8435" t="str">
            <v>INV-020323032035</v>
          </cell>
          <cell r="K8435" t="str">
            <v>Paid</v>
          </cell>
        </row>
        <row r="8436">
          <cell r="J8436" t="str">
            <v>INV-031123174316</v>
          </cell>
          <cell r="K8436" t="str">
            <v>Paid</v>
          </cell>
        </row>
        <row r="8437">
          <cell r="J8437" t="str">
            <v>INV-020423233015</v>
          </cell>
          <cell r="K8437" t="str">
            <v>Paid</v>
          </cell>
        </row>
        <row r="8438">
          <cell r="J8438" t="str">
            <v>DN-260423181034</v>
          </cell>
          <cell r="K8438" t="str">
            <v>Paid</v>
          </cell>
        </row>
        <row r="8439">
          <cell r="J8439" t="str">
            <v>INV-020523215359</v>
          </cell>
          <cell r="K8439" t="str">
            <v>Paid</v>
          </cell>
        </row>
        <row r="8440">
          <cell r="J8440" t="str">
            <v>INV-050923105104</v>
          </cell>
          <cell r="K8440" t="str">
            <v>Paid</v>
          </cell>
        </row>
        <row r="8441">
          <cell r="J8441" t="str">
            <v>INV-051023132850</v>
          </cell>
          <cell r="K8441" t="str">
            <v>Paid</v>
          </cell>
        </row>
        <row r="8442">
          <cell r="J8442" t="str">
            <v>INV-051223125340</v>
          </cell>
          <cell r="K8442" t="str">
            <v>Paid</v>
          </cell>
        </row>
        <row r="8443">
          <cell r="J8443" t="str">
            <v>INV-160623173227</v>
          </cell>
          <cell r="K8443" t="str">
            <v>Paid</v>
          </cell>
        </row>
        <row r="8444">
          <cell r="J8444" t="str">
            <v>INV-040723121606</v>
          </cell>
          <cell r="K8444" t="str">
            <v>Paid</v>
          </cell>
        </row>
        <row r="8445">
          <cell r="J8445" t="str">
            <v>INV-030823143024</v>
          </cell>
          <cell r="K8445" t="str">
            <v>Paid</v>
          </cell>
        </row>
        <row r="8446">
          <cell r="J8446" t="str">
            <v>INV-050124131840</v>
          </cell>
          <cell r="K8446" t="str">
            <v>Paid</v>
          </cell>
        </row>
        <row r="8447">
          <cell r="J8447" t="str">
            <v>INV-060224173612</v>
          </cell>
          <cell r="K8447" t="str">
            <v>Paid</v>
          </cell>
        </row>
        <row r="8448">
          <cell r="J8448" t="str">
            <v>INV-060324113419</v>
          </cell>
          <cell r="K8448" t="str">
            <v>Paid</v>
          </cell>
        </row>
        <row r="8449">
          <cell r="J8449" t="str">
            <v>INV-040424164008</v>
          </cell>
          <cell r="K8449" t="str">
            <v>Paid</v>
          </cell>
        </row>
        <row r="8450">
          <cell r="J8450" t="str">
            <v>INV-040624175943</v>
          </cell>
          <cell r="K8450" t="str">
            <v>Paid</v>
          </cell>
        </row>
        <row r="8451">
          <cell r="J8451" t="str">
            <v>INV-040724184437</v>
          </cell>
          <cell r="K8451" t="str">
            <v>Paid</v>
          </cell>
        </row>
        <row r="8452">
          <cell r="J8452" t="str">
            <v>INV-060524161704</v>
          </cell>
          <cell r="K8452" t="str">
            <v>Paid</v>
          </cell>
        </row>
        <row r="8453">
          <cell r="J8453" t="str">
            <v>INV-060824173250</v>
          </cell>
          <cell r="K8453" t="str">
            <v>Paid</v>
          </cell>
        </row>
        <row r="8454">
          <cell r="J8454" t="str">
            <v>INV-061224163900</v>
          </cell>
          <cell r="K8454" t="str">
            <v>Paid</v>
          </cell>
        </row>
        <row r="8455">
          <cell r="J8455" t="str">
            <v>INV-071024144824</v>
          </cell>
          <cell r="K8455" t="str">
            <v>Paid</v>
          </cell>
        </row>
        <row r="8456">
          <cell r="J8456" t="str">
            <v>CN-INV-DN-260423181034</v>
          </cell>
          <cell r="K8456" t="str">
            <v>Paid</v>
          </cell>
        </row>
        <row r="8457">
          <cell r="J8457" t="str">
            <v>INV-050924154927</v>
          </cell>
          <cell r="K8457" t="str">
            <v>Paid</v>
          </cell>
        </row>
        <row r="8458">
          <cell r="J8458" t="str">
            <v>INV-071124134319</v>
          </cell>
          <cell r="K8458" t="str">
            <v>Paid</v>
          </cell>
        </row>
        <row r="8459">
          <cell r="J8459" t="str">
            <v>INV-070125150607</v>
          </cell>
          <cell r="K8459" t="str">
            <v>Paid</v>
          </cell>
        </row>
        <row r="8460">
          <cell r="J8460" t="str">
            <v>INV-060225161633</v>
          </cell>
          <cell r="K8460" t="str">
            <v>Paid</v>
          </cell>
        </row>
        <row r="8461">
          <cell r="J8461" t="str">
            <v>INV-050325164028</v>
          </cell>
          <cell r="K8461" t="str">
            <v>Paid</v>
          </cell>
        </row>
        <row r="8462">
          <cell r="J8462" t="str">
            <v>INV-030425190541</v>
          </cell>
          <cell r="K8462" t="str">
            <v>Paid</v>
          </cell>
        </row>
        <row r="8463">
          <cell r="J8463" t="str">
            <v>INV-060525114931</v>
          </cell>
          <cell r="K8463" t="str">
            <v>Paid</v>
          </cell>
        </row>
        <row r="8464">
          <cell r="J8464" t="str">
            <v>INV-050625144907</v>
          </cell>
          <cell r="K8464" t="str">
            <v>Paid</v>
          </cell>
        </row>
        <row r="8465">
          <cell r="J8465" t="str">
            <v>INV-070725102825</v>
          </cell>
          <cell r="K8465" t="str">
            <v>Paid</v>
          </cell>
        </row>
        <row r="8466">
          <cell r="J8466" t="str">
            <v>INV-060825115756</v>
          </cell>
          <cell r="K8466" t="str">
            <v>Paid</v>
          </cell>
        </row>
        <row r="8467">
          <cell r="J8467" t="str">
            <v>INV-040925144044</v>
          </cell>
          <cell r="K8467" t="str">
            <v>Paid</v>
          </cell>
        </row>
        <row r="8468">
          <cell r="J8468" t="str">
            <v>INV-061025145514</v>
          </cell>
          <cell r="K8468" t="str">
            <v>Paid</v>
          </cell>
        </row>
        <row r="8469">
          <cell r="J8469" t="str">
            <v>INV-061125130433</v>
          </cell>
          <cell r="K8469" t="str">
            <v>Paid</v>
          </cell>
        </row>
        <row r="8470">
          <cell r="J8470" t="str">
            <v>INV-041225184100</v>
          </cell>
          <cell r="K8470" t="str">
            <v>Paid</v>
          </cell>
        </row>
        <row r="8471">
          <cell r="J8471" t="str">
            <v>INV-050126122532</v>
          </cell>
          <cell r="K8471" t="str">
            <v>Paid</v>
          </cell>
        </row>
        <row r="8472">
          <cell r="J8472" t="str">
            <v>INV-210125094046</v>
          </cell>
          <cell r="K8472" t="str">
            <v>Paid</v>
          </cell>
        </row>
        <row r="8473">
          <cell r="J8473" t="str">
            <v>INV-030725133334</v>
          </cell>
          <cell r="K8473" t="str">
            <v>Paid</v>
          </cell>
        </row>
        <row r="8474">
          <cell r="J8474" t="str">
            <v>INV-050825115818</v>
          </cell>
          <cell r="K8474" t="str">
            <v>Outstanding</v>
          </cell>
        </row>
        <row r="8475">
          <cell r="J8475" t="str">
            <v>INV-020925171323</v>
          </cell>
          <cell r="K8475" t="str">
            <v>Outstanding</v>
          </cell>
        </row>
        <row r="8476">
          <cell r="J8476" t="str">
            <v>INV-021025184847</v>
          </cell>
          <cell r="K8476" t="str">
            <v>Outstanding</v>
          </cell>
        </row>
        <row r="8477">
          <cell r="J8477" t="str">
            <v>INV-051125173213</v>
          </cell>
          <cell r="K8477" t="str">
            <v>Outstanding</v>
          </cell>
        </row>
        <row r="8478">
          <cell r="J8478" t="str">
            <v>INV-021225201549</v>
          </cell>
          <cell r="K8478" t="str">
            <v>Outstanding</v>
          </cell>
        </row>
        <row r="8479">
          <cell r="J8479" t="str">
            <v>INV-050126153219</v>
          </cell>
          <cell r="K8479" t="str">
            <v>Outstanding</v>
          </cell>
        </row>
        <row r="8480">
          <cell r="J8480" t="str">
            <v>INV-030226233006</v>
          </cell>
          <cell r="K8480" t="str">
            <v>Outstanding</v>
          </cell>
        </row>
        <row r="8481">
          <cell r="J8481" t="str">
            <v>INV-030326144903</v>
          </cell>
          <cell r="K8481" t="str">
            <v>Outstanding</v>
          </cell>
        </row>
        <row r="8482">
          <cell r="J8482" t="str">
            <v>INV-030626112352</v>
          </cell>
          <cell r="K8482" t="str">
            <v>Outstanding</v>
          </cell>
        </row>
        <row r="8483">
          <cell r="J8483" t="str">
            <v>INV-040326183525</v>
          </cell>
          <cell r="K8483" t="str">
            <v>Paid</v>
          </cell>
        </row>
        <row r="8484">
          <cell r="J8484" t="str">
            <v>INV-060526172652</v>
          </cell>
          <cell r="K8484" t="str">
            <v>Paid</v>
          </cell>
        </row>
        <row r="8485">
          <cell r="J8485" t="str">
            <v>INV-050626103127</v>
          </cell>
          <cell r="K8485" t="str">
            <v>Paid</v>
          </cell>
        </row>
        <row r="8486">
          <cell r="J8486" t="str">
            <v>INV-041223162019</v>
          </cell>
          <cell r="K8486" t="str">
            <v>Paid</v>
          </cell>
        </row>
        <row r="8487">
          <cell r="J8487" t="str">
            <v>INV-061023092812</v>
          </cell>
          <cell r="K8487" t="str">
            <v>Paid</v>
          </cell>
        </row>
        <row r="8488">
          <cell r="J8488" t="str">
            <v>INV-200923114653</v>
          </cell>
          <cell r="K8488" t="str">
            <v>Paid</v>
          </cell>
        </row>
        <row r="8489">
          <cell r="J8489" t="str">
            <v>INV-061123102034</v>
          </cell>
          <cell r="K8489" t="str">
            <v>Paid</v>
          </cell>
        </row>
        <row r="8490">
          <cell r="J8490" t="str">
            <v>INV-040124160152</v>
          </cell>
          <cell r="K8490" t="str">
            <v>Paid</v>
          </cell>
        </row>
        <row r="8491">
          <cell r="J8491" t="str">
            <v>INV-050224172727</v>
          </cell>
          <cell r="K8491" t="str">
            <v>Paid</v>
          </cell>
        </row>
        <row r="8492">
          <cell r="J8492" t="str">
            <v>INV-020824164524</v>
          </cell>
          <cell r="K8492" t="str">
            <v>Paid</v>
          </cell>
        </row>
        <row r="8493">
          <cell r="J8493" t="str">
            <v>INV-030424173137</v>
          </cell>
          <cell r="K8493" t="str">
            <v>Paid</v>
          </cell>
        </row>
        <row r="8494">
          <cell r="J8494" t="str">
            <v>INV-030524110153</v>
          </cell>
          <cell r="K8494" t="str">
            <v>Paid</v>
          </cell>
        </row>
        <row r="8495">
          <cell r="J8495" t="str">
            <v>INV-060324163133</v>
          </cell>
          <cell r="K8495" t="str">
            <v>Paid</v>
          </cell>
        </row>
        <row r="8496">
          <cell r="J8496" t="str">
            <v>INV-030724152113</v>
          </cell>
          <cell r="K8496" t="str">
            <v>Paid</v>
          </cell>
        </row>
        <row r="8497">
          <cell r="J8497" t="str">
            <v>INV-031224170901</v>
          </cell>
          <cell r="K8497" t="str">
            <v>Paid</v>
          </cell>
        </row>
        <row r="8498">
          <cell r="J8498" t="str">
            <v>INV-040624114210</v>
          </cell>
          <cell r="K8498" t="str">
            <v>Paid</v>
          </cell>
        </row>
        <row r="8499">
          <cell r="J8499" t="str">
            <v>INV-040924115424</v>
          </cell>
          <cell r="K8499" t="str">
            <v>Paid</v>
          </cell>
        </row>
        <row r="8500">
          <cell r="J8500" t="str">
            <v>INV-270824125340</v>
          </cell>
          <cell r="K8500" t="str">
            <v>Paid</v>
          </cell>
        </row>
        <row r="8501">
          <cell r="J8501" t="str">
            <v>INV-021024161815</v>
          </cell>
          <cell r="K8501" t="str">
            <v>Paid</v>
          </cell>
        </row>
        <row r="8502">
          <cell r="J8502" t="str">
            <v>CN-INV-021024164210</v>
          </cell>
          <cell r="K8502" t="str">
            <v>Paid</v>
          </cell>
        </row>
        <row r="8503">
          <cell r="J8503" t="str">
            <v>INV-061124122118</v>
          </cell>
          <cell r="K8503" t="str">
            <v>Paid</v>
          </cell>
        </row>
        <row r="8504">
          <cell r="J8504" t="str">
            <v>INV-040125112200</v>
          </cell>
          <cell r="K8504" t="str">
            <v>Paid</v>
          </cell>
        </row>
        <row r="8505">
          <cell r="J8505" t="str">
            <v>INV-040225180710</v>
          </cell>
          <cell r="K8505" t="str">
            <v>Paid</v>
          </cell>
        </row>
        <row r="8506">
          <cell r="J8506" t="str">
            <v>INV-040325160955</v>
          </cell>
          <cell r="K8506" t="str">
            <v>Paid</v>
          </cell>
        </row>
        <row r="8507">
          <cell r="J8507" t="str">
            <v>INV-020425173738</v>
          </cell>
          <cell r="K8507" t="str">
            <v>Paid</v>
          </cell>
        </row>
        <row r="8508">
          <cell r="J8508" t="str">
            <v>INV-020525183148</v>
          </cell>
          <cell r="K8508" t="str">
            <v>Paid</v>
          </cell>
        </row>
        <row r="8509">
          <cell r="J8509" t="str">
            <v>INV-030625153826</v>
          </cell>
          <cell r="K8509" t="str">
            <v>Paid</v>
          </cell>
        </row>
        <row r="8510">
          <cell r="J8510" t="str">
            <v>INV-020725170525</v>
          </cell>
          <cell r="K8510" t="str">
            <v>Paid</v>
          </cell>
        </row>
        <row r="8511">
          <cell r="J8511" t="str">
            <v>INV-040825155148</v>
          </cell>
          <cell r="K8511" t="str">
            <v>Paid</v>
          </cell>
        </row>
        <row r="8512">
          <cell r="J8512" t="str">
            <v>INV-030925103633</v>
          </cell>
          <cell r="K8512" t="str">
            <v>Paid</v>
          </cell>
        </row>
        <row r="8513">
          <cell r="J8513" t="str">
            <v>INV-021025130105</v>
          </cell>
          <cell r="K8513" t="str">
            <v>Paid</v>
          </cell>
        </row>
        <row r="8514">
          <cell r="J8514" t="str">
            <v>INV-061125155809</v>
          </cell>
          <cell r="K8514" t="str">
            <v>Paid</v>
          </cell>
        </row>
        <row r="8515">
          <cell r="J8515" t="str">
            <v>INV-021225150637</v>
          </cell>
          <cell r="K8515" t="str">
            <v>Paid</v>
          </cell>
        </row>
        <row r="8516">
          <cell r="J8516" t="str">
            <v>INV-030126112748</v>
          </cell>
          <cell r="K8516" t="str">
            <v>Paid</v>
          </cell>
        </row>
        <row r="8517">
          <cell r="J8517" t="str">
            <v>INV-030226091512</v>
          </cell>
          <cell r="K8517" t="str">
            <v>Paid</v>
          </cell>
        </row>
        <row r="8518">
          <cell r="J8518" t="str">
            <v>INV-020326184116</v>
          </cell>
          <cell r="K8518" t="str">
            <v>Paid</v>
          </cell>
        </row>
        <row r="8519">
          <cell r="J8519" t="str">
            <v>INV-020426112407</v>
          </cell>
          <cell r="K8519" t="str">
            <v>Paid</v>
          </cell>
        </row>
        <row r="8520">
          <cell r="J8520" t="str">
            <v>INV-050526152313</v>
          </cell>
          <cell r="K8520" t="str">
            <v>Paid</v>
          </cell>
        </row>
        <row r="8521">
          <cell r="J8521" t="str">
            <v>INV-020626091308</v>
          </cell>
          <cell r="K8521" t="str">
            <v>Paid</v>
          </cell>
        </row>
        <row r="8522">
          <cell r="J8522" t="str">
            <v>CARDS0264</v>
          </cell>
          <cell r="K8522" t="str">
            <v>Paid</v>
          </cell>
        </row>
        <row r="8523">
          <cell r="J8523" t="str">
            <v>INV-070526161844</v>
          </cell>
          <cell r="K8523" t="str">
            <v>Paid</v>
          </cell>
        </row>
        <row r="8524">
          <cell r="J8524" t="str">
            <v>INV-170724163648</v>
          </cell>
          <cell r="K8524" t="str">
            <v>Paid</v>
          </cell>
        </row>
        <row r="8525">
          <cell r="J8525" t="str">
            <v>INV-101024132034</v>
          </cell>
          <cell r="K8525" t="str">
            <v>Paid</v>
          </cell>
        </row>
        <row r="8526">
          <cell r="J8526" t="str">
            <v>INV-111124121058</v>
          </cell>
          <cell r="K8526" t="str">
            <v>Paid</v>
          </cell>
        </row>
        <row r="8527">
          <cell r="J8527" t="str">
            <v>INV-131124100800</v>
          </cell>
          <cell r="K8527" t="str">
            <v>Paid</v>
          </cell>
        </row>
        <row r="8528">
          <cell r="J8528" t="str">
            <v>INV-111224093231</v>
          </cell>
          <cell r="K8528" t="str">
            <v>Paid</v>
          </cell>
        </row>
        <row r="8529">
          <cell r="J8529" t="str">
            <v>INV-070125155808</v>
          </cell>
          <cell r="K8529" t="str">
            <v>Paid</v>
          </cell>
        </row>
        <row r="8530">
          <cell r="J8530" t="str">
            <v>INV-070225114529</v>
          </cell>
          <cell r="K8530" t="str">
            <v>Paid</v>
          </cell>
        </row>
        <row r="8531">
          <cell r="J8531" t="str">
            <v>INV-060325105917</v>
          </cell>
          <cell r="K8531" t="str">
            <v>Paid</v>
          </cell>
        </row>
        <row r="8532">
          <cell r="J8532" t="str">
            <v>INV-040425110106</v>
          </cell>
          <cell r="K8532" t="str">
            <v>Paid</v>
          </cell>
        </row>
        <row r="8533">
          <cell r="J8533" t="str">
            <v>INV-060525131138</v>
          </cell>
          <cell r="K8533" t="str">
            <v>Paid</v>
          </cell>
        </row>
        <row r="8534">
          <cell r="J8534" t="str">
            <v>INV-050625160211</v>
          </cell>
          <cell r="K8534" t="str">
            <v>Paid</v>
          </cell>
        </row>
        <row r="8535">
          <cell r="J8535" t="str">
            <v>INV-040725164309</v>
          </cell>
          <cell r="K8535" t="str">
            <v>Paid</v>
          </cell>
        </row>
        <row r="8536">
          <cell r="J8536" t="str">
            <v>INV-060825155524</v>
          </cell>
          <cell r="K8536" t="str">
            <v>Paid</v>
          </cell>
        </row>
        <row r="8537">
          <cell r="J8537" t="str">
            <v>INV-040925124800</v>
          </cell>
          <cell r="K8537" t="str">
            <v>Paid</v>
          </cell>
        </row>
        <row r="8538">
          <cell r="J8538" t="str">
            <v>INV-061025164622</v>
          </cell>
          <cell r="K8538" t="str">
            <v>Paid</v>
          </cell>
        </row>
        <row r="8539">
          <cell r="J8539" t="str">
            <v>INV-061125181938</v>
          </cell>
          <cell r="K8539" t="str">
            <v>Paid</v>
          </cell>
        </row>
        <row r="8540">
          <cell r="J8540" t="str">
            <v>INV-041225184027</v>
          </cell>
          <cell r="K8540" t="str">
            <v>Paid</v>
          </cell>
        </row>
        <row r="8541">
          <cell r="J8541" t="str">
            <v>INV-060126155035</v>
          </cell>
          <cell r="K8541" t="str">
            <v>Paid</v>
          </cell>
        </row>
        <row r="8542">
          <cell r="J8542" t="str">
            <v>INV-090226194222</v>
          </cell>
          <cell r="K8542" t="str">
            <v>Paid</v>
          </cell>
        </row>
        <row r="8543">
          <cell r="J8543" t="str">
            <v>INV-050326093731</v>
          </cell>
          <cell r="K8543" t="str">
            <v>Paid</v>
          </cell>
        </row>
        <row r="8544">
          <cell r="J8544" t="str">
            <v>INV-030426163224</v>
          </cell>
          <cell r="K8544" t="str">
            <v>Paid</v>
          </cell>
        </row>
        <row r="8545">
          <cell r="J8545" t="str">
            <v>INV-180526122349</v>
          </cell>
          <cell r="K8545" t="str">
            <v>Paid</v>
          </cell>
        </row>
        <row r="8546">
          <cell r="J8546" t="str">
            <v>INV-040626102708</v>
          </cell>
          <cell r="K8546" t="str">
            <v>Paid</v>
          </cell>
        </row>
        <row r="8547">
          <cell r="J8547" t="str">
            <v>INV-131023154801</v>
          </cell>
          <cell r="K8547" t="str">
            <v>Paid</v>
          </cell>
        </row>
        <row r="8548">
          <cell r="J8548" t="str">
            <v>INV-061123175908</v>
          </cell>
          <cell r="K8548" t="str">
            <v>Paid</v>
          </cell>
        </row>
        <row r="8549">
          <cell r="J8549" t="str">
            <v>INV-121023183132</v>
          </cell>
          <cell r="K8549" t="str">
            <v>Paid</v>
          </cell>
        </row>
        <row r="8550">
          <cell r="J8550" t="str">
            <v>INV-080124124732</v>
          </cell>
          <cell r="K8550" t="str">
            <v>Paid</v>
          </cell>
        </row>
        <row r="8551">
          <cell r="J8551" t="str">
            <v>INV-100124114432</v>
          </cell>
          <cell r="K8551" t="str">
            <v>Paid</v>
          </cell>
        </row>
        <row r="8552">
          <cell r="J8552" t="str">
            <v>INV-080224131243</v>
          </cell>
          <cell r="K8552" t="str">
            <v>Paid</v>
          </cell>
        </row>
        <row r="8553">
          <cell r="J8553" t="str">
            <v>INV-120324173036</v>
          </cell>
          <cell r="K8553" t="str">
            <v>Paid</v>
          </cell>
        </row>
        <row r="8554">
          <cell r="J8554" t="str">
            <v>INV-060424121403</v>
          </cell>
          <cell r="K8554" t="str">
            <v>Paid</v>
          </cell>
        </row>
        <row r="8555">
          <cell r="J8555" t="str">
            <v>INV-050724180841</v>
          </cell>
          <cell r="K8555" t="str">
            <v>Paid</v>
          </cell>
        </row>
        <row r="8556">
          <cell r="J8556" t="str">
            <v>INV-090524180212</v>
          </cell>
          <cell r="K8556" t="str">
            <v>Paid</v>
          </cell>
        </row>
        <row r="8557">
          <cell r="J8557" t="str">
            <v>INV-070624131748</v>
          </cell>
          <cell r="K8557" t="str">
            <v>Paid</v>
          </cell>
        </row>
        <row r="8558">
          <cell r="J8558" t="str">
            <v>INV-070824121815</v>
          </cell>
          <cell r="K8558" t="str">
            <v>Paid</v>
          </cell>
        </row>
        <row r="8559">
          <cell r="J8559" t="str">
            <v>INV-100924102939</v>
          </cell>
          <cell r="K8559" t="str">
            <v>Paid</v>
          </cell>
        </row>
        <row r="8560">
          <cell r="J8560" t="str">
            <v>INV-091024162730</v>
          </cell>
          <cell r="K8560" t="str">
            <v>Paid</v>
          </cell>
        </row>
        <row r="8561">
          <cell r="J8561" t="str">
            <v>INV-111124135413</v>
          </cell>
          <cell r="K8561" t="str">
            <v>Paid</v>
          </cell>
        </row>
        <row r="8562">
          <cell r="J8562" t="str">
            <v>INV-101224130839</v>
          </cell>
          <cell r="K8562" t="str">
            <v>Paid</v>
          </cell>
        </row>
        <row r="8563">
          <cell r="J8563" t="str">
            <v>INV-080125091112</v>
          </cell>
          <cell r="K8563" t="str">
            <v>Paid</v>
          </cell>
        </row>
        <row r="8564">
          <cell r="J8564" t="str">
            <v>INV-070225134255</v>
          </cell>
          <cell r="K8564" t="str">
            <v>Paid</v>
          </cell>
        </row>
        <row r="8565">
          <cell r="J8565" t="str">
            <v>INV-060325162130</v>
          </cell>
          <cell r="K8565" t="str">
            <v>Paid</v>
          </cell>
        </row>
        <row r="8566">
          <cell r="J8566" t="str">
            <v>INV-040425150553</v>
          </cell>
          <cell r="K8566" t="str">
            <v>Paid</v>
          </cell>
        </row>
        <row r="8567">
          <cell r="J8567" t="str">
            <v>INV-060525151221</v>
          </cell>
          <cell r="K8567" t="str">
            <v>Paid</v>
          </cell>
        </row>
        <row r="8568">
          <cell r="J8568" t="str">
            <v>INV-050625165152</v>
          </cell>
          <cell r="K8568" t="str">
            <v>Paid</v>
          </cell>
        </row>
        <row r="8569">
          <cell r="J8569" t="str">
            <v>INV-040725174732</v>
          </cell>
          <cell r="K8569" t="str">
            <v>Paid</v>
          </cell>
        </row>
        <row r="8570">
          <cell r="J8570" t="str">
            <v>INV-060825174112</v>
          </cell>
          <cell r="K8570" t="str">
            <v>Paid</v>
          </cell>
        </row>
        <row r="8571">
          <cell r="J8571" t="str">
            <v>INV-050925123644</v>
          </cell>
          <cell r="K8571" t="str">
            <v>Paid</v>
          </cell>
        </row>
        <row r="8572">
          <cell r="J8572" t="str">
            <v>INV-061025203727</v>
          </cell>
          <cell r="K8572" t="str">
            <v>Paid</v>
          </cell>
        </row>
        <row r="8573">
          <cell r="J8573" t="str">
            <v>INV-061125190214</v>
          </cell>
          <cell r="K8573" t="str">
            <v>Paid</v>
          </cell>
        </row>
        <row r="8574">
          <cell r="J8574" t="str">
            <v>INV-041225195921</v>
          </cell>
          <cell r="K8574" t="str">
            <v>Paid</v>
          </cell>
        </row>
        <row r="8575">
          <cell r="J8575" t="str">
            <v>INV-060126174346</v>
          </cell>
          <cell r="K8575" t="str">
            <v>Paid</v>
          </cell>
        </row>
        <row r="8576">
          <cell r="J8576" t="str">
            <v>INV-090226180636</v>
          </cell>
          <cell r="K8576" t="str">
            <v>Paid</v>
          </cell>
        </row>
        <row r="8577">
          <cell r="J8577" t="str">
            <v>INV-050326102046</v>
          </cell>
          <cell r="K8577" t="str">
            <v>Paid</v>
          </cell>
        </row>
        <row r="8578">
          <cell r="J8578" t="str">
            <v>INV-060426115102</v>
          </cell>
          <cell r="K8578" t="str">
            <v>Paid</v>
          </cell>
        </row>
        <row r="8579">
          <cell r="J8579" t="str">
            <v>INV-070526182728</v>
          </cell>
          <cell r="K8579" t="str">
            <v>Paid</v>
          </cell>
        </row>
        <row r="8580">
          <cell r="J8580" t="str">
            <v>INV-040626161739</v>
          </cell>
          <cell r="K8580" t="str">
            <v>Paid</v>
          </cell>
        </row>
        <row r="8581">
          <cell r="J8581" t="str">
            <v>INV2024-MSH-003</v>
          </cell>
          <cell r="K8581" t="str">
            <v>Paid</v>
          </cell>
        </row>
        <row r="8582">
          <cell r="J8582" t="str">
            <v>INV2024-MSH-005</v>
          </cell>
          <cell r="K8582" t="str">
            <v>Paid</v>
          </cell>
        </row>
        <row r="8583">
          <cell r="J8583" t="str">
            <v>INV2024-MSH-009</v>
          </cell>
          <cell r="K8583" t="str">
            <v>Paid</v>
          </cell>
        </row>
        <row r="8584">
          <cell r="J8584" t="str">
            <v>INV2024-MSH-011</v>
          </cell>
          <cell r="K8584" t="str">
            <v>Paid</v>
          </cell>
        </row>
        <row r="8585">
          <cell r="J8585" t="str">
            <v>INV2024-MSH-013</v>
          </cell>
          <cell r="K8585" t="str">
            <v>Paid</v>
          </cell>
        </row>
        <row r="8586">
          <cell r="J8586" t="str">
            <v>INV2025-MSH-001</v>
          </cell>
          <cell r="K8586" t="str">
            <v>Paid</v>
          </cell>
        </row>
        <row r="8587">
          <cell r="J8587" t="str">
            <v>INV2025-MSH-003</v>
          </cell>
          <cell r="K8587" t="str">
            <v>Paid</v>
          </cell>
        </row>
        <row r="8588">
          <cell r="J8588" t="str">
            <v>INV2025-MSH-002_1</v>
          </cell>
          <cell r="K8588" t="str">
            <v>Paid</v>
          </cell>
        </row>
        <row r="8589">
          <cell r="J8589" t="str">
            <v>INV2025-MSH-0032</v>
          </cell>
          <cell r="K8589" t="str">
            <v>Paid</v>
          </cell>
        </row>
        <row r="8590">
          <cell r="J8590" t="str">
            <v>INV2025-MSH-0004</v>
          </cell>
          <cell r="K8590" t="str">
            <v>Paid</v>
          </cell>
        </row>
        <row r="8591">
          <cell r="J8591" t="str">
            <v>INV2025-MSH-009</v>
          </cell>
          <cell r="K8591" t="str">
            <v>Paid</v>
          </cell>
        </row>
        <row r="8592">
          <cell r="J8592" t="str">
            <v>INV2025-MSH-008</v>
          </cell>
          <cell r="K8592" t="str">
            <v>Paid</v>
          </cell>
        </row>
        <row r="8593">
          <cell r="J8593" t="str">
            <v>INV2025-MSH-011</v>
          </cell>
          <cell r="K8593" t="str">
            <v>Paid</v>
          </cell>
        </row>
        <row r="8594">
          <cell r="J8594" t="str">
            <v>INV2023-MESH-001</v>
          </cell>
          <cell r="K8594" t="str">
            <v>Paid</v>
          </cell>
        </row>
        <row r="8595">
          <cell r="J8595" t="str">
            <v>INV2023-MESH-002</v>
          </cell>
          <cell r="K8595" t="str">
            <v>Paid</v>
          </cell>
        </row>
        <row r="8596">
          <cell r="J8596" t="str">
            <v>INV-131023151110</v>
          </cell>
          <cell r="K8596" t="str">
            <v>Paid</v>
          </cell>
        </row>
        <row r="8597">
          <cell r="J8597" t="str">
            <v>INV-061123173305</v>
          </cell>
          <cell r="K8597" t="str">
            <v>Paid</v>
          </cell>
        </row>
        <row r="8598">
          <cell r="J8598" t="str">
            <v>INV-121023170346</v>
          </cell>
          <cell r="K8598" t="str">
            <v>Paid</v>
          </cell>
        </row>
        <row r="8599">
          <cell r="J8599" t="str">
            <v>INV-100124092122</v>
          </cell>
          <cell r="K8599" t="str">
            <v>Paid</v>
          </cell>
        </row>
        <row r="8600">
          <cell r="J8600" t="str">
            <v>INV-100124111607</v>
          </cell>
          <cell r="K8600" t="str">
            <v>Paid</v>
          </cell>
        </row>
        <row r="8601">
          <cell r="J8601" t="str">
            <v>INV-080224135801</v>
          </cell>
          <cell r="K8601" t="str">
            <v>Paid</v>
          </cell>
        </row>
        <row r="8602">
          <cell r="J8602" t="str">
            <v>INV-120324175052</v>
          </cell>
          <cell r="K8602" t="str">
            <v>Paid</v>
          </cell>
        </row>
        <row r="8603">
          <cell r="J8603" t="str">
            <v>INV-060424125737</v>
          </cell>
          <cell r="K8603" t="str">
            <v>Paid</v>
          </cell>
        </row>
        <row r="8604">
          <cell r="J8604" t="str">
            <v>INV-050724193236</v>
          </cell>
          <cell r="K8604" t="str">
            <v>Paid</v>
          </cell>
        </row>
        <row r="8605">
          <cell r="J8605" t="str">
            <v>INV-090524183118</v>
          </cell>
          <cell r="K8605" t="str">
            <v>Paid</v>
          </cell>
        </row>
        <row r="8606">
          <cell r="J8606" t="str">
            <v>INV-070624134642</v>
          </cell>
          <cell r="K8606" t="str">
            <v>Paid</v>
          </cell>
        </row>
        <row r="8607">
          <cell r="J8607" t="str">
            <v>INV-070824141645</v>
          </cell>
          <cell r="K8607" t="str">
            <v>Paid</v>
          </cell>
        </row>
        <row r="8608">
          <cell r="J8608" t="str">
            <v>INV-100924123053</v>
          </cell>
          <cell r="K8608" t="str">
            <v>Paid</v>
          </cell>
        </row>
        <row r="8609">
          <cell r="J8609" t="str">
            <v>INV-091024181151</v>
          </cell>
          <cell r="K8609" t="str">
            <v>Paid</v>
          </cell>
        </row>
        <row r="8610">
          <cell r="J8610" t="str">
            <v>INV-111124125851</v>
          </cell>
          <cell r="K8610" t="str">
            <v>Paid</v>
          </cell>
        </row>
        <row r="8611">
          <cell r="J8611" t="str">
            <v>INV-281124102000</v>
          </cell>
          <cell r="K8611" t="str">
            <v>Paid</v>
          </cell>
        </row>
        <row r="8612">
          <cell r="J8612" t="str">
            <v xml:space="preserve">INV-281124105500 </v>
          </cell>
          <cell r="K8612" t="str">
            <v>Paid</v>
          </cell>
        </row>
        <row r="8613">
          <cell r="J8613" t="str">
            <v>INV-101224154054</v>
          </cell>
          <cell r="K8613" t="str">
            <v>Paid</v>
          </cell>
        </row>
        <row r="8614">
          <cell r="J8614" t="str">
            <v>INV-080125092955</v>
          </cell>
          <cell r="K8614" t="str">
            <v>Paid</v>
          </cell>
        </row>
        <row r="8615">
          <cell r="J8615" t="str">
            <v>INV-070225152414</v>
          </cell>
          <cell r="K8615" t="str">
            <v>Paid</v>
          </cell>
        </row>
        <row r="8616">
          <cell r="J8616" t="str">
            <v>INV-060325111358</v>
          </cell>
          <cell r="K8616" t="str">
            <v>Paid</v>
          </cell>
        </row>
        <row r="8617">
          <cell r="J8617" t="str">
            <v>INV-040425121248</v>
          </cell>
          <cell r="K8617" t="str">
            <v>Paid</v>
          </cell>
        </row>
        <row r="8618">
          <cell r="J8618" t="str">
            <v>INV-060525154620</v>
          </cell>
          <cell r="K8618" t="str">
            <v>Paid</v>
          </cell>
        </row>
        <row r="8619">
          <cell r="J8619" t="str">
            <v>INV-050625173052</v>
          </cell>
          <cell r="K8619" t="str">
            <v>Paid</v>
          </cell>
        </row>
        <row r="8620">
          <cell r="J8620" t="str">
            <v>INV-040725184548</v>
          </cell>
          <cell r="K8620" t="str">
            <v>Paid</v>
          </cell>
        </row>
        <row r="8621">
          <cell r="J8621" t="str">
            <v>INV-060825172550</v>
          </cell>
          <cell r="K8621" t="str">
            <v>Paid</v>
          </cell>
        </row>
        <row r="8622">
          <cell r="J8622" t="str">
            <v>INV-040925132249</v>
          </cell>
          <cell r="K8622" t="str">
            <v>Paid</v>
          </cell>
        </row>
        <row r="8623">
          <cell r="J8623" t="str">
            <v>INV-061025183359</v>
          </cell>
          <cell r="K8623" t="str">
            <v>Paid</v>
          </cell>
        </row>
        <row r="8624">
          <cell r="J8624" t="str">
            <v>INV-071125094233</v>
          </cell>
          <cell r="K8624" t="str">
            <v>Paid</v>
          </cell>
        </row>
        <row r="8625">
          <cell r="J8625" t="str">
            <v>INV-041225191917</v>
          </cell>
          <cell r="K8625" t="str">
            <v>Paid</v>
          </cell>
        </row>
        <row r="8626">
          <cell r="J8626" t="str">
            <v>INV-060126163207</v>
          </cell>
          <cell r="K8626" t="str">
            <v>Paid</v>
          </cell>
        </row>
        <row r="8627">
          <cell r="J8627" t="str">
            <v>INV-090226165028</v>
          </cell>
          <cell r="K8627" t="str">
            <v>Paid</v>
          </cell>
        </row>
        <row r="8628">
          <cell r="J8628" t="str">
            <v>INV-050326113715</v>
          </cell>
          <cell r="K8628" t="str">
            <v>Paid</v>
          </cell>
        </row>
        <row r="8629">
          <cell r="J8629" t="str">
            <v>INV-030426184106</v>
          </cell>
          <cell r="K8629" t="str">
            <v>Paid</v>
          </cell>
        </row>
        <row r="8630">
          <cell r="J8630" t="str">
            <v>INV-180526093604</v>
          </cell>
          <cell r="K8630" t="str">
            <v>Paid</v>
          </cell>
        </row>
        <row r="8631">
          <cell r="J8631" t="str">
            <v>INV-040626165658</v>
          </cell>
          <cell r="K8631" t="str">
            <v>Paid</v>
          </cell>
        </row>
        <row r="8632">
          <cell r="J8632" t="str">
            <v>INV2023-MSH-001</v>
          </cell>
          <cell r="K8632" t="str">
            <v>Paid</v>
          </cell>
        </row>
        <row r="8633">
          <cell r="J8633" t="str">
            <v>INV-131023153651</v>
          </cell>
          <cell r="K8633" t="str">
            <v>Paid</v>
          </cell>
        </row>
        <row r="8634">
          <cell r="J8634" t="str">
            <v>INV-061123181538</v>
          </cell>
          <cell r="K8634" t="str">
            <v>Paid</v>
          </cell>
        </row>
        <row r="8635">
          <cell r="J8635" t="str">
            <v>INV-121023173017</v>
          </cell>
          <cell r="K8635" t="str">
            <v>Paid</v>
          </cell>
        </row>
        <row r="8636">
          <cell r="J8636" t="str">
            <v>INV-080224105113</v>
          </cell>
          <cell r="K8636" t="str">
            <v>Paid</v>
          </cell>
        </row>
        <row r="8637">
          <cell r="J8637" t="str">
            <v>INV-120324165823</v>
          </cell>
          <cell r="K8637" t="str">
            <v>Paid</v>
          </cell>
        </row>
        <row r="8638">
          <cell r="J8638" t="str">
            <v>INV-060424123559</v>
          </cell>
          <cell r="K8638" t="str">
            <v>Paid</v>
          </cell>
        </row>
        <row r="8639">
          <cell r="J8639" t="str">
            <v>INV-050724190507</v>
          </cell>
          <cell r="K8639" t="str">
            <v>Paid</v>
          </cell>
        </row>
        <row r="8640">
          <cell r="J8640" t="str">
            <v>INV-090524173645</v>
          </cell>
          <cell r="K8640" t="str">
            <v>Paid</v>
          </cell>
        </row>
        <row r="8641">
          <cell r="J8641" t="str">
            <v>INV-070624121351</v>
          </cell>
          <cell r="K8641" t="str">
            <v>Paid</v>
          </cell>
        </row>
        <row r="8642">
          <cell r="J8642" t="str">
            <v>INV-070824134629</v>
          </cell>
          <cell r="K8642" t="str">
            <v>Paid</v>
          </cell>
        </row>
        <row r="8643">
          <cell r="J8643" t="str">
            <v>CN-INV-300724110110</v>
          </cell>
          <cell r="K8643" t="str">
            <v>Paid</v>
          </cell>
        </row>
        <row r="8644">
          <cell r="J8644" t="str">
            <v>INV-091024175741</v>
          </cell>
          <cell r="K8644" t="str">
            <v>Paid</v>
          </cell>
        </row>
        <row r="8645">
          <cell r="J8645" t="str">
            <v>INV-100924114808</v>
          </cell>
          <cell r="K8645" t="str">
            <v>Paid</v>
          </cell>
        </row>
        <row r="8646">
          <cell r="J8646" t="str">
            <v>INV-111124132901</v>
          </cell>
          <cell r="K8646" t="str">
            <v>Paid</v>
          </cell>
        </row>
        <row r="8647">
          <cell r="J8647" t="str">
            <v>INV-101224115759</v>
          </cell>
          <cell r="K8647" t="str">
            <v>Paid</v>
          </cell>
        </row>
        <row r="8648">
          <cell r="J8648" t="str">
            <v>INV-070125173643</v>
          </cell>
          <cell r="K8648" t="str">
            <v>Paid</v>
          </cell>
        </row>
        <row r="8649">
          <cell r="J8649" t="str">
            <v>INV-070225121205</v>
          </cell>
          <cell r="K8649" t="str">
            <v>Paid</v>
          </cell>
        </row>
        <row r="8650">
          <cell r="J8650" t="str">
            <v>INV-060325160400</v>
          </cell>
          <cell r="K8650" t="str">
            <v>Paid</v>
          </cell>
        </row>
        <row r="8651">
          <cell r="J8651" t="str">
            <v>INV-040425133429</v>
          </cell>
          <cell r="K8651" t="str">
            <v>Paid</v>
          </cell>
        </row>
        <row r="8652">
          <cell r="J8652" t="str">
            <v>INV-060525133013</v>
          </cell>
          <cell r="K8652" t="str">
            <v>Paid</v>
          </cell>
        </row>
        <row r="8653">
          <cell r="J8653" t="str">
            <v>INV-050625163538</v>
          </cell>
          <cell r="K8653" t="str">
            <v>Paid</v>
          </cell>
        </row>
        <row r="8654">
          <cell r="J8654" t="str">
            <v>INV-040725171408</v>
          </cell>
          <cell r="K8654" t="str">
            <v>Paid</v>
          </cell>
        </row>
        <row r="8655">
          <cell r="J8655" t="str">
            <v>INV-060825162412</v>
          </cell>
          <cell r="K8655" t="str">
            <v>Paid</v>
          </cell>
        </row>
        <row r="8656">
          <cell r="J8656" t="str">
            <v>INV-050925115924</v>
          </cell>
          <cell r="K8656" t="str">
            <v>Paid</v>
          </cell>
        </row>
        <row r="8657">
          <cell r="J8657" t="str">
            <v>INV-061025175548</v>
          </cell>
          <cell r="K8657" t="str">
            <v>Paid</v>
          </cell>
        </row>
        <row r="8658">
          <cell r="J8658" t="str">
            <v>INV-061125184155</v>
          </cell>
          <cell r="K8658" t="str">
            <v>Paid</v>
          </cell>
        </row>
        <row r="8659">
          <cell r="J8659" t="str">
            <v>INV-041225193919</v>
          </cell>
          <cell r="K8659" t="str">
            <v>Paid</v>
          </cell>
        </row>
        <row r="8660">
          <cell r="J8660" t="str">
            <v>INV-060126175432</v>
          </cell>
          <cell r="K8660" t="str">
            <v>Paid</v>
          </cell>
        </row>
        <row r="8661">
          <cell r="J8661" t="str">
            <v>INV-090226191124</v>
          </cell>
          <cell r="K8661" t="str">
            <v>Paid</v>
          </cell>
        </row>
        <row r="8662">
          <cell r="J8662" t="str">
            <v>INV-050326095906</v>
          </cell>
          <cell r="K8662" t="str">
            <v>Paid</v>
          </cell>
        </row>
        <row r="8663">
          <cell r="J8663" t="str">
            <v>INV-060426100127</v>
          </cell>
          <cell r="K8663" t="str">
            <v>Paid</v>
          </cell>
        </row>
        <row r="8664">
          <cell r="J8664" t="str">
            <v>INV-070526163713</v>
          </cell>
          <cell r="K8664" t="str">
            <v>Paid</v>
          </cell>
        </row>
        <row r="8665">
          <cell r="J8665" t="str">
            <v>INV-040626160024</v>
          </cell>
          <cell r="K8665" t="str">
            <v>Paid</v>
          </cell>
        </row>
        <row r="8666">
          <cell r="J8666" t="str">
            <v>INV2025-MSH-002</v>
          </cell>
          <cell r="K8666" t="str">
            <v>Paid</v>
          </cell>
        </row>
        <row r="8667">
          <cell r="J8667" t="str">
            <v>INV2023-MSH-002</v>
          </cell>
          <cell r="K8667" t="str">
            <v>Paid</v>
          </cell>
        </row>
        <row r="8668">
          <cell r="J8668" t="str">
            <v>INV2024-MSH-002</v>
          </cell>
          <cell r="K8668" t="str">
            <v>Paid</v>
          </cell>
        </row>
        <row r="8669">
          <cell r="J8669" t="str">
            <v>INV2024-MSH-004</v>
          </cell>
          <cell r="K8669" t="str">
            <v>Paid</v>
          </cell>
        </row>
        <row r="8670">
          <cell r="J8670" t="str">
            <v>INV2024-MSH-006</v>
          </cell>
          <cell r="K8670" t="str">
            <v>Paid</v>
          </cell>
        </row>
        <row r="8671">
          <cell r="J8671" t="str">
            <v>INV2024-MSH-007</v>
          </cell>
          <cell r="K8671" t="str">
            <v>Paid</v>
          </cell>
        </row>
        <row r="8672">
          <cell r="J8672" t="str">
            <v>INV2024-MSH-008</v>
          </cell>
          <cell r="K8672" t="str">
            <v>Paid</v>
          </cell>
        </row>
        <row r="8673">
          <cell r="J8673" t="str">
            <v>INV2024-MSH-010</v>
          </cell>
          <cell r="K8673" t="str">
            <v>Paid</v>
          </cell>
        </row>
        <row r="8674">
          <cell r="J8674" t="str">
            <v>INV2024-MSH-012</v>
          </cell>
          <cell r="K8674" t="str">
            <v>Paid</v>
          </cell>
        </row>
        <row r="8675">
          <cell r="J8675" t="str">
            <v>NV2025-MSH-003</v>
          </cell>
          <cell r="K8675" t="str">
            <v>Paid</v>
          </cell>
        </row>
        <row r="8676">
          <cell r="J8676" t="str">
            <v>INV2025-MSH-004</v>
          </cell>
          <cell r="K8676" t="str">
            <v>Paid</v>
          </cell>
        </row>
        <row r="8677">
          <cell r="J8677" t="str">
            <v>INV2025-MSH-005</v>
          </cell>
          <cell r="K8677" t="str">
            <v>Paid</v>
          </cell>
        </row>
        <row r="8678">
          <cell r="J8678" t="str">
            <v>INV2025-MSH-006</v>
          </cell>
          <cell r="K8678" t="str">
            <v>Paid</v>
          </cell>
        </row>
        <row r="8679">
          <cell r="J8679" t="str">
            <v>INV2025-MSH-007</v>
          </cell>
          <cell r="K8679" t="str">
            <v>Paid</v>
          </cell>
        </row>
        <row r="8680">
          <cell r="J8680" t="str">
            <v>INV-060526163836</v>
          </cell>
          <cell r="K8680" t="str">
            <v>Outstanding</v>
          </cell>
        </row>
        <row r="8681">
          <cell r="J8681" t="str">
            <v>INV-030626093803</v>
          </cell>
          <cell r="K8681" t="str">
            <v>Outstanding</v>
          </cell>
        </row>
        <row r="8682">
          <cell r="J8682" t="str">
            <v>INV-270525093252</v>
          </cell>
          <cell r="K8682" t="str">
            <v>Paid</v>
          </cell>
        </row>
        <row r="8683">
          <cell r="J8683" t="str">
            <v>INV-030426095657</v>
          </cell>
          <cell r="K8683" t="str">
            <v>Outstanding</v>
          </cell>
        </row>
        <row r="8684">
          <cell r="J8684" t="str">
            <v>INV-050526130450</v>
          </cell>
          <cell r="K8684" t="str">
            <v>Outstanding</v>
          </cell>
        </row>
        <row r="8685">
          <cell r="J8685" t="str">
            <v>CN-INV-030626132939</v>
          </cell>
          <cell r="K8685" t="str">
            <v>Outstanding</v>
          </cell>
        </row>
        <row r="8686">
          <cell r="J8686" t="str">
            <v>INV-030626145124</v>
          </cell>
          <cell r="K8686" t="str">
            <v>Outstanding</v>
          </cell>
        </row>
        <row r="8687">
          <cell r="J8687" t="str">
            <v>INV-061125130710</v>
          </cell>
          <cell r="K8687" t="str">
            <v>Paid</v>
          </cell>
        </row>
        <row r="8688">
          <cell r="J8688" t="str">
            <v>INV-041225100652</v>
          </cell>
          <cell r="K8688" t="str">
            <v>Paid</v>
          </cell>
        </row>
        <row r="8689">
          <cell r="J8689" t="str">
            <v>INV-050126175243</v>
          </cell>
          <cell r="K8689" t="str">
            <v>Paid</v>
          </cell>
        </row>
        <row r="8690">
          <cell r="J8690" t="str">
            <v>INV-060226094811</v>
          </cell>
          <cell r="K8690" t="str">
            <v>Paid</v>
          </cell>
        </row>
        <row r="8691">
          <cell r="J8691" t="str">
            <v>INV-030326155332</v>
          </cell>
          <cell r="K8691" t="str">
            <v>Paid</v>
          </cell>
        </row>
        <row r="8692">
          <cell r="J8692" t="str">
            <v>INV-020426164729</v>
          </cell>
          <cell r="K8692" t="str">
            <v>Paid</v>
          </cell>
        </row>
        <row r="8693">
          <cell r="J8693" t="str">
            <v>INV-050526105104</v>
          </cell>
          <cell r="K8693" t="str">
            <v>Paid</v>
          </cell>
        </row>
        <row r="8694">
          <cell r="J8694" t="str">
            <v>INV-020626145653</v>
          </cell>
          <cell r="K8694" t="str">
            <v>Paid</v>
          </cell>
        </row>
        <row r="8695">
          <cell r="J8695" t="str">
            <v>CN-INV-170626175259</v>
          </cell>
          <cell r="K8695" t="str">
            <v>Outstanding</v>
          </cell>
        </row>
        <row r="8696">
          <cell r="J8696" t="str">
            <v>INV-030326175829</v>
          </cell>
          <cell r="K8696" t="str">
            <v>Paid</v>
          </cell>
        </row>
        <row r="8697">
          <cell r="J8697" t="str">
            <v>INV2021-MTF-001</v>
          </cell>
          <cell r="K8697" t="str">
            <v>Paid</v>
          </cell>
        </row>
        <row r="8698">
          <cell r="J8698" t="str">
            <v>UKCARDS0006</v>
          </cell>
          <cell r="K8698" t="str">
            <v>Paid</v>
          </cell>
        </row>
        <row r="8699">
          <cell r="J8699" t="str">
            <v>EUCARDS0007</v>
          </cell>
          <cell r="K8699" t="str">
            <v>Paid</v>
          </cell>
        </row>
        <row r="8700">
          <cell r="J8700" t="str">
            <v>INV-050824114512</v>
          </cell>
          <cell r="K8700" t="str">
            <v>Paid</v>
          </cell>
        </row>
        <row r="8701">
          <cell r="J8701" t="str">
            <v>INV-050924102609</v>
          </cell>
          <cell r="K8701" t="str">
            <v>Paid</v>
          </cell>
        </row>
        <row r="8702">
          <cell r="J8702" t="str">
            <v>INV_270624132444</v>
          </cell>
          <cell r="K8702" t="str">
            <v>Paid</v>
          </cell>
        </row>
        <row r="8703">
          <cell r="J8703" t="str">
            <v>INV-031024120022</v>
          </cell>
          <cell r="K8703" t="str">
            <v>Paid</v>
          </cell>
        </row>
        <row r="8704">
          <cell r="J8704" t="str">
            <v>INV-061124185404</v>
          </cell>
          <cell r="K8704" t="str">
            <v>Paid</v>
          </cell>
        </row>
        <row r="8705">
          <cell r="J8705" t="str">
            <v>INV-041224132355</v>
          </cell>
          <cell r="K8705" t="str">
            <v>Paid</v>
          </cell>
        </row>
        <row r="8706">
          <cell r="J8706" t="str">
            <v>INV-030125162358</v>
          </cell>
          <cell r="K8706" t="str">
            <v>Paid</v>
          </cell>
        </row>
        <row r="8707">
          <cell r="J8707" t="str">
            <v>INV-050225093742</v>
          </cell>
          <cell r="K8707" t="str">
            <v>Paid</v>
          </cell>
        </row>
        <row r="8708">
          <cell r="J8708" t="str">
            <v>INV-040325190038</v>
          </cell>
          <cell r="K8708" t="str">
            <v>Paid</v>
          </cell>
        </row>
        <row r="8709">
          <cell r="J8709" t="str">
            <v>INV-030425094528</v>
          </cell>
          <cell r="K8709" t="str">
            <v>Paid</v>
          </cell>
        </row>
        <row r="8710">
          <cell r="J8710" t="str">
            <v>INV-050525132045</v>
          </cell>
          <cell r="K8710" t="str">
            <v>Paid</v>
          </cell>
        </row>
        <row r="8711">
          <cell r="J8711" t="str">
            <v>INV-040625105048</v>
          </cell>
          <cell r="K8711" t="str">
            <v>Paid</v>
          </cell>
        </row>
        <row r="8712">
          <cell r="J8712" t="str">
            <v>INV-020725175922</v>
          </cell>
          <cell r="K8712" t="str">
            <v>Paid</v>
          </cell>
        </row>
        <row r="8713">
          <cell r="J8713" t="str">
            <v>INV-051125161416</v>
          </cell>
          <cell r="K8713" t="str">
            <v>Paid</v>
          </cell>
        </row>
        <row r="8714">
          <cell r="J8714" t="str">
            <v>INV-031225170417</v>
          </cell>
          <cell r="K8714" t="str">
            <v>Outstanding</v>
          </cell>
        </row>
        <row r="8715">
          <cell r="J8715" t="str">
            <v>INV-050126154823</v>
          </cell>
          <cell r="K8715" t="str">
            <v>Outstanding</v>
          </cell>
        </row>
        <row r="8716">
          <cell r="J8716" t="str">
            <v>INV-050226133127</v>
          </cell>
          <cell r="K8716" t="str">
            <v>Outstanding</v>
          </cell>
        </row>
        <row r="8717">
          <cell r="J8717" t="str">
            <v>INV-030326180323</v>
          </cell>
          <cell r="K8717" t="str">
            <v>Outstanding</v>
          </cell>
        </row>
        <row r="8718">
          <cell r="J8718" t="str">
            <v>INV-020426170424</v>
          </cell>
          <cell r="K8718" t="str">
            <v>Outstanding</v>
          </cell>
        </row>
        <row r="8719">
          <cell r="J8719" t="str">
            <v>INV-040526195142</v>
          </cell>
          <cell r="K8719" t="str">
            <v>Outstanding</v>
          </cell>
        </row>
        <row r="8720">
          <cell r="J8720" t="str">
            <v>INV-020626175858</v>
          </cell>
          <cell r="K8720" t="str">
            <v>Outstanding</v>
          </cell>
        </row>
        <row r="8721">
          <cell r="J8721" t="str">
            <v>INV-030226181855</v>
          </cell>
          <cell r="K8721" t="str">
            <v>Outstanding</v>
          </cell>
        </row>
        <row r="8722">
          <cell r="J8722" t="str">
            <v>INV-040326160006</v>
          </cell>
          <cell r="K8722" t="str">
            <v>Outstanding</v>
          </cell>
        </row>
        <row r="8723">
          <cell r="J8723" t="str">
            <v>INV-030426231221</v>
          </cell>
          <cell r="K8723" t="str">
            <v>Outstanding</v>
          </cell>
        </row>
        <row r="8724">
          <cell r="J8724" t="str">
            <v>INV-050526163450</v>
          </cell>
          <cell r="K8724" t="str">
            <v>Outstanding</v>
          </cell>
        </row>
        <row r="8725">
          <cell r="J8725" t="str">
            <v>INV-040626193129</v>
          </cell>
          <cell r="K8725" t="str">
            <v>Outstanding</v>
          </cell>
        </row>
        <row r="8726">
          <cell r="J8726" t="str">
            <v>INV-040226185603</v>
          </cell>
          <cell r="K8726" t="str">
            <v>Outstanding</v>
          </cell>
        </row>
        <row r="8727">
          <cell r="J8727" t="str">
            <v>INV-040326095350</v>
          </cell>
          <cell r="K8727" t="str">
            <v>Outstanding</v>
          </cell>
        </row>
        <row r="8728">
          <cell r="J8728" t="str">
            <v>INV-010426201156</v>
          </cell>
          <cell r="K8728" t="str">
            <v>Outstanding</v>
          </cell>
        </row>
        <row r="8729">
          <cell r="J8729" t="str">
            <v>INV-020626113157</v>
          </cell>
          <cell r="K8729" t="str">
            <v>Outstanding</v>
          </cell>
        </row>
        <row r="8730">
          <cell r="J8730" t="str">
            <v>CARDS0189</v>
          </cell>
          <cell r="K8730" t="str">
            <v>Waived Off</v>
          </cell>
        </row>
        <row r="8731">
          <cell r="J8731" t="str">
            <v>INV-051224170546</v>
          </cell>
          <cell r="K8731" t="str">
            <v>Paid</v>
          </cell>
        </row>
        <row r="8732">
          <cell r="J8732" t="str">
            <v>INV-030625193526</v>
          </cell>
          <cell r="K8732" t="str">
            <v>Paid</v>
          </cell>
        </row>
        <row r="8733">
          <cell r="J8733" t="str">
            <v>INV-300824191754</v>
          </cell>
          <cell r="K8733" t="str">
            <v>Paid</v>
          </cell>
        </row>
        <row r="8734">
          <cell r="J8734" t="str">
            <v>INV-041224155942</v>
          </cell>
          <cell r="K8734" t="str">
            <v>Paid</v>
          </cell>
        </row>
        <row r="8735">
          <cell r="J8735" t="str">
            <v>INV-040325183448</v>
          </cell>
          <cell r="K8735" t="str">
            <v>Paid</v>
          </cell>
        </row>
        <row r="8736">
          <cell r="J8736" t="str">
            <v>INV-020425185924</v>
          </cell>
          <cell r="K8736" t="str">
            <v>Paid</v>
          </cell>
        </row>
        <row r="8737">
          <cell r="J8737" t="str">
            <v>INV-041125195230</v>
          </cell>
          <cell r="K8737" t="str">
            <v>Paid</v>
          </cell>
        </row>
        <row r="8738">
          <cell r="J8738" t="str">
            <v>CARDS0187</v>
          </cell>
          <cell r="K8738" t="str">
            <v>Paid</v>
          </cell>
        </row>
        <row r="8739">
          <cell r="J8739" t="str">
            <v>CARDS0222</v>
          </cell>
          <cell r="K8739" t="str">
            <v>Paid</v>
          </cell>
        </row>
        <row r="8740">
          <cell r="J8740" t="str">
            <v>CARDS0262</v>
          </cell>
          <cell r="K8740" t="str">
            <v>Waived Off</v>
          </cell>
        </row>
        <row r="8741">
          <cell r="J8741" t="str">
            <v>INV-091122162631</v>
          </cell>
          <cell r="K8741" t="str">
            <v>Waived Off</v>
          </cell>
        </row>
        <row r="8742">
          <cell r="J8742" t="str">
            <v>INV-170223182033</v>
          </cell>
          <cell r="K8742" t="str">
            <v>Paid</v>
          </cell>
        </row>
        <row r="8743">
          <cell r="J8743" t="str">
            <v>CARDS0186</v>
          </cell>
          <cell r="K8743" t="str">
            <v>Waived Off</v>
          </cell>
        </row>
        <row r="8744">
          <cell r="J8744" t="str">
            <v>INV-020824190729</v>
          </cell>
          <cell r="K8744" t="str">
            <v>Paid</v>
          </cell>
        </row>
        <row r="8745">
          <cell r="J8745" t="str">
            <v>INV-030724174109</v>
          </cell>
          <cell r="K8745" t="str">
            <v>Paid</v>
          </cell>
        </row>
        <row r="8746">
          <cell r="J8746" t="str">
            <v>INV-031024173938</v>
          </cell>
          <cell r="K8746" t="str">
            <v>Paid</v>
          </cell>
        </row>
        <row r="8747">
          <cell r="J8747" t="str">
            <v>INV-031224175315</v>
          </cell>
          <cell r="K8747" t="str">
            <v>Paid</v>
          </cell>
        </row>
        <row r="8748">
          <cell r="J8748" t="str">
            <v>INV-040624164653</v>
          </cell>
          <cell r="K8748" t="str">
            <v>Paid</v>
          </cell>
        </row>
        <row r="8749">
          <cell r="J8749" t="str">
            <v>INV-040924152011</v>
          </cell>
          <cell r="K8749" t="str">
            <v>Paid</v>
          </cell>
        </row>
        <row r="8750">
          <cell r="J8750" t="str">
            <v>INV-030125152735</v>
          </cell>
          <cell r="K8750" t="str">
            <v>Paid</v>
          </cell>
        </row>
        <row r="8751">
          <cell r="J8751" t="str">
            <v>INV-040225173104</v>
          </cell>
          <cell r="K8751" t="str">
            <v>Paid</v>
          </cell>
        </row>
        <row r="8752">
          <cell r="J8752" t="str">
            <v>INV-040325164749</v>
          </cell>
          <cell r="K8752" t="str">
            <v>Paid</v>
          </cell>
        </row>
        <row r="8753">
          <cell r="J8753" t="str">
            <v>INV-020425175719</v>
          </cell>
          <cell r="K8753" t="str">
            <v>Paid</v>
          </cell>
        </row>
        <row r="8754">
          <cell r="J8754" t="str">
            <v>INV-020525193646</v>
          </cell>
          <cell r="K8754" t="str">
            <v>Paid</v>
          </cell>
        </row>
        <row r="8755">
          <cell r="J8755" t="str">
            <v>INV-040825164235</v>
          </cell>
          <cell r="K8755" t="str">
            <v>Paid</v>
          </cell>
        </row>
        <row r="8756">
          <cell r="J8756" t="str">
            <v>INV-020925140337</v>
          </cell>
          <cell r="K8756" t="str">
            <v>Paid</v>
          </cell>
        </row>
        <row r="8757">
          <cell r="J8757" t="str">
            <v>INV-051125165840</v>
          </cell>
          <cell r="K8757" t="str">
            <v>Paid</v>
          </cell>
        </row>
        <row r="8758">
          <cell r="J8758" t="str">
            <v>INV-021225145116</v>
          </cell>
          <cell r="K8758" t="str">
            <v>Paid</v>
          </cell>
        </row>
        <row r="8759">
          <cell r="J8759" t="str">
            <v>INV-050126171134</v>
          </cell>
          <cell r="K8759" t="str">
            <v>Paid</v>
          </cell>
        </row>
        <row r="8760">
          <cell r="J8760" t="str">
            <v>INV-050226183011</v>
          </cell>
          <cell r="K8760" t="str">
            <v>Paid</v>
          </cell>
        </row>
        <row r="8761">
          <cell r="J8761" t="str">
            <v>INV-030326185123</v>
          </cell>
          <cell r="K8761" t="str">
            <v>Paid</v>
          </cell>
        </row>
        <row r="8762">
          <cell r="J8762" t="str">
            <v>INV-030426110102</v>
          </cell>
          <cell r="K8762" t="str">
            <v>Paid</v>
          </cell>
        </row>
        <row r="8763">
          <cell r="J8763" t="str">
            <v>INV-050526164019</v>
          </cell>
          <cell r="K8763" t="str">
            <v>Paid</v>
          </cell>
        </row>
        <row r="8764">
          <cell r="J8764" t="str">
            <v>INV-020626145857</v>
          </cell>
          <cell r="K8764" t="str">
            <v>Paid</v>
          </cell>
        </row>
        <row r="8765">
          <cell r="J8765" t="str">
            <v>INV-061025124436</v>
          </cell>
          <cell r="K8765" t="str">
            <v>Paid</v>
          </cell>
        </row>
        <row r="8766">
          <cell r="J8766" t="str">
            <v>INV-051125172248</v>
          </cell>
          <cell r="K8766" t="str">
            <v>Paid</v>
          </cell>
        </row>
        <row r="8767">
          <cell r="J8767" t="str">
            <v>INV-021225151107</v>
          </cell>
          <cell r="K8767" t="str">
            <v>Paid</v>
          </cell>
        </row>
        <row r="8768">
          <cell r="J8768" t="str">
            <v>INV-050126173246</v>
          </cell>
          <cell r="K8768" t="str">
            <v>Paid</v>
          </cell>
        </row>
        <row r="8769">
          <cell r="J8769" t="str">
            <v>INV-050226185948</v>
          </cell>
          <cell r="K8769" t="str">
            <v>Paid</v>
          </cell>
        </row>
        <row r="8770">
          <cell r="J8770" t="str">
            <v>INV-030326191735</v>
          </cell>
          <cell r="K8770" t="str">
            <v>Paid</v>
          </cell>
        </row>
        <row r="8771">
          <cell r="J8771" t="str">
            <v>INV-030426112219</v>
          </cell>
          <cell r="K8771" t="str">
            <v>Paid</v>
          </cell>
        </row>
        <row r="8772">
          <cell r="J8772" t="str">
            <v>INV-050526185418</v>
          </cell>
          <cell r="K8772" t="str">
            <v>Paid</v>
          </cell>
        </row>
        <row r="8773">
          <cell r="J8773" t="str">
            <v>INV-020626144625</v>
          </cell>
          <cell r="K8773" t="str">
            <v>Paid</v>
          </cell>
        </row>
        <row r="8774">
          <cell r="J8774" t="str">
            <v>INV-290725180211</v>
          </cell>
          <cell r="K8774" t="str">
            <v>Paid</v>
          </cell>
        </row>
        <row r="8775">
          <cell r="J8775" t="str">
            <v>INV-031225181126</v>
          </cell>
          <cell r="K8775" t="str">
            <v>Net Off</v>
          </cell>
        </row>
        <row r="8776">
          <cell r="J8776" t="str">
            <v>INV-050126125120</v>
          </cell>
          <cell r="K8776" t="str">
            <v>Net Off</v>
          </cell>
        </row>
        <row r="8777">
          <cell r="J8777" t="str">
            <v>INV-050226141818</v>
          </cell>
          <cell r="K8777" t="str">
            <v>Net Off</v>
          </cell>
        </row>
        <row r="8778">
          <cell r="J8778" t="str">
            <v>CN-INV-050226141818</v>
          </cell>
          <cell r="K8778" t="str">
            <v>Net Off</v>
          </cell>
        </row>
        <row r="8779">
          <cell r="J8779" t="str">
            <v>INV-090125201011</v>
          </cell>
          <cell r="K8779" t="str">
            <v>Paid</v>
          </cell>
        </row>
        <row r="8780">
          <cell r="J8780" t="str">
            <v>INV-030425121044</v>
          </cell>
          <cell r="K8780" t="str">
            <v>Paid</v>
          </cell>
        </row>
        <row r="8781">
          <cell r="J8781" t="str">
            <v>INV2021-OMT-001</v>
          </cell>
          <cell r="K8781" t="str">
            <v>Paid</v>
          </cell>
        </row>
        <row r="8782">
          <cell r="J8782" t="str">
            <v>INV2022-OMT-002</v>
          </cell>
          <cell r="K8782" t="str">
            <v>Waived Off</v>
          </cell>
        </row>
        <row r="8783">
          <cell r="J8783" t="str">
            <v>INV2022-OMT-003</v>
          </cell>
          <cell r="K8783" t="str">
            <v>Waived Off</v>
          </cell>
        </row>
        <row r="8784">
          <cell r="J8784" t="str">
            <v>CARDS0061</v>
          </cell>
          <cell r="K8784" t="str">
            <v>Paid</v>
          </cell>
        </row>
        <row r="8785">
          <cell r="J8785" t="str">
            <v>AUCARDS0027</v>
          </cell>
          <cell r="K8785" t="str">
            <v>Paid</v>
          </cell>
        </row>
        <row r="8786">
          <cell r="J8786" t="str">
            <v>AUCARDS0028</v>
          </cell>
          <cell r="K8786" t="str">
            <v>Waived Off</v>
          </cell>
        </row>
        <row r="8787">
          <cell r="J8787" t="str">
            <v>AUCARDS0029</v>
          </cell>
          <cell r="K8787" t="str">
            <v>Waived Off</v>
          </cell>
        </row>
        <row r="8788">
          <cell r="J8788" t="str">
            <v>INV-141123142609</v>
          </cell>
          <cell r="K8788" t="str">
            <v>Paid</v>
          </cell>
        </row>
        <row r="8789">
          <cell r="J8789" t="str">
            <v>INV-110324150746</v>
          </cell>
          <cell r="K8789" t="str">
            <v>Paid</v>
          </cell>
        </row>
        <row r="8790">
          <cell r="J8790" t="str">
            <v>INV-300124144111</v>
          </cell>
          <cell r="K8790" t="str">
            <v>Paid</v>
          </cell>
        </row>
        <row r="8791">
          <cell r="J8791" t="str">
            <v>INV2021-OTS-001</v>
          </cell>
          <cell r="K8791" t="str">
            <v>Paid</v>
          </cell>
        </row>
        <row r="8792">
          <cell r="J8792" t="str">
            <v>HKCARDS0006</v>
          </cell>
          <cell r="K8792" t="str">
            <v>Paid</v>
          </cell>
        </row>
        <row r="8793">
          <cell r="J8793" t="str">
            <v>HKCARDS0012</v>
          </cell>
          <cell r="K8793" t="str">
            <v>Waived Off</v>
          </cell>
        </row>
        <row r="8794">
          <cell r="J8794" t="str">
            <v>HKCARDS0016</v>
          </cell>
          <cell r="K8794" t="str">
            <v>Paid</v>
          </cell>
        </row>
        <row r="8795">
          <cell r="J8795" t="str">
            <v>HKCARDS0022</v>
          </cell>
          <cell r="K8795" t="str">
            <v>Waived Off</v>
          </cell>
        </row>
        <row r="8796">
          <cell r="J8796" t="str">
            <v>HKCARDS0027</v>
          </cell>
          <cell r="K8796" t="str">
            <v>Waived Off</v>
          </cell>
        </row>
        <row r="8797">
          <cell r="J8797" t="str">
            <v>HKCARDS0031</v>
          </cell>
          <cell r="K8797" t="str">
            <v>Paid</v>
          </cell>
        </row>
        <row r="8798">
          <cell r="J8798" t="str">
            <v>HKCARDS0036</v>
          </cell>
          <cell r="K8798" t="str">
            <v>Waived Off</v>
          </cell>
        </row>
        <row r="8799">
          <cell r="J8799" t="str">
            <v>HKCARDS0041</v>
          </cell>
          <cell r="K8799" t="str">
            <v>Waived Off</v>
          </cell>
        </row>
        <row r="8800">
          <cell r="J8800" t="str">
            <v>HKCARDS0082</v>
          </cell>
          <cell r="K8800" t="str">
            <v>Waived Off</v>
          </cell>
        </row>
        <row r="8801">
          <cell r="J8801" t="str">
            <v>HKCARDS0087</v>
          </cell>
          <cell r="K8801" t="str">
            <v>Waived Off</v>
          </cell>
        </row>
        <row r="8802">
          <cell r="J8802" t="str">
            <v>HKCARDS0101</v>
          </cell>
          <cell r="K8802" t="str">
            <v>Waived Off</v>
          </cell>
        </row>
        <row r="8803">
          <cell r="J8803" t="str">
            <v>INV-021122115604</v>
          </cell>
          <cell r="K8803" t="str">
            <v>Waived Off</v>
          </cell>
        </row>
        <row r="8804">
          <cell r="J8804" t="str">
            <v>INV-021222033045</v>
          </cell>
          <cell r="K8804" t="str">
            <v>Waived Off</v>
          </cell>
        </row>
        <row r="8805">
          <cell r="J8805" t="str">
            <v>INV-040123004813</v>
          </cell>
          <cell r="K8805" t="str">
            <v>Waived Off</v>
          </cell>
        </row>
        <row r="8806">
          <cell r="J8806" t="str">
            <v>INV-020223024719</v>
          </cell>
          <cell r="K8806" t="str">
            <v>Waived Off</v>
          </cell>
        </row>
        <row r="8807">
          <cell r="J8807" t="str">
            <v>INV-020323012323</v>
          </cell>
          <cell r="K8807" t="str">
            <v>Waived Off</v>
          </cell>
        </row>
        <row r="8808">
          <cell r="J8808" t="str">
            <v>INV-030423231453</v>
          </cell>
          <cell r="K8808" t="str">
            <v>Waived Off</v>
          </cell>
        </row>
        <row r="8809">
          <cell r="J8809" t="str">
            <v>INV-020523185503</v>
          </cell>
          <cell r="K8809" t="str">
            <v>Waived Off</v>
          </cell>
        </row>
        <row r="8810">
          <cell r="J8810" t="str">
            <v>INV-020623191322</v>
          </cell>
          <cell r="K8810" t="str">
            <v>Waived Off</v>
          </cell>
        </row>
        <row r="8811">
          <cell r="J8811" t="str">
            <v>INV-150626185945</v>
          </cell>
          <cell r="K8811" t="str">
            <v>Outstanding</v>
          </cell>
        </row>
        <row r="8812">
          <cell r="J8812" t="str">
            <v>INV-050923165945</v>
          </cell>
          <cell r="K8812" t="str">
            <v>Paid</v>
          </cell>
        </row>
        <row r="8813">
          <cell r="J8813" t="str">
            <v>INV-051023162321</v>
          </cell>
          <cell r="K8813" t="str">
            <v>Paid</v>
          </cell>
        </row>
        <row r="8814">
          <cell r="J8814" t="str">
            <v>INV-050224162739</v>
          </cell>
          <cell r="K8814" t="str">
            <v>Paid</v>
          </cell>
        </row>
        <row r="8815">
          <cell r="J8815" t="str">
            <v>INV-020824172338</v>
          </cell>
          <cell r="K8815" t="str">
            <v>Paid</v>
          </cell>
        </row>
        <row r="8816">
          <cell r="J8816" t="str">
            <v>INV-030424165144</v>
          </cell>
          <cell r="K8816" t="str">
            <v>Paid</v>
          </cell>
        </row>
        <row r="8817">
          <cell r="J8817" t="str">
            <v>INV-050324120223</v>
          </cell>
          <cell r="K8817" t="str">
            <v>Paid</v>
          </cell>
        </row>
        <row r="8818">
          <cell r="J8818" t="str">
            <v>INV-030524105442</v>
          </cell>
          <cell r="K8818" t="str">
            <v>Paid</v>
          </cell>
        </row>
        <row r="8819">
          <cell r="J8819" t="str">
            <v>INV-030724132914</v>
          </cell>
          <cell r="K8819" t="str">
            <v>Paid</v>
          </cell>
        </row>
        <row r="8820">
          <cell r="J8820" t="str">
            <v>INV-031024122231</v>
          </cell>
          <cell r="K8820" t="str">
            <v>Paid</v>
          </cell>
        </row>
        <row r="8821">
          <cell r="J8821" t="str">
            <v>INV-031224162803</v>
          </cell>
          <cell r="K8821" t="str">
            <v>Paid</v>
          </cell>
        </row>
        <row r="8822">
          <cell r="J8822" t="str">
            <v>INV-040624110833</v>
          </cell>
          <cell r="K8822" t="str">
            <v>Paid</v>
          </cell>
        </row>
        <row r="8823">
          <cell r="J8823" t="str">
            <v>INV-040924102915</v>
          </cell>
          <cell r="K8823" t="str">
            <v>Paid</v>
          </cell>
        </row>
        <row r="8824">
          <cell r="J8824" t="str">
            <v>INV-051124174553</v>
          </cell>
          <cell r="K8824" t="str">
            <v>Paid</v>
          </cell>
        </row>
        <row r="8825">
          <cell r="J8825" t="str">
            <v>INV-060125102916</v>
          </cell>
          <cell r="K8825" t="str">
            <v>Paid</v>
          </cell>
        </row>
        <row r="8826">
          <cell r="J8826" t="str">
            <v>INV-040225150417</v>
          </cell>
          <cell r="K8826" t="str">
            <v>Paid</v>
          </cell>
        </row>
        <row r="8827">
          <cell r="J8827" t="str">
            <v>INV-040325140346</v>
          </cell>
          <cell r="K8827" t="str">
            <v>Paid</v>
          </cell>
        </row>
        <row r="8828">
          <cell r="J8828" t="str">
            <v>INV-020425155216</v>
          </cell>
          <cell r="K8828" t="str">
            <v>Paid</v>
          </cell>
        </row>
        <row r="8829">
          <cell r="J8829" t="str">
            <v>INV-020525180322</v>
          </cell>
          <cell r="K8829" t="str">
            <v>Paid</v>
          </cell>
        </row>
        <row r="8830">
          <cell r="J8830" t="str">
            <v>INV-030625133343</v>
          </cell>
          <cell r="K8830" t="str">
            <v>Paid</v>
          </cell>
        </row>
        <row r="8831">
          <cell r="J8831" t="str">
            <v>INV-020725162356</v>
          </cell>
          <cell r="K8831" t="str">
            <v>Paid</v>
          </cell>
        </row>
        <row r="8832">
          <cell r="J8832" t="str">
            <v>INV-040825122824</v>
          </cell>
          <cell r="K8832" t="str">
            <v>Paid</v>
          </cell>
        </row>
        <row r="8833">
          <cell r="J8833" t="str">
            <v>INV-020925114122</v>
          </cell>
          <cell r="K8833" t="str">
            <v>Paid</v>
          </cell>
        </row>
        <row r="8834">
          <cell r="J8834" t="str">
            <v>INV-021025111433</v>
          </cell>
          <cell r="K8834" t="str">
            <v>Paid</v>
          </cell>
        </row>
        <row r="8835">
          <cell r="J8835" t="str">
            <v>INV-031125162800</v>
          </cell>
          <cell r="K8835" t="str">
            <v>Paid</v>
          </cell>
        </row>
        <row r="8836">
          <cell r="J8836" t="str">
            <v>INV-021225123812</v>
          </cell>
          <cell r="K8836" t="str">
            <v>Paid</v>
          </cell>
        </row>
        <row r="8837">
          <cell r="J8837" t="str">
            <v>INV-050126094311</v>
          </cell>
          <cell r="K8837" t="str">
            <v>Paid</v>
          </cell>
        </row>
        <row r="8838">
          <cell r="J8838" t="str">
            <v>INV-031123163901</v>
          </cell>
          <cell r="K8838" t="str">
            <v>Paid</v>
          </cell>
        </row>
        <row r="8839">
          <cell r="J8839" t="str">
            <v>INV-041223154430</v>
          </cell>
          <cell r="K8839" t="str">
            <v>Paid</v>
          </cell>
        </row>
        <row r="8840">
          <cell r="J8840" t="str">
            <v>INV-040124144950</v>
          </cell>
          <cell r="K8840" t="str">
            <v>Paid</v>
          </cell>
        </row>
        <row r="8841">
          <cell r="J8841" t="str">
            <v>INV-130325121439</v>
          </cell>
          <cell r="K8841" t="str">
            <v>Paid</v>
          </cell>
        </row>
        <row r="8842">
          <cell r="J8842" t="str">
            <v>INV-020925195759</v>
          </cell>
          <cell r="K8842" t="str">
            <v>Paid</v>
          </cell>
        </row>
        <row r="8843">
          <cell r="J8843" t="str">
            <v>INV-051125121854</v>
          </cell>
          <cell r="K8843" t="str">
            <v>Paid</v>
          </cell>
        </row>
        <row r="8844">
          <cell r="J8844" t="str">
            <v>INV-031225101547</v>
          </cell>
          <cell r="K8844" t="str">
            <v>Paid</v>
          </cell>
        </row>
        <row r="8845">
          <cell r="J8845" t="str">
            <v>INV-020126191644</v>
          </cell>
          <cell r="K8845" t="str">
            <v>Paid</v>
          </cell>
        </row>
        <row r="8846">
          <cell r="J8846" t="str">
            <v>INV-040226193524</v>
          </cell>
          <cell r="K8846" t="str">
            <v>Paid</v>
          </cell>
        </row>
        <row r="8847">
          <cell r="J8847" t="str">
            <v>INV-030326173023</v>
          </cell>
          <cell r="K8847" t="str">
            <v>Paid</v>
          </cell>
        </row>
        <row r="8848">
          <cell r="J8848" t="str">
            <v>INV-020426172815</v>
          </cell>
          <cell r="K8848" t="str">
            <v>Paid</v>
          </cell>
        </row>
        <row r="8849">
          <cell r="J8849" t="str">
            <v>INV-060526184958</v>
          </cell>
          <cell r="K8849" t="str">
            <v>Paid</v>
          </cell>
        </row>
        <row r="8850">
          <cell r="J8850" t="str">
            <v>INV-031025153843</v>
          </cell>
          <cell r="K8850" t="str">
            <v>Paid</v>
          </cell>
        </row>
        <row r="8851">
          <cell r="J8851" t="str">
            <v>INV-040626134544</v>
          </cell>
          <cell r="K8851" t="str">
            <v>Paid</v>
          </cell>
        </row>
        <row r="8852">
          <cell r="J8852" t="str">
            <v>INV2021-OFS-001</v>
          </cell>
          <cell r="K8852" t="str">
            <v>Paid</v>
          </cell>
        </row>
        <row r="8853">
          <cell r="J8853" t="str">
            <v>INV-050325155140</v>
          </cell>
          <cell r="K8853" t="str">
            <v>Paid</v>
          </cell>
        </row>
        <row r="8854">
          <cell r="J8854" t="str">
            <v>INV-030425172428</v>
          </cell>
          <cell r="K8854" t="str">
            <v>Paid</v>
          </cell>
        </row>
        <row r="8855">
          <cell r="J8855" t="str">
            <v>INV-060525133429</v>
          </cell>
          <cell r="K8855" t="str">
            <v>Paid</v>
          </cell>
        </row>
        <row r="8856">
          <cell r="J8856" t="str">
            <v>INV-040625124629</v>
          </cell>
          <cell r="K8856" t="str">
            <v>Paid</v>
          </cell>
        </row>
        <row r="8857">
          <cell r="J8857" t="str">
            <v>INV-040725130449</v>
          </cell>
          <cell r="K8857" t="str">
            <v>Paid</v>
          </cell>
        </row>
        <row r="8858">
          <cell r="J8858" t="str">
            <v>INV-040825181331</v>
          </cell>
          <cell r="K8858" t="str">
            <v>Paid</v>
          </cell>
        </row>
        <row r="8859">
          <cell r="J8859" t="str">
            <v>INV-020925180037</v>
          </cell>
          <cell r="K8859" t="str">
            <v>Paid</v>
          </cell>
        </row>
        <row r="8860">
          <cell r="J8860" t="str">
            <v>INV-031025150547</v>
          </cell>
          <cell r="K8860" t="str">
            <v>Paid</v>
          </cell>
        </row>
        <row r="8861">
          <cell r="J8861" t="str">
            <v>INV-051125115126</v>
          </cell>
          <cell r="K8861" t="str">
            <v>Paid</v>
          </cell>
        </row>
        <row r="8862">
          <cell r="J8862" t="str">
            <v>INV-021225200950</v>
          </cell>
          <cell r="K8862" t="str">
            <v>Paid</v>
          </cell>
        </row>
        <row r="8863">
          <cell r="J8863" t="str">
            <v>INV-020126170419</v>
          </cell>
          <cell r="K8863" t="str">
            <v>Paid</v>
          </cell>
        </row>
        <row r="8864">
          <cell r="J8864" t="str">
            <v>INV-040226182833</v>
          </cell>
          <cell r="K8864" t="str">
            <v>Paid</v>
          </cell>
        </row>
        <row r="8865">
          <cell r="J8865" t="str">
            <v>INV-040326121311</v>
          </cell>
          <cell r="K8865" t="str">
            <v>Paid</v>
          </cell>
        </row>
        <row r="8866">
          <cell r="J8866" t="str">
            <v>INV-030426155300</v>
          </cell>
          <cell r="K8866" t="str">
            <v>Paid</v>
          </cell>
        </row>
        <row r="8867">
          <cell r="J8867" t="str">
            <v>INV-040526212257</v>
          </cell>
          <cell r="K8867" t="str">
            <v>Paid</v>
          </cell>
        </row>
        <row r="8868">
          <cell r="J8868" t="str">
            <v>INV-040626100041</v>
          </cell>
          <cell r="K8868" t="str">
            <v>Paid</v>
          </cell>
        </row>
        <row r="8869">
          <cell r="J8869" t="str">
            <v>INV-051023190101</v>
          </cell>
          <cell r="K8869" t="str">
            <v>Paid</v>
          </cell>
        </row>
        <row r="8870">
          <cell r="J8870" t="str">
            <v>INV-200923101852</v>
          </cell>
          <cell r="K8870" t="str">
            <v>Paid</v>
          </cell>
        </row>
        <row r="8871">
          <cell r="J8871" t="str">
            <v>INV-061123111856</v>
          </cell>
          <cell r="K8871" t="str">
            <v>Paid</v>
          </cell>
        </row>
        <row r="8872">
          <cell r="J8872" t="str">
            <v>CR-INV-051023190101</v>
          </cell>
          <cell r="K8872" t="str">
            <v>Paid</v>
          </cell>
        </row>
        <row r="8873">
          <cell r="J8873" t="str">
            <v>CR-INV-061123111856</v>
          </cell>
          <cell r="K8873" t="str">
            <v>Paid</v>
          </cell>
        </row>
        <row r="8874">
          <cell r="J8874" t="str">
            <v>CR-INV-150124121427</v>
          </cell>
          <cell r="K8874" t="str">
            <v>Paid</v>
          </cell>
        </row>
        <row r="8875">
          <cell r="J8875" t="str">
            <v>CR-INV-150124150521</v>
          </cell>
          <cell r="K8875" t="str">
            <v>Paid</v>
          </cell>
        </row>
        <row r="8876">
          <cell r="J8876" t="str">
            <v>CR-INV-150124151521</v>
          </cell>
          <cell r="K8876" t="str">
            <v>Paid</v>
          </cell>
        </row>
        <row r="8877">
          <cell r="J8877" t="str">
            <v>CR-INV-150124155001</v>
          </cell>
          <cell r="K8877" t="str">
            <v>Paid</v>
          </cell>
        </row>
        <row r="8878">
          <cell r="J8878" t="str">
            <v>CR-INV-150124505301</v>
          </cell>
          <cell r="K8878" t="str">
            <v>Paid</v>
          </cell>
        </row>
        <row r="8879">
          <cell r="J8879" t="str">
            <v>INV-050224180659</v>
          </cell>
          <cell r="K8879" t="str">
            <v>Paid</v>
          </cell>
        </row>
        <row r="8880">
          <cell r="J8880" t="str">
            <v>CR-INV-050224180659</v>
          </cell>
          <cell r="K8880" t="str">
            <v>Paid</v>
          </cell>
        </row>
        <row r="8881">
          <cell r="J8881" t="str">
            <v>CR-SG-OWLPAY-05/2023</v>
          </cell>
          <cell r="K8881" t="str">
            <v>Paid</v>
          </cell>
        </row>
        <row r="8882">
          <cell r="J8882" t="str">
            <v>INV-050324175221</v>
          </cell>
          <cell r="K8882" t="str">
            <v>Paid</v>
          </cell>
        </row>
        <row r="8883">
          <cell r="J8883" t="str">
            <v>INV-030524175645</v>
          </cell>
          <cell r="K8883" t="str">
            <v>Paid</v>
          </cell>
        </row>
        <row r="8884">
          <cell r="J8884" t="str">
            <v>INV-030824123452</v>
          </cell>
          <cell r="K8884" t="str">
            <v>Paid</v>
          </cell>
        </row>
        <row r="8885">
          <cell r="J8885" t="str">
            <v>INV-031024170832</v>
          </cell>
          <cell r="K8885" t="str">
            <v>Paid</v>
          </cell>
        </row>
        <row r="8886">
          <cell r="J8886" t="str">
            <v>INV-040424152503</v>
          </cell>
          <cell r="K8886" t="str">
            <v>Paid</v>
          </cell>
        </row>
        <row r="8887">
          <cell r="J8887" t="str">
            <v>INV-040624130505</v>
          </cell>
          <cell r="K8887" t="str">
            <v>Paid</v>
          </cell>
        </row>
        <row r="8888">
          <cell r="J8888" t="str">
            <v>INV-040724140052</v>
          </cell>
          <cell r="K8888" t="str">
            <v>Paid</v>
          </cell>
        </row>
        <row r="8889">
          <cell r="J8889" t="str">
            <v>INV-040924155927</v>
          </cell>
          <cell r="K8889" t="str">
            <v>Paid</v>
          </cell>
        </row>
        <row r="8890">
          <cell r="J8890" t="str">
            <v>CR-INV-040624130505</v>
          </cell>
          <cell r="K8890" t="str">
            <v>Paid</v>
          </cell>
        </row>
        <row r="8891">
          <cell r="J8891" t="str">
            <v>INV-061124124812</v>
          </cell>
          <cell r="K8891" t="str">
            <v>Paid</v>
          </cell>
        </row>
        <row r="8892">
          <cell r="J8892" t="str">
            <v>CR-INV-091224110414</v>
          </cell>
          <cell r="K8892" t="str">
            <v>Paid</v>
          </cell>
        </row>
        <row r="8893">
          <cell r="J8893" t="str">
            <v>INV-091224110414</v>
          </cell>
          <cell r="K8893" t="str">
            <v>Paid</v>
          </cell>
        </row>
        <row r="8894">
          <cell r="J8894" t="str">
            <v>CR-INV-040125115901</v>
          </cell>
          <cell r="K8894" t="str">
            <v>Paid</v>
          </cell>
        </row>
        <row r="8895">
          <cell r="J8895" t="str">
            <v>INV-040125115901</v>
          </cell>
          <cell r="K8895" t="str">
            <v>Paid</v>
          </cell>
        </row>
        <row r="8896">
          <cell r="J8896" t="str">
            <v>INV-050225151340</v>
          </cell>
          <cell r="K8896" t="str">
            <v>Paid</v>
          </cell>
        </row>
        <row r="8897">
          <cell r="J8897" t="str">
            <v>CR-INV-050225151340</v>
          </cell>
          <cell r="K8897" t="str">
            <v>Paid</v>
          </cell>
        </row>
        <row r="8898">
          <cell r="J8898" t="str">
            <v>INV-050325120318</v>
          </cell>
          <cell r="K8898" t="str">
            <v>Paid</v>
          </cell>
        </row>
        <row r="8899">
          <cell r="J8899" t="str">
            <v>CR-INV-050325120318</v>
          </cell>
          <cell r="K8899" t="str">
            <v>Paid</v>
          </cell>
        </row>
        <row r="8900">
          <cell r="J8900" t="str">
            <v>INV-030425170433</v>
          </cell>
          <cell r="K8900" t="str">
            <v>Paid</v>
          </cell>
        </row>
        <row r="8901">
          <cell r="J8901" t="str">
            <v>CR-INV-030425170433</v>
          </cell>
          <cell r="K8901" t="str">
            <v>Paid</v>
          </cell>
        </row>
        <row r="8902">
          <cell r="J8902" t="str">
            <v>INV-050525194422</v>
          </cell>
          <cell r="K8902" t="str">
            <v>Paid</v>
          </cell>
        </row>
        <row r="8903">
          <cell r="J8903" t="str">
            <v>CR-INV-040625154146</v>
          </cell>
          <cell r="K8903" t="str">
            <v>Paid</v>
          </cell>
        </row>
        <row r="8904">
          <cell r="J8904" t="str">
            <v>INV-040625154146</v>
          </cell>
          <cell r="K8904" t="str">
            <v>Paid</v>
          </cell>
        </row>
        <row r="8905">
          <cell r="J8905" t="str">
            <v>CR-INV-040725123613</v>
          </cell>
          <cell r="K8905" t="str">
            <v>Paid</v>
          </cell>
        </row>
        <row r="8906">
          <cell r="J8906" t="str">
            <v>INV-040725123613</v>
          </cell>
          <cell r="K8906" t="str">
            <v>Paid</v>
          </cell>
        </row>
        <row r="8907">
          <cell r="J8907" t="str">
            <v>CR-INV-050825185346</v>
          </cell>
          <cell r="K8907" t="str">
            <v>Paid</v>
          </cell>
        </row>
        <row r="8908">
          <cell r="J8908" t="str">
            <v>INV-050825185346</v>
          </cell>
          <cell r="K8908" t="str">
            <v>Paid</v>
          </cell>
        </row>
        <row r="8909">
          <cell r="J8909" t="str">
            <v>INV-030925111417</v>
          </cell>
          <cell r="K8909" t="str">
            <v>Paid</v>
          </cell>
        </row>
        <row r="8910">
          <cell r="J8910" t="str">
            <v>CR-INV-021025185214</v>
          </cell>
          <cell r="K8910" t="str">
            <v>Paid</v>
          </cell>
        </row>
        <row r="8911">
          <cell r="J8911" t="str">
            <v>INV-021025185214</v>
          </cell>
          <cell r="K8911" t="str">
            <v>Paid</v>
          </cell>
        </row>
        <row r="8912">
          <cell r="J8912" t="str">
            <v>CR-INV-061125173257</v>
          </cell>
          <cell r="K8912" t="str">
            <v>Paid</v>
          </cell>
        </row>
        <row r="8913">
          <cell r="J8913" t="str">
            <v>INV-061125173257</v>
          </cell>
          <cell r="K8913" t="str">
            <v>Paid</v>
          </cell>
        </row>
        <row r="8914">
          <cell r="J8914" t="str">
            <v>CR-INV-021225194905</v>
          </cell>
          <cell r="K8914" t="str">
            <v>Paid</v>
          </cell>
        </row>
        <row r="8915">
          <cell r="J8915" t="str">
            <v>INV-021225194905</v>
          </cell>
          <cell r="K8915" t="str">
            <v>Paid</v>
          </cell>
        </row>
        <row r="8916">
          <cell r="J8916" t="str">
            <v>CR-INV-050126173313</v>
          </cell>
          <cell r="K8916" t="str">
            <v>Paid</v>
          </cell>
        </row>
        <row r="8917">
          <cell r="J8917" t="str">
            <v>INV-050126173313</v>
          </cell>
          <cell r="K8917" t="str">
            <v>Paid</v>
          </cell>
        </row>
        <row r="8918">
          <cell r="J8918" t="str">
            <v>CR-INV-040226130240</v>
          </cell>
          <cell r="K8918" t="str">
            <v>Paid</v>
          </cell>
        </row>
        <row r="8919">
          <cell r="J8919" t="str">
            <v>INV-040226130240</v>
          </cell>
          <cell r="K8919" t="str">
            <v>Paid</v>
          </cell>
        </row>
        <row r="8920">
          <cell r="J8920" t="str">
            <v>CR-INV-050326102047</v>
          </cell>
          <cell r="K8920" t="str">
            <v>Paid</v>
          </cell>
        </row>
        <row r="8921">
          <cell r="J8921" t="str">
            <v>INV-050326102047</v>
          </cell>
          <cell r="K8921" t="str">
            <v>Paid</v>
          </cell>
        </row>
        <row r="8922">
          <cell r="J8922" t="str">
            <v>CR-INV-030426162000</v>
          </cell>
          <cell r="K8922" t="str">
            <v>Paid</v>
          </cell>
        </row>
        <row r="8923">
          <cell r="J8923" t="str">
            <v>INV-030426162000</v>
          </cell>
          <cell r="K8923" t="str">
            <v>Paid</v>
          </cell>
        </row>
        <row r="8924">
          <cell r="J8924" t="str">
            <v>CR-INV-040526182029</v>
          </cell>
          <cell r="K8924" t="str">
            <v>Paid</v>
          </cell>
        </row>
        <row r="8925">
          <cell r="J8925" t="str">
            <v>INV-040526182029</v>
          </cell>
          <cell r="K8925" t="str">
            <v>Paid</v>
          </cell>
        </row>
        <row r="8926">
          <cell r="J8926" t="str">
            <v>CR-INV-030626151229</v>
          </cell>
          <cell r="K8926" t="str">
            <v>Paid</v>
          </cell>
        </row>
        <row r="8927">
          <cell r="J8927" t="str">
            <v>INV-030626151229</v>
          </cell>
          <cell r="K8927" t="str">
            <v>Paid</v>
          </cell>
        </row>
        <row r="8928">
          <cell r="J8928" t="str">
            <v>INV-150124121427</v>
          </cell>
          <cell r="K8928" t="str">
            <v>Paid</v>
          </cell>
        </row>
        <row r="8929">
          <cell r="J8929" t="str">
            <v>INV-150124150521</v>
          </cell>
          <cell r="K8929" t="str">
            <v>Paid</v>
          </cell>
        </row>
        <row r="8930">
          <cell r="J8930" t="str">
            <v>INV-150124151521</v>
          </cell>
          <cell r="K8930" t="str">
            <v>Paid</v>
          </cell>
        </row>
        <row r="8931">
          <cell r="J8931" t="str">
            <v>CR-INV-050324175221</v>
          </cell>
          <cell r="K8931" t="str">
            <v>Paid</v>
          </cell>
        </row>
        <row r="8932">
          <cell r="J8932" t="str">
            <v>CR-INV-040424152503</v>
          </cell>
          <cell r="K8932" t="str">
            <v>Paid</v>
          </cell>
        </row>
        <row r="8933">
          <cell r="J8933" t="str">
            <v>CR-INV-030524175645</v>
          </cell>
          <cell r="K8933" t="str">
            <v>Paid</v>
          </cell>
        </row>
        <row r="8934">
          <cell r="J8934" t="str">
            <v>CR-INV-040724140052</v>
          </cell>
          <cell r="K8934" t="str">
            <v>Paid</v>
          </cell>
        </row>
        <row r="8935">
          <cell r="J8935" t="str">
            <v>CR-INV-030824123452</v>
          </cell>
          <cell r="K8935" t="str">
            <v>Paid</v>
          </cell>
        </row>
        <row r="8936">
          <cell r="J8936" t="str">
            <v>CR-INV-040924155927</v>
          </cell>
          <cell r="K8936" t="str">
            <v>Paid</v>
          </cell>
        </row>
        <row r="8937">
          <cell r="J8937" t="str">
            <v>CR-INV-031024170832</v>
          </cell>
          <cell r="K8937" t="str">
            <v>Paid</v>
          </cell>
        </row>
        <row r="8938">
          <cell r="J8938" t="str">
            <v>CR-INV-061124124812</v>
          </cell>
          <cell r="K8938" t="str">
            <v>Paid</v>
          </cell>
        </row>
        <row r="8939">
          <cell r="J8939" t="str">
            <v>CR-INV-050525194422</v>
          </cell>
          <cell r="K8939" t="str">
            <v>Paid</v>
          </cell>
        </row>
        <row r="8940">
          <cell r="J8940" t="str">
            <v>CR-INV-030925111417</v>
          </cell>
          <cell r="K8940" t="str">
            <v>Paid</v>
          </cell>
        </row>
        <row r="8941">
          <cell r="J8941" t="str">
            <v>INV-310325174618</v>
          </cell>
          <cell r="K8941" t="str">
            <v>Paid</v>
          </cell>
        </row>
        <row r="8942">
          <cell r="J8942" t="str">
            <v>INV-030725182921</v>
          </cell>
          <cell r="K8942" t="str">
            <v>Paid</v>
          </cell>
        </row>
        <row r="8943">
          <cell r="J8943" t="str">
            <v>CN-INV-110724162541</v>
          </cell>
          <cell r="K8943" t="str">
            <v>Paid</v>
          </cell>
        </row>
        <row r="8944">
          <cell r="J8944" t="str">
            <v>CARDS0055</v>
          </cell>
          <cell r="K8944" t="str">
            <v>Paid</v>
          </cell>
        </row>
        <row r="8945">
          <cell r="J8945" t="str">
            <v>CNCARDS0002</v>
          </cell>
          <cell r="K8945" t="str">
            <v>Paid</v>
          </cell>
        </row>
        <row r="8946">
          <cell r="J8946" t="str">
            <v>CARDS0208</v>
          </cell>
          <cell r="K8946" t="str">
            <v>Paid</v>
          </cell>
        </row>
        <row r="8947">
          <cell r="J8947" t="str">
            <v>CARDS0242</v>
          </cell>
          <cell r="K8947" t="str">
            <v>Paid</v>
          </cell>
        </row>
        <row r="8948">
          <cell r="J8948" t="str">
            <v>CARDS0255</v>
          </cell>
          <cell r="K8948" t="str">
            <v>Paid</v>
          </cell>
        </row>
        <row r="8949">
          <cell r="J8949" t="str">
            <v>CARDS0277</v>
          </cell>
          <cell r="K8949" t="str">
            <v>Paid</v>
          </cell>
        </row>
        <row r="8950">
          <cell r="J8950" t="str">
            <v>CARDS0295</v>
          </cell>
          <cell r="K8950" t="str">
            <v>Paid</v>
          </cell>
        </row>
        <row r="8951">
          <cell r="J8951" t="str">
            <v>CARDS0312</v>
          </cell>
          <cell r="K8951" t="str">
            <v>Paid</v>
          </cell>
        </row>
        <row r="8952">
          <cell r="J8952" t="str">
            <v>CARDS0326</v>
          </cell>
          <cell r="K8952" t="str">
            <v>Paid</v>
          </cell>
        </row>
        <row r="8953">
          <cell r="J8953" t="str">
            <v>CARDS0339</v>
          </cell>
          <cell r="K8953" t="str">
            <v>Paid</v>
          </cell>
        </row>
        <row r="8954">
          <cell r="J8954" t="str">
            <v>INV-021122044022</v>
          </cell>
          <cell r="K8954" t="str">
            <v>Paid</v>
          </cell>
        </row>
        <row r="8955">
          <cell r="J8955" t="str">
            <v>INV-021222000623</v>
          </cell>
          <cell r="K8955" t="str">
            <v>Paid</v>
          </cell>
        </row>
        <row r="8956">
          <cell r="J8956" t="str">
            <v>INV-030123222042</v>
          </cell>
          <cell r="K8956" t="str">
            <v>Paid</v>
          </cell>
        </row>
        <row r="8957">
          <cell r="J8957" t="str">
            <v>INV-020223015907</v>
          </cell>
          <cell r="K8957" t="str">
            <v>Paid</v>
          </cell>
        </row>
        <row r="8958">
          <cell r="J8958" t="str">
            <v>INV-020323004759</v>
          </cell>
          <cell r="K8958" t="str">
            <v>Paid</v>
          </cell>
        </row>
        <row r="8959">
          <cell r="J8959" t="str">
            <v>INV-030423162424</v>
          </cell>
          <cell r="K8959" t="str">
            <v>Paid</v>
          </cell>
        </row>
        <row r="8960">
          <cell r="J8960" t="str">
            <v>INV-040923143306</v>
          </cell>
          <cell r="K8960" t="str">
            <v>Paid</v>
          </cell>
        </row>
        <row r="8961">
          <cell r="J8961" t="str">
            <v>INV-050523184711</v>
          </cell>
          <cell r="K8961" t="str">
            <v>Paid</v>
          </cell>
        </row>
        <row r="8962">
          <cell r="J8962" t="str">
            <v>INV-051023100429</v>
          </cell>
          <cell r="K8962" t="str">
            <v>Paid</v>
          </cell>
        </row>
        <row r="8963">
          <cell r="J8963" t="str">
            <v>INV-050623103828</v>
          </cell>
          <cell r="K8963" t="str">
            <v>Paid</v>
          </cell>
        </row>
        <row r="8964">
          <cell r="J8964" t="str">
            <v>INV-030723181549</v>
          </cell>
          <cell r="K8964" t="str">
            <v>Paid</v>
          </cell>
        </row>
        <row r="8965">
          <cell r="J8965" t="str">
            <v>INV-020823145230</v>
          </cell>
          <cell r="K8965" t="str">
            <v>Paid</v>
          </cell>
        </row>
        <row r="8966">
          <cell r="J8966" t="str">
            <v>UKCARDS0007</v>
          </cell>
          <cell r="K8966" t="str">
            <v>Paid</v>
          </cell>
        </row>
        <row r="8967">
          <cell r="J8967" t="str">
            <v>UKCARDS0008</v>
          </cell>
          <cell r="K8967" t="str">
            <v>Waived Off</v>
          </cell>
        </row>
        <row r="8968">
          <cell r="J8968" t="str">
            <v>EUCARDS0004</v>
          </cell>
          <cell r="K8968" t="str">
            <v>Paid</v>
          </cell>
        </row>
        <row r="8969">
          <cell r="J8969" t="str">
            <v>EUCARDS0008</v>
          </cell>
          <cell r="K8969" t="str">
            <v>Paid</v>
          </cell>
        </row>
        <row r="8970">
          <cell r="J8970" t="str">
            <v>EUCARDS0012</v>
          </cell>
          <cell r="K8970" t="str">
            <v>Waived Off</v>
          </cell>
        </row>
        <row r="8971">
          <cell r="J8971" t="str">
            <v>INV-020323233333</v>
          </cell>
          <cell r="K8971" t="str">
            <v>Paid</v>
          </cell>
        </row>
        <row r="8972">
          <cell r="J8972" t="str">
            <v>INV-040423011524</v>
          </cell>
          <cell r="K8972" t="str">
            <v>Paid</v>
          </cell>
        </row>
        <row r="8973">
          <cell r="J8973" t="str">
            <v>INV-040923163350</v>
          </cell>
          <cell r="K8973" t="str">
            <v>Waived Off</v>
          </cell>
        </row>
        <row r="8974">
          <cell r="J8974" t="str">
            <v>INV030523032335</v>
          </cell>
          <cell r="K8974" t="str">
            <v>Paid</v>
          </cell>
        </row>
        <row r="8975">
          <cell r="J8975" t="str">
            <v>INV-050623175025</v>
          </cell>
          <cell r="K8975" t="str">
            <v>Paid</v>
          </cell>
        </row>
        <row r="8976">
          <cell r="J8976" t="str">
            <v>INV-030723182619</v>
          </cell>
          <cell r="K8976" t="str">
            <v>Waived Off</v>
          </cell>
        </row>
        <row r="8977">
          <cell r="J8977" t="str">
            <v>INV-020823154744</v>
          </cell>
          <cell r="K8977" t="str">
            <v>Waived Off</v>
          </cell>
        </row>
        <row r="8978">
          <cell r="J8978" t="str">
            <v>INV-270226135603</v>
          </cell>
          <cell r="K8978" t="str">
            <v>Paid</v>
          </cell>
        </row>
        <row r="8979">
          <cell r="J8979" t="str">
            <v>INV-150324162545</v>
          </cell>
          <cell r="K8979" t="str">
            <v>Paid</v>
          </cell>
        </row>
        <row r="8980">
          <cell r="J8980" t="str">
            <v>INV-040424122943</v>
          </cell>
          <cell r="K8980" t="str">
            <v>Paid</v>
          </cell>
        </row>
        <row r="8981">
          <cell r="J8981" t="str">
            <v>INV-040624141049</v>
          </cell>
          <cell r="K8981" t="str">
            <v>Paid</v>
          </cell>
        </row>
        <row r="8982">
          <cell r="J8982" t="str">
            <v>INV-060524182854</v>
          </cell>
          <cell r="K8982" t="str">
            <v>Paid</v>
          </cell>
        </row>
        <row r="8983">
          <cell r="J8983" t="str">
            <v>CN-INV-220524172647</v>
          </cell>
          <cell r="K8983" t="str">
            <v>Paid</v>
          </cell>
        </row>
        <row r="8984">
          <cell r="J8984" t="str">
            <v>CN-INV-040624141049</v>
          </cell>
          <cell r="K8984" t="str">
            <v>Paid</v>
          </cell>
        </row>
        <row r="8985">
          <cell r="J8985" t="str">
            <v>INV-070425194334</v>
          </cell>
          <cell r="K8985" t="str">
            <v>Paid</v>
          </cell>
        </row>
        <row r="8986">
          <cell r="J8986" t="str">
            <v>INV-050825164714</v>
          </cell>
          <cell r="K8986" t="str">
            <v>Paid</v>
          </cell>
        </row>
        <row r="8987">
          <cell r="J8987" t="str">
            <v>INV-030925120440</v>
          </cell>
          <cell r="K8987" t="str">
            <v>Paid</v>
          </cell>
        </row>
        <row r="8988">
          <cell r="J8988" t="str">
            <v>INV-031025112203</v>
          </cell>
          <cell r="K8988" t="str">
            <v>Paid</v>
          </cell>
        </row>
        <row r="8989">
          <cell r="J8989" t="str">
            <v>INV-041125183447</v>
          </cell>
          <cell r="K8989" t="str">
            <v>Paid</v>
          </cell>
        </row>
        <row r="8990">
          <cell r="J8990" t="str">
            <v>INV-031225165505</v>
          </cell>
          <cell r="K8990" t="str">
            <v>Paid</v>
          </cell>
        </row>
        <row r="8991">
          <cell r="J8991" t="str">
            <v>INV-050126121628</v>
          </cell>
          <cell r="K8991" t="str">
            <v>Paid</v>
          </cell>
        </row>
        <row r="8992">
          <cell r="J8992" t="str">
            <v>INV-030326190042</v>
          </cell>
          <cell r="K8992" t="str">
            <v>Paid</v>
          </cell>
        </row>
        <row r="8993">
          <cell r="J8993" t="str">
            <v>INV-020626164909</v>
          </cell>
          <cell r="K8993" t="str">
            <v>Paid</v>
          </cell>
        </row>
        <row r="8994">
          <cell r="J8994" t="str">
            <v>EUCARDS0001</v>
          </cell>
          <cell r="K8994" t="str">
            <v>Waived Off</v>
          </cell>
        </row>
        <row r="8995">
          <cell r="J8995" t="str">
            <v>CARDS0010</v>
          </cell>
          <cell r="K8995" t="str">
            <v>Paid</v>
          </cell>
        </row>
        <row r="8996">
          <cell r="J8996" t="str">
            <v>CARDS0021</v>
          </cell>
          <cell r="K8996" t="str">
            <v>Paid</v>
          </cell>
        </row>
        <row r="8997">
          <cell r="J8997" t="str">
            <v>CARDS0035</v>
          </cell>
          <cell r="K8997" t="str">
            <v>Paid</v>
          </cell>
        </row>
        <row r="8998">
          <cell r="J8998" t="str">
            <v>CARDS0051</v>
          </cell>
          <cell r="K8998" t="str">
            <v>Paid</v>
          </cell>
        </row>
        <row r="8999">
          <cell r="J8999" t="str">
            <v>CARDS0073</v>
          </cell>
          <cell r="K8999" t="str">
            <v>Paid</v>
          </cell>
        </row>
        <row r="9000">
          <cell r="J9000" t="str">
            <v>CARDS0086</v>
          </cell>
          <cell r="K9000" t="str">
            <v>Paid</v>
          </cell>
        </row>
        <row r="9001">
          <cell r="J9001" t="str">
            <v>CARDS0103</v>
          </cell>
          <cell r="K9001" t="str">
            <v>Paid</v>
          </cell>
        </row>
        <row r="9002">
          <cell r="J9002" t="str">
            <v>CARDS0122</v>
          </cell>
          <cell r="K9002" t="str">
            <v>Paid</v>
          </cell>
        </row>
        <row r="9003">
          <cell r="J9003" t="str">
            <v>CARDS0140</v>
          </cell>
          <cell r="K9003" t="str">
            <v>Paid</v>
          </cell>
        </row>
        <row r="9004">
          <cell r="J9004" t="str">
            <v>CARDS0159</v>
          </cell>
          <cell r="K9004" t="str">
            <v>Paid</v>
          </cell>
        </row>
        <row r="9005">
          <cell r="J9005" t="str">
            <v>CARDS0176</v>
          </cell>
          <cell r="K9005" t="str">
            <v>Paid</v>
          </cell>
        </row>
        <row r="9006">
          <cell r="J9006" t="str">
            <v>CARDS0209</v>
          </cell>
          <cell r="K9006" t="str">
            <v>Paid</v>
          </cell>
        </row>
        <row r="9007">
          <cell r="J9007" t="str">
            <v>AUCARDS0001</v>
          </cell>
          <cell r="K9007" t="str">
            <v>Paid</v>
          </cell>
        </row>
        <row r="9008">
          <cell r="J9008" t="str">
            <v>INV-041023133014</v>
          </cell>
          <cell r="K9008" t="str">
            <v>Paid</v>
          </cell>
        </row>
        <row r="9009">
          <cell r="J9009" t="str">
            <v>INV-061223115551</v>
          </cell>
          <cell r="K9009" t="str">
            <v>Waived Off</v>
          </cell>
        </row>
        <row r="9010">
          <cell r="J9010" t="str">
            <v>INV-040124183012</v>
          </cell>
          <cell r="K9010" t="str">
            <v>Paid</v>
          </cell>
        </row>
        <row r="9011">
          <cell r="J9011" t="str">
            <v>INV-300124092822</v>
          </cell>
          <cell r="K9011" t="str">
            <v>Paid</v>
          </cell>
        </row>
        <row r="9012">
          <cell r="J9012" t="str">
            <v>INV-050224171657</v>
          </cell>
          <cell r="K9012" t="str">
            <v>Paid</v>
          </cell>
        </row>
        <row r="9013">
          <cell r="J9013" t="str">
            <v>INV-120324154125</v>
          </cell>
          <cell r="K9013" t="str">
            <v>Paid</v>
          </cell>
        </row>
        <row r="9014">
          <cell r="J9014" t="str">
            <v>INV-060424133349</v>
          </cell>
          <cell r="K9014" t="str">
            <v>Paid</v>
          </cell>
        </row>
        <row r="9015">
          <cell r="J9015" t="str">
            <v>INV-090524185816</v>
          </cell>
          <cell r="K9015" t="str">
            <v>Paid</v>
          </cell>
        </row>
        <row r="9016">
          <cell r="J9016" t="str">
            <v>INV-070624104002</v>
          </cell>
          <cell r="K9016" t="str">
            <v>Paid</v>
          </cell>
        </row>
        <row r="9017">
          <cell r="J9017" t="str">
            <v>INV-060824173749</v>
          </cell>
          <cell r="K9017" t="str">
            <v>Paid</v>
          </cell>
        </row>
        <row r="9018">
          <cell r="J9018" t="str">
            <v>INV-250624171902</v>
          </cell>
          <cell r="K9018" t="str">
            <v>Paid</v>
          </cell>
        </row>
        <row r="9019">
          <cell r="J9019" t="str">
            <v>INV-290724124534</v>
          </cell>
          <cell r="K9019" t="str">
            <v>Paid</v>
          </cell>
        </row>
        <row r="9020">
          <cell r="J9020" t="str">
            <v>INV-090924162634</v>
          </cell>
          <cell r="K9020" t="str">
            <v>Paid</v>
          </cell>
        </row>
        <row r="9021">
          <cell r="J9021" t="str">
            <v>INV-081024115546</v>
          </cell>
          <cell r="K9021" t="str">
            <v>Paid</v>
          </cell>
        </row>
        <row r="9022">
          <cell r="J9022" t="str">
            <v>INV-081124160850</v>
          </cell>
          <cell r="K9022" t="str">
            <v>Paid</v>
          </cell>
        </row>
        <row r="9023">
          <cell r="J9023" t="str">
            <v>INV-091224152151</v>
          </cell>
          <cell r="K9023" t="str">
            <v>Paid</v>
          </cell>
        </row>
        <row r="9024">
          <cell r="J9024" t="str">
            <v>INV-080125130705</v>
          </cell>
          <cell r="K9024" t="str">
            <v>Paid</v>
          </cell>
        </row>
        <row r="9025">
          <cell r="J9025" t="str">
            <v>INV-070225155800</v>
          </cell>
          <cell r="K9025" t="str">
            <v>Paid</v>
          </cell>
        </row>
        <row r="9026">
          <cell r="J9026" t="str">
            <v>INV-070325104733</v>
          </cell>
          <cell r="K9026" t="str">
            <v>Paid</v>
          </cell>
        </row>
        <row r="9027">
          <cell r="J9027" t="str">
            <v>INV-040425172344</v>
          </cell>
          <cell r="K9027" t="str">
            <v>Paid</v>
          </cell>
        </row>
        <row r="9028">
          <cell r="J9028" t="str">
            <v>INV-070525103043</v>
          </cell>
          <cell r="K9028" t="str">
            <v>Paid</v>
          </cell>
        </row>
        <row r="9029">
          <cell r="J9029" t="str">
            <v>INV-050625184838</v>
          </cell>
          <cell r="K9029" t="str">
            <v>Paid</v>
          </cell>
        </row>
        <row r="9030">
          <cell r="J9030" t="str">
            <v>INV-050725111642</v>
          </cell>
          <cell r="K9030" t="str">
            <v>Paid</v>
          </cell>
        </row>
        <row r="9031">
          <cell r="J9031" t="str">
            <v>INV-070825092129</v>
          </cell>
          <cell r="K9031" t="str">
            <v>Paid</v>
          </cell>
        </row>
        <row r="9032">
          <cell r="J9032" t="str">
            <v>INV-050925122333</v>
          </cell>
          <cell r="K9032" t="str">
            <v>Paid</v>
          </cell>
        </row>
        <row r="9033">
          <cell r="J9033" t="str">
            <v>INV-061025194047</v>
          </cell>
          <cell r="K9033" t="str">
            <v>Paid</v>
          </cell>
        </row>
        <row r="9034">
          <cell r="J9034" t="str">
            <v>INV-061125163553</v>
          </cell>
          <cell r="K9034" t="str">
            <v>Paid</v>
          </cell>
        </row>
        <row r="9035">
          <cell r="J9035" t="str">
            <v>INV-041225154809</v>
          </cell>
          <cell r="K9035" t="str">
            <v>Paid</v>
          </cell>
        </row>
        <row r="9036">
          <cell r="J9036" t="str">
            <v>INV-070126101904</v>
          </cell>
          <cell r="K9036" t="str">
            <v>Paid</v>
          </cell>
        </row>
        <row r="9037">
          <cell r="J9037" t="str">
            <v>INV-050226105608</v>
          </cell>
          <cell r="K9037" t="str">
            <v>Paid</v>
          </cell>
        </row>
        <row r="9038">
          <cell r="J9038" t="str">
            <v>INV-080226174049</v>
          </cell>
          <cell r="K9038" t="str">
            <v>Paid</v>
          </cell>
        </row>
        <row r="9039">
          <cell r="J9039" t="str">
            <v>INV-050326175856</v>
          </cell>
          <cell r="K9039" t="str">
            <v>Paid</v>
          </cell>
        </row>
        <row r="9040">
          <cell r="J9040" t="str">
            <v>INV-060426135318</v>
          </cell>
          <cell r="K9040" t="str">
            <v>Paid</v>
          </cell>
        </row>
        <row r="9041">
          <cell r="J9041" t="str">
            <v>INV-070526165331</v>
          </cell>
          <cell r="K9041" t="str">
            <v>Paid</v>
          </cell>
        </row>
        <row r="9042">
          <cell r="J9042" t="str">
            <v>INV-040626181048</v>
          </cell>
          <cell r="K9042" t="str">
            <v>Paid</v>
          </cell>
        </row>
        <row r="9043">
          <cell r="J9043" t="str">
            <v>INV-100626103702</v>
          </cell>
          <cell r="K9043" t="str">
            <v>Paid</v>
          </cell>
        </row>
        <row r="9044">
          <cell r="J9044" t="str">
            <v>CN-INV-240724104002</v>
          </cell>
          <cell r="K9044" t="str">
            <v>Paid</v>
          </cell>
        </row>
        <row r="9045">
          <cell r="J9045" t="str">
            <v>INV-040526182230</v>
          </cell>
          <cell r="K9045" t="str">
            <v>Paid</v>
          </cell>
        </row>
        <row r="9046">
          <cell r="J9046" t="str">
            <v>HKCARDS0019</v>
          </cell>
          <cell r="K9046" t="str">
            <v>Paid</v>
          </cell>
        </row>
        <row r="9047">
          <cell r="J9047" t="str">
            <v>INV2022-Pecutus-001</v>
          </cell>
          <cell r="K9047" t="str">
            <v>Paid</v>
          </cell>
        </row>
        <row r="9048">
          <cell r="J9048" t="str">
            <v>INV-191222103428</v>
          </cell>
          <cell r="K9048" t="str">
            <v>Waived Off</v>
          </cell>
        </row>
        <row r="9049">
          <cell r="J9049" t="str">
            <v>INV-040123195033</v>
          </cell>
          <cell r="K9049" t="str">
            <v>Waived Off</v>
          </cell>
        </row>
        <row r="9050">
          <cell r="J9050" t="str">
            <v>INV-030223133133</v>
          </cell>
          <cell r="K9050" t="str">
            <v>Waived Off</v>
          </cell>
        </row>
        <row r="9051">
          <cell r="J9051" t="str">
            <v>INV-020323160533</v>
          </cell>
          <cell r="K9051" t="str">
            <v>Waived Off</v>
          </cell>
        </row>
        <row r="9052">
          <cell r="J9052" t="str">
            <v>INV-020824193035</v>
          </cell>
          <cell r="K9052" t="str">
            <v>Net Off</v>
          </cell>
        </row>
        <row r="9053">
          <cell r="J9053" t="str">
            <v>INV-040724111712</v>
          </cell>
          <cell r="K9053" t="str">
            <v>Net Off</v>
          </cell>
        </row>
        <row r="9054">
          <cell r="J9054" t="str">
            <v>INV-040924164151</v>
          </cell>
          <cell r="K9054" t="str">
            <v>Net Off</v>
          </cell>
        </row>
        <row r="9055">
          <cell r="J9055" t="str">
            <v>INV-071124144514</v>
          </cell>
          <cell r="K9055" t="str">
            <v>Net Off</v>
          </cell>
        </row>
        <row r="9056">
          <cell r="J9056" t="str">
            <v>INV-031024151158</v>
          </cell>
          <cell r="K9056" t="str">
            <v>Net Off</v>
          </cell>
        </row>
        <row r="9057">
          <cell r="J9057" t="str">
            <v>INV-031224174607</v>
          </cell>
          <cell r="K9057" t="str">
            <v>Net Off</v>
          </cell>
        </row>
        <row r="9058">
          <cell r="J9058" t="str">
            <v>INV-030125153318</v>
          </cell>
          <cell r="K9058" t="str">
            <v>Net Off</v>
          </cell>
        </row>
        <row r="9059">
          <cell r="J9059" t="str">
            <v>CN-INV-140225132348</v>
          </cell>
          <cell r="K9059" t="str">
            <v>Net Off</v>
          </cell>
        </row>
        <row r="9060">
          <cell r="J9060" t="str">
            <v>INV2021-PHL-001</v>
          </cell>
          <cell r="K9060" t="str">
            <v>Paid</v>
          </cell>
        </row>
        <row r="9061">
          <cell r="J9061" t="str">
            <v>INV2021-PEL-001</v>
          </cell>
          <cell r="K9061" t="str">
            <v>Paid</v>
          </cell>
        </row>
        <row r="9062">
          <cell r="J9062" t="str">
            <v>INV2021-PEL-002</v>
          </cell>
          <cell r="K9062" t="str">
            <v>Paid</v>
          </cell>
        </row>
        <row r="9063">
          <cell r="J9063" t="str">
            <v>INV2021-PEL-003</v>
          </cell>
          <cell r="K9063" t="str">
            <v>Paid</v>
          </cell>
        </row>
        <row r="9064">
          <cell r="J9064" t="str">
            <v>AUCARDS0014</v>
          </cell>
          <cell r="K9064" t="str">
            <v>Paid</v>
          </cell>
        </row>
        <row r="9065">
          <cell r="J9065" t="str">
            <v>INV2022-PEL-004</v>
          </cell>
          <cell r="K9065" t="str">
            <v>Paid</v>
          </cell>
        </row>
        <row r="9066">
          <cell r="J9066" t="str">
            <v>INV2022-PEL-005</v>
          </cell>
          <cell r="K9066" t="str">
            <v>Paid</v>
          </cell>
        </row>
        <row r="9067">
          <cell r="J9067" t="str">
            <v>AUCARDS0020</v>
          </cell>
          <cell r="K9067" t="str">
            <v>Paid</v>
          </cell>
        </row>
        <row r="9068">
          <cell r="J9068" t="str">
            <v>AUCARDS0023</v>
          </cell>
          <cell r="K9068" t="str">
            <v>Paid</v>
          </cell>
        </row>
        <row r="9069">
          <cell r="J9069" t="str">
            <v>AUCARDS0033</v>
          </cell>
          <cell r="K9069" t="str">
            <v>Paid</v>
          </cell>
        </row>
        <row r="9070">
          <cell r="J9070" t="str">
            <v>AUCARDS0038</v>
          </cell>
          <cell r="K9070" t="str">
            <v>Paid</v>
          </cell>
        </row>
        <row r="9071">
          <cell r="J9071" t="str">
            <v>AUCARDS0044</v>
          </cell>
          <cell r="K9071" t="str">
            <v>Paid</v>
          </cell>
        </row>
        <row r="9072">
          <cell r="J9072" t="str">
            <v>AUCARDS0051</v>
          </cell>
          <cell r="K9072" t="str">
            <v>Paid</v>
          </cell>
        </row>
        <row r="9073">
          <cell r="J9073" t="str">
            <v>INV2022-PEL-006</v>
          </cell>
          <cell r="K9073" t="str">
            <v>Paid</v>
          </cell>
        </row>
        <row r="9074">
          <cell r="J9074" t="str">
            <v>AUCARDS0057</v>
          </cell>
          <cell r="K9074" t="str">
            <v>Paid</v>
          </cell>
        </row>
        <row r="9075">
          <cell r="J9075" t="str">
            <v>INV-021122051511</v>
          </cell>
          <cell r="K9075" t="str">
            <v>Paid</v>
          </cell>
        </row>
        <row r="9076">
          <cell r="J9076" t="str">
            <v>INV-021222121850</v>
          </cell>
          <cell r="K9076" t="str">
            <v>Paid</v>
          </cell>
        </row>
        <row r="9077">
          <cell r="J9077" t="str">
            <v>INV-040123044215</v>
          </cell>
          <cell r="K9077" t="str">
            <v>Paid</v>
          </cell>
        </row>
        <row r="9078">
          <cell r="J9078" t="str">
            <v>INV-020223172936</v>
          </cell>
          <cell r="K9078" t="str">
            <v>Paid</v>
          </cell>
        </row>
        <row r="9079">
          <cell r="J9079" t="str">
            <v>DN-230223112942</v>
          </cell>
          <cell r="K9079" t="str">
            <v>Paid</v>
          </cell>
        </row>
        <row r="9080">
          <cell r="J9080" t="str">
            <v>INV-020323141740</v>
          </cell>
          <cell r="K9080" t="str">
            <v>Paid</v>
          </cell>
        </row>
        <row r="9081">
          <cell r="J9081" t="str">
            <v>INV-031123125003</v>
          </cell>
          <cell r="K9081" t="str">
            <v>Paid</v>
          </cell>
        </row>
        <row r="9082">
          <cell r="J9082" t="str">
            <v>INV-030423235848</v>
          </cell>
          <cell r="K9082" t="str">
            <v>Paid</v>
          </cell>
        </row>
        <row r="9083">
          <cell r="J9083" t="str">
            <v>INV-030523012236</v>
          </cell>
          <cell r="K9083" t="str">
            <v>Paid</v>
          </cell>
        </row>
        <row r="9084">
          <cell r="J9084" t="str">
            <v>INV-051023091057</v>
          </cell>
          <cell r="K9084" t="str">
            <v>Paid</v>
          </cell>
        </row>
        <row r="9085">
          <cell r="J9085" t="str">
            <v>INV-051223174500</v>
          </cell>
          <cell r="K9085" t="str">
            <v>Paid</v>
          </cell>
        </row>
        <row r="9086">
          <cell r="J9086" t="str">
            <v>INV-020623142719</v>
          </cell>
          <cell r="K9086" t="str">
            <v>Paid</v>
          </cell>
        </row>
        <row r="9087">
          <cell r="J9087" t="str">
            <v>INV-030723145122</v>
          </cell>
          <cell r="K9087" t="str">
            <v>Paid</v>
          </cell>
        </row>
        <row r="9088">
          <cell r="J9088" t="str">
            <v>INV-120923131317</v>
          </cell>
          <cell r="K9088" t="str">
            <v>Paid</v>
          </cell>
        </row>
        <row r="9089">
          <cell r="J9089" t="str">
            <v>INV-130923092412</v>
          </cell>
          <cell r="K9089" t="str">
            <v>Paid</v>
          </cell>
        </row>
        <row r="9090">
          <cell r="J9090" t="str">
            <v>INV-050124110853</v>
          </cell>
          <cell r="K9090" t="str">
            <v>Paid</v>
          </cell>
        </row>
        <row r="9091">
          <cell r="J9091" t="str">
            <v>INV-060224144102</v>
          </cell>
          <cell r="K9091" t="str">
            <v>Paid</v>
          </cell>
        </row>
        <row r="9092">
          <cell r="J9092" t="str">
            <v>INV-070324135615</v>
          </cell>
          <cell r="K9092" t="str">
            <v>Paid</v>
          </cell>
        </row>
        <row r="9093">
          <cell r="J9093" t="str">
            <v>INV-060424140636</v>
          </cell>
          <cell r="K9093" t="str">
            <v>Paid</v>
          </cell>
        </row>
        <row r="9094">
          <cell r="J9094" t="str">
            <v>INV-070524170858</v>
          </cell>
          <cell r="K9094" t="str">
            <v>Paid</v>
          </cell>
        </row>
        <row r="9095">
          <cell r="J9095" t="str">
            <v>INV-060624161810</v>
          </cell>
          <cell r="K9095" t="str">
            <v>Paid</v>
          </cell>
        </row>
        <row r="9096">
          <cell r="J9096" t="str">
            <v>INV-060724130405</v>
          </cell>
          <cell r="K9096" t="str">
            <v>Paid</v>
          </cell>
        </row>
        <row r="9097">
          <cell r="J9097" t="str">
            <v>INV-060824164059</v>
          </cell>
          <cell r="K9097" t="str">
            <v>Paid</v>
          </cell>
        </row>
        <row r="9098">
          <cell r="J9098" t="str">
            <v>INV-061224180612</v>
          </cell>
          <cell r="K9098" t="str">
            <v>Net Off</v>
          </cell>
        </row>
        <row r="9099">
          <cell r="J9099" t="str">
            <v>INV-071124125254</v>
          </cell>
          <cell r="K9099" t="str">
            <v>Net Off</v>
          </cell>
        </row>
        <row r="9100">
          <cell r="J9100" t="str">
            <v>INV-100924103356</v>
          </cell>
          <cell r="K9100" t="str">
            <v>Paid</v>
          </cell>
        </row>
        <row r="9101">
          <cell r="J9101" t="str">
            <v>CN-INV-170924171810</v>
          </cell>
          <cell r="K9101" t="str">
            <v>Paid</v>
          </cell>
        </row>
        <row r="9102">
          <cell r="J9102" t="str">
            <v>INV-081024133610</v>
          </cell>
          <cell r="K9102" t="str">
            <v>Paid</v>
          </cell>
        </row>
        <row r="9103">
          <cell r="J9103" t="str">
            <v>INV-070125112906</v>
          </cell>
          <cell r="K9103" t="str">
            <v>Net Off</v>
          </cell>
        </row>
        <row r="9104">
          <cell r="J9104" t="str">
            <v>INV-060225121909</v>
          </cell>
          <cell r="K9104" t="str">
            <v>Net Off</v>
          </cell>
        </row>
        <row r="9105">
          <cell r="J9105" t="str">
            <v>INV-050325155103</v>
          </cell>
          <cell r="K9105" t="str">
            <v>Paid</v>
          </cell>
        </row>
        <row r="9106">
          <cell r="J9106" t="str">
            <v>INV-140225103000</v>
          </cell>
          <cell r="K9106" t="str">
            <v>Net Off</v>
          </cell>
        </row>
        <row r="9107">
          <cell r="J9107" t="str">
            <v>INV-250325141500</v>
          </cell>
          <cell r="K9107" t="str">
            <v>Paid</v>
          </cell>
        </row>
        <row r="9108">
          <cell r="J9108" t="str">
            <v>INV-200125150000</v>
          </cell>
          <cell r="K9108" t="str">
            <v>Net Off</v>
          </cell>
        </row>
        <row r="9109">
          <cell r="J9109" t="str">
            <v>INV-200125151000</v>
          </cell>
          <cell r="K9109" t="str">
            <v>Net Off</v>
          </cell>
        </row>
        <row r="9110">
          <cell r="J9110" t="str">
            <v>INV-200125152000</v>
          </cell>
          <cell r="K9110" t="str">
            <v>Net Off</v>
          </cell>
        </row>
        <row r="9111">
          <cell r="J9111" t="str">
            <v>INV-200125153000</v>
          </cell>
          <cell r="K9111" t="str">
            <v>Net Off</v>
          </cell>
        </row>
        <row r="9112">
          <cell r="J9112" t="str">
            <v>INV-210425110000</v>
          </cell>
          <cell r="K9112" t="str">
            <v>Paid</v>
          </cell>
        </row>
        <row r="9113">
          <cell r="J9113" t="str">
            <v>INV-12052514000</v>
          </cell>
          <cell r="K9113" t="str">
            <v>Paid</v>
          </cell>
        </row>
        <row r="9114">
          <cell r="J9114" t="str">
            <v>CN-INV-230126121920</v>
          </cell>
          <cell r="K9114" t="str">
            <v>Net Off</v>
          </cell>
        </row>
        <row r="9115">
          <cell r="J9115" t="str">
            <v>INV-030425182046</v>
          </cell>
          <cell r="K9115" t="str">
            <v>Paid</v>
          </cell>
        </row>
        <row r="9116">
          <cell r="J9116" t="str">
            <v>INV-060525101323</v>
          </cell>
          <cell r="K9116" t="str">
            <v>Paid</v>
          </cell>
        </row>
        <row r="9117">
          <cell r="J9117" t="str">
            <v>INV-040625162613</v>
          </cell>
          <cell r="K9117" t="str">
            <v>Paid</v>
          </cell>
        </row>
        <row r="9118">
          <cell r="J9118" t="str">
            <v>INV-040725133450</v>
          </cell>
          <cell r="K9118" t="str">
            <v>Paid</v>
          </cell>
        </row>
        <row r="9119">
          <cell r="J9119" t="str">
            <v>INV-060825093119</v>
          </cell>
          <cell r="K9119" t="str">
            <v>Net Off</v>
          </cell>
        </row>
        <row r="9120">
          <cell r="J9120" t="str">
            <v>CN-INV-040625162613</v>
          </cell>
          <cell r="K9120" t="str">
            <v>Paid</v>
          </cell>
        </row>
        <row r="9121">
          <cell r="J9121" t="str">
            <v>INV-030925151159</v>
          </cell>
          <cell r="K9121" t="str">
            <v>Net Off</v>
          </cell>
        </row>
        <row r="9122">
          <cell r="J9122" t="str">
            <v>INV-061025131045</v>
          </cell>
          <cell r="K9122" t="str">
            <v>Net Off</v>
          </cell>
        </row>
        <row r="9123">
          <cell r="J9123" t="str">
            <v>INV-061125103937</v>
          </cell>
          <cell r="K9123" t="str">
            <v>Net Off</v>
          </cell>
        </row>
        <row r="9124">
          <cell r="J9124" t="str">
            <v>INV-041225145150</v>
          </cell>
          <cell r="K9124" t="str">
            <v>Net Off</v>
          </cell>
        </row>
        <row r="9125">
          <cell r="J9125" t="str">
            <v>INV-060126121251</v>
          </cell>
          <cell r="K9125" t="str">
            <v>Net Off</v>
          </cell>
        </row>
        <row r="9126">
          <cell r="J9126" t="str">
            <v>CN-INV-230126120113</v>
          </cell>
          <cell r="K9126" t="str">
            <v>Net Off</v>
          </cell>
        </row>
        <row r="9127">
          <cell r="J9127" t="str">
            <v>INV-060226194701</v>
          </cell>
          <cell r="K9127" t="str">
            <v>Net Off</v>
          </cell>
        </row>
        <row r="9128">
          <cell r="J9128" t="str">
            <v>CN-INV-160426163113</v>
          </cell>
          <cell r="K9128" t="str">
            <v>Net Off</v>
          </cell>
        </row>
        <row r="9129">
          <cell r="J9129" t="str">
            <v>INV-160625140000</v>
          </cell>
          <cell r="K9129" t="str">
            <v>Net Off</v>
          </cell>
        </row>
        <row r="9130">
          <cell r="J9130" t="str">
            <v>INV-080725140000</v>
          </cell>
          <cell r="K9130" t="str">
            <v>Paid</v>
          </cell>
        </row>
        <row r="9131">
          <cell r="J9131" t="str">
            <v>INV-190825140000</v>
          </cell>
          <cell r="K9131" t="str">
            <v>Net Off</v>
          </cell>
        </row>
        <row r="9132">
          <cell r="J9132" t="str">
            <v>INV-160925140000</v>
          </cell>
          <cell r="K9132" t="str">
            <v>Net Off</v>
          </cell>
        </row>
        <row r="9133">
          <cell r="J9133" t="str">
            <v>INV-281025140000</v>
          </cell>
          <cell r="K9133" t="str">
            <v>Net Off</v>
          </cell>
        </row>
        <row r="9134">
          <cell r="J9134" t="str">
            <v>INV-171125143000</v>
          </cell>
          <cell r="K9134" t="str">
            <v>Net Off</v>
          </cell>
        </row>
        <row r="9135">
          <cell r="J9135" t="str">
            <v>INV-151225143000</v>
          </cell>
          <cell r="K9135" t="str">
            <v>Net Off</v>
          </cell>
        </row>
        <row r="9136">
          <cell r="J9136" t="str">
            <v>INV-230126143000</v>
          </cell>
          <cell r="K9136" t="str">
            <v>Net Off</v>
          </cell>
        </row>
        <row r="9137">
          <cell r="J9137" t="str">
            <v>CARDS0112</v>
          </cell>
          <cell r="K9137" t="str">
            <v>Waived Off</v>
          </cell>
        </row>
        <row r="9138">
          <cell r="J9138" t="str">
            <v>CARDS0131</v>
          </cell>
          <cell r="K9138" t="str">
            <v>Waived Off</v>
          </cell>
        </row>
        <row r="9139">
          <cell r="J9139" t="str">
            <v>CARDS0148</v>
          </cell>
          <cell r="K9139" t="str">
            <v>Waived Off</v>
          </cell>
        </row>
        <row r="9140">
          <cell r="J9140" t="str">
            <v>CARDS0167</v>
          </cell>
          <cell r="K9140" t="str">
            <v>Waived Off</v>
          </cell>
        </row>
        <row r="9141">
          <cell r="J9141" t="str">
            <v>CNCARDS0010</v>
          </cell>
          <cell r="K9141" t="str">
            <v>Waived Off</v>
          </cell>
        </row>
        <row r="9142">
          <cell r="J9142" t="str">
            <v>CARDS0184</v>
          </cell>
          <cell r="K9142" t="str">
            <v>Waived Off</v>
          </cell>
        </row>
        <row r="9143">
          <cell r="J9143" t="str">
            <v>CARDS0205</v>
          </cell>
          <cell r="K9143" t="str">
            <v>Waived Off</v>
          </cell>
        </row>
        <row r="9144">
          <cell r="J9144" t="str">
            <v>CARDS0226</v>
          </cell>
          <cell r="K9144" t="str">
            <v>Waived Off</v>
          </cell>
        </row>
        <row r="9145">
          <cell r="J9145" t="str">
            <v>CARDS0241</v>
          </cell>
          <cell r="K9145" t="str">
            <v>Waived Off</v>
          </cell>
        </row>
        <row r="9146">
          <cell r="J9146" t="str">
            <v>CARDS0258</v>
          </cell>
          <cell r="K9146" t="str">
            <v>Waived Off</v>
          </cell>
        </row>
        <row r="9147">
          <cell r="J9147" t="str">
            <v>CARDS0280</v>
          </cell>
          <cell r="K9147" t="str">
            <v>Waived Off</v>
          </cell>
        </row>
        <row r="9148">
          <cell r="J9148" t="str">
            <v>CARDS0342</v>
          </cell>
          <cell r="K9148" t="str">
            <v>Waived Off</v>
          </cell>
        </row>
        <row r="9149">
          <cell r="J9149" t="str">
            <v>INV-021122180934</v>
          </cell>
          <cell r="K9149" t="str">
            <v>Waived Off</v>
          </cell>
        </row>
        <row r="9150">
          <cell r="J9150" t="str">
            <v>INV-021222193227</v>
          </cell>
          <cell r="K9150" t="str">
            <v>Waived Off</v>
          </cell>
        </row>
        <row r="9151">
          <cell r="J9151" t="str">
            <v>INV-040123160412</v>
          </cell>
          <cell r="K9151" t="str">
            <v>Paid</v>
          </cell>
        </row>
        <row r="9152">
          <cell r="J9152" t="str">
            <v>CN-310123013527</v>
          </cell>
          <cell r="K9152" t="str">
            <v>Paid</v>
          </cell>
        </row>
        <row r="9153">
          <cell r="J9153" t="str">
            <v>CN-310123014333</v>
          </cell>
          <cell r="K9153" t="str">
            <v>Paid</v>
          </cell>
        </row>
        <row r="9154">
          <cell r="J9154" t="str">
            <v>INV-020223114314</v>
          </cell>
          <cell r="K9154" t="str">
            <v>Paid</v>
          </cell>
        </row>
        <row r="9155">
          <cell r="J9155" t="str">
            <v>INV-020323123204</v>
          </cell>
          <cell r="K9155" t="str">
            <v>Paid</v>
          </cell>
        </row>
        <row r="9156">
          <cell r="J9156" t="str">
            <v>INV-040423034127</v>
          </cell>
          <cell r="K9156" t="str">
            <v>Paid</v>
          </cell>
        </row>
        <row r="9157">
          <cell r="J9157" t="str">
            <v>INV-030523024822</v>
          </cell>
          <cell r="K9157" t="str">
            <v>Paid</v>
          </cell>
        </row>
        <row r="9158">
          <cell r="J9158" t="str">
            <v>INV-050923132932</v>
          </cell>
          <cell r="K9158" t="str">
            <v>Paid</v>
          </cell>
        </row>
        <row r="9159">
          <cell r="J9159" t="str">
            <v>INV-050623135138</v>
          </cell>
          <cell r="K9159" t="str">
            <v>Paid</v>
          </cell>
        </row>
        <row r="9160">
          <cell r="J9160" t="str">
            <v>INV-040723114018</v>
          </cell>
          <cell r="K9160" t="str">
            <v>Paid</v>
          </cell>
        </row>
        <row r="9161">
          <cell r="J9161" t="str">
            <v>INV-030823115202</v>
          </cell>
          <cell r="K9161" t="str">
            <v>Paid</v>
          </cell>
        </row>
        <row r="9162">
          <cell r="J9162" t="str">
            <v>HKCARDS0071</v>
          </cell>
          <cell r="K9162" t="str">
            <v>Paid</v>
          </cell>
        </row>
        <row r="9163">
          <cell r="J9163" t="str">
            <v>HKCARDS0062</v>
          </cell>
          <cell r="K9163" t="str">
            <v>Waived Off</v>
          </cell>
        </row>
        <row r="9164">
          <cell r="J9164" t="str">
            <v>HKCARDS0044</v>
          </cell>
          <cell r="K9164" t="str">
            <v>Waived Off</v>
          </cell>
        </row>
        <row r="9165">
          <cell r="J9165" t="str">
            <v>HKCARDS0054</v>
          </cell>
          <cell r="K9165" t="str">
            <v>Waived Off</v>
          </cell>
        </row>
        <row r="9166">
          <cell r="J9166" t="str">
            <v>HKCARDS0089</v>
          </cell>
          <cell r="K9166" t="str">
            <v>Paid</v>
          </cell>
        </row>
        <row r="9167">
          <cell r="J9167" t="str">
            <v>HKCARDS0103</v>
          </cell>
          <cell r="K9167" t="str">
            <v>Paid</v>
          </cell>
        </row>
        <row r="9168">
          <cell r="J9168" t="str">
            <v>DNHKCARDS0004</v>
          </cell>
          <cell r="K9168" t="str">
            <v>Paid</v>
          </cell>
        </row>
        <row r="9169">
          <cell r="J9169" t="str">
            <v>INV-021122062654</v>
          </cell>
          <cell r="K9169" t="str">
            <v>Paid</v>
          </cell>
        </row>
        <row r="9170">
          <cell r="J9170" t="str">
            <v>INV-021222012538</v>
          </cell>
          <cell r="K9170" t="str">
            <v>Paid</v>
          </cell>
        </row>
        <row r="9171">
          <cell r="J9171" t="str">
            <v>INV-030123135437</v>
          </cell>
          <cell r="K9171" t="str">
            <v>Paid</v>
          </cell>
        </row>
        <row r="9172">
          <cell r="J9172" t="str">
            <v>CN-2301241533</v>
          </cell>
          <cell r="K9172" t="str">
            <v>Paid</v>
          </cell>
        </row>
        <row r="9173">
          <cell r="J9173" t="str">
            <v>INV-020223033946</v>
          </cell>
          <cell r="K9173" t="str">
            <v>Paid</v>
          </cell>
        </row>
        <row r="9174">
          <cell r="J9174" t="str">
            <v>INV-020323024513</v>
          </cell>
          <cell r="K9174" t="str">
            <v>Paid</v>
          </cell>
        </row>
        <row r="9175">
          <cell r="J9175" t="str">
            <v>INV-031123175349</v>
          </cell>
          <cell r="K9175" t="str">
            <v>Paid</v>
          </cell>
        </row>
        <row r="9176">
          <cell r="J9176" t="str">
            <v>INV-020423224816</v>
          </cell>
          <cell r="K9176" t="str">
            <v>Paid</v>
          </cell>
        </row>
        <row r="9177">
          <cell r="J9177" t="str">
            <v>CN-180423122934</v>
          </cell>
          <cell r="K9177" t="str">
            <v>Paid</v>
          </cell>
        </row>
        <row r="9178">
          <cell r="J9178" t="str">
            <v>INV-020523220437</v>
          </cell>
          <cell r="K9178" t="str">
            <v>Paid</v>
          </cell>
        </row>
        <row r="9179">
          <cell r="J9179" t="str">
            <v>INV-050923095836</v>
          </cell>
          <cell r="K9179" t="str">
            <v>Paid</v>
          </cell>
        </row>
        <row r="9180">
          <cell r="J9180" t="str">
            <v>INV-051023142738</v>
          </cell>
          <cell r="K9180" t="str">
            <v>Paid</v>
          </cell>
        </row>
        <row r="9181">
          <cell r="J9181" t="str">
            <v>INV-051223104427</v>
          </cell>
          <cell r="K9181" t="str">
            <v>Paid</v>
          </cell>
        </row>
        <row r="9182">
          <cell r="J9182" t="str">
            <v>INV-020623195507</v>
          </cell>
          <cell r="K9182" t="str">
            <v>Paid</v>
          </cell>
        </row>
        <row r="9183">
          <cell r="J9183" t="str">
            <v>INV-040723183934</v>
          </cell>
          <cell r="K9183" t="str">
            <v>Paid</v>
          </cell>
        </row>
        <row r="9184">
          <cell r="J9184" t="str">
            <v>INV-030823144406</v>
          </cell>
          <cell r="K9184" t="str">
            <v>Paid</v>
          </cell>
        </row>
        <row r="9185">
          <cell r="J9185" t="str">
            <v>INV-050124124931</v>
          </cell>
          <cell r="K9185" t="str">
            <v>Paid</v>
          </cell>
        </row>
        <row r="9186">
          <cell r="J9186" t="str">
            <v>INV-070224113006</v>
          </cell>
          <cell r="K9186" t="str">
            <v>Paid</v>
          </cell>
        </row>
        <row r="9187">
          <cell r="J9187" t="str">
            <v>INV-060324114926</v>
          </cell>
          <cell r="K9187" t="str">
            <v>Paid</v>
          </cell>
        </row>
        <row r="9188">
          <cell r="J9188" t="str">
            <v>INV-080424092722</v>
          </cell>
          <cell r="K9188" t="str">
            <v>Paid</v>
          </cell>
        </row>
        <row r="9189">
          <cell r="J9189" t="str">
            <v>INV-050624123339</v>
          </cell>
          <cell r="K9189" t="str">
            <v>Paid</v>
          </cell>
        </row>
        <row r="9190">
          <cell r="J9190" t="str">
            <v>INV-070524155304</v>
          </cell>
          <cell r="K9190" t="str">
            <v>Paid</v>
          </cell>
        </row>
        <row r="9191">
          <cell r="J9191" t="str">
            <v>INV-050724174422</v>
          </cell>
          <cell r="K9191" t="str">
            <v>Paid</v>
          </cell>
        </row>
        <row r="9192">
          <cell r="J9192" t="str">
            <v>INV-050924162126</v>
          </cell>
          <cell r="K9192" t="str">
            <v>Paid</v>
          </cell>
        </row>
        <row r="9193">
          <cell r="J9193" t="str">
            <v>CN-INV-210524114552</v>
          </cell>
          <cell r="K9193" t="str">
            <v>Paid</v>
          </cell>
        </row>
        <row r="9194">
          <cell r="J9194" t="str">
            <v>INV-060824151639</v>
          </cell>
          <cell r="K9194" t="str">
            <v>Paid</v>
          </cell>
        </row>
        <row r="9195">
          <cell r="J9195" t="str">
            <v>INV-071024201636</v>
          </cell>
          <cell r="K9195" t="str">
            <v>Paid</v>
          </cell>
        </row>
        <row r="9196">
          <cell r="J9196" t="str">
            <v>INV-071124103746</v>
          </cell>
          <cell r="K9196" t="str">
            <v>Paid</v>
          </cell>
        </row>
        <row r="9197">
          <cell r="J9197" t="str">
            <v>CN-INV-240125160310</v>
          </cell>
          <cell r="K9197" t="str">
            <v>Net Off</v>
          </cell>
        </row>
        <row r="9198">
          <cell r="J9198" t="str">
            <v>CARDS0078</v>
          </cell>
          <cell r="K9198" t="str">
            <v>Paid</v>
          </cell>
        </row>
        <row r="9199">
          <cell r="J9199" t="str">
            <v>INV-040825191210</v>
          </cell>
          <cell r="K9199" t="str">
            <v>Paid</v>
          </cell>
        </row>
        <row r="9200">
          <cell r="J9200" t="str">
            <v>INV-020925170654</v>
          </cell>
          <cell r="K9200" t="str">
            <v>Paid</v>
          </cell>
        </row>
        <row r="9201">
          <cell r="J9201" t="str">
            <v>INV-021025140714</v>
          </cell>
          <cell r="K9201" t="str">
            <v>Paid</v>
          </cell>
        </row>
        <row r="9202">
          <cell r="J9202" t="str">
            <v>INV-051125144828</v>
          </cell>
          <cell r="K9202" t="str">
            <v>Paid</v>
          </cell>
        </row>
        <row r="9203">
          <cell r="J9203" t="str">
            <v>INV-031225150633</v>
          </cell>
          <cell r="K9203" t="str">
            <v>Paid</v>
          </cell>
        </row>
        <row r="9204">
          <cell r="J9204" t="str">
            <v>INV-030126134941</v>
          </cell>
          <cell r="K9204" t="str">
            <v>Paid</v>
          </cell>
        </row>
        <row r="9205">
          <cell r="J9205" t="str">
            <v>INV-050226004542</v>
          </cell>
          <cell r="K9205" t="str">
            <v>Paid</v>
          </cell>
        </row>
        <row r="9206">
          <cell r="J9206" t="str">
            <v>INV-030326192009</v>
          </cell>
          <cell r="K9206" t="str">
            <v>Paid</v>
          </cell>
        </row>
        <row r="9207">
          <cell r="J9207" t="str">
            <v>INV-010426165736</v>
          </cell>
          <cell r="K9207" t="str">
            <v>Paid</v>
          </cell>
        </row>
        <row r="9208">
          <cell r="J9208" t="str">
            <v>INV-040526135223</v>
          </cell>
          <cell r="K9208" t="str">
            <v>Paid</v>
          </cell>
        </row>
        <row r="9209">
          <cell r="J9209" t="str">
            <v>INV-010626193641</v>
          </cell>
          <cell r="K9209" t="str">
            <v>Paid</v>
          </cell>
        </row>
        <row r="9210">
          <cell r="J9210" t="str">
            <v>INV-041223164956</v>
          </cell>
          <cell r="K9210" t="str">
            <v>Paid</v>
          </cell>
        </row>
        <row r="9211">
          <cell r="J9211" t="str">
            <v>INV-061023114501</v>
          </cell>
          <cell r="K9211" t="str">
            <v>Paid</v>
          </cell>
        </row>
        <row r="9212">
          <cell r="J9212" t="str">
            <v>INV-061123093831</v>
          </cell>
          <cell r="K9212" t="str">
            <v>Paid</v>
          </cell>
        </row>
        <row r="9213">
          <cell r="J9213" t="str">
            <v>INV-040124151340</v>
          </cell>
          <cell r="K9213" t="str">
            <v>Paid</v>
          </cell>
        </row>
        <row r="9214">
          <cell r="J9214" t="str">
            <v>INV-050224170034</v>
          </cell>
          <cell r="K9214" t="str">
            <v>Paid</v>
          </cell>
        </row>
        <row r="9215">
          <cell r="J9215" t="str">
            <v>INV-020824173829</v>
          </cell>
          <cell r="K9215" t="str">
            <v>Paid</v>
          </cell>
        </row>
        <row r="9216">
          <cell r="J9216" t="str">
            <v>INV-030424175053</v>
          </cell>
          <cell r="K9216" t="str">
            <v>Paid</v>
          </cell>
        </row>
        <row r="9217">
          <cell r="J9217" t="str">
            <v>INV-050324123649</v>
          </cell>
          <cell r="K9217" t="str">
            <v>Paid</v>
          </cell>
        </row>
        <row r="9218">
          <cell r="J9218" t="str">
            <v>INV-030524134926</v>
          </cell>
          <cell r="K9218" t="str">
            <v>Paid</v>
          </cell>
        </row>
        <row r="9219">
          <cell r="J9219" t="str">
            <v>INV-030724154217</v>
          </cell>
          <cell r="K9219" t="str">
            <v>Paid</v>
          </cell>
        </row>
        <row r="9220">
          <cell r="J9220" t="str">
            <v>INV-040624111656</v>
          </cell>
          <cell r="K9220" t="str">
            <v>Paid</v>
          </cell>
        </row>
        <row r="9221">
          <cell r="J9221" t="str">
            <v>INV-040924103939</v>
          </cell>
          <cell r="K9221" t="str">
            <v>Paid</v>
          </cell>
        </row>
        <row r="9222">
          <cell r="J9222" t="str">
            <v>INV-041223161231</v>
          </cell>
          <cell r="K9222" t="str">
            <v>Paid</v>
          </cell>
        </row>
        <row r="9223">
          <cell r="J9223" t="str">
            <v>INV-051023172729</v>
          </cell>
          <cell r="K9223" t="str">
            <v>Paid</v>
          </cell>
        </row>
        <row r="9224">
          <cell r="J9224" t="str">
            <v>INV-040124152909</v>
          </cell>
          <cell r="K9224" t="str">
            <v>Paid</v>
          </cell>
        </row>
        <row r="9225">
          <cell r="J9225" t="str">
            <v>INV-050224164603</v>
          </cell>
          <cell r="K9225" t="str">
            <v>Paid</v>
          </cell>
        </row>
        <row r="9226">
          <cell r="J9226" t="str">
            <v>INV-020824175016</v>
          </cell>
          <cell r="K9226" t="str">
            <v>Paid</v>
          </cell>
        </row>
        <row r="9227">
          <cell r="J9227" t="str">
            <v>INV-030424172236</v>
          </cell>
          <cell r="K9227" t="str">
            <v>Paid</v>
          </cell>
        </row>
        <row r="9228">
          <cell r="J9228" t="str">
            <v>INV-050324122215</v>
          </cell>
          <cell r="K9228" t="str">
            <v>Paid</v>
          </cell>
        </row>
        <row r="9229">
          <cell r="J9229" t="str">
            <v>INV-030524111403</v>
          </cell>
          <cell r="K9229" t="str">
            <v>Paid</v>
          </cell>
        </row>
        <row r="9230">
          <cell r="J9230" t="str">
            <v>INV-030724133849</v>
          </cell>
          <cell r="K9230" t="str">
            <v>Paid</v>
          </cell>
        </row>
        <row r="9231">
          <cell r="J9231" t="str">
            <v>INV-031224170218</v>
          </cell>
          <cell r="K9231" t="str">
            <v>Paid</v>
          </cell>
        </row>
        <row r="9232">
          <cell r="J9232" t="str">
            <v>INV-040624112542</v>
          </cell>
          <cell r="K9232" t="str">
            <v>Paid</v>
          </cell>
        </row>
        <row r="9233">
          <cell r="J9233" t="str">
            <v>INV-040924104830</v>
          </cell>
          <cell r="K9233" t="str">
            <v>Paid</v>
          </cell>
        </row>
        <row r="9234">
          <cell r="J9234" t="str">
            <v>INV-021024152944</v>
          </cell>
          <cell r="K9234" t="str">
            <v>Paid</v>
          </cell>
        </row>
        <row r="9235">
          <cell r="J9235" t="str">
            <v>INV-061124101451</v>
          </cell>
          <cell r="K9235" t="str">
            <v>Paid</v>
          </cell>
        </row>
        <row r="9236">
          <cell r="J9236" t="str">
            <v>INV-060125103845</v>
          </cell>
          <cell r="K9236" t="str">
            <v>Paid</v>
          </cell>
        </row>
        <row r="9237">
          <cell r="J9237" t="str">
            <v>INV-040225151446</v>
          </cell>
          <cell r="K9237" t="str">
            <v>Paid</v>
          </cell>
        </row>
        <row r="9238">
          <cell r="J9238" t="str">
            <v>INV-040325153030</v>
          </cell>
          <cell r="K9238" t="str">
            <v>Paid</v>
          </cell>
        </row>
        <row r="9239">
          <cell r="J9239" t="str">
            <v>INV-020425160557</v>
          </cell>
          <cell r="K9239" t="str">
            <v>Paid</v>
          </cell>
        </row>
        <row r="9240">
          <cell r="J9240" t="str">
            <v>INV-020525181059</v>
          </cell>
          <cell r="K9240" t="str">
            <v>Paid</v>
          </cell>
        </row>
        <row r="9241">
          <cell r="J9241" t="str">
            <v>INV-030625145313</v>
          </cell>
          <cell r="K9241" t="str">
            <v>Paid</v>
          </cell>
        </row>
        <row r="9242">
          <cell r="J9242" t="str">
            <v>INV-020725164337</v>
          </cell>
          <cell r="K9242" t="str">
            <v>Paid</v>
          </cell>
        </row>
        <row r="9243">
          <cell r="J9243" t="str">
            <v>INV-040825132412</v>
          </cell>
          <cell r="K9243" t="str">
            <v>Paid</v>
          </cell>
        </row>
        <row r="9244">
          <cell r="J9244" t="str">
            <v>INV-020925121312</v>
          </cell>
          <cell r="K9244" t="str">
            <v>Paid</v>
          </cell>
        </row>
        <row r="9245">
          <cell r="J9245" t="str">
            <v>INV-021025122633</v>
          </cell>
          <cell r="K9245" t="str">
            <v>Paid</v>
          </cell>
        </row>
        <row r="9246">
          <cell r="J9246" t="str">
            <v>INV-071125114633</v>
          </cell>
          <cell r="K9246" t="str">
            <v>Paid</v>
          </cell>
        </row>
        <row r="9247">
          <cell r="J9247" t="str">
            <v>INV-021225182040</v>
          </cell>
          <cell r="K9247" t="str">
            <v>Paid</v>
          </cell>
        </row>
        <row r="9248">
          <cell r="J9248" t="str">
            <v>INV-020126133426</v>
          </cell>
          <cell r="K9248" t="str">
            <v>Paid</v>
          </cell>
        </row>
        <row r="9249">
          <cell r="J9249" t="str">
            <v>INV-020226143736</v>
          </cell>
          <cell r="K9249" t="str">
            <v>Paid</v>
          </cell>
        </row>
        <row r="9250">
          <cell r="J9250" t="str">
            <v>INV-020326181553</v>
          </cell>
          <cell r="K9250" t="str">
            <v>Paid</v>
          </cell>
        </row>
        <row r="9251">
          <cell r="J9251" t="str">
            <v>INV-010426152406</v>
          </cell>
          <cell r="K9251" t="str">
            <v>Outstanding</v>
          </cell>
        </row>
        <row r="9252">
          <cell r="J9252" t="str">
            <v>INV-040526102628</v>
          </cell>
          <cell r="K9252" t="str">
            <v>Outstanding</v>
          </cell>
        </row>
        <row r="9253">
          <cell r="J9253" t="str">
            <v>INV-010626164441</v>
          </cell>
          <cell r="K9253" t="str">
            <v>Outstanding</v>
          </cell>
        </row>
        <row r="9254">
          <cell r="J9254" t="str">
            <v>UKCARDS0002</v>
          </cell>
          <cell r="K9254" t="str">
            <v>Waived Off</v>
          </cell>
        </row>
        <row r="9255">
          <cell r="J9255" t="str">
            <v>INV-041225131701</v>
          </cell>
          <cell r="K9255" t="str">
            <v>Paid</v>
          </cell>
        </row>
        <row r="9256">
          <cell r="J9256" t="str">
            <v>INV-020126185811</v>
          </cell>
          <cell r="K9256" t="str">
            <v>Paid</v>
          </cell>
        </row>
        <row r="9257">
          <cell r="J9257" t="str">
            <v>INV-020226163657</v>
          </cell>
          <cell r="K9257" t="str">
            <v>Paid</v>
          </cell>
        </row>
        <row r="9258">
          <cell r="J9258" t="str">
            <v>INV-030326135919</v>
          </cell>
          <cell r="K9258" t="str">
            <v>Paid</v>
          </cell>
        </row>
        <row r="9259">
          <cell r="J9259" t="str">
            <v>INV-030326143845</v>
          </cell>
          <cell r="K9259" t="str">
            <v>Paid</v>
          </cell>
        </row>
        <row r="9260">
          <cell r="J9260" t="str">
            <v>INV-010426181945</v>
          </cell>
          <cell r="K9260" t="str">
            <v>Paid</v>
          </cell>
        </row>
        <row r="9261">
          <cell r="J9261" t="str">
            <v>INV-010526191757</v>
          </cell>
          <cell r="K9261" t="str">
            <v>Paid</v>
          </cell>
        </row>
        <row r="9262">
          <cell r="J9262" t="str">
            <v>INV-020626170005</v>
          </cell>
          <cell r="K9262" t="str">
            <v>Paid</v>
          </cell>
        </row>
        <row r="9263">
          <cell r="J9263" t="str">
            <v>INV-230625164749</v>
          </cell>
          <cell r="K9263" t="str">
            <v>Paid</v>
          </cell>
        </row>
        <row r="9264">
          <cell r="J9264" t="str">
            <v>CARDS0113</v>
          </cell>
          <cell r="K9264" t="str">
            <v>Paid</v>
          </cell>
        </row>
        <row r="9265">
          <cell r="J9265" t="str">
            <v>CN-310323163011</v>
          </cell>
          <cell r="K9265" t="str">
            <v>Paid</v>
          </cell>
        </row>
        <row r="9266">
          <cell r="J9266" t="str">
            <v>INV-030724165331</v>
          </cell>
          <cell r="K9266" t="str">
            <v>Paid</v>
          </cell>
        </row>
        <row r="9267">
          <cell r="J9267" t="str">
            <v>INV-031024154029</v>
          </cell>
          <cell r="K9267" t="str">
            <v>Paid</v>
          </cell>
        </row>
        <row r="9268">
          <cell r="J9268" t="str">
            <v>INV-040624170013</v>
          </cell>
          <cell r="K9268" t="str">
            <v>Paid</v>
          </cell>
        </row>
        <row r="9269">
          <cell r="J9269" t="str">
            <v>INV-040924165215</v>
          </cell>
          <cell r="K9269" t="str">
            <v>Paid</v>
          </cell>
        </row>
        <row r="9270">
          <cell r="J9270" t="str">
            <v>INV-050824140451</v>
          </cell>
          <cell r="K9270" t="str">
            <v>Paid</v>
          </cell>
        </row>
        <row r="9271">
          <cell r="J9271" t="str">
            <v>INV-061124135530</v>
          </cell>
          <cell r="K9271" t="str">
            <v>Paid</v>
          </cell>
        </row>
        <row r="9272">
          <cell r="J9272" t="str">
            <v>INV-031224180631</v>
          </cell>
          <cell r="K9272" t="str">
            <v>Paid</v>
          </cell>
        </row>
        <row r="9273">
          <cell r="J9273" t="str">
            <v>INV-060125121612</v>
          </cell>
          <cell r="K9273" t="str">
            <v>Paid</v>
          </cell>
        </row>
        <row r="9274">
          <cell r="J9274" t="str">
            <v>INV-060225095026</v>
          </cell>
          <cell r="K9274" t="str">
            <v>Paid</v>
          </cell>
        </row>
        <row r="9275">
          <cell r="J9275" t="str">
            <v>INV-040325165325</v>
          </cell>
          <cell r="K9275" t="str">
            <v>Paid</v>
          </cell>
        </row>
        <row r="9276">
          <cell r="J9276" t="str">
            <v>INV-020425180249</v>
          </cell>
          <cell r="K9276" t="str">
            <v>Paid</v>
          </cell>
        </row>
        <row r="9277">
          <cell r="J9277" t="str">
            <v>INV-050525101811</v>
          </cell>
          <cell r="K9277" t="str">
            <v>Paid</v>
          </cell>
        </row>
        <row r="9278">
          <cell r="J9278" t="str">
            <v>INV-030625162831</v>
          </cell>
          <cell r="K9278" t="str">
            <v>Paid</v>
          </cell>
        </row>
        <row r="9279">
          <cell r="J9279" t="str">
            <v>INV-020725190628</v>
          </cell>
          <cell r="K9279" t="str">
            <v>Paid</v>
          </cell>
        </row>
        <row r="9280">
          <cell r="J9280" t="str">
            <v>INV-040825181057</v>
          </cell>
          <cell r="K9280" t="str">
            <v>Paid</v>
          </cell>
        </row>
        <row r="9281">
          <cell r="J9281" t="str">
            <v>INV-020925190837</v>
          </cell>
          <cell r="K9281" t="str">
            <v>Paid</v>
          </cell>
        </row>
        <row r="9282">
          <cell r="J9282" t="str">
            <v>INV-021025125845</v>
          </cell>
          <cell r="K9282" t="str">
            <v>Paid</v>
          </cell>
        </row>
        <row r="9283">
          <cell r="J9283" t="str">
            <v>INV-031125232520</v>
          </cell>
          <cell r="K9283" t="str">
            <v>Paid</v>
          </cell>
        </row>
        <row r="9284">
          <cell r="J9284" t="str">
            <v>INV-021225132937</v>
          </cell>
          <cell r="K9284" t="str">
            <v>Paid</v>
          </cell>
        </row>
        <row r="9285">
          <cell r="J9285" t="str">
            <v>INV-020126160816</v>
          </cell>
          <cell r="K9285" t="str">
            <v>Paid</v>
          </cell>
        </row>
        <row r="9286">
          <cell r="J9286" t="str">
            <v>INV-020226174118</v>
          </cell>
          <cell r="K9286" t="str">
            <v>Paid</v>
          </cell>
        </row>
        <row r="9287">
          <cell r="J9287" t="str">
            <v>INV-020326184237</v>
          </cell>
          <cell r="K9287" t="str">
            <v>Paid</v>
          </cell>
        </row>
        <row r="9288">
          <cell r="J9288" t="str">
            <v>INV-010426151942</v>
          </cell>
          <cell r="K9288" t="str">
            <v>Paid</v>
          </cell>
        </row>
        <row r="9289">
          <cell r="J9289" t="str">
            <v>INV-040526111030</v>
          </cell>
          <cell r="K9289" t="str">
            <v>Paid</v>
          </cell>
        </row>
        <row r="9290">
          <cell r="J9290" t="str">
            <v>INV-010626172817</v>
          </cell>
          <cell r="K9290" t="str">
            <v>Paid</v>
          </cell>
        </row>
        <row r="9291">
          <cell r="J9291" t="str">
            <v>INV-040625094220</v>
          </cell>
          <cell r="K9291" t="str">
            <v>Paid</v>
          </cell>
        </row>
        <row r="9292">
          <cell r="J9292" t="str">
            <v>INV-020725202324</v>
          </cell>
          <cell r="K9292" t="str">
            <v>Paid</v>
          </cell>
        </row>
        <row r="9293">
          <cell r="J9293" t="str">
            <v>INV-040825132536</v>
          </cell>
          <cell r="K9293" t="str">
            <v>Paid</v>
          </cell>
        </row>
        <row r="9294">
          <cell r="J9294" t="str">
            <v>INV-020925160957</v>
          </cell>
          <cell r="K9294" t="str">
            <v>Paid</v>
          </cell>
        </row>
        <row r="9295">
          <cell r="J9295" t="str">
            <v>INV-021025154626</v>
          </cell>
          <cell r="K9295" t="str">
            <v>Paid</v>
          </cell>
        </row>
        <row r="9296">
          <cell r="J9296" t="str">
            <v>INV-041125100741</v>
          </cell>
          <cell r="K9296" t="str">
            <v>Paid</v>
          </cell>
        </row>
        <row r="9297">
          <cell r="J9297" t="str">
            <v>INV-021225161321</v>
          </cell>
          <cell r="K9297" t="str">
            <v>Paid</v>
          </cell>
        </row>
        <row r="9298">
          <cell r="J9298" t="str">
            <v>INV-050126143825</v>
          </cell>
          <cell r="K9298" t="str">
            <v>Paid</v>
          </cell>
        </row>
        <row r="9299">
          <cell r="J9299" t="str">
            <v>INV-020226212438</v>
          </cell>
          <cell r="K9299" t="str">
            <v>Paid</v>
          </cell>
        </row>
        <row r="9300">
          <cell r="J9300" t="str">
            <v>INV-030326112026</v>
          </cell>
          <cell r="K9300" t="str">
            <v>Paid</v>
          </cell>
        </row>
        <row r="9301">
          <cell r="J9301" t="str">
            <v>INV-010426160607</v>
          </cell>
          <cell r="K9301" t="str">
            <v>Paid</v>
          </cell>
        </row>
        <row r="9302">
          <cell r="J9302" t="str">
            <v>INV-050526103442</v>
          </cell>
          <cell r="K9302" t="str">
            <v>Paid</v>
          </cell>
        </row>
        <row r="9303">
          <cell r="J9303" t="str">
            <v>INV-020626101528</v>
          </cell>
          <cell r="K9303" t="str">
            <v>Paid</v>
          </cell>
        </row>
        <row r="9304">
          <cell r="J9304" t="str">
            <v>INV-020824161322</v>
          </cell>
          <cell r="K9304" t="str">
            <v>Paid</v>
          </cell>
        </row>
        <row r="9305">
          <cell r="J9305" t="str">
            <v>INV-031224185103</v>
          </cell>
          <cell r="K9305" t="str">
            <v>Paid</v>
          </cell>
        </row>
        <row r="9306">
          <cell r="J9306" t="str">
            <v>INV-060125113338</v>
          </cell>
          <cell r="K9306" t="str">
            <v>Paid</v>
          </cell>
        </row>
        <row r="9307">
          <cell r="J9307" t="str">
            <v>INV-050225095456</v>
          </cell>
          <cell r="K9307" t="str">
            <v>Paid</v>
          </cell>
        </row>
        <row r="9308">
          <cell r="J9308" t="str">
            <v>INV-050325093344</v>
          </cell>
          <cell r="K9308" t="str">
            <v>Paid</v>
          </cell>
        </row>
        <row r="9309">
          <cell r="J9309" t="str">
            <v>INV-020425185420</v>
          </cell>
          <cell r="K9309" t="str">
            <v>Paid</v>
          </cell>
        </row>
        <row r="9310">
          <cell r="J9310" t="str">
            <v>INV-050525174529</v>
          </cell>
          <cell r="K9310" t="str">
            <v>Paid</v>
          </cell>
        </row>
        <row r="9311">
          <cell r="J9311" t="str">
            <v>INV-260624112710</v>
          </cell>
          <cell r="K9311" t="str">
            <v>Paid</v>
          </cell>
        </row>
        <row r="9312">
          <cell r="J9312" t="str">
            <v>INV-170325172536</v>
          </cell>
          <cell r="K9312" t="str">
            <v>Paid</v>
          </cell>
        </row>
        <row r="9313">
          <cell r="J9313" t="str">
            <v>INV-161224111951</v>
          </cell>
          <cell r="K9313" t="str">
            <v>Paid</v>
          </cell>
        </row>
        <row r="9314">
          <cell r="J9314" t="str">
            <v>INV-220925103638</v>
          </cell>
          <cell r="K9314" t="str">
            <v>Paid</v>
          </cell>
        </row>
        <row r="9315">
          <cell r="J9315" t="str">
            <v>INV-110326113159</v>
          </cell>
          <cell r="K9315" t="str">
            <v>Outstanding</v>
          </cell>
        </row>
        <row r="9316">
          <cell r="J9316" t="str">
            <v>INV-060126175157</v>
          </cell>
          <cell r="K9316" t="str">
            <v>Paid</v>
          </cell>
        </row>
        <row r="9317">
          <cell r="J9317" t="str">
            <v>INV-040226161341</v>
          </cell>
          <cell r="K9317" t="str">
            <v>Paid</v>
          </cell>
        </row>
        <row r="9318">
          <cell r="J9318" t="str">
            <v>INV-050326152047</v>
          </cell>
          <cell r="K9318" t="str">
            <v>Paid</v>
          </cell>
        </row>
        <row r="9319">
          <cell r="J9319" t="str">
            <v>INV-030426214603</v>
          </cell>
          <cell r="K9319" t="str">
            <v>Paid</v>
          </cell>
        </row>
        <row r="9320">
          <cell r="J9320" t="str">
            <v>INV-050526132550</v>
          </cell>
          <cell r="K9320" t="str">
            <v>Paid</v>
          </cell>
        </row>
        <row r="9321">
          <cell r="J9321" t="str">
            <v>INV-040626164211</v>
          </cell>
          <cell r="K9321" t="str">
            <v>Outstanding</v>
          </cell>
        </row>
        <row r="9322">
          <cell r="J9322" t="str">
            <v>INV-180626165925</v>
          </cell>
          <cell r="K9322" t="str">
            <v>Outstanding</v>
          </cell>
        </row>
        <row r="9323">
          <cell r="J9323" t="str">
            <v>INV-060526101211</v>
          </cell>
          <cell r="K9323" t="str">
            <v>Net Off</v>
          </cell>
        </row>
        <row r="9324">
          <cell r="J9324" t="str">
            <v>CN-INV-290526120201</v>
          </cell>
          <cell r="K9324" t="str">
            <v>Net Off</v>
          </cell>
        </row>
        <row r="9325">
          <cell r="J9325" t="str">
            <v>CARDS0091</v>
          </cell>
          <cell r="K9325" t="str">
            <v>Paid</v>
          </cell>
        </row>
        <row r="9326">
          <cell r="J9326" t="str">
            <v>CARDS0108</v>
          </cell>
          <cell r="K9326" t="str">
            <v>Paid</v>
          </cell>
        </row>
        <row r="9327">
          <cell r="J9327" t="str">
            <v>CARDS0127</v>
          </cell>
          <cell r="K9327" t="str">
            <v>Paid</v>
          </cell>
        </row>
        <row r="9328">
          <cell r="J9328" t="str">
            <v>CARDS0144</v>
          </cell>
          <cell r="K9328" t="str">
            <v>Paid</v>
          </cell>
        </row>
        <row r="9329">
          <cell r="J9329" t="str">
            <v>CARDS0163</v>
          </cell>
          <cell r="K9329" t="str">
            <v>Waived Off</v>
          </cell>
        </row>
        <row r="9330">
          <cell r="J9330" t="str">
            <v>CARDS0180</v>
          </cell>
          <cell r="K9330" t="str">
            <v>Paid</v>
          </cell>
        </row>
        <row r="9331">
          <cell r="J9331" t="str">
            <v>CARDS0200</v>
          </cell>
          <cell r="K9331" t="str">
            <v>Paid</v>
          </cell>
        </row>
        <row r="9332">
          <cell r="J9332" t="str">
            <v>CARDS0221</v>
          </cell>
          <cell r="K9332" t="str">
            <v>Paid</v>
          </cell>
        </row>
        <row r="9333">
          <cell r="J9333" t="str">
            <v>CARDS0237</v>
          </cell>
          <cell r="K9333" t="str">
            <v>Waived Off</v>
          </cell>
        </row>
        <row r="9334">
          <cell r="J9334" t="str">
            <v>CARDS0254</v>
          </cell>
          <cell r="K9334" t="str">
            <v>Waived Off</v>
          </cell>
        </row>
        <row r="9335">
          <cell r="J9335" t="str">
            <v>CARDS0275</v>
          </cell>
          <cell r="K9335" t="str">
            <v>Waived Off</v>
          </cell>
        </row>
        <row r="9336">
          <cell r="J9336" t="str">
            <v>DNCARDS0015</v>
          </cell>
          <cell r="K9336" t="str">
            <v>Waived Off</v>
          </cell>
        </row>
        <row r="9337">
          <cell r="J9337" t="str">
            <v>CARDS0293</v>
          </cell>
          <cell r="K9337" t="str">
            <v>Waived Off</v>
          </cell>
        </row>
        <row r="9338">
          <cell r="J9338" t="str">
            <v>CARDS0311</v>
          </cell>
          <cell r="K9338" t="str">
            <v>Waived Off</v>
          </cell>
        </row>
        <row r="9339">
          <cell r="J9339" t="str">
            <v>CARDS0324</v>
          </cell>
          <cell r="K9339" t="str">
            <v>Waived Off</v>
          </cell>
        </row>
        <row r="9340">
          <cell r="J9340" t="str">
            <v>CARDS0337</v>
          </cell>
          <cell r="K9340" t="str">
            <v>Waived Off</v>
          </cell>
        </row>
        <row r="9341">
          <cell r="J9341" t="str">
            <v>INV-021122012000</v>
          </cell>
          <cell r="K9341" t="str">
            <v>Waived Off</v>
          </cell>
        </row>
        <row r="9342">
          <cell r="J9342" t="str">
            <v>INV-021222000336</v>
          </cell>
          <cell r="K9342" t="str">
            <v>Waived Off</v>
          </cell>
        </row>
        <row r="9343">
          <cell r="J9343" t="str">
            <v>INV-151222173838</v>
          </cell>
          <cell r="K9343" t="str">
            <v>Waived Off</v>
          </cell>
        </row>
        <row r="9344">
          <cell r="J9344" t="str">
            <v>INV-040123135037</v>
          </cell>
          <cell r="K9344" t="str">
            <v>Waived Off</v>
          </cell>
        </row>
        <row r="9345">
          <cell r="J9345" t="str">
            <v>DN-021122012000</v>
          </cell>
          <cell r="K9345" t="str">
            <v>Waived Off</v>
          </cell>
        </row>
        <row r="9346">
          <cell r="J9346" t="str">
            <v>DN-021222000336</v>
          </cell>
          <cell r="K9346" t="str">
            <v>Waived Off</v>
          </cell>
        </row>
        <row r="9347">
          <cell r="J9347" t="str">
            <v>DN-040123135037</v>
          </cell>
          <cell r="K9347" t="str">
            <v>Waived Off</v>
          </cell>
        </row>
        <row r="9348">
          <cell r="J9348" t="str">
            <v>DNCARDS0337</v>
          </cell>
          <cell r="K9348" t="str">
            <v>Waived Off</v>
          </cell>
        </row>
        <row r="9349">
          <cell r="J9349" t="str">
            <v>INV-020223014315</v>
          </cell>
          <cell r="K9349" t="str">
            <v>Waived Off</v>
          </cell>
        </row>
        <row r="9350">
          <cell r="J9350" t="str">
            <v>INV-020323004256</v>
          </cell>
          <cell r="K9350" t="str">
            <v>Waived Off</v>
          </cell>
        </row>
        <row r="9351">
          <cell r="J9351" t="str">
            <v>INV-030423155707</v>
          </cell>
          <cell r="K9351" t="str">
            <v>Waived Off</v>
          </cell>
        </row>
        <row r="9352">
          <cell r="J9352" t="str">
            <v>INV-020523182549</v>
          </cell>
          <cell r="K9352" t="str">
            <v>Waived Off</v>
          </cell>
        </row>
        <row r="9353">
          <cell r="J9353" t="str">
            <v>INV-190324160718</v>
          </cell>
          <cell r="K9353" t="str">
            <v>Paid</v>
          </cell>
        </row>
        <row r="9354">
          <cell r="J9354" t="str">
            <v>INV-040724182355</v>
          </cell>
          <cell r="K9354" t="str">
            <v>Paid</v>
          </cell>
        </row>
        <row r="9355">
          <cell r="J9355" t="str">
            <v>INV-041024153015</v>
          </cell>
          <cell r="K9355" t="str">
            <v>Paid</v>
          </cell>
        </row>
        <row r="9356">
          <cell r="J9356" t="str">
            <v>INV-050824173124</v>
          </cell>
          <cell r="K9356" t="str">
            <v>Paid</v>
          </cell>
        </row>
        <row r="9357">
          <cell r="J9357" t="str">
            <v>INV-050924115521</v>
          </cell>
          <cell r="K9357" t="str">
            <v>Paid</v>
          </cell>
        </row>
        <row r="9358">
          <cell r="J9358" t="str">
            <v>INV-061124133733</v>
          </cell>
          <cell r="K9358" t="str">
            <v>Paid</v>
          </cell>
        </row>
        <row r="9359">
          <cell r="J9359" t="str">
            <v>INV-041224164351</v>
          </cell>
          <cell r="K9359" t="str">
            <v>Paid</v>
          </cell>
        </row>
        <row r="9360">
          <cell r="J9360" t="str">
            <v>INV-060125155854</v>
          </cell>
          <cell r="K9360" t="str">
            <v>Paid</v>
          </cell>
        </row>
        <row r="9361">
          <cell r="J9361" t="str">
            <v>INV-050225165328</v>
          </cell>
          <cell r="K9361" t="str">
            <v>Paid</v>
          </cell>
        </row>
        <row r="9362">
          <cell r="J9362" t="str">
            <v>INV-050325113252</v>
          </cell>
          <cell r="K9362" t="str">
            <v>Paid</v>
          </cell>
        </row>
        <row r="9363">
          <cell r="J9363" t="str">
            <v>INV-030425174650</v>
          </cell>
          <cell r="K9363" t="str">
            <v>Paid</v>
          </cell>
        </row>
        <row r="9364">
          <cell r="J9364" t="str">
            <v>INV-050525163404</v>
          </cell>
          <cell r="K9364" t="str">
            <v>Paid</v>
          </cell>
        </row>
        <row r="9365">
          <cell r="J9365" t="str">
            <v>INV-040625181316</v>
          </cell>
          <cell r="K9365" t="str">
            <v>Paid</v>
          </cell>
        </row>
        <row r="9366">
          <cell r="J9366" t="str">
            <v>INV-030725184812</v>
          </cell>
          <cell r="K9366" t="str">
            <v>Paid</v>
          </cell>
        </row>
        <row r="9367">
          <cell r="J9367" t="str">
            <v>INV-050825110406</v>
          </cell>
          <cell r="K9367" t="str">
            <v>Paid</v>
          </cell>
        </row>
        <row r="9368">
          <cell r="J9368" t="str">
            <v>INV-020925174946</v>
          </cell>
          <cell r="K9368" t="str">
            <v>Paid</v>
          </cell>
        </row>
        <row r="9369">
          <cell r="J9369" t="str">
            <v>INV-021025162338</v>
          </cell>
          <cell r="K9369" t="str">
            <v>Paid</v>
          </cell>
        </row>
        <row r="9370">
          <cell r="J9370" t="str">
            <v>INV-071125112105</v>
          </cell>
          <cell r="K9370" t="str">
            <v>Paid</v>
          </cell>
        </row>
        <row r="9371">
          <cell r="J9371" t="str">
            <v>INV-031225110812</v>
          </cell>
          <cell r="K9371" t="str">
            <v>Paid</v>
          </cell>
        </row>
        <row r="9372">
          <cell r="J9372" t="str">
            <v>INV-060126113158</v>
          </cell>
          <cell r="K9372" t="str">
            <v>Paid</v>
          </cell>
        </row>
        <row r="9373">
          <cell r="J9373" t="str">
            <v>INV-040226151356</v>
          </cell>
          <cell r="K9373" t="str">
            <v>Paid</v>
          </cell>
        </row>
        <row r="9374">
          <cell r="J9374" t="str">
            <v>INV-040326163824</v>
          </cell>
          <cell r="K9374" t="str">
            <v>Paid</v>
          </cell>
        </row>
        <row r="9375">
          <cell r="J9375" t="str">
            <v>INV-030426160949</v>
          </cell>
          <cell r="K9375" t="str">
            <v>Paid</v>
          </cell>
        </row>
        <row r="9376">
          <cell r="J9376" t="str">
            <v>INV-040526184857</v>
          </cell>
          <cell r="K9376" t="str">
            <v>Paid</v>
          </cell>
        </row>
        <row r="9377">
          <cell r="J9377" t="str">
            <v>INV-030626220955</v>
          </cell>
          <cell r="K9377" t="str">
            <v>Paid</v>
          </cell>
        </row>
        <row r="9378">
          <cell r="J9378" t="str">
            <v>INV-031224180024</v>
          </cell>
          <cell r="K9378" t="str">
            <v>Paid</v>
          </cell>
        </row>
        <row r="9379">
          <cell r="J9379" t="str">
            <v>INV-040624161801</v>
          </cell>
          <cell r="K9379" t="str">
            <v>Paid</v>
          </cell>
        </row>
        <row r="9380">
          <cell r="J9380" t="str">
            <v>INV-040724134256</v>
          </cell>
          <cell r="K9380" t="str">
            <v>Paid</v>
          </cell>
        </row>
        <row r="9381">
          <cell r="J9381" t="str">
            <v>INV-040924165340</v>
          </cell>
          <cell r="K9381" t="str">
            <v>Paid</v>
          </cell>
        </row>
        <row r="9382">
          <cell r="J9382" t="str">
            <v>INV-060524123759</v>
          </cell>
          <cell r="K9382" t="str">
            <v>Paid</v>
          </cell>
        </row>
        <row r="9383">
          <cell r="J9383" t="str">
            <v>INV-050824105747</v>
          </cell>
          <cell r="K9383" t="str">
            <v>Paid</v>
          </cell>
        </row>
        <row r="9384">
          <cell r="J9384" t="str">
            <v>INV-061124171626</v>
          </cell>
          <cell r="K9384" t="str">
            <v>Paid</v>
          </cell>
        </row>
        <row r="9385">
          <cell r="J9385" t="str">
            <v>INV-071024122906</v>
          </cell>
          <cell r="K9385" t="str">
            <v>Paid</v>
          </cell>
        </row>
        <row r="9386">
          <cell r="J9386" t="str">
            <v>INV-060125110304</v>
          </cell>
          <cell r="K9386" t="str">
            <v>Paid</v>
          </cell>
        </row>
        <row r="9387">
          <cell r="J9387" t="str">
            <v>INV-050225105620</v>
          </cell>
          <cell r="K9387" t="str">
            <v>Paid</v>
          </cell>
        </row>
        <row r="9388">
          <cell r="J9388" t="str">
            <v>INV-040325163948</v>
          </cell>
          <cell r="K9388" t="str">
            <v>Paid</v>
          </cell>
        </row>
        <row r="9389">
          <cell r="J9389" t="str">
            <v>INV-020425181704</v>
          </cell>
          <cell r="K9389" t="str">
            <v>Paid</v>
          </cell>
        </row>
        <row r="9390">
          <cell r="J9390" t="str">
            <v>INV-050525134348</v>
          </cell>
          <cell r="K9390" t="str">
            <v>Paid</v>
          </cell>
        </row>
        <row r="9391">
          <cell r="J9391" t="str">
            <v>INV-040625174717</v>
          </cell>
          <cell r="K9391" t="str">
            <v>Paid</v>
          </cell>
        </row>
        <row r="9392">
          <cell r="J9392" t="str">
            <v>INV-030725142243</v>
          </cell>
          <cell r="K9392" t="str">
            <v>Paid</v>
          </cell>
        </row>
        <row r="9393">
          <cell r="J9393" t="str">
            <v>INV-040825125806</v>
          </cell>
          <cell r="K9393" t="str">
            <v>Paid</v>
          </cell>
        </row>
        <row r="9394">
          <cell r="J9394" t="str">
            <v>INV-020925134114</v>
          </cell>
          <cell r="K9394" t="str">
            <v>Paid</v>
          </cell>
        </row>
        <row r="9395">
          <cell r="J9395" t="str">
            <v>INV-021025123512</v>
          </cell>
          <cell r="K9395" t="str">
            <v>Paid</v>
          </cell>
        </row>
        <row r="9396">
          <cell r="J9396" t="str">
            <v>INV-031125194937</v>
          </cell>
          <cell r="K9396" t="str">
            <v>Paid</v>
          </cell>
        </row>
        <row r="9397">
          <cell r="J9397" t="str">
            <v>INV-021225135836</v>
          </cell>
          <cell r="K9397" t="str">
            <v>Paid</v>
          </cell>
        </row>
        <row r="9398">
          <cell r="J9398" t="str">
            <v>INV-020126130939</v>
          </cell>
          <cell r="K9398" t="str">
            <v>Paid</v>
          </cell>
        </row>
        <row r="9399">
          <cell r="J9399" t="str">
            <v>INV-020226172609</v>
          </cell>
          <cell r="K9399" t="str">
            <v>Paid</v>
          </cell>
        </row>
        <row r="9400">
          <cell r="J9400" t="str">
            <v>INV-020326182617</v>
          </cell>
          <cell r="K9400" t="str">
            <v>Paid</v>
          </cell>
        </row>
        <row r="9401">
          <cell r="J9401" t="str">
            <v>INV-010426144109</v>
          </cell>
          <cell r="K9401" t="str">
            <v>Paid</v>
          </cell>
        </row>
        <row r="9402">
          <cell r="J9402" t="str">
            <v>INV-040526103454</v>
          </cell>
          <cell r="K9402" t="str">
            <v>Paid</v>
          </cell>
        </row>
        <row r="9403">
          <cell r="J9403" t="str">
            <v>INV-010626164845</v>
          </cell>
          <cell r="K9403" t="str">
            <v>Paid</v>
          </cell>
        </row>
        <row r="9404">
          <cell r="J9404" t="str">
            <v>UKCARDS0004</v>
          </cell>
          <cell r="K9404" t="str">
            <v>Paid</v>
          </cell>
        </row>
        <row r="9405">
          <cell r="J9405" t="str">
            <v>EUCARDS0011</v>
          </cell>
          <cell r="K9405" t="str">
            <v>Waived Off</v>
          </cell>
        </row>
        <row r="9406">
          <cell r="J9406" t="str">
            <v>INV-050325125018</v>
          </cell>
          <cell r="K9406" t="str">
            <v>Paid</v>
          </cell>
        </row>
        <row r="9407">
          <cell r="J9407" t="str">
            <v>INV-020725181758</v>
          </cell>
          <cell r="K9407" t="str">
            <v>Paid</v>
          </cell>
        </row>
        <row r="9408">
          <cell r="J9408" t="str">
            <v>INV-110225103429</v>
          </cell>
          <cell r="K9408" t="str">
            <v>Paid</v>
          </cell>
        </row>
        <row r="9409">
          <cell r="J9409" t="str">
            <v>INV-110225110224</v>
          </cell>
          <cell r="K9409" t="str">
            <v>Paid</v>
          </cell>
        </row>
        <row r="9410">
          <cell r="J9410" t="str">
            <v>INV-050325123622</v>
          </cell>
          <cell r="K9410" t="str">
            <v>Paid</v>
          </cell>
        </row>
        <row r="9411">
          <cell r="J9411" t="str">
            <v>INV-110225104404</v>
          </cell>
          <cell r="K9411" t="str">
            <v>Paid</v>
          </cell>
        </row>
        <row r="9412">
          <cell r="J9412" t="str">
            <v>INV-290426194300</v>
          </cell>
          <cell r="K9412" t="str">
            <v>Paid</v>
          </cell>
        </row>
        <row r="9413">
          <cell r="J9413" t="str">
            <v>HKCARDS0048</v>
          </cell>
          <cell r="K9413" t="str">
            <v>Waived Off</v>
          </cell>
        </row>
        <row r="9414">
          <cell r="J9414" t="str">
            <v>HKCARDS0057</v>
          </cell>
          <cell r="K9414" t="str">
            <v>Waived Off</v>
          </cell>
        </row>
        <row r="9415">
          <cell r="J9415" t="str">
            <v>HKCARDS0066</v>
          </cell>
          <cell r="K9415" t="str">
            <v>Waived Off</v>
          </cell>
        </row>
        <row r="9416">
          <cell r="J9416" t="str">
            <v>HKCARDS0075</v>
          </cell>
          <cell r="K9416" t="str">
            <v>Waived Off</v>
          </cell>
        </row>
        <row r="9417">
          <cell r="J9417" t="str">
            <v>HKCARDS0093</v>
          </cell>
          <cell r="K9417" t="str">
            <v>Waived Off</v>
          </cell>
        </row>
        <row r="9418">
          <cell r="J9418" t="str">
            <v>HKCARDS0106</v>
          </cell>
          <cell r="K9418" t="str">
            <v>Waived Off</v>
          </cell>
        </row>
        <row r="9419">
          <cell r="J9419" t="str">
            <v>INV-030423001924</v>
          </cell>
          <cell r="K9419" t="str">
            <v>Waived Off</v>
          </cell>
        </row>
        <row r="9420">
          <cell r="J9420" t="str">
            <v>INV-170625170820</v>
          </cell>
          <cell r="K9420" t="str">
            <v>Paid</v>
          </cell>
        </row>
        <row r="9421">
          <cell r="J9421" t="str">
            <v>INV-060825130632</v>
          </cell>
          <cell r="K9421" t="str">
            <v>Paid</v>
          </cell>
        </row>
        <row r="9422">
          <cell r="J9422" t="str">
            <v>INV-030925160748</v>
          </cell>
          <cell r="K9422" t="str">
            <v>Paid</v>
          </cell>
        </row>
        <row r="9423">
          <cell r="J9423" t="str">
            <v>CN-INV-061025093259</v>
          </cell>
          <cell r="K9423" t="str">
            <v>Paid</v>
          </cell>
        </row>
        <row r="9424">
          <cell r="J9424" t="str">
            <v>CN-INV-051125105233</v>
          </cell>
          <cell r="K9424" t="str">
            <v>Paid</v>
          </cell>
        </row>
        <row r="9425">
          <cell r="J9425" t="str">
            <v>CN-INV-031225192101</v>
          </cell>
          <cell r="K9425" t="str">
            <v>Paid</v>
          </cell>
        </row>
        <row r="9426">
          <cell r="J9426" t="str">
            <v>CN-INV-050126163126</v>
          </cell>
          <cell r="K9426" t="str">
            <v>Paid</v>
          </cell>
        </row>
        <row r="9427">
          <cell r="J9427" t="str">
            <v>INV-060226200521</v>
          </cell>
          <cell r="K9427" t="str">
            <v>Paid</v>
          </cell>
        </row>
        <row r="9428">
          <cell r="J9428" t="str">
            <v>INV-060326180209</v>
          </cell>
          <cell r="K9428" t="str">
            <v>Paid</v>
          </cell>
        </row>
        <row r="9429">
          <cell r="J9429" t="str">
            <v>INV-030426202243</v>
          </cell>
          <cell r="K9429" t="str">
            <v>Paid</v>
          </cell>
        </row>
        <row r="9430">
          <cell r="J9430" t="str">
            <v>INV-050526183901</v>
          </cell>
          <cell r="K9430" t="str">
            <v>Paid</v>
          </cell>
        </row>
        <row r="9431">
          <cell r="J9431" t="str">
            <v>INV-040626115111</v>
          </cell>
          <cell r="K9431" t="str">
            <v>Paid</v>
          </cell>
        </row>
        <row r="9432">
          <cell r="J9432" t="str">
            <v>INV-160824134259</v>
          </cell>
          <cell r="K9432" t="str">
            <v>Paid</v>
          </cell>
        </row>
        <row r="9433">
          <cell r="J9433" t="str">
            <v>CARDS0040</v>
          </cell>
          <cell r="K9433" t="str">
            <v>Void</v>
          </cell>
        </row>
        <row r="9434">
          <cell r="J9434" t="str">
            <v>CARDS0132</v>
          </cell>
          <cell r="K9434" t="str">
            <v>Waived Off</v>
          </cell>
        </row>
        <row r="9435">
          <cell r="J9435" t="str">
            <v>HKCARDS0002</v>
          </cell>
          <cell r="K9435" t="str">
            <v>Paid</v>
          </cell>
        </row>
        <row r="9436">
          <cell r="J9436" t="str">
            <v>HKCARDS0005</v>
          </cell>
          <cell r="K9436" t="str">
            <v>Paid</v>
          </cell>
        </row>
        <row r="9437">
          <cell r="J9437" t="str">
            <v>HKCARDS0004</v>
          </cell>
          <cell r="K9437" t="str">
            <v>Paid</v>
          </cell>
        </row>
        <row r="9438">
          <cell r="J9438" t="str">
            <v>HKCARDS0003</v>
          </cell>
          <cell r="K9438" t="str">
            <v>Paid</v>
          </cell>
        </row>
        <row r="9439">
          <cell r="J9439" t="str">
            <v>INV-110526140220</v>
          </cell>
          <cell r="K9439" t="str">
            <v>Paid</v>
          </cell>
        </row>
        <row r="9440">
          <cell r="J9440" t="str">
            <v>INV-050626121629</v>
          </cell>
          <cell r="K9440" t="str">
            <v>Outstanding</v>
          </cell>
        </row>
        <row r="9441">
          <cell r="J9441" t="str">
            <v>INV2021-SSL-001</v>
          </cell>
          <cell r="K9441" t="str">
            <v>Waived Off</v>
          </cell>
        </row>
        <row r="9442">
          <cell r="J9442" t="str">
            <v>CARDS0025</v>
          </cell>
          <cell r="K9442" t="str">
            <v>Waived Off</v>
          </cell>
        </row>
        <row r="9443">
          <cell r="J9443" t="str">
            <v>CARDS0041</v>
          </cell>
          <cell r="K9443" t="str">
            <v>Waived Off</v>
          </cell>
        </row>
        <row r="9444">
          <cell r="J9444" t="str">
            <v>CARDS0001</v>
          </cell>
          <cell r="K9444" t="str">
            <v>Paid</v>
          </cell>
        </row>
        <row r="9445">
          <cell r="J9445" t="str">
            <v>CARDS0011</v>
          </cell>
          <cell r="K9445" t="str">
            <v>Paid</v>
          </cell>
        </row>
        <row r="9446">
          <cell r="J9446" t="str">
            <v>CARDS0013</v>
          </cell>
          <cell r="K9446" t="str">
            <v>Paid</v>
          </cell>
        </row>
        <row r="9447">
          <cell r="J9447" t="str">
            <v>CARDS0027</v>
          </cell>
          <cell r="K9447" t="str">
            <v>Paid</v>
          </cell>
        </row>
        <row r="9448">
          <cell r="J9448" t="str">
            <v>CARDS0042</v>
          </cell>
          <cell r="K9448" t="str">
            <v>Paid</v>
          </cell>
        </row>
        <row r="9449">
          <cell r="J9449" t="str">
            <v>CARDS0066</v>
          </cell>
          <cell r="K9449" t="str">
            <v>Paid</v>
          </cell>
        </row>
        <row r="9450">
          <cell r="J9450" t="str">
            <v>CARDS0079</v>
          </cell>
          <cell r="K9450" t="str">
            <v>Paid</v>
          </cell>
        </row>
        <row r="9451">
          <cell r="J9451" t="str">
            <v>CARDS0096</v>
          </cell>
          <cell r="K9451" t="str">
            <v>Paid</v>
          </cell>
        </row>
        <row r="9452">
          <cell r="J9452" t="str">
            <v>CARDS0115</v>
          </cell>
          <cell r="K9452" t="str">
            <v>Paid</v>
          </cell>
        </row>
        <row r="9453">
          <cell r="J9453" t="str">
            <v>CARDS0133</v>
          </cell>
          <cell r="K9453" t="str">
            <v>Paid</v>
          </cell>
        </row>
        <row r="9454">
          <cell r="J9454" t="str">
            <v>CARDS0153</v>
          </cell>
          <cell r="K9454" t="str">
            <v>Paid</v>
          </cell>
        </row>
        <row r="9455">
          <cell r="J9455" t="str">
            <v>CARDS0169</v>
          </cell>
          <cell r="K9455" t="str">
            <v>Paid</v>
          </cell>
        </row>
        <row r="9456">
          <cell r="J9456" t="str">
            <v>CARDS0191</v>
          </cell>
          <cell r="K9456" t="str">
            <v>Paid</v>
          </cell>
        </row>
        <row r="9457">
          <cell r="J9457" t="str">
            <v>CARDS0211</v>
          </cell>
          <cell r="K9457" t="str">
            <v>Paid</v>
          </cell>
        </row>
        <row r="9458">
          <cell r="J9458" t="str">
            <v>CARDS0228</v>
          </cell>
          <cell r="K9458" t="str">
            <v>Paid</v>
          </cell>
        </row>
        <row r="9459">
          <cell r="J9459" t="str">
            <v>CARDS0245</v>
          </cell>
          <cell r="K9459" t="str">
            <v>Paid</v>
          </cell>
        </row>
        <row r="9460">
          <cell r="J9460" t="str">
            <v>CARDS0266</v>
          </cell>
          <cell r="K9460" t="str">
            <v>Paid</v>
          </cell>
        </row>
        <row r="9461">
          <cell r="J9461" t="str">
            <v>CARDS0284</v>
          </cell>
          <cell r="K9461" t="str">
            <v>Paid</v>
          </cell>
        </row>
        <row r="9462">
          <cell r="J9462" t="str">
            <v>CARDS0302</v>
          </cell>
          <cell r="K9462" t="str">
            <v>Paid</v>
          </cell>
        </row>
        <row r="9463">
          <cell r="J9463" t="str">
            <v>CARDS0316</v>
          </cell>
          <cell r="K9463" t="str">
            <v>Paid</v>
          </cell>
        </row>
        <row r="9464">
          <cell r="J9464" t="str">
            <v>CARDS00328</v>
          </cell>
          <cell r="K9464" t="str">
            <v>Paid</v>
          </cell>
        </row>
        <row r="9465">
          <cell r="J9465" t="str">
            <v>CARDS0341</v>
          </cell>
          <cell r="K9465" t="str">
            <v>Paid</v>
          </cell>
        </row>
        <row r="9466">
          <cell r="J9466" t="str">
            <v>INV-081122135209</v>
          </cell>
          <cell r="K9466" t="str">
            <v>Paid</v>
          </cell>
        </row>
        <row r="9467">
          <cell r="J9467" t="str">
            <v>CN-081122135209</v>
          </cell>
          <cell r="K9467" t="str">
            <v>Paid</v>
          </cell>
        </row>
        <row r="9468">
          <cell r="J9468" t="str">
            <v>INV-071222231109</v>
          </cell>
          <cell r="K9468" t="str">
            <v>Paid</v>
          </cell>
        </row>
        <row r="9469">
          <cell r="J9469" t="str">
            <v>INV-060123174923</v>
          </cell>
          <cell r="K9469" t="str">
            <v>Paid</v>
          </cell>
        </row>
        <row r="9470">
          <cell r="J9470" t="str">
            <v>INV-060223155329</v>
          </cell>
          <cell r="K9470" t="str">
            <v>Paid</v>
          </cell>
        </row>
        <row r="9471">
          <cell r="J9471" t="str">
            <v>INV-070323180242</v>
          </cell>
          <cell r="K9471" t="str">
            <v>Paid</v>
          </cell>
        </row>
        <row r="9472">
          <cell r="J9472" t="str">
            <v>INV-060423175625</v>
          </cell>
          <cell r="K9472" t="str">
            <v>Paid</v>
          </cell>
        </row>
        <row r="9473">
          <cell r="J9473" t="str">
            <v>INV-040523160159</v>
          </cell>
          <cell r="K9473" t="str">
            <v>Paid</v>
          </cell>
        </row>
        <row r="9474">
          <cell r="J9474" t="str">
            <v>INV-051023152827</v>
          </cell>
          <cell r="K9474" t="str">
            <v>Paid</v>
          </cell>
        </row>
        <row r="9475">
          <cell r="J9475" t="str">
            <v>INV-060623150803</v>
          </cell>
          <cell r="K9475" t="str">
            <v>Paid</v>
          </cell>
        </row>
        <row r="9476">
          <cell r="J9476" t="str">
            <v>INV-060923125520</v>
          </cell>
          <cell r="K9476" t="str">
            <v>Paid</v>
          </cell>
        </row>
        <row r="9477">
          <cell r="J9477" t="str">
            <v>INV-060723154152</v>
          </cell>
          <cell r="K9477" t="str">
            <v>Paid</v>
          </cell>
        </row>
        <row r="9478">
          <cell r="J9478" t="str">
            <v>INV-040823170718</v>
          </cell>
          <cell r="K9478" t="str">
            <v>Paid</v>
          </cell>
        </row>
        <row r="9479">
          <cell r="J9479" t="str">
            <v>INV-081223142159</v>
          </cell>
          <cell r="K9479" t="str">
            <v>Paid</v>
          </cell>
        </row>
        <row r="9480">
          <cell r="J9480" t="str">
            <v>INV-101123093542</v>
          </cell>
          <cell r="K9480" t="str">
            <v>Paid</v>
          </cell>
        </row>
        <row r="9481">
          <cell r="J9481" t="str">
            <v>INV-050124192800</v>
          </cell>
          <cell r="K9481" t="str">
            <v>Paid</v>
          </cell>
        </row>
        <row r="9482">
          <cell r="J9482" t="str">
            <v>INV-090224130015</v>
          </cell>
          <cell r="K9482" t="str">
            <v>Paid</v>
          </cell>
        </row>
        <row r="9483">
          <cell r="J9483" t="str">
            <v>INV-070324174259</v>
          </cell>
          <cell r="K9483" t="str">
            <v>Paid</v>
          </cell>
        </row>
        <row r="9484">
          <cell r="J9484" t="str">
            <v>INV-050424194725</v>
          </cell>
          <cell r="K9484" t="str">
            <v>Paid</v>
          </cell>
        </row>
        <row r="9485">
          <cell r="J9485" t="str">
            <v>INV-070524102550</v>
          </cell>
          <cell r="K9485" t="str">
            <v>Paid</v>
          </cell>
        </row>
        <row r="9486">
          <cell r="J9486" t="str">
            <v>INV-050724140857</v>
          </cell>
          <cell r="K9486" t="str">
            <v>Paid</v>
          </cell>
        </row>
        <row r="9487">
          <cell r="J9487" t="str">
            <v>INV-060624175032</v>
          </cell>
          <cell r="K9487" t="str">
            <v>Paid</v>
          </cell>
        </row>
        <row r="9488">
          <cell r="J9488" t="str">
            <v>INV-070824110024</v>
          </cell>
          <cell r="K9488" t="str">
            <v>Paid</v>
          </cell>
        </row>
        <row r="9489">
          <cell r="J9489" t="str">
            <v>INV-090924160513</v>
          </cell>
          <cell r="K9489" t="str">
            <v>Paid</v>
          </cell>
        </row>
        <row r="9490">
          <cell r="J9490" t="str">
            <v>INV-091024155707</v>
          </cell>
          <cell r="K9490" t="str">
            <v>Paid</v>
          </cell>
        </row>
        <row r="9491">
          <cell r="J9491" t="str">
            <v>INV-111124151803</v>
          </cell>
          <cell r="K9491" t="str">
            <v>Paid</v>
          </cell>
        </row>
        <row r="9492">
          <cell r="J9492" t="str">
            <v>INV-111224114605</v>
          </cell>
          <cell r="K9492" t="str">
            <v>Paid</v>
          </cell>
        </row>
        <row r="9493">
          <cell r="J9493" t="str">
            <v>INV-080125174254</v>
          </cell>
          <cell r="K9493" t="str">
            <v>Paid</v>
          </cell>
        </row>
        <row r="9494">
          <cell r="J9494" t="str">
            <v>INV-100225104824</v>
          </cell>
          <cell r="K9494" t="str">
            <v>Paid</v>
          </cell>
        </row>
        <row r="9495">
          <cell r="J9495" t="str">
            <v>INV-060325153443</v>
          </cell>
          <cell r="K9495" t="str">
            <v>Paid</v>
          </cell>
        </row>
        <row r="9496">
          <cell r="J9496" t="str">
            <v>INV-040425180950</v>
          </cell>
          <cell r="K9496" t="str">
            <v>Paid</v>
          </cell>
        </row>
        <row r="9497">
          <cell r="J9497" t="str">
            <v>INV-060525162437</v>
          </cell>
          <cell r="K9497" t="str">
            <v>Paid</v>
          </cell>
        </row>
        <row r="9498">
          <cell r="J9498" t="str">
            <v>INV-060625113053</v>
          </cell>
          <cell r="K9498" t="str">
            <v>Paid</v>
          </cell>
        </row>
        <row r="9499">
          <cell r="J9499" t="str">
            <v>INV-070725171606</v>
          </cell>
          <cell r="K9499" t="str">
            <v>Paid</v>
          </cell>
        </row>
        <row r="9500">
          <cell r="J9500" t="str">
            <v>INV-060825151006</v>
          </cell>
          <cell r="K9500" t="str">
            <v>Paid</v>
          </cell>
        </row>
        <row r="9501">
          <cell r="J9501" t="str">
            <v>INV-050925150833</v>
          </cell>
          <cell r="K9501" t="str">
            <v>Paid</v>
          </cell>
        </row>
        <row r="9502">
          <cell r="J9502" t="str">
            <v>INV-071025094901</v>
          </cell>
          <cell r="K9502" t="str">
            <v>Paid</v>
          </cell>
        </row>
        <row r="9503">
          <cell r="J9503" t="str">
            <v>INV-071125125643</v>
          </cell>
          <cell r="K9503" t="str">
            <v>Paid</v>
          </cell>
        </row>
        <row r="9504">
          <cell r="J9504" t="str">
            <v>INV-051225105547</v>
          </cell>
          <cell r="K9504" t="str">
            <v>Paid</v>
          </cell>
        </row>
        <row r="9505">
          <cell r="J9505" t="str">
            <v>INV-070126100548</v>
          </cell>
          <cell r="K9505" t="str">
            <v>Paid</v>
          </cell>
        </row>
        <row r="9506">
          <cell r="J9506" t="str">
            <v>INV-090226133228</v>
          </cell>
          <cell r="K9506" t="str">
            <v>Paid</v>
          </cell>
        </row>
        <row r="9507">
          <cell r="J9507" t="str">
            <v>INV-050326125758</v>
          </cell>
          <cell r="K9507" t="str">
            <v>Paid</v>
          </cell>
        </row>
        <row r="9508">
          <cell r="J9508" t="str">
            <v>INV-060426180141</v>
          </cell>
          <cell r="K9508" t="str">
            <v>Paid</v>
          </cell>
        </row>
        <row r="9509">
          <cell r="J9509" t="str">
            <v>INV-080526104631</v>
          </cell>
          <cell r="K9509" t="str">
            <v>Paid</v>
          </cell>
        </row>
        <row r="9510">
          <cell r="J9510" t="str">
            <v>INV-050626110236</v>
          </cell>
          <cell r="K9510" t="str">
            <v>Paid</v>
          </cell>
        </row>
        <row r="9511">
          <cell r="J9511" t="str">
            <v>CARDS0152</v>
          </cell>
          <cell r="K9511" t="str">
            <v>Paid</v>
          </cell>
        </row>
        <row r="9512">
          <cell r="J9512" t="str">
            <v>CARDS0343</v>
          </cell>
          <cell r="K9512" t="str">
            <v>Paid</v>
          </cell>
        </row>
        <row r="9513">
          <cell r="J9513" t="str">
            <v>INV-021122175341</v>
          </cell>
          <cell r="K9513" t="str">
            <v>Paid</v>
          </cell>
        </row>
        <row r="9514">
          <cell r="J9514" t="str">
            <v xml:space="preserve">INV-021222192111 </v>
          </cell>
          <cell r="K9514" t="str">
            <v>Paid</v>
          </cell>
        </row>
        <row r="9515">
          <cell r="J9515" t="str">
            <v>INV-040123133627</v>
          </cell>
          <cell r="K9515" t="str">
            <v>Paid</v>
          </cell>
        </row>
        <row r="9516">
          <cell r="J9516" t="str">
            <v>INV-020223033415</v>
          </cell>
          <cell r="K9516" t="str">
            <v>Paid</v>
          </cell>
        </row>
        <row r="9517">
          <cell r="J9517" t="str">
            <v>INV-020323023626</v>
          </cell>
          <cell r="K9517" t="str">
            <v>Paid</v>
          </cell>
        </row>
        <row r="9518">
          <cell r="J9518" t="str">
            <v>INV-031123145101</v>
          </cell>
          <cell r="K9518" t="str">
            <v>Paid</v>
          </cell>
        </row>
        <row r="9519">
          <cell r="J9519" t="str">
            <v>INV-020423213715</v>
          </cell>
          <cell r="K9519" t="str">
            <v>Paid</v>
          </cell>
        </row>
        <row r="9520">
          <cell r="J9520" t="str">
            <v>INV-040923161244</v>
          </cell>
          <cell r="K9520" t="str">
            <v>Paid</v>
          </cell>
        </row>
        <row r="9521">
          <cell r="J9521" t="str">
            <v>INV-041223150632</v>
          </cell>
          <cell r="K9521" t="str">
            <v>Paid</v>
          </cell>
        </row>
        <row r="9522">
          <cell r="J9522" t="str">
            <v>INV-030523031344</v>
          </cell>
          <cell r="K9522" t="str">
            <v>Paid</v>
          </cell>
        </row>
        <row r="9523">
          <cell r="J9523" t="str">
            <v>INV-051023105542</v>
          </cell>
          <cell r="K9523" t="str">
            <v>Paid</v>
          </cell>
        </row>
        <row r="9524">
          <cell r="J9524" t="str">
            <v>INV-050623173322</v>
          </cell>
          <cell r="K9524" t="str">
            <v>Paid</v>
          </cell>
        </row>
        <row r="9525">
          <cell r="J9525" t="str">
            <v>INV-030723173225</v>
          </cell>
          <cell r="K9525" t="str">
            <v>Paid</v>
          </cell>
        </row>
        <row r="9526">
          <cell r="J9526" t="str">
            <v>INV-020823144941</v>
          </cell>
          <cell r="K9526" t="str">
            <v>Paid</v>
          </cell>
        </row>
        <row r="9527">
          <cell r="J9527" t="str">
            <v>INV-040124161613</v>
          </cell>
          <cell r="K9527" t="str">
            <v>Paid</v>
          </cell>
        </row>
        <row r="9528">
          <cell r="J9528" t="str">
            <v>INV-050224174844</v>
          </cell>
          <cell r="K9528" t="str">
            <v>Paid</v>
          </cell>
        </row>
        <row r="9529">
          <cell r="J9529" t="str">
            <v>INV-050324122632</v>
          </cell>
          <cell r="K9529" t="str">
            <v>Paid</v>
          </cell>
        </row>
        <row r="9530">
          <cell r="J9530" t="str">
            <v>INV-030524164601</v>
          </cell>
          <cell r="K9530" t="str">
            <v>Paid</v>
          </cell>
        </row>
        <row r="9531">
          <cell r="J9531" t="str">
            <v>INV-040424154342</v>
          </cell>
          <cell r="K9531" t="str">
            <v>Paid</v>
          </cell>
        </row>
        <row r="9532">
          <cell r="J9532" t="str">
            <v>INV-040624172547</v>
          </cell>
          <cell r="K9532" t="str">
            <v>Paid</v>
          </cell>
        </row>
        <row r="9533">
          <cell r="J9533" t="str">
            <v>INV-040724175622</v>
          </cell>
          <cell r="K9533" t="str">
            <v>Paid</v>
          </cell>
        </row>
        <row r="9534">
          <cell r="J9534" t="str">
            <v>INV-050824133132</v>
          </cell>
          <cell r="K9534" t="str">
            <v>Paid</v>
          </cell>
        </row>
        <row r="9535">
          <cell r="J9535" t="str">
            <v>INV-050924160431</v>
          </cell>
          <cell r="K9535" t="str">
            <v>Paid</v>
          </cell>
        </row>
        <row r="9536">
          <cell r="J9536" t="str">
            <v>INV-071124093829</v>
          </cell>
          <cell r="K9536" t="str">
            <v>Paid</v>
          </cell>
        </row>
        <row r="9537">
          <cell r="J9537" t="str">
            <v>INV-081024093331</v>
          </cell>
          <cell r="K9537" t="str">
            <v>Paid</v>
          </cell>
        </row>
        <row r="9538">
          <cell r="J9538" t="str">
            <v>INV-061224104210</v>
          </cell>
          <cell r="K9538" t="str">
            <v>Paid</v>
          </cell>
        </row>
        <row r="9539">
          <cell r="J9539" t="str">
            <v>INV-070125120750</v>
          </cell>
          <cell r="K9539" t="str">
            <v>Paid</v>
          </cell>
        </row>
        <row r="9540">
          <cell r="J9540" t="str">
            <v>INV-060225130028</v>
          </cell>
          <cell r="K9540" t="str">
            <v>Paid</v>
          </cell>
        </row>
        <row r="9541">
          <cell r="J9541" t="str">
            <v>INV-050325163657</v>
          </cell>
          <cell r="K9541" t="str">
            <v>Paid</v>
          </cell>
        </row>
        <row r="9542">
          <cell r="J9542" t="str">
            <v>INV-030425175354</v>
          </cell>
          <cell r="K9542" t="str">
            <v>Paid</v>
          </cell>
        </row>
        <row r="9543">
          <cell r="J9543" t="str">
            <v>INV-060525095720</v>
          </cell>
          <cell r="K9543" t="str">
            <v>Paid</v>
          </cell>
        </row>
        <row r="9544">
          <cell r="J9544" t="str">
            <v>INV-060625115531</v>
          </cell>
          <cell r="K9544" t="str">
            <v>Paid</v>
          </cell>
        </row>
        <row r="9545">
          <cell r="J9545" t="str">
            <v>INV-040725125246</v>
          </cell>
          <cell r="K9545" t="str">
            <v>Paid</v>
          </cell>
        </row>
        <row r="9546">
          <cell r="J9546" t="str">
            <v>INV-060825111516</v>
          </cell>
          <cell r="K9546" t="str">
            <v>Paid</v>
          </cell>
        </row>
        <row r="9547">
          <cell r="J9547" t="str">
            <v>INV-030925170853</v>
          </cell>
          <cell r="K9547" t="str">
            <v>Paid</v>
          </cell>
        </row>
        <row r="9548">
          <cell r="J9548" t="str">
            <v>INV-061025141147</v>
          </cell>
          <cell r="K9548" t="str">
            <v>Paid</v>
          </cell>
        </row>
        <row r="9549">
          <cell r="J9549" t="str">
            <v>INV-061125105826</v>
          </cell>
          <cell r="K9549" t="str">
            <v>Paid</v>
          </cell>
        </row>
        <row r="9550">
          <cell r="J9550" t="str">
            <v>INV-041225145853</v>
          </cell>
          <cell r="K9550" t="str">
            <v>Paid</v>
          </cell>
        </row>
        <row r="9551">
          <cell r="J9551" t="str">
            <v>INV-060126161432</v>
          </cell>
          <cell r="K9551" t="str">
            <v>Paid</v>
          </cell>
        </row>
        <row r="9552">
          <cell r="J9552" t="str">
            <v>INV-060226182959</v>
          </cell>
          <cell r="K9552" t="str">
            <v>Paid</v>
          </cell>
        </row>
        <row r="9553">
          <cell r="J9553" t="str">
            <v>INV-050326122415</v>
          </cell>
          <cell r="K9553" t="str">
            <v>Paid</v>
          </cell>
        </row>
        <row r="9554">
          <cell r="J9554" t="str">
            <v>INV-030426171345</v>
          </cell>
          <cell r="K9554" t="str">
            <v>Paid</v>
          </cell>
        </row>
        <row r="9555">
          <cell r="J9555" t="str">
            <v>INV-070526115522</v>
          </cell>
          <cell r="K9555" t="str">
            <v>Paid</v>
          </cell>
        </row>
        <row r="9556">
          <cell r="J9556" t="str">
            <v>INV-030626161529</v>
          </cell>
          <cell r="K9556" t="str">
            <v>Paid</v>
          </cell>
        </row>
        <row r="9557">
          <cell r="J9557" t="str">
            <v>CARDS0060</v>
          </cell>
          <cell r="K9557" t="str">
            <v>Waived Off</v>
          </cell>
        </row>
        <row r="9558">
          <cell r="J9558" t="str">
            <v>INV-170823170000</v>
          </cell>
          <cell r="K9558" t="str">
            <v>Paid</v>
          </cell>
        </row>
        <row r="9559">
          <cell r="J9559" t="str">
            <v>INV-090124114826</v>
          </cell>
          <cell r="K9559" t="str">
            <v>Paid</v>
          </cell>
        </row>
        <row r="9560">
          <cell r="J9560" t="str">
            <v>INV-070224154503</v>
          </cell>
          <cell r="K9560" t="str">
            <v>Paid</v>
          </cell>
        </row>
        <row r="9561">
          <cell r="J9561" t="str">
            <v>INV-120324183340</v>
          </cell>
          <cell r="K9561" t="str">
            <v>Paid</v>
          </cell>
        </row>
        <row r="9562">
          <cell r="J9562" t="str">
            <v>INV-080424081634</v>
          </cell>
          <cell r="K9562" t="str">
            <v>Paid</v>
          </cell>
        </row>
        <row r="9563">
          <cell r="J9563" t="str">
            <v>INV-050724154913</v>
          </cell>
          <cell r="K9563" t="str">
            <v>Paid</v>
          </cell>
        </row>
        <row r="9564">
          <cell r="J9564" t="str">
            <v>INV-080524091543</v>
          </cell>
          <cell r="K9564" t="str">
            <v>Paid</v>
          </cell>
        </row>
        <row r="9565">
          <cell r="J9565" t="str">
            <v>INV-060624170150</v>
          </cell>
          <cell r="K9565" t="str">
            <v>Paid</v>
          </cell>
        </row>
        <row r="9566">
          <cell r="J9566" t="str">
            <v>INV-070824112940</v>
          </cell>
          <cell r="K9566" t="str">
            <v>Paid</v>
          </cell>
        </row>
        <row r="9567">
          <cell r="J9567" t="str">
            <v>INV-090924174952</v>
          </cell>
          <cell r="K9567" t="str">
            <v>Paid</v>
          </cell>
        </row>
        <row r="9568">
          <cell r="J9568" t="str">
            <v>INV-091224170809</v>
          </cell>
          <cell r="K9568" t="str">
            <v>Paid</v>
          </cell>
        </row>
        <row r="9569">
          <cell r="J9569" t="str">
            <v>INV-091024133116</v>
          </cell>
          <cell r="K9569" t="str">
            <v>Paid</v>
          </cell>
        </row>
        <row r="9570">
          <cell r="J9570" t="str">
            <v>INV-111124140625</v>
          </cell>
          <cell r="K9570" t="str">
            <v>Paid</v>
          </cell>
        </row>
        <row r="9571">
          <cell r="J9571" t="str">
            <v>INV-090125123230</v>
          </cell>
          <cell r="K9571" t="str">
            <v>Paid</v>
          </cell>
        </row>
        <row r="9572">
          <cell r="J9572" t="str">
            <v>INV-070225170951</v>
          </cell>
          <cell r="K9572" t="str">
            <v>Paid</v>
          </cell>
        </row>
        <row r="9573">
          <cell r="J9573" t="str">
            <v>INV-070325135336</v>
          </cell>
          <cell r="K9573" t="str">
            <v>Paid</v>
          </cell>
        </row>
        <row r="9574">
          <cell r="J9574" t="str">
            <v>INV-040425185112</v>
          </cell>
          <cell r="K9574" t="str">
            <v>Paid</v>
          </cell>
        </row>
        <row r="9575">
          <cell r="J9575" t="str">
            <v>INV-070525103818</v>
          </cell>
          <cell r="K9575" t="str">
            <v>Paid</v>
          </cell>
        </row>
        <row r="9576">
          <cell r="J9576" t="str">
            <v>INV-050625203119</v>
          </cell>
          <cell r="K9576" t="str">
            <v>Paid</v>
          </cell>
        </row>
        <row r="9577">
          <cell r="J9577" t="str">
            <v>INV-060625122050</v>
          </cell>
          <cell r="K9577" t="str">
            <v>Paid</v>
          </cell>
        </row>
        <row r="9578">
          <cell r="J9578" t="str">
            <v>INV-070725132423</v>
          </cell>
          <cell r="K9578" t="str">
            <v>Paid</v>
          </cell>
        </row>
        <row r="9579">
          <cell r="J9579" t="str">
            <v>INV-060825184022</v>
          </cell>
          <cell r="K9579" t="str">
            <v>Paid</v>
          </cell>
        </row>
        <row r="9580">
          <cell r="J9580" t="str">
            <v>INV-050925121725</v>
          </cell>
          <cell r="K9580" t="str">
            <v>Paid</v>
          </cell>
        </row>
        <row r="9581">
          <cell r="J9581" t="str">
            <v>INV-061025172709</v>
          </cell>
          <cell r="K9581" t="str">
            <v>Paid</v>
          </cell>
        </row>
        <row r="9582">
          <cell r="J9582" t="str">
            <v>INV-071125121835</v>
          </cell>
          <cell r="K9582" t="str">
            <v>Paid</v>
          </cell>
        </row>
        <row r="9583">
          <cell r="J9583" t="str">
            <v>INV-051225105751</v>
          </cell>
          <cell r="K9583" t="str">
            <v>Paid</v>
          </cell>
        </row>
        <row r="9584">
          <cell r="J9584" t="str">
            <v>INV-070126115916</v>
          </cell>
          <cell r="K9584" t="str">
            <v>Paid</v>
          </cell>
        </row>
        <row r="9585">
          <cell r="J9585" t="str">
            <v>INV-070226215935</v>
          </cell>
          <cell r="K9585" t="str">
            <v>Paid</v>
          </cell>
        </row>
        <row r="9586">
          <cell r="J9586" t="str">
            <v>INV-060326131619</v>
          </cell>
          <cell r="K9586" t="str">
            <v>Paid</v>
          </cell>
        </row>
        <row r="9587">
          <cell r="J9587" t="str">
            <v>INV-060426154204</v>
          </cell>
          <cell r="K9587" t="str">
            <v>Paid</v>
          </cell>
        </row>
        <row r="9588">
          <cell r="J9588" t="str">
            <v>INV-070526130227</v>
          </cell>
          <cell r="K9588" t="str">
            <v>Paid</v>
          </cell>
        </row>
        <row r="9589">
          <cell r="J9589" t="str">
            <v>INV-050626143934</v>
          </cell>
          <cell r="K9589" t="str">
            <v>Paid</v>
          </cell>
        </row>
        <row r="9590">
          <cell r="J9590" t="str">
            <v>INV-071025104423</v>
          </cell>
          <cell r="K9590" t="str">
            <v>Paid</v>
          </cell>
        </row>
        <row r="9591">
          <cell r="J9591" t="str">
            <v>INV-071125151821</v>
          </cell>
          <cell r="K9591" t="str">
            <v>Paid</v>
          </cell>
        </row>
        <row r="9592">
          <cell r="J9592" t="str">
            <v>INV-051225113426</v>
          </cell>
          <cell r="K9592" t="str">
            <v>Paid</v>
          </cell>
        </row>
        <row r="9593">
          <cell r="J9593" t="str">
            <v>INV-070126151406</v>
          </cell>
          <cell r="K9593" t="str">
            <v>Paid</v>
          </cell>
        </row>
        <row r="9594">
          <cell r="J9594" t="str">
            <v>INV-100226170854</v>
          </cell>
          <cell r="K9594" t="str">
            <v>Paid</v>
          </cell>
        </row>
        <row r="9595">
          <cell r="J9595" t="str">
            <v>AUCARDS0010</v>
          </cell>
          <cell r="K9595" t="str">
            <v>Paid</v>
          </cell>
        </row>
        <row r="9596">
          <cell r="J9596" t="str">
            <v>INV2022-SORBET-001</v>
          </cell>
          <cell r="K9596" t="str">
            <v>Paid</v>
          </cell>
        </row>
        <row r="9597">
          <cell r="J9597" t="str">
            <v>INV2022-SORBET-002</v>
          </cell>
          <cell r="K9597" t="str">
            <v>Paid</v>
          </cell>
        </row>
        <row r="9598">
          <cell r="J9598" t="str">
            <v>AUCARDS0035</v>
          </cell>
          <cell r="K9598" t="str">
            <v>Waived Off</v>
          </cell>
        </row>
        <row r="9599">
          <cell r="J9599" t="str">
            <v>AUCARDS0040</v>
          </cell>
          <cell r="K9599" t="str">
            <v>Waived Off</v>
          </cell>
        </row>
        <row r="9600">
          <cell r="J9600" t="str">
            <v>INV2023-SPNF-001</v>
          </cell>
          <cell r="K9600" t="str">
            <v>Paid</v>
          </cell>
        </row>
        <row r="9601">
          <cell r="J9601" t="str">
            <v>INV2023-SPNF-002</v>
          </cell>
          <cell r="K9601" t="str">
            <v>Paid</v>
          </cell>
        </row>
        <row r="9602">
          <cell r="J9602" t="str">
            <v>CN-INV2023-SPNF-002</v>
          </cell>
          <cell r="K9602" t="str">
            <v>Paid</v>
          </cell>
        </row>
        <row r="9603">
          <cell r="J9603" t="str">
            <v>INV2021-SPD-001</v>
          </cell>
          <cell r="K9603" t="str">
            <v>Paid</v>
          </cell>
        </row>
        <row r="9604">
          <cell r="J9604" t="str">
            <v>INV-031123155741</v>
          </cell>
          <cell r="K9604" t="str">
            <v>Paid</v>
          </cell>
        </row>
        <row r="9605">
          <cell r="J9605" t="str">
            <v>INV-041223131522</v>
          </cell>
          <cell r="K9605" t="str">
            <v>Paid</v>
          </cell>
        </row>
        <row r="9606">
          <cell r="J9606" t="str">
            <v>INV-050923154832</v>
          </cell>
          <cell r="K9606" t="str">
            <v>Paid</v>
          </cell>
        </row>
        <row r="9607">
          <cell r="J9607" t="str">
            <v>INV-051023161248</v>
          </cell>
          <cell r="K9607" t="str">
            <v>Paid</v>
          </cell>
        </row>
        <row r="9608">
          <cell r="J9608" t="str">
            <v>INV-040823140326</v>
          </cell>
          <cell r="K9608" t="str">
            <v>Paid</v>
          </cell>
        </row>
        <row r="9609">
          <cell r="J9609" t="str">
            <v>INV-040124130744</v>
          </cell>
          <cell r="K9609" t="str">
            <v>Paid</v>
          </cell>
        </row>
        <row r="9610">
          <cell r="J9610" t="str">
            <v>INV-050224154847</v>
          </cell>
          <cell r="K9610" t="str">
            <v>Paid</v>
          </cell>
        </row>
        <row r="9611">
          <cell r="J9611" t="str">
            <v>INV-020824171522</v>
          </cell>
          <cell r="K9611" t="str">
            <v>Paid</v>
          </cell>
        </row>
        <row r="9612">
          <cell r="J9612" t="str">
            <v>INV-030424163550</v>
          </cell>
          <cell r="K9612" t="str">
            <v>Paid</v>
          </cell>
        </row>
        <row r="9613">
          <cell r="J9613" t="str">
            <v>INV-050324111446</v>
          </cell>
          <cell r="K9613" t="str">
            <v>Paid</v>
          </cell>
        </row>
        <row r="9614">
          <cell r="J9614" t="str">
            <v>INV-030524102832</v>
          </cell>
          <cell r="K9614" t="str">
            <v>Paid</v>
          </cell>
        </row>
        <row r="9615">
          <cell r="J9615" t="str">
            <v>INV-030724125109</v>
          </cell>
          <cell r="K9615" t="str">
            <v>Paid</v>
          </cell>
        </row>
        <row r="9616">
          <cell r="J9616" t="str">
            <v>INV-031224161925</v>
          </cell>
          <cell r="K9616" t="str">
            <v>Paid</v>
          </cell>
        </row>
        <row r="9617">
          <cell r="J9617" t="str">
            <v>INV-040624105347</v>
          </cell>
          <cell r="K9617" t="str">
            <v>Paid</v>
          </cell>
        </row>
        <row r="9618">
          <cell r="J9618" t="str">
            <v>INV-040924103330</v>
          </cell>
          <cell r="K9618" t="str">
            <v>Paid</v>
          </cell>
        </row>
        <row r="9619">
          <cell r="J9619" t="str">
            <v>INV-021024151734</v>
          </cell>
          <cell r="K9619" t="str">
            <v>Paid</v>
          </cell>
        </row>
        <row r="9620">
          <cell r="J9620" t="str">
            <v>INV-051124165217</v>
          </cell>
          <cell r="K9620" t="str">
            <v>Paid</v>
          </cell>
        </row>
        <row r="9621">
          <cell r="J9621" t="str">
            <v>INV-060125095224</v>
          </cell>
          <cell r="K9621" t="str">
            <v>Paid</v>
          </cell>
        </row>
        <row r="9622">
          <cell r="J9622" t="str">
            <v>INV-040225140349</v>
          </cell>
          <cell r="K9622" t="str">
            <v>Paid</v>
          </cell>
        </row>
        <row r="9623">
          <cell r="J9623" t="str">
            <v>INV-040325135525</v>
          </cell>
          <cell r="K9623" t="str">
            <v>Paid</v>
          </cell>
        </row>
        <row r="9624">
          <cell r="J9624" t="str">
            <v>INV-020425154514</v>
          </cell>
          <cell r="K9624" t="str">
            <v>Paid</v>
          </cell>
        </row>
        <row r="9625">
          <cell r="J9625" t="str">
            <v>INV-020525175410</v>
          </cell>
          <cell r="K9625" t="str">
            <v>Paid</v>
          </cell>
        </row>
        <row r="9626">
          <cell r="J9626" t="str">
            <v>INV-030625132601</v>
          </cell>
          <cell r="K9626" t="str">
            <v>Paid</v>
          </cell>
        </row>
        <row r="9627">
          <cell r="J9627" t="str">
            <v>INV-020725161546</v>
          </cell>
          <cell r="K9627" t="str">
            <v>Paid</v>
          </cell>
        </row>
        <row r="9628">
          <cell r="J9628" t="str">
            <v>INV-040825121114</v>
          </cell>
          <cell r="K9628" t="str">
            <v>Paid</v>
          </cell>
        </row>
        <row r="9629">
          <cell r="J9629" t="str">
            <v>INV-020925113403</v>
          </cell>
          <cell r="K9629" t="str">
            <v>Paid</v>
          </cell>
        </row>
        <row r="9630">
          <cell r="J9630" t="str">
            <v>INV-021025104543</v>
          </cell>
          <cell r="K9630" t="str">
            <v>Paid</v>
          </cell>
        </row>
        <row r="9631">
          <cell r="J9631" t="str">
            <v>INV-031125180647</v>
          </cell>
          <cell r="K9631" t="str">
            <v>Paid</v>
          </cell>
        </row>
        <row r="9632">
          <cell r="J9632" t="str">
            <v>INV-021225115925</v>
          </cell>
          <cell r="K9632" t="str">
            <v>Paid</v>
          </cell>
        </row>
        <row r="9633">
          <cell r="J9633" t="str">
            <v>INV-020126122437</v>
          </cell>
          <cell r="K9633" t="str">
            <v>Paid</v>
          </cell>
        </row>
        <row r="9634">
          <cell r="J9634" t="str">
            <v>INV-020226140001</v>
          </cell>
          <cell r="K9634" t="str">
            <v>Paid</v>
          </cell>
        </row>
        <row r="9635">
          <cell r="J9635" t="str">
            <v>INV-020326173822</v>
          </cell>
          <cell r="K9635" t="str">
            <v>Paid</v>
          </cell>
        </row>
        <row r="9636">
          <cell r="J9636" t="str">
            <v>INV-020426100315</v>
          </cell>
          <cell r="K9636" t="str">
            <v>Paid</v>
          </cell>
        </row>
        <row r="9637">
          <cell r="J9637" t="str">
            <v>INV-040526094213</v>
          </cell>
          <cell r="K9637" t="str">
            <v>Paid</v>
          </cell>
        </row>
        <row r="9638">
          <cell r="J9638" t="str">
            <v>INV-010626163622</v>
          </cell>
          <cell r="K9638" t="str">
            <v>Paid</v>
          </cell>
        </row>
        <row r="9639">
          <cell r="J9639" t="str">
            <v>INV-270224121717</v>
          </cell>
          <cell r="K9639" t="str">
            <v>Paid</v>
          </cell>
        </row>
        <row r="9640">
          <cell r="J9640" t="str">
            <v>INV-270224145816</v>
          </cell>
          <cell r="K9640" t="str">
            <v>Paid</v>
          </cell>
        </row>
        <row r="9641">
          <cell r="J9641" t="str">
            <v>INV-270224162800</v>
          </cell>
          <cell r="K9641" t="str">
            <v>Paid</v>
          </cell>
        </row>
        <row r="9642">
          <cell r="J9642" t="str">
            <v>INV-270224163501</v>
          </cell>
          <cell r="K9642" t="str">
            <v>Paid</v>
          </cell>
        </row>
        <row r="9643">
          <cell r="J9643" t="str">
            <v>INV-090324172139</v>
          </cell>
          <cell r="K9643" t="str">
            <v>Paid</v>
          </cell>
        </row>
        <row r="9644">
          <cell r="J9644" t="str">
            <v>INV-080424171400</v>
          </cell>
          <cell r="K9644" t="str">
            <v>Paid</v>
          </cell>
        </row>
        <row r="9645">
          <cell r="J9645" t="str">
            <v>INV-080524155609</v>
          </cell>
          <cell r="K9645" t="str">
            <v>Paid</v>
          </cell>
        </row>
        <row r="9646">
          <cell r="J9646" t="str">
            <v>DN-INV-300524130840</v>
          </cell>
          <cell r="K9646" t="str">
            <v>Paid</v>
          </cell>
        </row>
        <row r="9647">
          <cell r="J9647" t="str">
            <v>INV-070624183233</v>
          </cell>
          <cell r="K9647" t="str">
            <v>Paid</v>
          </cell>
        </row>
        <row r="9648">
          <cell r="J9648" t="str">
            <v>INV-100724111919</v>
          </cell>
          <cell r="K9648" t="str">
            <v>Paid</v>
          </cell>
        </row>
        <row r="9649">
          <cell r="J9649" t="str">
            <v>INV-090824165540</v>
          </cell>
          <cell r="K9649" t="str">
            <v>Paid</v>
          </cell>
        </row>
        <row r="9650">
          <cell r="J9650" t="str">
            <v>INV-110924152214</v>
          </cell>
          <cell r="K9650" t="str">
            <v>Paid</v>
          </cell>
        </row>
        <row r="9651">
          <cell r="J9651" t="str">
            <v>DN-INV-250924153540</v>
          </cell>
          <cell r="K9651" t="str">
            <v>Paid</v>
          </cell>
        </row>
        <row r="9652">
          <cell r="J9652" t="str">
            <v>INV-141024094411</v>
          </cell>
          <cell r="K9652" t="str">
            <v>Paid</v>
          </cell>
        </row>
        <row r="9653">
          <cell r="J9653" t="str">
            <v>INV-121124114649</v>
          </cell>
          <cell r="K9653" t="str">
            <v>Paid</v>
          </cell>
        </row>
        <row r="9654">
          <cell r="J9654" t="str">
            <v>INV-111224123228</v>
          </cell>
          <cell r="K9654" t="str">
            <v>Paid</v>
          </cell>
        </row>
        <row r="9655">
          <cell r="J9655" t="str">
            <v>INV-080125160504</v>
          </cell>
          <cell r="K9655" t="str">
            <v>Paid</v>
          </cell>
        </row>
        <row r="9656">
          <cell r="J9656" t="str">
            <v>INV-070225181118</v>
          </cell>
          <cell r="K9656" t="str">
            <v>Paid</v>
          </cell>
        </row>
        <row r="9657">
          <cell r="J9657" t="str">
            <v>INV-070325131117</v>
          </cell>
          <cell r="K9657" t="str">
            <v>Paid</v>
          </cell>
        </row>
        <row r="9658">
          <cell r="J9658" t="str">
            <v>INV-040425184329</v>
          </cell>
          <cell r="K9658" t="str">
            <v>Paid</v>
          </cell>
        </row>
        <row r="9659">
          <cell r="J9659" t="str">
            <v>INV-070525105511</v>
          </cell>
          <cell r="K9659" t="str">
            <v>Paid</v>
          </cell>
        </row>
        <row r="9660">
          <cell r="J9660" t="str">
            <v>INV-060625123005</v>
          </cell>
          <cell r="K9660" t="str">
            <v>Paid</v>
          </cell>
        </row>
        <row r="9661">
          <cell r="J9661" t="str">
            <v>INV-050725132132</v>
          </cell>
          <cell r="K9661" t="str">
            <v>Paid</v>
          </cell>
        </row>
        <row r="9662">
          <cell r="J9662" t="str">
            <v>INV-070825104903</v>
          </cell>
          <cell r="K9662" t="str">
            <v>Paid</v>
          </cell>
        </row>
        <row r="9663">
          <cell r="J9663" t="str">
            <v>INV-050925105911</v>
          </cell>
          <cell r="K9663" t="str">
            <v>Paid</v>
          </cell>
        </row>
        <row r="9664">
          <cell r="J9664" t="str">
            <v>INV-061025210952</v>
          </cell>
          <cell r="K9664" t="str">
            <v>Paid</v>
          </cell>
        </row>
        <row r="9665">
          <cell r="J9665" t="str">
            <v>INV-061125175920</v>
          </cell>
          <cell r="K9665" t="str">
            <v>Paid</v>
          </cell>
        </row>
        <row r="9666">
          <cell r="J9666" t="str">
            <v>INV-041225161100</v>
          </cell>
          <cell r="K9666" t="str">
            <v>Paid</v>
          </cell>
        </row>
        <row r="9667">
          <cell r="J9667" t="str">
            <v>INV-060126153201</v>
          </cell>
          <cell r="K9667" t="str">
            <v>Paid</v>
          </cell>
        </row>
        <row r="9668">
          <cell r="J9668" t="str">
            <v>CARDS0207</v>
          </cell>
          <cell r="K9668" t="str">
            <v>Waived Off</v>
          </cell>
        </row>
        <row r="9669">
          <cell r="J9669" t="str">
            <v>CARDS0282</v>
          </cell>
          <cell r="K9669" t="str">
            <v>Waived Off</v>
          </cell>
        </row>
        <row r="9670">
          <cell r="J9670" t="str">
            <v>CARDS0005</v>
          </cell>
          <cell r="K9670" t="str">
            <v>Paid</v>
          </cell>
        </row>
        <row r="9671">
          <cell r="J9671" t="str">
            <v>CARDS0017</v>
          </cell>
          <cell r="K9671" t="str">
            <v>Paid</v>
          </cell>
        </row>
        <row r="9672">
          <cell r="J9672" t="str">
            <v>CARDS0031</v>
          </cell>
          <cell r="K9672" t="str">
            <v>Paid</v>
          </cell>
        </row>
        <row r="9673">
          <cell r="J9673" t="str">
            <v>CARDS0046</v>
          </cell>
          <cell r="K9673" t="str">
            <v>Paid</v>
          </cell>
        </row>
        <row r="9674">
          <cell r="J9674" t="str">
            <v>DNCARDS0004</v>
          </cell>
          <cell r="K9674" t="str">
            <v>Paid</v>
          </cell>
        </row>
        <row r="9675">
          <cell r="J9675" t="str">
            <v>CARDS0069</v>
          </cell>
          <cell r="K9675" t="str">
            <v>Paid</v>
          </cell>
        </row>
        <row r="9676">
          <cell r="J9676" t="str">
            <v>CARDS0082</v>
          </cell>
          <cell r="K9676" t="str">
            <v>Paid</v>
          </cell>
        </row>
        <row r="9677">
          <cell r="J9677" t="str">
            <v>CARDS0099</v>
          </cell>
          <cell r="K9677" t="str">
            <v>Paid</v>
          </cell>
        </row>
        <row r="9678">
          <cell r="J9678" t="str">
            <v>CARDS0118</v>
          </cell>
          <cell r="K9678" t="str">
            <v>Paid</v>
          </cell>
        </row>
        <row r="9679">
          <cell r="J9679" t="str">
            <v>CARDS0136</v>
          </cell>
          <cell r="K9679" t="str">
            <v>Paid</v>
          </cell>
        </row>
        <row r="9680">
          <cell r="J9680" t="str">
            <v>CARDS0156</v>
          </cell>
          <cell r="K9680" t="str">
            <v>Paid</v>
          </cell>
        </row>
        <row r="9681">
          <cell r="J9681" t="str">
            <v>DNCARDS0008</v>
          </cell>
          <cell r="K9681" t="str">
            <v>Paid</v>
          </cell>
        </row>
        <row r="9682">
          <cell r="J9682" t="str">
            <v>DNCARDS0009</v>
          </cell>
          <cell r="K9682" t="str">
            <v>Paid</v>
          </cell>
        </row>
        <row r="9683">
          <cell r="J9683" t="str">
            <v>INV2021- STY-002</v>
          </cell>
          <cell r="K9683" t="str">
            <v>Paid</v>
          </cell>
        </row>
        <row r="9684">
          <cell r="J9684" t="str">
            <v>CARDS0172</v>
          </cell>
          <cell r="K9684" t="str">
            <v>Paid</v>
          </cell>
        </row>
        <row r="9685">
          <cell r="J9685" t="str">
            <v>CNCARDS0012</v>
          </cell>
          <cell r="K9685" t="str">
            <v>Paid</v>
          </cell>
        </row>
        <row r="9686">
          <cell r="J9686" t="str">
            <v>CARDS0194</v>
          </cell>
          <cell r="K9686" t="str">
            <v>Paid</v>
          </cell>
        </row>
        <row r="9687">
          <cell r="J9687" t="str">
            <v>CARDS0214</v>
          </cell>
          <cell r="K9687" t="str">
            <v>Paid</v>
          </cell>
        </row>
        <row r="9688">
          <cell r="J9688" t="str">
            <v>CARDS0231</v>
          </cell>
          <cell r="K9688" t="str">
            <v>Paid</v>
          </cell>
        </row>
        <row r="9689">
          <cell r="J9689" t="str">
            <v>CNCARDS0015</v>
          </cell>
          <cell r="K9689" t="str">
            <v>Paid</v>
          </cell>
        </row>
        <row r="9690">
          <cell r="J9690" t="str">
            <v>CARDS0248</v>
          </cell>
          <cell r="K9690" t="str">
            <v>Paid</v>
          </cell>
        </row>
        <row r="9691">
          <cell r="J9691" t="str">
            <v>CARDS0269</v>
          </cell>
          <cell r="K9691" t="str">
            <v>Paid</v>
          </cell>
        </row>
        <row r="9692">
          <cell r="J9692" t="str">
            <v>DNCARDS0011</v>
          </cell>
          <cell r="K9692" t="str">
            <v>Paid</v>
          </cell>
        </row>
        <row r="9693">
          <cell r="J9693" t="str">
            <v>CARDS0287</v>
          </cell>
          <cell r="K9693" t="str">
            <v>Paid</v>
          </cell>
        </row>
        <row r="9694">
          <cell r="J9694" t="str">
            <v>CARDS0305</v>
          </cell>
          <cell r="K9694" t="str">
            <v>Paid</v>
          </cell>
        </row>
        <row r="9695">
          <cell r="J9695" t="str">
            <v>CARDS0318</v>
          </cell>
          <cell r="K9695" t="str">
            <v>Paid</v>
          </cell>
        </row>
        <row r="9696">
          <cell r="J9696" t="str">
            <v>CARDS0332</v>
          </cell>
          <cell r="K9696" t="str">
            <v>Paid</v>
          </cell>
        </row>
        <row r="9697">
          <cell r="J9697" t="str">
            <v>INV-021122012821</v>
          </cell>
          <cell r="K9697" t="str">
            <v>Paid</v>
          </cell>
        </row>
        <row r="9698">
          <cell r="J9698" t="str">
            <v>INV-011222231656</v>
          </cell>
          <cell r="K9698" t="str">
            <v>Paid</v>
          </cell>
        </row>
        <row r="9699">
          <cell r="J9699" t="str">
            <v>INV-030123165100</v>
          </cell>
          <cell r="K9699" t="str">
            <v>Paid</v>
          </cell>
        </row>
        <row r="9700">
          <cell r="J9700" t="str">
            <v>INV-020223010257</v>
          </cell>
          <cell r="K9700" t="str">
            <v>Waived Off</v>
          </cell>
        </row>
        <row r="9701">
          <cell r="J9701" t="str">
            <v>INV-020323002854</v>
          </cell>
          <cell r="K9701" t="str">
            <v>Waived Off</v>
          </cell>
        </row>
        <row r="9702">
          <cell r="J9702" t="str">
            <v>INV-030423154016</v>
          </cell>
          <cell r="K9702" t="str">
            <v>Waived Off</v>
          </cell>
        </row>
        <row r="9703">
          <cell r="J9703" t="str">
            <v>INV-020523173017</v>
          </cell>
          <cell r="K9703" t="str">
            <v>Waived Off</v>
          </cell>
        </row>
        <row r="9704">
          <cell r="J9704" t="str">
            <v>INV-050623111930</v>
          </cell>
          <cell r="K9704" t="str">
            <v>Waived Off</v>
          </cell>
        </row>
        <row r="9705">
          <cell r="J9705" t="str">
            <v>INV-030723175249</v>
          </cell>
          <cell r="K9705" t="str">
            <v>Waived Off</v>
          </cell>
        </row>
        <row r="9706">
          <cell r="J9706" t="str">
            <v>INV-130624124700</v>
          </cell>
          <cell r="K9706" t="str">
            <v>Paid</v>
          </cell>
        </row>
        <row r="9707">
          <cell r="J9707" t="str">
            <v>HKCARDS0043</v>
          </cell>
          <cell r="K9707" t="str">
            <v>Paid</v>
          </cell>
        </row>
        <row r="9708">
          <cell r="J9708" t="str">
            <v>INV-310323182946</v>
          </cell>
          <cell r="K9708" t="str">
            <v>Paid</v>
          </cell>
        </row>
        <row r="9709">
          <cell r="J9709" t="str">
            <v>CN-280423131732</v>
          </cell>
          <cell r="K9709" t="str">
            <v>Paid</v>
          </cell>
        </row>
        <row r="9710">
          <cell r="J9710" t="str">
            <v>INV-071223105155</v>
          </cell>
          <cell r="K9710" t="str">
            <v>Paid</v>
          </cell>
        </row>
        <row r="9711">
          <cell r="J9711" t="str">
            <v>INV-141223151943</v>
          </cell>
          <cell r="K9711" t="str">
            <v>Paid</v>
          </cell>
        </row>
        <row r="9712">
          <cell r="J9712" t="str">
            <v>INV-080124141258</v>
          </cell>
          <cell r="K9712" t="str">
            <v>Paid</v>
          </cell>
        </row>
        <row r="9713">
          <cell r="J9713" t="str">
            <v>INV-050224174102</v>
          </cell>
          <cell r="K9713" t="str">
            <v>Waived Off</v>
          </cell>
        </row>
        <row r="9714">
          <cell r="J9714" t="str">
            <v>INV-020824195409</v>
          </cell>
          <cell r="K9714" t="str">
            <v>Paid</v>
          </cell>
        </row>
        <row r="9715">
          <cell r="J9715" t="str">
            <v>INV-030524155033</v>
          </cell>
          <cell r="K9715" t="str">
            <v>Paid</v>
          </cell>
        </row>
        <row r="9716">
          <cell r="J9716" t="str">
            <v>INV-050324130645</v>
          </cell>
          <cell r="K9716" t="str">
            <v>Waived Off</v>
          </cell>
        </row>
        <row r="9717">
          <cell r="J9717" t="str">
            <v>INV-030724165659</v>
          </cell>
          <cell r="K9717" t="str">
            <v>Paid</v>
          </cell>
        </row>
        <row r="9718">
          <cell r="J9718" t="str">
            <v>INV-031024124100</v>
          </cell>
          <cell r="K9718" t="str">
            <v>Paid</v>
          </cell>
        </row>
        <row r="9719">
          <cell r="J9719" t="str">
            <v>INV-040624164222</v>
          </cell>
          <cell r="K9719" t="str">
            <v>Paid</v>
          </cell>
        </row>
        <row r="9720">
          <cell r="J9720" t="str">
            <v>INV-110424140000</v>
          </cell>
          <cell r="K9720" t="str">
            <v>Paid</v>
          </cell>
        </row>
        <row r="9721">
          <cell r="J9721" t="str">
            <v>INV-040924123612</v>
          </cell>
          <cell r="K9721" t="str">
            <v>Paid</v>
          </cell>
        </row>
        <row r="9722">
          <cell r="J9722" t="str">
            <v>INV-041224105640</v>
          </cell>
          <cell r="K9722" t="str">
            <v>Outstanding</v>
          </cell>
        </row>
        <row r="9723">
          <cell r="J9723" t="str">
            <v>INV-181124153544</v>
          </cell>
          <cell r="K9723" t="str">
            <v>Paid</v>
          </cell>
        </row>
        <row r="9724">
          <cell r="J9724" t="str">
            <v>INV-060125160531</v>
          </cell>
          <cell r="K9724" t="str">
            <v>Paid</v>
          </cell>
        </row>
        <row r="9725">
          <cell r="J9725" t="str">
            <v>INV-050225183406</v>
          </cell>
          <cell r="K9725" t="str">
            <v>Outstanding</v>
          </cell>
        </row>
        <row r="9726">
          <cell r="J9726" t="str">
            <v>INV-050325103203</v>
          </cell>
          <cell r="K9726" t="str">
            <v>Outstanding</v>
          </cell>
        </row>
        <row r="9727">
          <cell r="J9727" t="str">
            <v>INV-020425174717</v>
          </cell>
          <cell r="K9727" t="str">
            <v>Outstanding</v>
          </cell>
        </row>
        <row r="9728">
          <cell r="J9728" t="str">
            <v>INV-050525114818</v>
          </cell>
          <cell r="K9728" t="str">
            <v>Outstanding</v>
          </cell>
        </row>
        <row r="9729">
          <cell r="J9729" t="str">
            <v>INV-040625165635</v>
          </cell>
          <cell r="K9729" t="str">
            <v>Outstanding</v>
          </cell>
        </row>
        <row r="9730">
          <cell r="J9730" t="str">
            <v>INV-090125200141</v>
          </cell>
          <cell r="K9730" t="str">
            <v>Paid</v>
          </cell>
        </row>
        <row r="9731">
          <cell r="J9731" t="str">
            <v>INV-050626174107</v>
          </cell>
          <cell r="K9731" t="str">
            <v>Paid</v>
          </cell>
        </row>
        <row r="9732">
          <cell r="J9732" t="str">
            <v>INV-031224192828</v>
          </cell>
          <cell r="K9732" t="str">
            <v>Paid</v>
          </cell>
        </row>
        <row r="9733">
          <cell r="J9733" t="str">
            <v>INV-031024105631</v>
          </cell>
          <cell r="K9733" t="str">
            <v>Paid</v>
          </cell>
        </row>
        <row r="9734">
          <cell r="J9734" t="str">
            <v>INV-061124184515</v>
          </cell>
          <cell r="K9734" t="str">
            <v>Paid</v>
          </cell>
        </row>
        <row r="9735">
          <cell r="J9735" t="str">
            <v>INV-030125164039</v>
          </cell>
          <cell r="K9735" t="str">
            <v>Paid</v>
          </cell>
        </row>
        <row r="9736">
          <cell r="J9736" t="str">
            <v>INV-050225112931</v>
          </cell>
          <cell r="K9736" t="str">
            <v>Paid</v>
          </cell>
        </row>
        <row r="9737">
          <cell r="J9737" t="str">
            <v>INV-100325155556</v>
          </cell>
          <cell r="K9737" t="str">
            <v>Paid</v>
          </cell>
        </row>
        <row r="9738">
          <cell r="J9738" t="str">
            <v>INV-020425182833</v>
          </cell>
          <cell r="K9738" t="str">
            <v>Paid</v>
          </cell>
        </row>
        <row r="9739">
          <cell r="J9739" t="str">
            <v>INV-020525195505</v>
          </cell>
          <cell r="K9739" t="str">
            <v>Paid</v>
          </cell>
        </row>
        <row r="9740">
          <cell r="J9740" t="str">
            <v>INV-021025143039</v>
          </cell>
          <cell r="K9740" t="str">
            <v>Paid</v>
          </cell>
        </row>
        <row r="9741">
          <cell r="J9741" t="str">
            <v>INV-021225155618</v>
          </cell>
          <cell r="K9741" t="str">
            <v>Paid</v>
          </cell>
        </row>
        <row r="9742">
          <cell r="J9742" t="str">
            <v>INV-020126182509</v>
          </cell>
          <cell r="K9742" t="str">
            <v>Paid</v>
          </cell>
        </row>
        <row r="9743">
          <cell r="J9743" t="str">
            <v>INV-020226193209</v>
          </cell>
          <cell r="K9743" t="str">
            <v>Paid</v>
          </cell>
        </row>
        <row r="9744">
          <cell r="J9744" t="str">
            <v>INV-020326192400</v>
          </cell>
          <cell r="K9744" t="str">
            <v>Paid</v>
          </cell>
        </row>
        <row r="9745">
          <cell r="J9745" t="str">
            <v>INV-010426182005</v>
          </cell>
          <cell r="K9745" t="str">
            <v>Paid</v>
          </cell>
        </row>
        <row r="9746">
          <cell r="J9746" t="str">
            <v>INV-040526123302</v>
          </cell>
          <cell r="K9746" t="str">
            <v>Paid</v>
          </cell>
        </row>
        <row r="9747">
          <cell r="J9747" t="str">
            <v>INV-010626185446</v>
          </cell>
          <cell r="K9747" t="str">
            <v>Paid</v>
          </cell>
        </row>
        <row r="9748">
          <cell r="J9748" t="str">
            <v>INV-060625173624</v>
          </cell>
          <cell r="K9748" t="str">
            <v>Paid</v>
          </cell>
        </row>
        <row r="9749">
          <cell r="J9749" t="str">
            <v>INV-040825165440</v>
          </cell>
          <cell r="K9749" t="str">
            <v>Paid</v>
          </cell>
        </row>
        <row r="9750">
          <cell r="J9750" t="str">
            <v>INV-030925122908</v>
          </cell>
          <cell r="K9750" t="str">
            <v>Paid</v>
          </cell>
        </row>
        <row r="9751">
          <cell r="J9751" t="str">
            <v>INV-061025091839</v>
          </cell>
          <cell r="K9751" t="str">
            <v>Paid</v>
          </cell>
        </row>
        <row r="9752">
          <cell r="J9752" t="str">
            <v>INV-051125104319</v>
          </cell>
          <cell r="K9752" t="str">
            <v>Paid</v>
          </cell>
        </row>
        <row r="9753">
          <cell r="J9753" t="str">
            <v>INV-031225165702</v>
          </cell>
          <cell r="K9753" t="str">
            <v>Paid</v>
          </cell>
        </row>
        <row r="9754">
          <cell r="J9754" t="str">
            <v>INV-050126160014</v>
          </cell>
          <cell r="K9754" t="str">
            <v>Paid</v>
          </cell>
        </row>
        <row r="9755">
          <cell r="J9755" t="str">
            <v>INV-050226020928</v>
          </cell>
          <cell r="K9755" t="str">
            <v>Paid</v>
          </cell>
        </row>
        <row r="9756">
          <cell r="J9756" t="str">
            <v>INV-030326181311</v>
          </cell>
          <cell r="K9756" t="str">
            <v>Paid</v>
          </cell>
        </row>
        <row r="9757">
          <cell r="J9757" t="str">
            <v>INV-020426153528</v>
          </cell>
          <cell r="K9757" t="str">
            <v>Paid</v>
          </cell>
        </row>
        <row r="9758">
          <cell r="J9758" t="str">
            <v>INV-050526110312</v>
          </cell>
          <cell r="K9758" t="str">
            <v>Paid</v>
          </cell>
        </row>
        <row r="9759">
          <cell r="J9759" t="str">
            <v>INV-020626174755</v>
          </cell>
          <cell r="K9759" t="str">
            <v>Paid</v>
          </cell>
        </row>
        <row r="9760">
          <cell r="J9760" t="str">
            <v>INV-031224191833</v>
          </cell>
          <cell r="K9760" t="str">
            <v>Paid</v>
          </cell>
        </row>
        <row r="9761">
          <cell r="J9761" t="str">
            <v>INV-040924175900</v>
          </cell>
          <cell r="K9761" t="str">
            <v>Paid</v>
          </cell>
        </row>
        <row r="9762">
          <cell r="J9762" t="str">
            <v>INV-100624130745</v>
          </cell>
          <cell r="K9762" t="str">
            <v>Paid</v>
          </cell>
        </row>
        <row r="9763">
          <cell r="J9763" t="str">
            <v>INV-080824093034</v>
          </cell>
          <cell r="K9763" t="str">
            <v>Paid</v>
          </cell>
        </row>
        <row r="9764">
          <cell r="J9764" t="str">
            <v>INV-061124193359</v>
          </cell>
          <cell r="K9764" t="str">
            <v>Paid</v>
          </cell>
        </row>
        <row r="9765">
          <cell r="J9765" t="str">
            <v>INV-030125160833</v>
          </cell>
          <cell r="K9765" t="str">
            <v>Paid</v>
          </cell>
        </row>
        <row r="9766">
          <cell r="J9766" t="str">
            <v>INV-050225091523</v>
          </cell>
          <cell r="K9766" t="str">
            <v>Paid</v>
          </cell>
        </row>
        <row r="9767">
          <cell r="J9767" t="str">
            <v>INV-040325181224</v>
          </cell>
          <cell r="K9767" t="str">
            <v>Paid</v>
          </cell>
        </row>
        <row r="9768">
          <cell r="J9768" t="str">
            <v>INV-020425184546</v>
          </cell>
          <cell r="K9768" t="str">
            <v>Paid</v>
          </cell>
        </row>
        <row r="9769">
          <cell r="J9769" t="str">
            <v>INV-050525130130</v>
          </cell>
          <cell r="K9769" t="str">
            <v>Paid</v>
          </cell>
        </row>
        <row r="9770">
          <cell r="J9770" t="str">
            <v>INV-030625180451</v>
          </cell>
          <cell r="K9770" t="str">
            <v>Paid</v>
          </cell>
        </row>
        <row r="9771">
          <cell r="J9771" t="str">
            <v>INV-030725101251</v>
          </cell>
          <cell r="K9771" t="str">
            <v>Paid</v>
          </cell>
        </row>
        <row r="9772">
          <cell r="J9772" t="str">
            <v>INV-040825135552</v>
          </cell>
          <cell r="K9772" t="str">
            <v>Paid</v>
          </cell>
        </row>
        <row r="9773">
          <cell r="J9773" t="str">
            <v>INV-020925133308</v>
          </cell>
          <cell r="K9773" t="str">
            <v>Paid</v>
          </cell>
        </row>
        <row r="9774">
          <cell r="J9774" t="str">
            <v>INV-021025155717</v>
          </cell>
          <cell r="K9774" t="str">
            <v>Paid</v>
          </cell>
        </row>
        <row r="9775">
          <cell r="J9775" t="str">
            <v>INV-041125155212</v>
          </cell>
          <cell r="K9775" t="str">
            <v>Paid</v>
          </cell>
        </row>
        <row r="9776">
          <cell r="J9776" t="str">
            <v>INV-021225134033</v>
          </cell>
          <cell r="K9776" t="str">
            <v>Paid</v>
          </cell>
        </row>
        <row r="9777">
          <cell r="J9777" t="str">
            <v>INV-020126180833</v>
          </cell>
          <cell r="K9777" t="str">
            <v>Paid</v>
          </cell>
        </row>
        <row r="9778">
          <cell r="J9778" t="str">
            <v>INV-020226184018</v>
          </cell>
          <cell r="K9778" t="str">
            <v>Paid</v>
          </cell>
        </row>
        <row r="9779">
          <cell r="J9779" t="str">
            <v>INV-030326095953</v>
          </cell>
          <cell r="K9779" t="str">
            <v>Paid</v>
          </cell>
        </row>
        <row r="9780">
          <cell r="J9780" t="str">
            <v>INV-010426181345</v>
          </cell>
          <cell r="K9780" t="str">
            <v>Paid</v>
          </cell>
        </row>
        <row r="9781">
          <cell r="J9781" t="str">
            <v>INV-040526121155</v>
          </cell>
          <cell r="K9781" t="str">
            <v>Paid</v>
          </cell>
        </row>
        <row r="9782">
          <cell r="J9782" t="str">
            <v>INV-010626184225</v>
          </cell>
          <cell r="K9782" t="str">
            <v>Paid</v>
          </cell>
        </row>
        <row r="9783">
          <cell r="J9783" t="str">
            <v>INV-020626162318</v>
          </cell>
          <cell r="K9783" t="str">
            <v>Paid</v>
          </cell>
        </row>
        <row r="9784">
          <cell r="J9784" t="str">
            <v>INV-080626175004</v>
          </cell>
          <cell r="K9784" t="str">
            <v>Outstanding</v>
          </cell>
        </row>
        <row r="9785">
          <cell r="J9785" t="str">
            <v>HKCARDS0052</v>
          </cell>
          <cell r="K9785" t="str">
            <v>Waived Off</v>
          </cell>
        </row>
        <row r="9786">
          <cell r="J9786" t="str">
            <v>HKCARDS0060</v>
          </cell>
          <cell r="K9786" t="str">
            <v>Waived Off</v>
          </cell>
        </row>
        <row r="9787">
          <cell r="J9787" t="str">
            <v>HKCARDS0069</v>
          </cell>
          <cell r="K9787" t="str">
            <v>Waived Off</v>
          </cell>
        </row>
        <row r="9788">
          <cell r="J9788" t="str">
            <v>HKCARDS0078</v>
          </cell>
          <cell r="K9788" t="str">
            <v>Waived Off</v>
          </cell>
        </row>
        <row r="9789">
          <cell r="J9789" t="str">
            <v>HKCARDS0096</v>
          </cell>
          <cell r="K9789" t="str">
            <v>Waived Off</v>
          </cell>
        </row>
        <row r="9790">
          <cell r="J9790" t="str">
            <v>HKCARDS0110</v>
          </cell>
          <cell r="K9790" t="str">
            <v>Waived Off</v>
          </cell>
        </row>
        <row r="9791">
          <cell r="J9791" t="str">
            <v>INV-030423001517</v>
          </cell>
          <cell r="K9791" t="str">
            <v>Waived Off</v>
          </cell>
        </row>
        <row r="9792">
          <cell r="J9792" t="str">
            <v>CARDS0058</v>
          </cell>
          <cell r="K9792" t="str">
            <v>Expired</v>
          </cell>
        </row>
        <row r="9793">
          <cell r="J9793" t="str">
            <v>CARDS00329</v>
          </cell>
          <cell r="K9793" t="str">
            <v>Paid</v>
          </cell>
        </row>
        <row r="9794">
          <cell r="J9794" t="str">
            <v>CARDS0227</v>
          </cell>
          <cell r="K9794" t="str">
            <v>Paid</v>
          </cell>
        </row>
        <row r="9795">
          <cell r="J9795" t="str">
            <v>CN-310323162342</v>
          </cell>
          <cell r="K9795" t="str">
            <v>Paid</v>
          </cell>
        </row>
        <row r="9796">
          <cell r="J9796" t="str">
            <v>UKCARDS0005</v>
          </cell>
          <cell r="K9796" t="str">
            <v>Paid</v>
          </cell>
        </row>
        <row r="9797">
          <cell r="J9797" t="str">
            <v>DN-100223104030</v>
          </cell>
          <cell r="K9797" t="str">
            <v>Waived Off</v>
          </cell>
        </row>
        <row r="9798">
          <cell r="J9798" t="str">
            <v>CARDS0095</v>
          </cell>
          <cell r="K9798" t="str">
            <v>Paid</v>
          </cell>
        </row>
        <row r="9799">
          <cell r="J9799" t="str">
            <v>INV2022-TRANSFEZ-001</v>
          </cell>
          <cell r="K9799" t="str">
            <v>Waived Off</v>
          </cell>
        </row>
        <row r="9800">
          <cell r="J9800" t="str">
            <v>CARDS0244</v>
          </cell>
          <cell r="K9800" t="str">
            <v>Paid</v>
          </cell>
        </row>
        <row r="9801">
          <cell r="J9801" t="str">
            <v>INV2022-TRANSWAP-001</v>
          </cell>
          <cell r="K9801" t="str">
            <v>Paid</v>
          </cell>
        </row>
        <row r="9802">
          <cell r="J9802" t="str">
            <v>CARDS0301</v>
          </cell>
          <cell r="K9802" t="str">
            <v>Paid</v>
          </cell>
        </row>
        <row r="9803">
          <cell r="J9803" t="str">
            <v>INV-020323172033_R</v>
          </cell>
          <cell r="K9803" t="str">
            <v>Paid</v>
          </cell>
        </row>
        <row r="9804">
          <cell r="J9804" t="str">
            <v>INV-030223031803_R</v>
          </cell>
          <cell r="K9804" t="str">
            <v>Paid</v>
          </cell>
        </row>
        <row r="9805">
          <cell r="J9805" t="str">
            <v>INV-030223033822_R</v>
          </cell>
          <cell r="K9805" t="str">
            <v>Paid</v>
          </cell>
        </row>
        <row r="9806">
          <cell r="J9806" t="str">
            <v>INV-030223034511_R</v>
          </cell>
          <cell r="K9806" t="str">
            <v>Paid</v>
          </cell>
        </row>
        <row r="9807">
          <cell r="J9807" t="str">
            <v>INV-030223034945_R</v>
          </cell>
          <cell r="K9807" t="str">
            <v>Paid</v>
          </cell>
        </row>
        <row r="9808">
          <cell r="J9808" t="str">
            <v>INV-030523160207_R</v>
          </cell>
          <cell r="K9808" t="str">
            <v>Paid</v>
          </cell>
        </row>
        <row r="9809">
          <cell r="J9809" t="str">
            <v>INV-040423035642_R</v>
          </cell>
          <cell r="K9809" t="str">
            <v>Paid</v>
          </cell>
        </row>
        <row r="9810">
          <cell r="J9810" t="str">
            <v>INV-030723165122_R</v>
          </cell>
          <cell r="K9810" t="str">
            <v>Paid</v>
          </cell>
        </row>
        <row r="9811">
          <cell r="J9811" t="str">
            <v>INV-050623113123_R</v>
          </cell>
          <cell r="K9811" t="str">
            <v>Paid</v>
          </cell>
        </row>
        <row r="9812">
          <cell r="J9812" t="str">
            <v>INV-020823155859_R</v>
          </cell>
          <cell r="K9812" t="str">
            <v>Paid</v>
          </cell>
        </row>
        <row r="9813">
          <cell r="J9813" t="str">
            <v>INV-040923182639_R</v>
          </cell>
          <cell r="K9813" t="str">
            <v>Paid</v>
          </cell>
        </row>
        <row r="9814">
          <cell r="J9814" t="str">
            <v>INV-310124132037_R</v>
          </cell>
          <cell r="K9814" t="str">
            <v>Paid</v>
          </cell>
        </row>
        <row r="9815">
          <cell r="J9815" t="str">
            <v>INV-310124144029_R</v>
          </cell>
          <cell r="K9815" t="str">
            <v>Paid</v>
          </cell>
        </row>
        <row r="9816">
          <cell r="J9816" t="str">
            <v>INV-310124144804_R</v>
          </cell>
          <cell r="K9816" t="str">
            <v>Paid</v>
          </cell>
        </row>
        <row r="9817">
          <cell r="J9817" t="str">
            <v>INV-310124151801_R</v>
          </cell>
          <cell r="K9817" t="str">
            <v>Paid</v>
          </cell>
        </row>
        <row r="9818">
          <cell r="J9818" t="str">
            <v>INV-090224184351</v>
          </cell>
          <cell r="K9818" t="str">
            <v>Paid</v>
          </cell>
        </row>
        <row r="9819">
          <cell r="J9819" t="str">
            <v>INV-090324160101</v>
          </cell>
          <cell r="K9819" t="str">
            <v>Paid</v>
          </cell>
        </row>
        <row r="9820">
          <cell r="J9820" t="str">
            <v>INV-080424150409</v>
          </cell>
          <cell r="K9820" t="str">
            <v>Paid</v>
          </cell>
        </row>
        <row r="9821">
          <cell r="J9821" t="str">
            <v>INV-080524135929</v>
          </cell>
          <cell r="K9821" t="str">
            <v>Paid</v>
          </cell>
        </row>
        <row r="9822">
          <cell r="J9822" t="str">
            <v>INV-070624183714</v>
          </cell>
          <cell r="K9822" t="str">
            <v>Paid</v>
          </cell>
        </row>
        <row r="9823">
          <cell r="J9823" t="str">
            <v>INV-100724111400</v>
          </cell>
          <cell r="K9823" t="str">
            <v>Paid</v>
          </cell>
        </row>
        <row r="9824">
          <cell r="J9824" t="str">
            <v>INV-090824161905</v>
          </cell>
          <cell r="K9824" t="str">
            <v>Paid</v>
          </cell>
        </row>
        <row r="9825">
          <cell r="J9825" t="str">
            <v>INV-110924165047</v>
          </cell>
          <cell r="K9825" t="str">
            <v>Paid</v>
          </cell>
        </row>
        <row r="9826">
          <cell r="J9826" t="str">
            <v>INV-141024112230</v>
          </cell>
          <cell r="K9826" t="str">
            <v>Net Off</v>
          </cell>
        </row>
        <row r="9827">
          <cell r="J9827" t="str">
            <v>INV-121124110419</v>
          </cell>
          <cell r="K9827" t="str">
            <v>Net Off</v>
          </cell>
        </row>
        <row r="9828">
          <cell r="J9828" t="str">
            <v>INV-111224101509</v>
          </cell>
          <cell r="K9828" t="str">
            <v>Net Off</v>
          </cell>
        </row>
        <row r="9829">
          <cell r="J9829" t="str">
            <v>INV-080125134029</v>
          </cell>
          <cell r="K9829" t="str">
            <v>Net Off</v>
          </cell>
        </row>
        <row r="9830">
          <cell r="J9830" t="str">
            <v>INV-070225170925</v>
          </cell>
          <cell r="K9830" t="str">
            <v>Net Off</v>
          </cell>
        </row>
        <row r="9831">
          <cell r="J9831" t="str">
            <v>INV-070325153110</v>
          </cell>
          <cell r="K9831" t="str">
            <v>Net Off</v>
          </cell>
        </row>
        <row r="9832">
          <cell r="J9832" t="str">
            <v>CN-INV-220825102015</v>
          </cell>
          <cell r="K9832" t="str">
            <v>Net Off</v>
          </cell>
        </row>
        <row r="9833">
          <cell r="J9833" t="str">
            <v>INV-041223155040</v>
          </cell>
          <cell r="K9833" t="str">
            <v>Paid</v>
          </cell>
        </row>
        <row r="9834">
          <cell r="J9834" t="str">
            <v>INV-060723173653</v>
          </cell>
          <cell r="K9834" t="str">
            <v>Paid</v>
          </cell>
        </row>
        <row r="9835">
          <cell r="J9835" t="str">
            <v>INV-031024174744</v>
          </cell>
          <cell r="K9835" t="str">
            <v>Waived Off</v>
          </cell>
        </row>
        <row r="9836">
          <cell r="J9836" t="str">
            <v>INV-050824141602</v>
          </cell>
          <cell r="K9836" t="str">
            <v>Waived Off</v>
          </cell>
        </row>
        <row r="9837">
          <cell r="J9837" t="str">
            <v>INV-050924134930</v>
          </cell>
          <cell r="K9837" t="str">
            <v>Waived Off</v>
          </cell>
        </row>
        <row r="9838">
          <cell r="J9838" t="str">
            <v>CN-INV-291124135801</v>
          </cell>
          <cell r="K9838" t="str">
            <v>Paid</v>
          </cell>
        </row>
        <row r="9839">
          <cell r="J9839" t="str">
            <v>INV-291124141702</v>
          </cell>
          <cell r="K9839" t="str">
            <v>Paid</v>
          </cell>
        </row>
        <row r="9840">
          <cell r="J9840" t="str">
            <v>INV-100325171755</v>
          </cell>
          <cell r="K9840" t="str">
            <v>Paid</v>
          </cell>
        </row>
        <row r="9841">
          <cell r="J9841" t="str">
            <v>INV-030425140721</v>
          </cell>
          <cell r="K9841" t="str">
            <v>Paid</v>
          </cell>
        </row>
        <row r="9842">
          <cell r="J9842" t="str">
            <v>INV-050525183052</v>
          </cell>
          <cell r="K9842" t="str">
            <v>Paid</v>
          </cell>
        </row>
        <row r="9843">
          <cell r="J9843" t="str">
            <v>INV-140525172451</v>
          </cell>
          <cell r="K9843" t="str">
            <v>Paid</v>
          </cell>
        </row>
        <row r="9844">
          <cell r="J9844" t="str">
            <v>INV-040625145538</v>
          </cell>
          <cell r="K9844" t="str">
            <v>Paid</v>
          </cell>
        </row>
        <row r="9845">
          <cell r="J9845" t="str">
            <v>INV-030725164632</v>
          </cell>
          <cell r="K9845" t="str">
            <v>Paid</v>
          </cell>
        </row>
        <row r="9846">
          <cell r="J9846" t="str">
            <v>INV-050825180919</v>
          </cell>
          <cell r="K9846" t="str">
            <v>Paid</v>
          </cell>
        </row>
        <row r="9847">
          <cell r="J9847" t="str">
            <v>INV-030925132936</v>
          </cell>
          <cell r="K9847" t="str">
            <v>Paid</v>
          </cell>
        </row>
        <row r="9848">
          <cell r="J9848" t="str">
            <v>INV-061025115712</v>
          </cell>
          <cell r="K9848" t="str">
            <v>Paid</v>
          </cell>
        </row>
        <row r="9849">
          <cell r="J9849" t="str">
            <v>INV-051125185756</v>
          </cell>
          <cell r="K9849" t="str">
            <v>Paid</v>
          </cell>
        </row>
        <row r="9850">
          <cell r="J9850" t="str">
            <v>INV-031225154714</v>
          </cell>
          <cell r="K9850" t="str">
            <v>Paid</v>
          </cell>
        </row>
        <row r="9851">
          <cell r="J9851" t="str">
            <v>INV-060126104317</v>
          </cell>
          <cell r="K9851" t="str">
            <v>Paid</v>
          </cell>
        </row>
        <row r="9852">
          <cell r="J9852" t="str">
            <v>INV-090226161845</v>
          </cell>
          <cell r="K9852" t="str">
            <v>Paid</v>
          </cell>
        </row>
        <row r="9853">
          <cell r="J9853" t="str">
            <v>INV-040326163001</v>
          </cell>
          <cell r="K9853" t="str">
            <v>Paid</v>
          </cell>
        </row>
        <row r="9854">
          <cell r="J9854" t="str">
            <v>INV-030426101140</v>
          </cell>
          <cell r="K9854" t="str">
            <v>Outstanding</v>
          </cell>
        </row>
        <row r="9855">
          <cell r="J9855" t="str">
            <v>INV-050526184408</v>
          </cell>
          <cell r="K9855" t="str">
            <v>Outstanding</v>
          </cell>
        </row>
        <row r="9856">
          <cell r="J9856" t="str">
            <v>INV-020626190918</v>
          </cell>
          <cell r="K9856" t="str">
            <v>Outstanding</v>
          </cell>
        </row>
        <row r="9857">
          <cell r="J9857" t="str">
            <v>INV-061023141431</v>
          </cell>
          <cell r="K9857" t="str">
            <v>Paid</v>
          </cell>
        </row>
        <row r="9858">
          <cell r="J9858" t="str">
            <v>INV-061123105330</v>
          </cell>
          <cell r="K9858" t="str">
            <v>Paid</v>
          </cell>
        </row>
        <row r="9859">
          <cell r="J9859" t="str">
            <v>CN-INV-240724134124</v>
          </cell>
          <cell r="K9859" t="str">
            <v>Paid</v>
          </cell>
        </row>
        <row r="9860">
          <cell r="J9860" t="str">
            <v>CN-INV-140525172451</v>
          </cell>
          <cell r="K9860" t="str">
            <v>Paid</v>
          </cell>
        </row>
        <row r="9861">
          <cell r="J9861" t="str">
            <v>INV2021-TRD-001</v>
          </cell>
          <cell r="K9861" t="str">
            <v>Paid</v>
          </cell>
        </row>
        <row r="9862">
          <cell r="J9862" t="str">
            <v>CN2021-TRD-001</v>
          </cell>
          <cell r="K9862" t="str">
            <v>Net Off</v>
          </cell>
        </row>
        <row r="9863">
          <cell r="J9863" t="str">
            <v>INV2021-TRD-002</v>
          </cell>
          <cell r="K9863" t="str">
            <v>Net Off</v>
          </cell>
        </row>
        <row r="9864">
          <cell r="J9864" t="str">
            <v>UKCARDS0015</v>
          </cell>
          <cell r="K9864" t="str">
            <v>Paid</v>
          </cell>
        </row>
        <row r="9865">
          <cell r="J9865" t="str">
            <v>INV-031122115220</v>
          </cell>
          <cell r="K9865" t="str">
            <v>Paid</v>
          </cell>
        </row>
        <row r="9866">
          <cell r="J9866" t="str">
            <v>INV-031122125406</v>
          </cell>
          <cell r="K9866" t="str">
            <v>Paid</v>
          </cell>
        </row>
        <row r="9867">
          <cell r="J9867" t="str">
            <v>INV-031122130713</v>
          </cell>
          <cell r="K9867" t="str">
            <v>Paid</v>
          </cell>
        </row>
        <row r="9868">
          <cell r="J9868" t="str">
            <v>INV-031122131130</v>
          </cell>
          <cell r="K9868" t="str">
            <v>Paid</v>
          </cell>
        </row>
        <row r="9869">
          <cell r="J9869" t="str">
            <v>INV-021222204811</v>
          </cell>
          <cell r="K9869" t="str">
            <v>Paid</v>
          </cell>
        </row>
        <row r="9870">
          <cell r="J9870" t="str">
            <v>INV-040123222024</v>
          </cell>
          <cell r="K9870" t="str">
            <v>Paid</v>
          </cell>
        </row>
        <row r="9871">
          <cell r="J9871" t="str">
            <v>CN-300123143130</v>
          </cell>
          <cell r="K9871" t="str">
            <v>Paid</v>
          </cell>
        </row>
        <row r="9872">
          <cell r="J9872" t="str">
            <v>INV-030223023617</v>
          </cell>
          <cell r="K9872" t="str">
            <v>Void</v>
          </cell>
        </row>
        <row r="9873">
          <cell r="J9873" t="str">
            <v>DN-140223220026</v>
          </cell>
          <cell r="K9873" t="str">
            <v>Paid</v>
          </cell>
        </row>
        <row r="9874">
          <cell r="J9874" t="str">
            <v>DN-140223233955</v>
          </cell>
          <cell r="K9874" t="str">
            <v>Paid</v>
          </cell>
        </row>
        <row r="9875">
          <cell r="J9875" t="str">
            <v>DN-140223234235</v>
          </cell>
          <cell r="K9875" t="str">
            <v>Paid</v>
          </cell>
        </row>
        <row r="9876">
          <cell r="J9876" t="str">
            <v>DN-140223234417</v>
          </cell>
          <cell r="K9876" t="str">
            <v>Paid</v>
          </cell>
        </row>
        <row r="9877">
          <cell r="J9877" t="str">
            <v>DN-140223234932</v>
          </cell>
          <cell r="K9877" t="str">
            <v>Paid</v>
          </cell>
        </row>
        <row r="9878">
          <cell r="J9878" t="str">
            <v>DN-140223235324</v>
          </cell>
          <cell r="K9878" t="str">
            <v>Paid</v>
          </cell>
        </row>
        <row r="9879">
          <cell r="J9879" t="str">
            <v>DN-140223235643</v>
          </cell>
          <cell r="K9879" t="str">
            <v>Paid</v>
          </cell>
        </row>
        <row r="9880">
          <cell r="J9880" t="str">
            <v>DN-140223230732</v>
          </cell>
          <cell r="K9880" t="str">
            <v>Void</v>
          </cell>
        </row>
        <row r="9881">
          <cell r="J9881" t="str">
            <v>CN-020323231344</v>
          </cell>
          <cell r="K9881" t="str">
            <v>Paid</v>
          </cell>
        </row>
        <row r="9882">
          <cell r="J9882" t="str">
            <v>INV-020323230634</v>
          </cell>
          <cell r="K9882" t="str">
            <v>Void</v>
          </cell>
        </row>
        <row r="9883">
          <cell r="J9883" t="str">
            <v>INV-040423125237</v>
          </cell>
          <cell r="K9883" t="str">
            <v>Void</v>
          </cell>
        </row>
        <row r="9884">
          <cell r="J9884" t="str">
            <v>DN-130423220517</v>
          </cell>
          <cell r="K9884" t="str">
            <v>Void</v>
          </cell>
        </row>
        <row r="9885">
          <cell r="J9885" t="str">
            <v>INV-030523195936</v>
          </cell>
          <cell r="K9885" t="str">
            <v>Void</v>
          </cell>
        </row>
        <row r="9886">
          <cell r="J9886" t="str">
            <v>CN-120523162415</v>
          </cell>
          <cell r="K9886" t="str">
            <v>Paid</v>
          </cell>
        </row>
        <row r="9887">
          <cell r="J9887" t="str">
            <v>INV-020623162650</v>
          </cell>
          <cell r="K9887" t="str">
            <v>Void</v>
          </cell>
        </row>
        <row r="9888">
          <cell r="J9888" t="str">
            <v>INV-Tred-Jan-2023</v>
          </cell>
          <cell r="K9888" t="str">
            <v>Paid</v>
          </cell>
        </row>
        <row r="9889">
          <cell r="J9889" t="str">
            <v>DN-120723095145</v>
          </cell>
          <cell r="K9889" t="str">
            <v>Paid</v>
          </cell>
        </row>
        <row r="9890">
          <cell r="J9890" t="str">
            <v>INV-Tred-Apr-2023</v>
          </cell>
          <cell r="K9890" t="str">
            <v>Paid</v>
          </cell>
        </row>
        <row r="9891">
          <cell r="J9891" t="str">
            <v>INV-Tred-Feb-2023</v>
          </cell>
          <cell r="K9891" t="str">
            <v>Paid</v>
          </cell>
        </row>
        <row r="9892">
          <cell r="J9892" t="str">
            <v>INV-Tred-Mar-2023</v>
          </cell>
          <cell r="K9892" t="str">
            <v>Paid</v>
          </cell>
        </row>
        <row r="9893">
          <cell r="J9893" t="str">
            <v>CN-Tred-190723</v>
          </cell>
          <cell r="K9893" t="str">
            <v>Paid</v>
          </cell>
        </row>
        <row r="9894">
          <cell r="J9894" t="str">
            <v>INV-Tred-June-2023</v>
          </cell>
          <cell r="K9894" t="str">
            <v>Paid</v>
          </cell>
        </row>
        <row r="9895">
          <cell r="J9895" t="str">
            <v>INV-Tred-May-2023</v>
          </cell>
          <cell r="K9895" t="str">
            <v>Paid</v>
          </cell>
        </row>
        <row r="9896">
          <cell r="J9896" t="str">
            <v>INV-Tred-July-2023</v>
          </cell>
          <cell r="K9896" t="str">
            <v>Paid</v>
          </cell>
        </row>
        <row r="9897">
          <cell r="J9897" t="str">
            <v>INV2022-TRD-001</v>
          </cell>
          <cell r="K9897" t="str">
            <v>Paid</v>
          </cell>
        </row>
        <row r="9898">
          <cell r="J9898" t="str">
            <v>INV2022-TRD-002</v>
          </cell>
          <cell r="K9898" t="str">
            <v>Paid</v>
          </cell>
        </row>
        <row r="9899">
          <cell r="J9899" t="str">
            <v>INV2022-TRD-003</v>
          </cell>
          <cell r="K9899" t="str">
            <v>Paid</v>
          </cell>
        </row>
        <row r="9900">
          <cell r="J9900" t="str">
            <v>INV2022-TRD-004</v>
          </cell>
          <cell r="K9900" t="str">
            <v>Paid</v>
          </cell>
        </row>
        <row r="9901">
          <cell r="J9901" t="str">
            <v>INV2022-TRD-005</v>
          </cell>
          <cell r="K9901" t="str">
            <v>Paid</v>
          </cell>
        </row>
        <row r="9902">
          <cell r="J9902" t="str">
            <v>CNUKCARDS0001</v>
          </cell>
          <cell r="K9902" t="str">
            <v>Net Off</v>
          </cell>
        </row>
        <row r="9903">
          <cell r="J9903" t="str">
            <v>INV2022-TRD-007</v>
          </cell>
          <cell r="K9903" t="str">
            <v>Paid</v>
          </cell>
        </row>
        <row r="9904">
          <cell r="J9904" t="str">
            <v>INV2022-TRD-006</v>
          </cell>
          <cell r="K9904" t="str">
            <v>Paid</v>
          </cell>
        </row>
        <row r="9905">
          <cell r="J9905" t="str">
            <v>INV2022-TRD-008</v>
          </cell>
          <cell r="K9905" t="str">
            <v>Paid</v>
          </cell>
        </row>
        <row r="9906">
          <cell r="J9906" t="str">
            <v>INV2023-TRD-001</v>
          </cell>
          <cell r="K9906" t="str">
            <v>Paid</v>
          </cell>
        </row>
        <row r="9907">
          <cell r="J9907" t="str">
            <v>INV2023-TRD-002</v>
          </cell>
          <cell r="K9907" t="str">
            <v>Paid</v>
          </cell>
        </row>
        <row r="9908">
          <cell r="J9908" t="str">
            <v>INV2023-TRD-003</v>
          </cell>
          <cell r="K9908" t="str">
            <v>Paid</v>
          </cell>
        </row>
        <row r="9909">
          <cell r="J9909" t="str">
            <v>INV2023-TRD-004</v>
          </cell>
          <cell r="K9909" t="str">
            <v>Paid</v>
          </cell>
        </row>
        <row r="9910">
          <cell r="J9910" t="str">
            <v>INV2023-TRD-005</v>
          </cell>
          <cell r="K9910" t="str">
            <v>Paid</v>
          </cell>
        </row>
        <row r="9911">
          <cell r="J9911" t="str">
            <v>INV2023-TRD-006</v>
          </cell>
          <cell r="K9911" t="str">
            <v>Paid</v>
          </cell>
        </row>
        <row r="9912">
          <cell r="J9912" t="str">
            <v>UKCARDS0010</v>
          </cell>
          <cell r="K9912" t="str">
            <v>Net Off</v>
          </cell>
        </row>
        <row r="9913">
          <cell r="J9913" t="str">
            <v>INV-051125181359</v>
          </cell>
          <cell r="K9913" t="str">
            <v>Paid</v>
          </cell>
        </row>
        <row r="9914">
          <cell r="J9914" t="str">
            <v>INV-031225190008</v>
          </cell>
          <cell r="K9914" t="str">
            <v>Paid</v>
          </cell>
        </row>
        <row r="9915">
          <cell r="J9915" t="str">
            <v>INV-050126123611</v>
          </cell>
          <cell r="K9915" t="str">
            <v>Paid</v>
          </cell>
        </row>
        <row r="9916">
          <cell r="J9916" t="str">
            <v>INV-050226030836</v>
          </cell>
          <cell r="K9916" t="str">
            <v>Paid</v>
          </cell>
        </row>
        <row r="9917">
          <cell r="J9917" t="str">
            <v>INV-050526160601</v>
          </cell>
          <cell r="K9917" t="str">
            <v>Paid</v>
          </cell>
        </row>
        <row r="9918">
          <cell r="J9918" t="str">
            <v>INV-020626151734</v>
          </cell>
          <cell r="K9918" t="str">
            <v>Outstanding</v>
          </cell>
        </row>
        <row r="9919">
          <cell r="J9919" t="str">
            <v>CARDS0093</v>
          </cell>
          <cell r="K9919" t="str">
            <v>Waived Off</v>
          </cell>
        </row>
        <row r="9920">
          <cell r="J9920" t="str">
            <v>CNCARDS0005</v>
          </cell>
          <cell r="K9920" t="str">
            <v>Waived Off</v>
          </cell>
        </row>
        <row r="9921">
          <cell r="J9921" t="str">
            <v>CARDS0110</v>
          </cell>
          <cell r="K9921" t="str">
            <v>Paid</v>
          </cell>
        </row>
        <row r="9922">
          <cell r="J9922" t="str">
            <v>CARDS0129</v>
          </cell>
          <cell r="K9922" t="str">
            <v>Paid</v>
          </cell>
        </row>
        <row r="9923">
          <cell r="J9923" t="str">
            <v>CARDS0146</v>
          </cell>
          <cell r="K9923" t="str">
            <v>Paid</v>
          </cell>
        </row>
        <row r="9924">
          <cell r="J9924" t="str">
            <v>CNCARDS0007</v>
          </cell>
          <cell r="K9924" t="str">
            <v>Paid</v>
          </cell>
        </row>
        <row r="9925">
          <cell r="J9925" t="str">
            <v>CARDS0165</v>
          </cell>
          <cell r="K9925" t="str">
            <v>Paid</v>
          </cell>
        </row>
        <row r="9926">
          <cell r="J9926" t="str">
            <v>CARDS0182</v>
          </cell>
          <cell r="K9926" t="str">
            <v>Paid</v>
          </cell>
        </row>
        <row r="9927">
          <cell r="J9927" t="str">
            <v>CNCARDS0013</v>
          </cell>
          <cell r="K9927" t="str">
            <v>Paid</v>
          </cell>
        </row>
        <row r="9928">
          <cell r="J9928" t="str">
            <v>CARDS0203</v>
          </cell>
          <cell r="K9928" t="str">
            <v>Paid</v>
          </cell>
        </row>
        <row r="9929">
          <cell r="J9929" t="str">
            <v>CARDS0224</v>
          </cell>
          <cell r="K9929" t="str">
            <v>Paid</v>
          </cell>
        </row>
        <row r="9930">
          <cell r="J9930" t="str">
            <v>CARDS0240</v>
          </cell>
          <cell r="K9930" t="str">
            <v>Paid</v>
          </cell>
        </row>
        <row r="9931">
          <cell r="J9931" t="str">
            <v>CARDS0257</v>
          </cell>
          <cell r="K9931" t="str">
            <v>Paid</v>
          </cell>
        </row>
        <row r="9932">
          <cell r="J9932" t="str">
            <v>CARDS0279</v>
          </cell>
          <cell r="K9932" t="str">
            <v>Paid</v>
          </cell>
        </row>
        <row r="9933">
          <cell r="J9933" t="str">
            <v>CNCARDS0019</v>
          </cell>
          <cell r="K9933" t="str">
            <v>Paid</v>
          </cell>
        </row>
        <row r="9934">
          <cell r="J9934" t="str">
            <v>CNCARDS0020</v>
          </cell>
          <cell r="K9934" t="str">
            <v>Paid</v>
          </cell>
        </row>
        <row r="9935">
          <cell r="J9935" t="str">
            <v>CARDS0298</v>
          </cell>
          <cell r="K9935" t="str">
            <v>Paid</v>
          </cell>
        </row>
        <row r="9936">
          <cell r="J9936" t="str">
            <v>CARDS0315</v>
          </cell>
          <cell r="K9936" t="str">
            <v>Waived Off</v>
          </cell>
        </row>
        <row r="9937">
          <cell r="J9937" t="str">
            <v>CARDS0299</v>
          </cell>
          <cell r="K9937" t="str">
            <v>Paid</v>
          </cell>
        </row>
        <row r="9938">
          <cell r="J9938" t="str">
            <v>INV-200226114219</v>
          </cell>
          <cell r="K9938" t="str">
            <v>Paid</v>
          </cell>
        </row>
        <row r="9939">
          <cell r="J9939" t="str">
            <v>INV-020426092754</v>
          </cell>
          <cell r="K9939" t="str">
            <v>Paid</v>
          </cell>
        </row>
        <row r="9940">
          <cell r="J9940" t="str">
            <v>INV-040526174528</v>
          </cell>
          <cell r="K9940" t="str">
            <v>Paid</v>
          </cell>
        </row>
        <row r="9941">
          <cell r="J9941" t="str">
            <v>INV-020626101937</v>
          </cell>
          <cell r="K9941" t="str">
            <v>Paid</v>
          </cell>
        </row>
        <row r="9942">
          <cell r="J9942" t="str">
            <v>CARDS0006</v>
          </cell>
          <cell r="K9942" t="str">
            <v>Waived Off</v>
          </cell>
        </row>
        <row r="9943">
          <cell r="J9943" t="str">
            <v>CARDS0018</v>
          </cell>
          <cell r="K9943" t="str">
            <v>Waived Off</v>
          </cell>
        </row>
        <row r="9944">
          <cell r="J9944" t="str">
            <v>CARDS0032</v>
          </cell>
          <cell r="K9944" t="str">
            <v>Waived Off</v>
          </cell>
        </row>
        <row r="9945">
          <cell r="J9945" t="str">
            <v>CARDS0047</v>
          </cell>
          <cell r="K9945" t="str">
            <v>Waived Off</v>
          </cell>
        </row>
        <row r="9946">
          <cell r="J9946" t="str">
            <v>CARDS0070</v>
          </cell>
          <cell r="K9946" t="str">
            <v>Waived Off</v>
          </cell>
        </row>
        <row r="9947">
          <cell r="J9947" t="str">
            <v>CARDS0083</v>
          </cell>
          <cell r="K9947" t="str">
            <v>Waived Off</v>
          </cell>
        </row>
        <row r="9948">
          <cell r="J9948" t="str">
            <v>CARDS0100</v>
          </cell>
          <cell r="K9948" t="str">
            <v>Waived Off</v>
          </cell>
        </row>
        <row r="9949">
          <cell r="J9949" t="str">
            <v>CARDS0119</v>
          </cell>
          <cell r="K9949" t="str">
            <v>Waived Off</v>
          </cell>
        </row>
        <row r="9950">
          <cell r="J9950" t="str">
            <v>INV-100725163328</v>
          </cell>
          <cell r="K9950" t="str">
            <v>Paid</v>
          </cell>
        </row>
        <row r="9951">
          <cell r="J9951" t="str">
            <v>INV-030125191809</v>
          </cell>
          <cell r="K9951" t="str">
            <v>Net Off</v>
          </cell>
        </row>
        <row r="9952">
          <cell r="J9952" t="str">
            <v>INV-140125122700</v>
          </cell>
          <cell r="K9952" t="str">
            <v>Net Off</v>
          </cell>
        </row>
        <row r="9953">
          <cell r="J9953" t="str">
            <v>CN-INV-090525120001</v>
          </cell>
          <cell r="K9953" t="str">
            <v>Net Off</v>
          </cell>
        </row>
        <row r="9954">
          <cell r="J9954" t="str">
            <v>CN-INV-090525120002</v>
          </cell>
          <cell r="K9954" t="str">
            <v>Net Off</v>
          </cell>
        </row>
        <row r="9955">
          <cell r="J9955" t="str">
            <v>INV-031025121633</v>
          </cell>
          <cell r="K9955" t="str">
            <v>Paid</v>
          </cell>
        </row>
        <row r="9956">
          <cell r="J9956" t="str">
            <v>INV-260224180952</v>
          </cell>
          <cell r="K9956" t="str">
            <v>Paid</v>
          </cell>
        </row>
        <row r="9957">
          <cell r="J9957" t="str">
            <v>INV-261023124729</v>
          </cell>
          <cell r="K9957" t="str">
            <v>Paid</v>
          </cell>
        </row>
        <row r="9958">
          <cell r="J9958" t="str">
            <v>INV-070524132620</v>
          </cell>
          <cell r="K9958" t="str">
            <v>Paid</v>
          </cell>
        </row>
        <row r="9959">
          <cell r="J9959" t="str">
            <v>INV-050724164636</v>
          </cell>
          <cell r="K9959" t="str">
            <v>Paid</v>
          </cell>
        </row>
        <row r="9960">
          <cell r="J9960" t="str">
            <v>INV-060624150225</v>
          </cell>
          <cell r="K9960" t="str">
            <v>Paid</v>
          </cell>
        </row>
        <row r="9961">
          <cell r="J9961" t="str">
            <v>INV-070824092953</v>
          </cell>
          <cell r="K9961" t="str">
            <v>Paid</v>
          </cell>
        </row>
        <row r="9962">
          <cell r="J9962" t="str">
            <v>INV-090924142517</v>
          </cell>
          <cell r="K9962" t="str">
            <v>Paid</v>
          </cell>
        </row>
        <row r="9963">
          <cell r="J9963" t="str">
            <v>INV-081024125530</v>
          </cell>
          <cell r="K9963" t="str">
            <v>Paid</v>
          </cell>
        </row>
        <row r="9964">
          <cell r="J9964" t="str">
            <v>INV-071124180447</v>
          </cell>
          <cell r="K9964" t="str">
            <v>Paid</v>
          </cell>
        </row>
        <row r="9965">
          <cell r="J9965" t="str">
            <v>INV-091224090545</v>
          </cell>
          <cell r="K9965" t="str">
            <v>Paid</v>
          </cell>
        </row>
        <row r="9966">
          <cell r="J9966" t="str">
            <v>INV-171224163000</v>
          </cell>
          <cell r="K9966" t="str">
            <v>Paid</v>
          </cell>
        </row>
        <row r="9967">
          <cell r="J9967" t="str">
            <v>INV-080125165158</v>
          </cell>
          <cell r="K9967" t="str">
            <v>Paid</v>
          </cell>
        </row>
        <row r="9968">
          <cell r="J9968" t="str">
            <v>INV-070225155502</v>
          </cell>
          <cell r="K9968" t="str">
            <v>Paid</v>
          </cell>
        </row>
        <row r="9969">
          <cell r="J9969" t="str">
            <v>INV-070325131707</v>
          </cell>
          <cell r="K9969" t="str">
            <v>Paid</v>
          </cell>
        </row>
        <row r="9970">
          <cell r="J9970" t="str">
            <v>INV-040425192741</v>
          </cell>
          <cell r="K9970" t="str">
            <v>Paid</v>
          </cell>
        </row>
        <row r="9971">
          <cell r="J9971" t="str">
            <v>INV-060525182450</v>
          </cell>
          <cell r="K9971" t="str">
            <v>Paid</v>
          </cell>
        </row>
        <row r="9972">
          <cell r="J9972" t="str">
            <v>INV-060625135050</v>
          </cell>
          <cell r="K9972" t="str">
            <v>Paid</v>
          </cell>
        </row>
        <row r="9973">
          <cell r="J9973" t="str">
            <v>INV-070725151526</v>
          </cell>
          <cell r="K9973" t="str">
            <v>Paid</v>
          </cell>
        </row>
        <row r="9974">
          <cell r="J9974" t="str">
            <v>INV-310725161012</v>
          </cell>
          <cell r="K9974" t="str">
            <v>Paid</v>
          </cell>
        </row>
        <row r="9975">
          <cell r="J9975" t="str">
            <v>INV-060825173835</v>
          </cell>
          <cell r="K9975" t="str">
            <v>Paid</v>
          </cell>
        </row>
        <row r="9976">
          <cell r="J9976" t="str">
            <v>INV-040925184049</v>
          </cell>
          <cell r="K9976" t="str">
            <v>Paid</v>
          </cell>
        </row>
        <row r="9977">
          <cell r="J9977" t="str">
            <v>INV-061025192237</v>
          </cell>
          <cell r="K9977" t="str">
            <v>Paid</v>
          </cell>
        </row>
        <row r="9978">
          <cell r="J9978" t="str">
            <v>INV-041225133346</v>
          </cell>
          <cell r="K9978" t="str">
            <v>Paid</v>
          </cell>
        </row>
        <row r="9979">
          <cell r="J9979" t="str">
            <v>INV-050126162405</v>
          </cell>
          <cell r="K9979" t="str">
            <v>Paid</v>
          </cell>
        </row>
        <row r="9980">
          <cell r="J9980" t="str">
            <v>INV-050226013844</v>
          </cell>
          <cell r="K9980" t="str">
            <v>Paid</v>
          </cell>
        </row>
        <row r="9981">
          <cell r="J9981" t="str">
            <v>INV-040326101049</v>
          </cell>
          <cell r="K9981" t="str">
            <v>Paid</v>
          </cell>
        </row>
        <row r="9982">
          <cell r="J9982" t="str">
            <v>INV-020426192507</v>
          </cell>
          <cell r="K9982" t="str">
            <v>Paid</v>
          </cell>
        </row>
        <row r="9983">
          <cell r="J9983" t="str">
            <v>INV-060526152413</v>
          </cell>
          <cell r="K9983" t="str">
            <v>Paid</v>
          </cell>
        </row>
        <row r="9984">
          <cell r="J9984" t="str">
            <v>INV-010626162728</v>
          </cell>
          <cell r="K9984" t="str">
            <v>Paid</v>
          </cell>
        </row>
        <row r="9985">
          <cell r="J9985" t="str">
            <v>NV2024-UQPAY-001</v>
          </cell>
          <cell r="K9985" t="str">
            <v>Paid</v>
          </cell>
        </row>
        <row r="9986">
          <cell r="J9986" t="str">
            <v>INV-010925101633</v>
          </cell>
          <cell r="K9986" t="str">
            <v>Paid</v>
          </cell>
        </row>
        <row r="9987">
          <cell r="J9987" t="str">
            <v>INV-050526121454</v>
          </cell>
          <cell r="K9987" t="str">
            <v>Paid</v>
          </cell>
        </row>
        <row r="9988">
          <cell r="J9988" t="str">
            <v>INV-020626160340</v>
          </cell>
          <cell r="K9988" t="str">
            <v>Paid</v>
          </cell>
        </row>
        <row r="9989">
          <cell r="J9989" t="str">
            <v>CARDS0059</v>
          </cell>
          <cell r="K9989" t="str">
            <v>Paid</v>
          </cell>
        </row>
        <row r="9990">
          <cell r="J9990" t="str">
            <v>EUCARDS0002</v>
          </cell>
          <cell r="K9990" t="str">
            <v>Paid</v>
          </cell>
        </row>
        <row r="9991">
          <cell r="J9991" t="str">
            <v>EUCARDS0003</v>
          </cell>
          <cell r="K9991" t="str">
            <v>Paid</v>
          </cell>
        </row>
        <row r="9992">
          <cell r="J9992" t="str">
            <v>EUCARDS0006</v>
          </cell>
          <cell r="K9992" t="str">
            <v>Paid</v>
          </cell>
        </row>
        <row r="9993">
          <cell r="J9993" t="str">
            <v>EUCARDS0009</v>
          </cell>
          <cell r="K9993" t="str">
            <v>Paid</v>
          </cell>
        </row>
        <row r="9994">
          <cell r="J9994" t="str">
            <v>EUCARDS0010</v>
          </cell>
          <cell r="K9994" t="str">
            <v>Paid</v>
          </cell>
        </row>
        <row r="9995">
          <cell r="J9995" t="str">
            <v>EUCARDS0013</v>
          </cell>
          <cell r="K9995" t="str">
            <v>Paid</v>
          </cell>
        </row>
        <row r="9996">
          <cell r="J9996" t="str">
            <v>EUCARDS0014</v>
          </cell>
          <cell r="K9996" t="str">
            <v>Paid</v>
          </cell>
        </row>
        <row r="9997">
          <cell r="J9997" t="str">
            <v>EUCARDS0015</v>
          </cell>
          <cell r="K9997" t="str">
            <v>Paid</v>
          </cell>
        </row>
        <row r="9998">
          <cell r="J9998" t="str">
            <v>EUCARDS0016</v>
          </cell>
          <cell r="K9998" t="str">
            <v>Paid</v>
          </cell>
        </row>
        <row r="9999">
          <cell r="J9999" t="str">
            <v>EUCARDS0017</v>
          </cell>
          <cell r="K9999" t="str">
            <v>Paid</v>
          </cell>
        </row>
        <row r="10000">
          <cell r="J10000" t="str">
            <v>EUCARDS0018</v>
          </cell>
          <cell r="K10000" t="str">
            <v>Paid</v>
          </cell>
        </row>
        <row r="10001">
          <cell r="J10001" t="str">
            <v>INV-071122155743</v>
          </cell>
          <cell r="K10001" t="str">
            <v>Paid</v>
          </cell>
        </row>
        <row r="10002">
          <cell r="J10002" t="str">
            <v>INV-071222232216</v>
          </cell>
          <cell r="K10002" t="str">
            <v>Paid</v>
          </cell>
        </row>
        <row r="10003">
          <cell r="J10003" t="str">
            <v>INV-060123170000</v>
          </cell>
          <cell r="K10003" t="str">
            <v>Paid</v>
          </cell>
        </row>
        <row r="10004">
          <cell r="J10004" t="str">
            <v>INV-060223165622</v>
          </cell>
          <cell r="K10004" t="str">
            <v>Paid</v>
          </cell>
        </row>
        <row r="10005">
          <cell r="J10005" t="str">
            <v>INV-070323223132</v>
          </cell>
          <cell r="K10005" t="str">
            <v>Paid</v>
          </cell>
        </row>
        <row r="10006">
          <cell r="J10006" t="str">
            <v>INV-060423180712</v>
          </cell>
          <cell r="K10006" t="str">
            <v>Paid</v>
          </cell>
        </row>
        <row r="10007">
          <cell r="J10007" t="str">
            <v>INV-040523155725</v>
          </cell>
          <cell r="K10007" t="str">
            <v>Paid</v>
          </cell>
        </row>
        <row r="10008">
          <cell r="J10008" t="str">
            <v>INV-051023160457</v>
          </cell>
          <cell r="K10008" t="str">
            <v>Paid</v>
          </cell>
        </row>
        <row r="10009">
          <cell r="J10009" t="str">
            <v>INV-060623155129</v>
          </cell>
          <cell r="K10009" t="str">
            <v>Paid</v>
          </cell>
        </row>
        <row r="10010">
          <cell r="J10010" t="str">
            <v>INV-060923134432</v>
          </cell>
          <cell r="K10010" t="str">
            <v>Paid</v>
          </cell>
        </row>
        <row r="10011">
          <cell r="J10011" t="str">
            <v>INV-061223125221</v>
          </cell>
          <cell r="K10011" t="str">
            <v>Paid</v>
          </cell>
        </row>
        <row r="10012">
          <cell r="J10012" t="str">
            <v>INV-060723170937</v>
          </cell>
          <cell r="K10012" t="str">
            <v>Paid</v>
          </cell>
        </row>
        <row r="10013">
          <cell r="J10013" t="str">
            <v>INV-040823182137</v>
          </cell>
          <cell r="K10013" t="str">
            <v>Paid</v>
          </cell>
        </row>
        <row r="10014">
          <cell r="J10014" t="str">
            <v>INV-061123162554</v>
          </cell>
          <cell r="K10014" t="str">
            <v>Paid</v>
          </cell>
        </row>
        <row r="10015">
          <cell r="J10015" t="str">
            <v>INV-050124145403</v>
          </cell>
          <cell r="K10015" t="str">
            <v>Paid</v>
          </cell>
        </row>
        <row r="10016">
          <cell r="J10016" t="str">
            <v>INV-070224182030</v>
          </cell>
          <cell r="K10016" t="str">
            <v>Paid</v>
          </cell>
        </row>
        <row r="10017">
          <cell r="J10017" t="str">
            <v>INV-070324155250</v>
          </cell>
          <cell r="K10017" t="str">
            <v>Paid</v>
          </cell>
        </row>
        <row r="10018">
          <cell r="J10018" t="str">
            <v>INV-050424111736</v>
          </cell>
          <cell r="K10018" t="str">
            <v>Paid</v>
          </cell>
        </row>
        <row r="10019">
          <cell r="J10019" t="str">
            <v>INV-070524110145</v>
          </cell>
          <cell r="K10019" t="str">
            <v>Paid</v>
          </cell>
        </row>
        <row r="10020">
          <cell r="J10020" t="str">
            <v>INV-050724150629</v>
          </cell>
          <cell r="K10020" t="str">
            <v>Paid</v>
          </cell>
        </row>
        <row r="10021">
          <cell r="J10021" t="str">
            <v>INV-070624123119</v>
          </cell>
          <cell r="K10021" t="str">
            <v>Paid</v>
          </cell>
        </row>
        <row r="10022">
          <cell r="J10022" t="str">
            <v>INV-070824124439</v>
          </cell>
          <cell r="K10022" t="str">
            <v>Paid</v>
          </cell>
        </row>
        <row r="10023">
          <cell r="J10023" t="str">
            <v>INV-081124163841</v>
          </cell>
          <cell r="K10023" t="str">
            <v>Paid</v>
          </cell>
        </row>
        <row r="10024">
          <cell r="J10024" t="str">
            <v>INV-090924121325</v>
          </cell>
          <cell r="K10024" t="str">
            <v>Paid</v>
          </cell>
        </row>
        <row r="10025">
          <cell r="J10025" t="str">
            <v>INV-101024135750</v>
          </cell>
          <cell r="K10025" t="str">
            <v>Paid</v>
          </cell>
        </row>
        <row r="10026">
          <cell r="J10026" t="str">
            <v>INV-031123150047</v>
          </cell>
          <cell r="K10026" t="str">
            <v>Paid</v>
          </cell>
        </row>
        <row r="10027">
          <cell r="J10027" t="str">
            <v>INV-040923185440</v>
          </cell>
          <cell r="K10027" t="str">
            <v>Paid</v>
          </cell>
        </row>
        <row r="10028">
          <cell r="J10028" t="str">
            <v>INV-051023122019</v>
          </cell>
          <cell r="K10028" t="str">
            <v>Paid</v>
          </cell>
        </row>
        <row r="10029">
          <cell r="J10029" t="str">
            <v>INV-051223151915</v>
          </cell>
          <cell r="K10029" t="str">
            <v>Paid</v>
          </cell>
        </row>
        <row r="10030">
          <cell r="J10030" t="str">
            <v>INV-190623175137</v>
          </cell>
          <cell r="K10030" t="str">
            <v>Paid</v>
          </cell>
        </row>
        <row r="10031">
          <cell r="J10031" t="str">
            <v>INV-050723113326</v>
          </cell>
          <cell r="K10031" t="str">
            <v>Paid</v>
          </cell>
        </row>
        <row r="10032">
          <cell r="J10032" t="str">
            <v>INV-030823180437</v>
          </cell>
          <cell r="K10032" t="str">
            <v>Paid</v>
          </cell>
        </row>
        <row r="10033">
          <cell r="J10033" t="str">
            <v>INV-040124170610</v>
          </cell>
          <cell r="K10033" t="str">
            <v>Paid</v>
          </cell>
        </row>
        <row r="10034">
          <cell r="J10034" t="str">
            <v>INV-070224112622</v>
          </cell>
          <cell r="K10034" t="str">
            <v>Paid</v>
          </cell>
        </row>
        <row r="10035">
          <cell r="J10035" t="str">
            <v>INV-060324175024</v>
          </cell>
          <cell r="K10035" t="str">
            <v>Paid</v>
          </cell>
        </row>
        <row r="10036">
          <cell r="J10036" t="str">
            <v>INV-050424132352</v>
          </cell>
          <cell r="K10036" t="str">
            <v>Paid</v>
          </cell>
        </row>
        <row r="10037">
          <cell r="J10037" t="str">
            <v>INV-061123154020</v>
          </cell>
          <cell r="K10037" t="str">
            <v>Net Off</v>
          </cell>
        </row>
        <row r="10038">
          <cell r="J10038" t="str">
            <v>CN-INV-240325151112</v>
          </cell>
          <cell r="K10038" t="str">
            <v>Net Off</v>
          </cell>
        </row>
        <row r="10039">
          <cell r="J10039" t="str">
            <v>INV-040725125833</v>
          </cell>
          <cell r="K10039" t="str">
            <v>Paid</v>
          </cell>
        </row>
        <row r="10040">
          <cell r="J10040" t="str">
            <v>INV-060825104959</v>
          </cell>
          <cell r="K10040" t="str">
            <v>Paid</v>
          </cell>
        </row>
        <row r="10041">
          <cell r="J10041" t="str">
            <v>INV-030925144932</v>
          </cell>
          <cell r="K10041" t="str">
            <v>Paid</v>
          </cell>
        </row>
        <row r="10042">
          <cell r="J10042" t="str">
            <v>INV-061025123637</v>
          </cell>
          <cell r="K10042" t="str">
            <v>Paid</v>
          </cell>
        </row>
        <row r="10043">
          <cell r="J10043" t="str">
            <v>INV-061125102214</v>
          </cell>
          <cell r="K10043" t="str">
            <v>Paid</v>
          </cell>
        </row>
        <row r="10044">
          <cell r="J10044" t="str">
            <v>INV-041225131509</v>
          </cell>
          <cell r="K10044" t="str">
            <v>Paid</v>
          </cell>
        </row>
        <row r="10045">
          <cell r="J10045" t="str">
            <v>INV-060126174349</v>
          </cell>
          <cell r="K10045" t="str">
            <v>Paid</v>
          </cell>
        </row>
        <row r="10046">
          <cell r="J10046" t="str">
            <v>INV-020226191330</v>
          </cell>
          <cell r="K10046" t="str">
            <v>Paid</v>
          </cell>
        </row>
        <row r="10047">
          <cell r="J10047" t="str">
            <v>INV-060226140346</v>
          </cell>
          <cell r="K10047" t="str">
            <v>Paid</v>
          </cell>
        </row>
        <row r="10048">
          <cell r="J10048" t="str">
            <v>INV-040326124857</v>
          </cell>
          <cell r="K10048" t="str">
            <v>Paid</v>
          </cell>
        </row>
        <row r="10049">
          <cell r="J10049" t="str">
            <v>INV-030426111158</v>
          </cell>
          <cell r="K10049" t="str">
            <v>Paid</v>
          </cell>
        </row>
        <row r="10050">
          <cell r="J10050" t="str">
            <v>INV-200526091517</v>
          </cell>
          <cell r="K10050" t="str">
            <v>Paid</v>
          </cell>
        </row>
        <row r="10051">
          <cell r="J10051" t="str">
            <v>INV-030626154611</v>
          </cell>
          <cell r="K10051" t="str">
            <v>Paid</v>
          </cell>
        </row>
        <row r="10052">
          <cell r="J10052" t="str">
            <v>INV-191125010000</v>
          </cell>
          <cell r="K10052" t="str">
            <v>Paid</v>
          </cell>
        </row>
        <row r="10053">
          <cell r="J10053" t="str">
            <v>INV2021-VIS-001</v>
          </cell>
          <cell r="K10053" t="str">
            <v>Paid</v>
          </cell>
        </row>
        <row r="10054">
          <cell r="J10054" t="str">
            <v>HKCARDS0010</v>
          </cell>
          <cell r="K10054" t="str">
            <v>Paid</v>
          </cell>
        </row>
        <row r="10055">
          <cell r="J10055" t="str">
            <v>AUCARDS0026</v>
          </cell>
          <cell r="K10055" t="str">
            <v>Waived Off</v>
          </cell>
        </row>
        <row r="10056">
          <cell r="J10056" t="str">
            <v>AUCARDS0030</v>
          </cell>
          <cell r="K10056" t="str">
            <v>Waived Off</v>
          </cell>
        </row>
        <row r="10057">
          <cell r="J10057" t="str">
            <v>INV-050424201313</v>
          </cell>
          <cell r="K10057" t="str">
            <v>Paid</v>
          </cell>
        </row>
        <row r="10058">
          <cell r="J10058" t="str">
            <v>INV-050724111425</v>
          </cell>
          <cell r="K10058" t="str">
            <v>Paid</v>
          </cell>
        </row>
        <row r="10059">
          <cell r="J10059" t="str">
            <v>INV-060624170627</v>
          </cell>
          <cell r="K10059" t="str">
            <v>Paid</v>
          </cell>
        </row>
        <row r="10060">
          <cell r="J10060" t="str">
            <v>INV-060824130033</v>
          </cell>
          <cell r="K10060" t="str">
            <v>Paid</v>
          </cell>
        </row>
        <row r="10061">
          <cell r="J10061" t="str">
            <v>INV-061224113445</v>
          </cell>
          <cell r="K10061" t="str">
            <v>Paid</v>
          </cell>
        </row>
        <row r="10062">
          <cell r="J10062" t="str">
            <v>INV-060924152713</v>
          </cell>
          <cell r="K10062" t="str">
            <v>Paid</v>
          </cell>
        </row>
        <row r="10063">
          <cell r="J10063" t="str">
            <v>INV-091024095400</v>
          </cell>
          <cell r="K10063" t="str">
            <v>Paid</v>
          </cell>
        </row>
        <row r="10064">
          <cell r="J10064" t="str">
            <v>INV-081124150342</v>
          </cell>
          <cell r="K10064" t="str">
            <v>Paid</v>
          </cell>
        </row>
        <row r="10065">
          <cell r="J10065" t="str">
            <v>INV-070125153218</v>
          </cell>
          <cell r="K10065" t="str">
            <v>Paid</v>
          </cell>
        </row>
        <row r="10066">
          <cell r="J10066" t="str">
            <v>INV-060225143810</v>
          </cell>
          <cell r="K10066" t="str">
            <v>Paid</v>
          </cell>
        </row>
        <row r="10067">
          <cell r="J10067" t="str">
            <v>INV-050325170259</v>
          </cell>
          <cell r="K10067" t="str">
            <v>Paid</v>
          </cell>
        </row>
        <row r="10068">
          <cell r="J10068" t="str">
            <v>INV-040425093017</v>
          </cell>
          <cell r="K10068" t="str">
            <v>Paid</v>
          </cell>
        </row>
        <row r="10069">
          <cell r="J10069" t="str">
            <v>INV-060525121509</v>
          </cell>
          <cell r="K10069" t="str">
            <v>Paid</v>
          </cell>
        </row>
        <row r="10070">
          <cell r="J10070" t="str">
            <v>INV-050625114642</v>
          </cell>
          <cell r="K10070" t="str">
            <v>Paid</v>
          </cell>
        </row>
        <row r="10071">
          <cell r="J10071" t="str">
            <v>INV-040725160022</v>
          </cell>
          <cell r="K10071" t="str">
            <v>Paid</v>
          </cell>
        </row>
        <row r="10072">
          <cell r="J10072" t="str">
            <v>INV-060825105734</v>
          </cell>
          <cell r="K10072" t="str">
            <v>Paid</v>
          </cell>
        </row>
        <row r="10073">
          <cell r="J10073" t="str">
            <v>INV-040925095830</v>
          </cell>
          <cell r="K10073" t="str">
            <v>Paid</v>
          </cell>
        </row>
        <row r="10074">
          <cell r="J10074" t="str">
            <v>INV-061025143320</v>
          </cell>
          <cell r="K10074" t="str">
            <v>Paid</v>
          </cell>
        </row>
        <row r="10075">
          <cell r="J10075" t="str">
            <v>INV-070226184910</v>
          </cell>
          <cell r="K10075" t="str">
            <v>Paid</v>
          </cell>
        </row>
        <row r="10076">
          <cell r="J10076" t="str">
            <v>INV-200526094023</v>
          </cell>
          <cell r="K10076" t="str">
            <v>Paid</v>
          </cell>
        </row>
        <row r="10077">
          <cell r="J10077" t="str">
            <v>INV-040626193255</v>
          </cell>
          <cell r="K10077" t="str">
            <v>Outstanding</v>
          </cell>
        </row>
        <row r="10078">
          <cell r="J10078" t="str">
            <v>INV-110626174025</v>
          </cell>
          <cell r="K10078" t="str">
            <v>Outstanding</v>
          </cell>
        </row>
        <row r="10079">
          <cell r="J10079" t="str">
            <v>CARDS0007</v>
          </cell>
          <cell r="K10079" t="str">
            <v>Paid</v>
          </cell>
        </row>
        <row r="10080">
          <cell r="J10080" t="str">
            <v>CARDS0019</v>
          </cell>
          <cell r="K10080" t="str">
            <v>Paid</v>
          </cell>
        </row>
        <row r="10081">
          <cell r="J10081" t="str">
            <v>CARDS0033</v>
          </cell>
          <cell r="K10081" t="str">
            <v>Paid</v>
          </cell>
        </row>
        <row r="10082">
          <cell r="J10082" t="str">
            <v>CARDS0048</v>
          </cell>
          <cell r="K10082" t="str">
            <v>Paid</v>
          </cell>
        </row>
        <row r="10083">
          <cell r="J10083" t="str">
            <v>CARDS0071</v>
          </cell>
          <cell r="K10083" t="str">
            <v>Paid</v>
          </cell>
        </row>
        <row r="10084">
          <cell r="J10084" t="str">
            <v>CARDS0084</v>
          </cell>
          <cell r="K10084" t="str">
            <v>Paid</v>
          </cell>
        </row>
        <row r="10085">
          <cell r="J10085" t="str">
            <v>CARDS0101</v>
          </cell>
          <cell r="K10085" t="str">
            <v>Paid</v>
          </cell>
        </row>
        <row r="10086">
          <cell r="J10086" t="str">
            <v>CARDS0120</v>
          </cell>
          <cell r="K10086" t="str">
            <v>Paid</v>
          </cell>
        </row>
        <row r="10087">
          <cell r="J10087" t="str">
            <v>CARDS0137</v>
          </cell>
          <cell r="K10087" t="str">
            <v>Paid</v>
          </cell>
        </row>
        <row r="10088">
          <cell r="J10088" t="str">
            <v>CARDS0157</v>
          </cell>
          <cell r="K10088" t="str">
            <v>Paid</v>
          </cell>
        </row>
        <row r="10089">
          <cell r="J10089" t="str">
            <v>CARDS0173</v>
          </cell>
          <cell r="K10089" t="str">
            <v>Paid</v>
          </cell>
        </row>
        <row r="10090">
          <cell r="J10090" t="str">
            <v>CARDS0195</v>
          </cell>
          <cell r="K10090" t="str">
            <v>Paid</v>
          </cell>
        </row>
        <row r="10091">
          <cell r="J10091" t="str">
            <v>INV-2022-VLP-001</v>
          </cell>
          <cell r="K10091" t="str">
            <v>Paid</v>
          </cell>
        </row>
        <row r="10092">
          <cell r="J10092" t="str">
            <v>CARDS0215</v>
          </cell>
          <cell r="K10092" t="str">
            <v>Paid</v>
          </cell>
        </row>
        <row r="10093">
          <cell r="J10093" t="str">
            <v>CARDS0232</v>
          </cell>
          <cell r="K10093" t="str">
            <v>Paid</v>
          </cell>
        </row>
        <row r="10094">
          <cell r="J10094" t="str">
            <v>CARDS0249</v>
          </cell>
          <cell r="K10094" t="str">
            <v>Paid</v>
          </cell>
        </row>
        <row r="10095">
          <cell r="J10095" t="str">
            <v>CARDS0270</v>
          </cell>
          <cell r="K10095" t="str">
            <v>Net Off</v>
          </cell>
        </row>
        <row r="10096">
          <cell r="J10096" t="str">
            <v>DNCARDS0012</v>
          </cell>
          <cell r="K10096" t="str">
            <v>Net Off</v>
          </cell>
        </row>
        <row r="10097">
          <cell r="J10097" t="str">
            <v>CARDS0288</v>
          </cell>
          <cell r="K10097" t="str">
            <v>Net Off</v>
          </cell>
        </row>
        <row r="10098">
          <cell r="J10098" t="str">
            <v>CARDS0306</v>
          </cell>
          <cell r="K10098" t="str">
            <v>Paid</v>
          </cell>
        </row>
        <row r="10099">
          <cell r="J10099" t="str">
            <v>INV2022-VLP-002</v>
          </cell>
          <cell r="K10099" t="str">
            <v>Paid</v>
          </cell>
        </row>
        <row r="10100">
          <cell r="J10100" t="str">
            <v>CARDS0319</v>
          </cell>
          <cell r="K10100" t="str">
            <v>Paid</v>
          </cell>
        </row>
        <row r="10101">
          <cell r="J10101" t="str">
            <v>CARDS0333</v>
          </cell>
          <cell r="K10101" t="str">
            <v>Paid</v>
          </cell>
        </row>
        <row r="10102">
          <cell r="J10102" t="str">
            <v>CNCARDS0029</v>
          </cell>
          <cell r="K10102" t="str">
            <v>Net Off</v>
          </cell>
        </row>
        <row r="10103">
          <cell r="J10103" t="str">
            <v>CNCARDS0030</v>
          </cell>
          <cell r="K10103" t="str">
            <v>Net Off</v>
          </cell>
        </row>
        <row r="10104">
          <cell r="J10104" t="str">
            <v>CNCARDS0031</v>
          </cell>
          <cell r="K10104" t="str">
            <v>Net Off</v>
          </cell>
        </row>
        <row r="10105">
          <cell r="J10105" t="str">
            <v>CARDS0347</v>
          </cell>
          <cell r="K10105" t="str">
            <v>Paid</v>
          </cell>
        </row>
        <row r="10106">
          <cell r="J10106" t="str">
            <v>CNCARDS0028</v>
          </cell>
          <cell r="K10106" t="str">
            <v>Paid</v>
          </cell>
        </row>
        <row r="10107">
          <cell r="J10107" t="str">
            <v>CARDS0349</v>
          </cell>
          <cell r="K10107" t="str">
            <v>Paid</v>
          </cell>
        </row>
        <row r="10108">
          <cell r="J10108" t="str">
            <v>INV2023-VLP-003</v>
          </cell>
          <cell r="K10108" t="str">
            <v>Paid</v>
          </cell>
        </row>
        <row r="10109">
          <cell r="J10109" t="str">
            <v>CN-040423174028</v>
          </cell>
          <cell r="K10109" t="str">
            <v>Paid</v>
          </cell>
        </row>
        <row r="10110">
          <cell r="J10110" t="str">
            <v>INV-180123103214</v>
          </cell>
          <cell r="K10110" t="str">
            <v>Paid</v>
          </cell>
        </row>
        <row r="10111">
          <cell r="J10111" t="str">
            <v>INV-180123175842</v>
          </cell>
          <cell r="K10111" t="str">
            <v>Paid</v>
          </cell>
        </row>
        <row r="10112">
          <cell r="J10112" t="str">
            <v>INV-180123225553</v>
          </cell>
          <cell r="K10112" t="str">
            <v>Paid</v>
          </cell>
        </row>
        <row r="10113">
          <cell r="J10113" t="str">
            <v>INV-230223221537</v>
          </cell>
          <cell r="K10113" t="str">
            <v>Paid</v>
          </cell>
        </row>
        <row r="10114">
          <cell r="J10114" t="str">
            <v>INV-020323173825</v>
          </cell>
          <cell r="K10114" t="str">
            <v>Paid</v>
          </cell>
        </row>
        <row r="10115">
          <cell r="J10115" t="str">
            <v>INV-040423141022</v>
          </cell>
          <cell r="K10115" t="str">
            <v>Paid</v>
          </cell>
        </row>
        <row r="10116">
          <cell r="J10116" t="str">
            <v>INV-040923172016</v>
          </cell>
          <cell r="K10116" t="str">
            <v>Paid</v>
          </cell>
        </row>
        <row r="10117">
          <cell r="J10117" t="str">
            <v>INV-030523155824</v>
          </cell>
          <cell r="K10117" t="str">
            <v>Paid</v>
          </cell>
        </row>
        <row r="10118">
          <cell r="J10118" t="str">
            <v>INV-051023113441</v>
          </cell>
          <cell r="K10118" t="str">
            <v>Paid</v>
          </cell>
        </row>
        <row r="10119">
          <cell r="J10119" t="str">
            <v>DN-230523112424</v>
          </cell>
          <cell r="K10119" t="str">
            <v>Paid</v>
          </cell>
        </row>
        <row r="10120">
          <cell r="J10120" t="str">
            <v>INV-080623163453</v>
          </cell>
          <cell r="K10120" t="str">
            <v>Paid</v>
          </cell>
        </row>
        <row r="10121">
          <cell r="J10121" t="str">
            <v>INV-040723113510</v>
          </cell>
          <cell r="K10121" t="str">
            <v>Paid</v>
          </cell>
        </row>
        <row r="10122">
          <cell r="J10122" t="str">
            <v>INV-030823104619</v>
          </cell>
          <cell r="K10122" t="str">
            <v>Paid</v>
          </cell>
        </row>
        <row r="10123">
          <cell r="J10123" t="str">
            <v>INV-031123170310</v>
          </cell>
          <cell r="K10123" t="str">
            <v>Paid</v>
          </cell>
        </row>
        <row r="10124">
          <cell r="J10124" t="str">
            <v>INV-051223163638</v>
          </cell>
          <cell r="K10124" t="str">
            <v>Paid</v>
          </cell>
        </row>
        <row r="10125">
          <cell r="J10125" t="str">
            <v>INV-050124161702</v>
          </cell>
          <cell r="K10125" t="str">
            <v>Paid</v>
          </cell>
        </row>
        <row r="10126">
          <cell r="J10126" t="str">
            <v>INV-070224150843</v>
          </cell>
          <cell r="K10126" t="str">
            <v>Paid</v>
          </cell>
        </row>
        <row r="10127">
          <cell r="J10127" t="str">
            <v>INV-120324164048</v>
          </cell>
          <cell r="K10127" t="str">
            <v>Paid</v>
          </cell>
        </row>
        <row r="10128">
          <cell r="J10128" t="str">
            <v>INV-070524153854</v>
          </cell>
          <cell r="K10128" t="str">
            <v>Paid</v>
          </cell>
        </row>
        <row r="10129">
          <cell r="J10129" t="str">
            <v>INV-061125120844</v>
          </cell>
          <cell r="K10129" t="str">
            <v>Paid</v>
          </cell>
        </row>
        <row r="10130">
          <cell r="J10130" t="str">
            <v>INV-041225180916</v>
          </cell>
          <cell r="K10130" t="str">
            <v>Paid</v>
          </cell>
        </row>
        <row r="10131">
          <cell r="J10131" t="str">
            <v>INV-060126133501</v>
          </cell>
          <cell r="K10131" t="str">
            <v>Paid</v>
          </cell>
        </row>
        <row r="10132">
          <cell r="J10132" t="str">
            <v>INV-040326154927</v>
          </cell>
          <cell r="K10132" t="str">
            <v>Paid</v>
          </cell>
        </row>
        <row r="10133">
          <cell r="J10133" t="str">
            <v>INV-030426115025</v>
          </cell>
          <cell r="K10133" t="str">
            <v>Paid</v>
          </cell>
        </row>
        <row r="10134">
          <cell r="J10134" t="str">
            <v>INV-040626092813</v>
          </cell>
          <cell r="K10134" t="str">
            <v>Outstanding</v>
          </cell>
        </row>
        <row r="10135">
          <cell r="J10135" t="str">
            <v>INV-031225194327</v>
          </cell>
          <cell r="K10135" t="str">
            <v>Paid</v>
          </cell>
        </row>
        <row r="10136">
          <cell r="J10136" t="str">
            <v>INV-050126135014</v>
          </cell>
          <cell r="K10136" t="str">
            <v>Paid</v>
          </cell>
        </row>
        <row r="10137">
          <cell r="J10137" t="str">
            <v>INV-060226162531</v>
          </cell>
          <cell r="K10137" t="str">
            <v>Paid</v>
          </cell>
        </row>
        <row r="10138">
          <cell r="J10138" t="str">
            <v>INV-040326124250</v>
          </cell>
          <cell r="K10138" t="str">
            <v>Paid</v>
          </cell>
        </row>
        <row r="10139">
          <cell r="J10139" t="str">
            <v>INV-030426151839</v>
          </cell>
          <cell r="K10139" t="str">
            <v>Paid</v>
          </cell>
        </row>
        <row r="10140">
          <cell r="J10140" t="str">
            <v>INV-060526134523</v>
          </cell>
          <cell r="K10140" t="str">
            <v>Outstanding</v>
          </cell>
        </row>
        <row r="10141">
          <cell r="J10141" t="str">
            <v>INV-020626123406</v>
          </cell>
          <cell r="K10141" t="str">
            <v>Paid</v>
          </cell>
        </row>
        <row r="10142">
          <cell r="J10142" t="str">
            <v>INV-090326122650</v>
          </cell>
          <cell r="K10142" t="str">
            <v>Paid</v>
          </cell>
        </row>
        <row r="10143">
          <cell r="J10143" t="str">
            <v>INV-040526152847</v>
          </cell>
          <cell r="K10143" t="str">
            <v>Paid</v>
          </cell>
        </row>
        <row r="10144">
          <cell r="J10144" t="str">
            <v>INV-020626181458</v>
          </cell>
          <cell r="K10144" t="str">
            <v>Paid</v>
          </cell>
        </row>
        <row r="10145">
          <cell r="J10145" t="str">
            <v>INV-090425103443</v>
          </cell>
          <cell r="K10145" t="str">
            <v>Paid</v>
          </cell>
        </row>
        <row r="10146">
          <cell r="J10146" t="str">
            <v>INV-040625193135</v>
          </cell>
          <cell r="K10146" t="str">
            <v>Paid</v>
          </cell>
        </row>
        <row r="10147">
          <cell r="J10147" t="str">
            <v>INV-030725153101</v>
          </cell>
          <cell r="K10147" t="str">
            <v>Paid</v>
          </cell>
        </row>
        <row r="10148">
          <cell r="J10148" t="str">
            <v>INV-040825175446</v>
          </cell>
          <cell r="K10148" t="str">
            <v>Paid</v>
          </cell>
        </row>
        <row r="10149">
          <cell r="J10149" t="str">
            <v>INV-020925165245</v>
          </cell>
          <cell r="K10149" t="str">
            <v>Paid</v>
          </cell>
        </row>
        <row r="10150">
          <cell r="J10150" t="str">
            <v>INV-021025152654</v>
          </cell>
          <cell r="K10150" t="str">
            <v>Paid</v>
          </cell>
        </row>
        <row r="10151">
          <cell r="J10151" t="str">
            <v>INV-051125115913</v>
          </cell>
          <cell r="K10151" t="str">
            <v>Paid</v>
          </cell>
        </row>
        <row r="10152">
          <cell r="J10152" t="str">
            <v>INV-031225152131</v>
          </cell>
          <cell r="K10152" t="str">
            <v>Paid</v>
          </cell>
        </row>
        <row r="10153">
          <cell r="J10153" t="str">
            <v>INV-050126102817</v>
          </cell>
          <cell r="K10153" t="str">
            <v>Paid</v>
          </cell>
        </row>
        <row r="10154">
          <cell r="J10154" t="str">
            <v>INV-040226184037</v>
          </cell>
          <cell r="K10154" t="str">
            <v>Paid</v>
          </cell>
        </row>
        <row r="10155">
          <cell r="J10155" t="str">
            <v>INV-030326151001</v>
          </cell>
          <cell r="K10155" t="str">
            <v>Paid</v>
          </cell>
        </row>
        <row r="10156">
          <cell r="J10156" t="str">
            <v>INV-020426130314</v>
          </cell>
          <cell r="K10156" t="str">
            <v>Paid</v>
          </cell>
        </row>
        <row r="10157">
          <cell r="J10157" t="str">
            <v>INV-050526111959</v>
          </cell>
          <cell r="K10157" t="str">
            <v>Paid</v>
          </cell>
        </row>
        <row r="10158">
          <cell r="J10158" t="str">
            <v>INV-040626145603</v>
          </cell>
          <cell r="K10158" t="str">
            <v>Paid</v>
          </cell>
        </row>
        <row r="10159">
          <cell r="J10159" t="str">
            <v>INV-071223092730</v>
          </cell>
          <cell r="K10159" t="str">
            <v>Paid</v>
          </cell>
        </row>
        <row r="10160">
          <cell r="J10160" t="str">
            <v>INV-210823162425</v>
          </cell>
          <cell r="K10160" t="str">
            <v>Paid</v>
          </cell>
        </row>
        <row r="10161">
          <cell r="J10161" t="str">
            <v>INV-111223153858</v>
          </cell>
          <cell r="K10161" t="str">
            <v>Paid</v>
          </cell>
        </row>
        <row r="10162">
          <cell r="J10162" t="str">
            <v>INV-071223103420</v>
          </cell>
          <cell r="K10162" t="str">
            <v>Paid</v>
          </cell>
        </row>
        <row r="10163">
          <cell r="J10163" t="str">
            <v>INV-201223151804</v>
          </cell>
          <cell r="K10163" t="str">
            <v>Paid</v>
          </cell>
        </row>
        <row r="10164">
          <cell r="J10164" t="str">
            <v>INV-201223180650</v>
          </cell>
          <cell r="K10164" t="str">
            <v>Paid</v>
          </cell>
        </row>
        <row r="10165">
          <cell r="J10165" t="str">
            <v>INV-100524193516</v>
          </cell>
          <cell r="K10165" t="str">
            <v>Paid</v>
          </cell>
        </row>
        <row r="10166">
          <cell r="J10166" t="str">
            <v>INV-120624124337</v>
          </cell>
          <cell r="K10166" t="str">
            <v>Paid</v>
          </cell>
        </row>
        <row r="10167">
          <cell r="J10167" t="str">
            <v>INV-110724181815</v>
          </cell>
          <cell r="K10167" t="str">
            <v>Paid</v>
          </cell>
        </row>
        <row r="10168">
          <cell r="J10168" t="str">
            <v>INV-080824111118</v>
          </cell>
          <cell r="K10168" t="str">
            <v>Paid</v>
          </cell>
        </row>
        <row r="10169">
          <cell r="J10169" t="str">
            <v>INV-140824144035</v>
          </cell>
          <cell r="K10169" t="str">
            <v>Paid</v>
          </cell>
        </row>
        <row r="10170">
          <cell r="J10170" t="str">
            <v>INV-110924175018</v>
          </cell>
          <cell r="K10170" t="str">
            <v>Paid</v>
          </cell>
        </row>
        <row r="10171">
          <cell r="J10171" t="str">
            <v>INV-111024163552</v>
          </cell>
          <cell r="K10171" t="str">
            <v>Paid</v>
          </cell>
        </row>
        <row r="10172">
          <cell r="J10172" t="str">
            <v>INV-111224170609</v>
          </cell>
          <cell r="K10172" t="str">
            <v>Paid</v>
          </cell>
        </row>
        <row r="10173">
          <cell r="J10173" t="str">
            <v>INV-121124164051</v>
          </cell>
          <cell r="K10173" t="str">
            <v>Paid</v>
          </cell>
        </row>
        <row r="10174">
          <cell r="J10174" t="str">
            <v>INV-141124093000</v>
          </cell>
          <cell r="K10174" t="str">
            <v>Paid</v>
          </cell>
        </row>
        <row r="10175">
          <cell r="J10175" t="str">
            <v>INV-141124094000</v>
          </cell>
          <cell r="K10175" t="str">
            <v>Paid</v>
          </cell>
        </row>
        <row r="10176">
          <cell r="J10176" t="str">
            <v>INV-120424133659</v>
          </cell>
          <cell r="K10176" t="str">
            <v>Paid</v>
          </cell>
        </row>
        <row r="10177">
          <cell r="J10177" t="str">
            <v>INV-231224090000</v>
          </cell>
          <cell r="K10177" t="str">
            <v>Paid</v>
          </cell>
        </row>
        <row r="10178">
          <cell r="J10178" t="str">
            <v>INV-090125160436</v>
          </cell>
          <cell r="K10178" t="str">
            <v>Paid</v>
          </cell>
        </row>
        <row r="10179">
          <cell r="J10179" t="str">
            <v>INV-110225110000</v>
          </cell>
          <cell r="K10179" t="str">
            <v>Paid</v>
          </cell>
        </row>
        <row r="10180">
          <cell r="J10180" t="str">
            <v>INV-110225115330</v>
          </cell>
          <cell r="K10180" t="str">
            <v>Paid</v>
          </cell>
        </row>
        <row r="10181">
          <cell r="J10181" t="str">
            <v>INV-070325153831</v>
          </cell>
          <cell r="K10181" t="str">
            <v>Paid</v>
          </cell>
        </row>
        <row r="10182">
          <cell r="J10182" t="str">
            <v>INV-080425110849</v>
          </cell>
          <cell r="K10182" t="str">
            <v>Paid</v>
          </cell>
        </row>
        <row r="10183">
          <cell r="J10183" t="str">
            <v>INV-070525144501</v>
          </cell>
          <cell r="K10183" t="str">
            <v>Paid</v>
          </cell>
        </row>
        <row r="10184">
          <cell r="J10184" t="str">
            <v>INV-120525150611</v>
          </cell>
          <cell r="K10184" t="str">
            <v>Paid</v>
          </cell>
        </row>
        <row r="10185">
          <cell r="J10185" t="str">
            <v>INV-060625174615</v>
          </cell>
          <cell r="K10185" t="str">
            <v>Paid</v>
          </cell>
        </row>
        <row r="10186">
          <cell r="J10186" t="str">
            <v>INV-070725182215</v>
          </cell>
          <cell r="K10186" t="str">
            <v>Paid</v>
          </cell>
        </row>
        <row r="10187">
          <cell r="J10187" t="str">
            <v>INV-070825133910</v>
          </cell>
          <cell r="K10187" t="str">
            <v>Paid</v>
          </cell>
        </row>
        <row r="10188">
          <cell r="J10188" t="str">
            <v>INV-050925145922</v>
          </cell>
          <cell r="K10188" t="str">
            <v>Paid</v>
          </cell>
        </row>
        <row r="10189">
          <cell r="J10189" t="str">
            <v>INV-071025153105</v>
          </cell>
          <cell r="K10189" t="str">
            <v>Paid</v>
          </cell>
        </row>
        <row r="10190">
          <cell r="J10190" t="str">
            <v>DN-161025042610</v>
          </cell>
          <cell r="K10190" t="str">
            <v>Paid</v>
          </cell>
        </row>
        <row r="10191">
          <cell r="J10191" t="str">
            <v>INV-071125155351</v>
          </cell>
          <cell r="K10191" t="str">
            <v>Paid</v>
          </cell>
        </row>
        <row r="10192">
          <cell r="J10192" t="str">
            <v>INV-261125123607</v>
          </cell>
          <cell r="K10192" t="str">
            <v>Paid</v>
          </cell>
        </row>
        <row r="10193">
          <cell r="J10193" t="str">
            <v>INV-051225133202</v>
          </cell>
          <cell r="K10193" t="str">
            <v>Paid</v>
          </cell>
        </row>
        <row r="10194">
          <cell r="J10194" t="str">
            <v>CN-INV-261225173313</v>
          </cell>
          <cell r="K10194" t="str">
            <v>Paid</v>
          </cell>
        </row>
        <row r="10195">
          <cell r="J10195" t="str">
            <v>CN-INV-261225173314</v>
          </cell>
          <cell r="K10195" t="str">
            <v>Paid</v>
          </cell>
        </row>
        <row r="10196">
          <cell r="J10196" t="str">
            <v>INV-070126151131</v>
          </cell>
          <cell r="K10196" t="str">
            <v>Paid</v>
          </cell>
        </row>
        <row r="10197">
          <cell r="J10197" t="str">
            <v>CN-INV-070126145514</v>
          </cell>
          <cell r="K10197" t="str">
            <v>Paid</v>
          </cell>
        </row>
        <row r="10198">
          <cell r="J10198" t="str">
            <v>INV-070126160020</v>
          </cell>
          <cell r="K10198" t="str">
            <v>Paid</v>
          </cell>
        </row>
        <row r="10199">
          <cell r="J10199" t="str">
            <v>INV-100226101411</v>
          </cell>
          <cell r="K10199" t="str">
            <v>Paid</v>
          </cell>
        </row>
        <row r="10200">
          <cell r="J10200" t="str">
            <v>INV-200226132000</v>
          </cell>
          <cell r="K10200" t="str">
            <v>Paid</v>
          </cell>
        </row>
        <row r="10201">
          <cell r="J10201" t="str">
            <v>INV-060326152628</v>
          </cell>
          <cell r="K10201" t="str">
            <v>Paid</v>
          </cell>
        </row>
        <row r="10202">
          <cell r="J10202" t="str">
            <v>INV-230326132000</v>
          </cell>
          <cell r="K10202" t="str">
            <v>Paid</v>
          </cell>
        </row>
        <row r="10203">
          <cell r="J10203" t="str">
            <v>INV-070426121139</v>
          </cell>
          <cell r="K10203" t="str">
            <v>Paid</v>
          </cell>
        </row>
        <row r="10204">
          <cell r="J10204" t="str">
            <v>INV-240426132000</v>
          </cell>
          <cell r="K10204" t="str">
            <v>Outstanding</v>
          </cell>
        </row>
        <row r="10205">
          <cell r="J10205" t="str">
            <v>INV-220526133556</v>
          </cell>
          <cell r="K10205" t="str">
            <v>Paid</v>
          </cell>
        </row>
        <row r="10206">
          <cell r="J10206" t="str">
            <v>INV-260526102104</v>
          </cell>
          <cell r="K10206" t="str">
            <v>Outstanding</v>
          </cell>
        </row>
        <row r="10207">
          <cell r="J10207" t="str">
            <v>INV-240526132000</v>
          </cell>
          <cell r="K10207" t="str">
            <v>Invoice Sent</v>
          </cell>
        </row>
        <row r="10208">
          <cell r="J10208" t="str">
            <v>INV-050626163936</v>
          </cell>
          <cell r="K10208" t="str">
            <v>Paid</v>
          </cell>
        </row>
        <row r="10209">
          <cell r="J10209" t="str">
            <v>INV-170626113407</v>
          </cell>
          <cell r="K10209" t="str">
            <v>Outstanding</v>
          </cell>
        </row>
        <row r="10210">
          <cell r="J10210" t="str">
            <v>INV2023-WEEL-001</v>
          </cell>
          <cell r="K10210" t="str">
            <v>Paid</v>
          </cell>
        </row>
        <row r="10211">
          <cell r="J10211" t="str">
            <v>INV2024-WEEL-001</v>
          </cell>
          <cell r="K10211" t="str">
            <v>Paid</v>
          </cell>
        </row>
        <row r="10212">
          <cell r="J10212" t="str">
            <v>INV2024-WEEL-002</v>
          </cell>
          <cell r="K10212" t="str">
            <v>Paid</v>
          </cell>
        </row>
        <row r="10213">
          <cell r="J10213" t="str">
            <v>INV-140324170548</v>
          </cell>
          <cell r="K10213" t="str">
            <v>Paid</v>
          </cell>
        </row>
        <row r="10214">
          <cell r="J10214" t="str">
            <v>INV-290224171123</v>
          </cell>
          <cell r="K10214" t="str">
            <v>Paid</v>
          </cell>
        </row>
        <row r="10215">
          <cell r="J10215" t="str">
            <v>INV-250924134601</v>
          </cell>
          <cell r="K10215" t="str">
            <v>Paid</v>
          </cell>
        </row>
        <row r="10216">
          <cell r="J10216" t="str">
            <v>INV-250924134602</v>
          </cell>
          <cell r="K10216" t="str">
            <v>Paid</v>
          </cell>
        </row>
        <row r="10217">
          <cell r="J10217" t="str">
            <v>INV-250924134603</v>
          </cell>
          <cell r="K10217" t="str">
            <v>Paid</v>
          </cell>
        </row>
        <row r="10218">
          <cell r="J10218" t="str">
            <v>INV2024-WEEL-003</v>
          </cell>
          <cell r="K10218" t="str">
            <v>Paid</v>
          </cell>
        </row>
        <row r="10219">
          <cell r="J10219" t="str">
            <v>INV2025-WEEL-001</v>
          </cell>
          <cell r="K10219" t="str">
            <v>Paid</v>
          </cell>
        </row>
        <row r="10220">
          <cell r="J10220" t="str">
            <v>INV-220125150000</v>
          </cell>
          <cell r="K10220" t="str">
            <v>Paid</v>
          </cell>
        </row>
        <row r="10221">
          <cell r="J10221" t="str">
            <v>INV-190325145000</v>
          </cell>
          <cell r="K10221" t="str">
            <v>Paid</v>
          </cell>
        </row>
        <row r="10222">
          <cell r="J10222" t="str">
            <v>INV-210425120000</v>
          </cell>
          <cell r="K10222" t="str">
            <v>Paid</v>
          </cell>
        </row>
        <row r="10223">
          <cell r="J10223" t="str">
            <v>INV-12052518000</v>
          </cell>
          <cell r="K10223" t="str">
            <v>Paid</v>
          </cell>
        </row>
        <row r="10224">
          <cell r="J10224" t="str">
            <v>INV-160625130000</v>
          </cell>
          <cell r="K10224" t="str">
            <v>Paid</v>
          </cell>
        </row>
        <row r="10225">
          <cell r="J10225" t="str">
            <v>INV-080725130000</v>
          </cell>
          <cell r="K10225" t="str">
            <v>Paid</v>
          </cell>
        </row>
        <row r="10226">
          <cell r="J10226" t="str">
            <v>INV-190825130000</v>
          </cell>
          <cell r="K10226" t="str">
            <v>Paid</v>
          </cell>
        </row>
        <row r="10227">
          <cell r="J10227" t="str">
            <v>INV-160925130000</v>
          </cell>
          <cell r="K10227" t="str">
            <v>Paid</v>
          </cell>
        </row>
        <row r="10228">
          <cell r="J10228" t="str">
            <v>INV-281025130000</v>
          </cell>
          <cell r="K10228" t="str">
            <v>Paid</v>
          </cell>
        </row>
        <row r="10229">
          <cell r="J10229" t="str">
            <v>INV-171125132000</v>
          </cell>
          <cell r="K10229" t="str">
            <v>Paid</v>
          </cell>
        </row>
        <row r="10230">
          <cell r="J10230" t="str">
            <v>INV-151125132000</v>
          </cell>
          <cell r="K10230" t="str">
            <v>Paid</v>
          </cell>
        </row>
        <row r="10231">
          <cell r="J10231" t="str">
            <v>INV-230126132000</v>
          </cell>
          <cell r="K10231" t="str">
            <v>Paid</v>
          </cell>
        </row>
        <row r="10232">
          <cell r="J10232" t="str">
            <v>INV-090125194715</v>
          </cell>
          <cell r="K10232" t="str">
            <v>Paid</v>
          </cell>
        </row>
        <row r="10233">
          <cell r="J10233" t="str">
            <v>INV-060325093321</v>
          </cell>
          <cell r="K10233" t="str">
            <v>Paid</v>
          </cell>
        </row>
        <row r="10234">
          <cell r="J10234" t="str">
            <v>INV-070425105247</v>
          </cell>
          <cell r="K10234" t="str">
            <v>Paid</v>
          </cell>
        </row>
        <row r="10235">
          <cell r="J10235" t="str">
            <v>INV-050525181117</v>
          </cell>
          <cell r="K10235" t="str">
            <v>Paid</v>
          </cell>
        </row>
        <row r="10236">
          <cell r="J10236" t="str">
            <v>INV-040625132910</v>
          </cell>
          <cell r="K10236" t="str">
            <v>Paid</v>
          </cell>
        </row>
        <row r="10237">
          <cell r="J10237" t="str">
            <v>INV-030725155158</v>
          </cell>
          <cell r="K10237" t="str">
            <v>Paid</v>
          </cell>
        </row>
        <row r="10238">
          <cell r="J10238" t="str">
            <v>INV-050825163507</v>
          </cell>
          <cell r="K10238" t="str">
            <v>Paid</v>
          </cell>
        </row>
        <row r="10239">
          <cell r="J10239" t="str">
            <v>INV-020925172918</v>
          </cell>
          <cell r="K10239" t="str">
            <v>Paid</v>
          </cell>
        </row>
        <row r="10240">
          <cell r="J10240" t="str">
            <v>INV-031025135956</v>
          </cell>
          <cell r="K10240" t="str">
            <v>Paid</v>
          </cell>
        </row>
        <row r="10241">
          <cell r="J10241" t="str">
            <v>INV-051125154239</v>
          </cell>
          <cell r="K10241" t="str">
            <v>Paid</v>
          </cell>
        </row>
        <row r="10242">
          <cell r="J10242" t="str">
            <v>INV-031225115047</v>
          </cell>
          <cell r="K10242" t="str">
            <v>Paid</v>
          </cell>
        </row>
        <row r="10243">
          <cell r="J10243" t="str">
            <v>INV-060126093510</v>
          </cell>
          <cell r="K10243" t="str">
            <v>Paid</v>
          </cell>
        </row>
        <row r="10244">
          <cell r="J10244" t="str">
            <v>INV-040226001815</v>
          </cell>
          <cell r="K10244" t="str">
            <v>Paid</v>
          </cell>
        </row>
        <row r="10245">
          <cell r="J10245" t="str">
            <v>INV-040326111519</v>
          </cell>
          <cell r="K10245" t="str">
            <v>Paid</v>
          </cell>
        </row>
        <row r="10246">
          <cell r="J10246" t="str">
            <v>INV-020426185741</v>
          </cell>
          <cell r="K10246" t="str">
            <v>Paid</v>
          </cell>
        </row>
        <row r="10247">
          <cell r="J10247" t="str">
            <v>INV-050526124627</v>
          </cell>
          <cell r="K10247" t="str">
            <v>Paid</v>
          </cell>
        </row>
        <row r="10248">
          <cell r="J10248" t="str">
            <v>INV-020626182933</v>
          </cell>
          <cell r="K10248" t="str">
            <v>Paid</v>
          </cell>
        </row>
        <row r="10249">
          <cell r="J10249" t="str">
            <v>INV-170325153255</v>
          </cell>
          <cell r="K10249" t="str">
            <v>Net Off</v>
          </cell>
        </row>
        <row r="10250">
          <cell r="J10250" t="str">
            <v>CN-INV-210525102400</v>
          </cell>
          <cell r="K10250" t="str">
            <v>Net Off</v>
          </cell>
        </row>
        <row r="10251">
          <cell r="J10251" t="str">
            <v>INV-130625111540</v>
          </cell>
          <cell r="K10251" t="str">
            <v>Paid</v>
          </cell>
        </row>
        <row r="10252">
          <cell r="J10252" t="str">
            <v>INV-030925155742</v>
          </cell>
          <cell r="K10252" t="str">
            <v>Paid</v>
          </cell>
        </row>
        <row r="10253">
          <cell r="J10253" t="str">
            <v>INV-051125155933</v>
          </cell>
          <cell r="K10253" t="str">
            <v>Paid</v>
          </cell>
        </row>
        <row r="10254">
          <cell r="J10254" t="str">
            <v>INV-041225124823</v>
          </cell>
          <cell r="K10254" t="str">
            <v>Paid</v>
          </cell>
        </row>
        <row r="10255">
          <cell r="J10255" t="str">
            <v>INV-050126153709</v>
          </cell>
          <cell r="K10255" t="str">
            <v>Paid</v>
          </cell>
        </row>
        <row r="10256">
          <cell r="J10256" t="str">
            <v>INV-050226172358</v>
          </cell>
          <cell r="K10256" t="str">
            <v>Paid</v>
          </cell>
        </row>
        <row r="10257">
          <cell r="J10257" t="str">
            <v>INV-040326094744</v>
          </cell>
          <cell r="K10257" t="str">
            <v>Paid</v>
          </cell>
        </row>
        <row r="10258">
          <cell r="J10258" t="str">
            <v>INV-020426185738</v>
          </cell>
          <cell r="K10258" t="str">
            <v>Paid</v>
          </cell>
        </row>
        <row r="10259">
          <cell r="J10259" t="str">
            <v>CN-INV-090426103809</v>
          </cell>
          <cell r="K10259" t="str">
            <v>Paid</v>
          </cell>
        </row>
        <row r="10260">
          <cell r="J10260" t="str">
            <v>INV-070526121701</v>
          </cell>
          <cell r="K10260" t="str">
            <v>Paid</v>
          </cell>
        </row>
        <row r="10261">
          <cell r="J10261" t="str">
            <v>INV-050626184508</v>
          </cell>
          <cell r="K10261" t="str">
            <v>Paid</v>
          </cell>
        </row>
        <row r="10262">
          <cell r="J10262" t="str">
            <v>INV-020925151257</v>
          </cell>
          <cell r="K10262" t="str">
            <v>Paid</v>
          </cell>
        </row>
        <row r="10263">
          <cell r="J10263" t="str">
            <v>INV-020426140011</v>
          </cell>
          <cell r="K10263" t="str">
            <v>Paid</v>
          </cell>
        </row>
        <row r="10264">
          <cell r="J10264" t="str">
            <v>INV-050526095729</v>
          </cell>
          <cell r="K10264" t="str">
            <v>Paid</v>
          </cell>
        </row>
        <row r="10265">
          <cell r="J10265" t="str">
            <v>INV-020626094907</v>
          </cell>
          <cell r="K10265" t="str">
            <v>Paid</v>
          </cell>
        </row>
        <row r="10266">
          <cell r="J10266" t="str">
            <v>INV-031025093149</v>
          </cell>
          <cell r="K10266" t="str">
            <v>Paid</v>
          </cell>
        </row>
        <row r="10267">
          <cell r="J10267" t="str">
            <v>INV-041125165012</v>
          </cell>
          <cell r="K10267" t="str">
            <v>Paid</v>
          </cell>
        </row>
        <row r="10268">
          <cell r="J10268" t="str">
            <v>INV-021225170142</v>
          </cell>
          <cell r="K10268" t="str">
            <v>Paid</v>
          </cell>
        </row>
        <row r="10269">
          <cell r="J10269" t="str">
            <v>INV-050126160935</v>
          </cell>
          <cell r="K10269" t="str">
            <v>Paid</v>
          </cell>
        </row>
        <row r="10270">
          <cell r="J10270" t="str">
            <v>INV-060226124635</v>
          </cell>
          <cell r="K10270" t="str">
            <v>Paid</v>
          </cell>
        </row>
        <row r="10271">
          <cell r="J10271" t="str">
            <v>INV-030326183915</v>
          </cell>
          <cell r="K10271" t="str">
            <v>Paid</v>
          </cell>
        </row>
        <row r="10272">
          <cell r="J10272" t="str">
            <v>INV-250225111902</v>
          </cell>
          <cell r="K10272" t="str">
            <v>Paid</v>
          </cell>
        </row>
        <row r="10273">
          <cell r="J10273" t="str">
            <v>CN- INV-250225111902</v>
          </cell>
          <cell r="K10273" t="str">
            <v>Paid</v>
          </cell>
        </row>
        <row r="10274">
          <cell r="J10274" t="str">
            <v>INV2021-WCL-001</v>
          </cell>
          <cell r="K10274" t="str">
            <v>Paid</v>
          </cell>
        </row>
        <row r="10275">
          <cell r="J10275" t="str">
            <v>DN-090223175530</v>
          </cell>
          <cell r="K10275" t="str">
            <v>Waived Off</v>
          </cell>
        </row>
        <row r="10276">
          <cell r="J10276" t="str">
            <v>INV-161224105349</v>
          </cell>
          <cell r="K10276" t="str">
            <v>Paid</v>
          </cell>
        </row>
        <row r="10277">
          <cell r="J10277" t="str">
            <v>HKCARDS0024</v>
          </cell>
          <cell r="K10277" t="str">
            <v>Paid</v>
          </cell>
        </row>
        <row r="10278">
          <cell r="J10278" t="str">
            <v>INV-031123121506</v>
          </cell>
          <cell r="K10278" t="str">
            <v>Paid</v>
          </cell>
        </row>
        <row r="10279">
          <cell r="J10279" t="str">
            <v>INV-040923124559</v>
          </cell>
          <cell r="K10279" t="str">
            <v>Paid</v>
          </cell>
        </row>
        <row r="10280">
          <cell r="J10280" t="str">
            <v>INV-030523022318</v>
          </cell>
          <cell r="K10280" t="str">
            <v>Paid</v>
          </cell>
        </row>
        <row r="10281">
          <cell r="J10281" t="str">
            <v>INV-051023094828</v>
          </cell>
          <cell r="K10281" t="str">
            <v>Paid</v>
          </cell>
        </row>
        <row r="10282">
          <cell r="J10282" t="str">
            <v>INV-051223182949</v>
          </cell>
          <cell r="K10282" t="str">
            <v>Paid</v>
          </cell>
        </row>
        <row r="10283">
          <cell r="J10283" t="str">
            <v xml:space="preserve"> INV2023-YDR-001_x000D_</v>
          </cell>
          <cell r="K10283" t="str">
            <v>Paid</v>
          </cell>
        </row>
        <row r="10284">
          <cell r="J10284" t="str">
            <v>INV-020623144407</v>
          </cell>
          <cell r="K10284" t="str">
            <v>Paid</v>
          </cell>
        </row>
        <row r="10285">
          <cell r="J10285" t="str">
            <v>INV-030723152049</v>
          </cell>
          <cell r="K10285" t="str">
            <v>Paid</v>
          </cell>
        </row>
        <row r="10286">
          <cell r="J10286" t="str">
            <v>INV-290823115234</v>
          </cell>
          <cell r="K10286" t="str">
            <v>Paid</v>
          </cell>
        </row>
        <row r="10287">
          <cell r="J10287" t="str">
            <v>INV-050124174915</v>
          </cell>
          <cell r="K10287" t="str">
            <v>Paid</v>
          </cell>
        </row>
        <row r="10288">
          <cell r="J10288" t="str">
            <v>INV-060224154913</v>
          </cell>
          <cell r="K10288" t="str">
            <v>Paid</v>
          </cell>
        </row>
        <row r="10289">
          <cell r="J10289" t="str">
            <v>INV-070324114800</v>
          </cell>
          <cell r="K10289" t="str">
            <v>Paid</v>
          </cell>
        </row>
        <row r="10290">
          <cell r="J10290" t="str">
            <v>INV-050424153716</v>
          </cell>
          <cell r="K10290" t="str">
            <v>Paid</v>
          </cell>
        </row>
        <row r="10291">
          <cell r="J10291" t="str">
            <v>INV-070524162137</v>
          </cell>
          <cell r="K10291" t="str">
            <v>Paid</v>
          </cell>
        </row>
        <row r="10292">
          <cell r="J10292" t="str">
            <v>INV-050724183436</v>
          </cell>
          <cell r="K10292" t="str">
            <v>Paid</v>
          </cell>
        </row>
        <row r="10293">
          <cell r="J10293" t="str">
            <v>INV-060624122119</v>
          </cell>
          <cell r="K10293" t="str">
            <v>Paid</v>
          </cell>
        </row>
        <row r="10294">
          <cell r="J10294" t="str">
            <v>INV-060824154208</v>
          </cell>
          <cell r="K10294" t="str">
            <v>Paid</v>
          </cell>
        </row>
        <row r="10295">
          <cell r="J10295" t="str">
            <v>INV-060924132440</v>
          </cell>
          <cell r="K10295" t="str">
            <v>Paid</v>
          </cell>
        </row>
        <row r="10296">
          <cell r="J10296" t="str">
            <v>INV-061224142751</v>
          </cell>
          <cell r="K10296" t="str">
            <v>Paid</v>
          </cell>
        </row>
        <row r="10297">
          <cell r="J10297" t="str">
            <v>INV-071124165730</v>
          </cell>
          <cell r="K10297" t="str">
            <v>Paid</v>
          </cell>
        </row>
        <row r="10298">
          <cell r="J10298" t="str">
            <v>INV-091024105058</v>
          </cell>
          <cell r="K10298" t="str">
            <v>Paid</v>
          </cell>
        </row>
        <row r="10299">
          <cell r="J10299" t="str">
            <v>INV-070125114640</v>
          </cell>
          <cell r="K10299" t="str">
            <v>Paid</v>
          </cell>
        </row>
        <row r="10300">
          <cell r="J10300" t="str">
            <v>INV-060225114947</v>
          </cell>
          <cell r="K10300" t="str">
            <v>Paid</v>
          </cell>
        </row>
        <row r="10301">
          <cell r="J10301" t="str">
            <v>INV-050325160232</v>
          </cell>
          <cell r="K10301" t="str">
            <v>Paid</v>
          </cell>
        </row>
        <row r="10302">
          <cell r="J10302" t="str">
            <v>INV-030425183410</v>
          </cell>
          <cell r="K10302" t="str">
            <v>Paid</v>
          </cell>
        </row>
        <row r="10303">
          <cell r="J10303" t="str">
            <v>INV-060525102419</v>
          </cell>
          <cell r="K10303" t="str">
            <v>Paid</v>
          </cell>
        </row>
        <row r="10304">
          <cell r="J10304" t="str">
            <v>INV-040625163645</v>
          </cell>
          <cell r="K10304" t="str">
            <v>Paid</v>
          </cell>
        </row>
        <row r="10305">
          <cell r="J10305" t="str">
            <v>INV-040725131302</v>
          </cell>
          <cell r="K10305" t="str">
            <v>Paid</v>
          </cell>
        </row>
        <row r="10306">
          <cell r="J10306" t="str">
            <v>INV-050825195438</v>
          </cell>
          <cell r="K10306" t="str">
            <v>Partially Paid</v>
          </cell>
        </row>
        <row r="10307">
          <cell r="J10307" t="str">
            <v>INV-030925145658</v>
          </cell>
          <cell r="K10307" t="str">
            <v>Outstanding</v>
          </cell>
        </row>
        <row r="10308">
          <cell r="J10308" t="str">
            <v>INV-061025125629</v>
          </cell>
          <cell r="K10308" t="str">
            <v>Outstanding</v>
          </cell>
        </row>
        <row r="10309">
          <cell r="J10309" t="str">
            <v>INV-061125104927</v>
          </cell>
          <cell r="K10309" t="str">
            <v>Outstanding</v>
          </cell>
        </row>
        <row r="10310">
          <cell r="J10310" t="str">
            <v>INV-041225150054</v>
          </cell>
          <cell r="K10310" t="str">
            <v>Outstanding</v>
          </cell>
        </row>
        <row r="10311">
          <cell r="J10311" t="str">
            <v>INV-060126181825</v>
          </cell>
          <cell r="K10311" t="str">
            <v>Outstanding</v>
          </cell>
        </row>
        <row r="10312">
          <cell r="J10312" t="str">
            <v>INV-060226143545</v>
          </cell>
          <cell r="K10312" t="str">
            <v>Outstanding</v>
          </cell>
        </row>
        <row r="10313">
          <cell r="J10313" t="str">
            <v>INV-020824185400</v>
          </cell>
          <cell r="K10313" t="str">
            <v>Paid</v>
          </cell>
        </row>
        <row r="10314">
          <cell r="J10314" t="str">
            <v>INV-040225173943</v>
          </cell>
          <cell r="K10314" t="str">
            <v>Paid</v>
          </cell>
        </row>
        <row r="10315">
          <cell r="J10315" t="str">
            <v>INV-040325162649</v>
          </cell>
          <cell r="K10315" t="str">
            <v>Paid</v>
          </cell>
        </row>
        <row r="10316">
          <cell r="J10316" t="str">
            <v>INV-020425171814</v>
          </cell>
          <cell r="K10316" t="str">
            <v>Paid</v>
          </cell>
        </row>
        <row r="10317">
          <cell r="J10317" t="str">
            <v>INV-020525190202</v>
          </cell>
          <cell r="K10317" t="str">
            <v>Paid</v>
          </cell>
        </row>
        <row r="10318">
          <cell r="J10318" t="str">
            <v>INV-030625160048</v>
          </cell>
          <cell r="K10318" t="str">
            <v>Paid</v>
          </cell>
        </row>
        <row r="10319">
          <cell r="J10319" t="str">
            <v>INV-020725172411</v>
          </cell>
          <cell r="K10319" t="str">
            <v>Paid</v>
          </cell>
        </row>
        <row r="10320">
          <cell r="J10320" t="str">
            <v>INV-040825162447</v>
          </cell>
          <cell r="K10320" t="str">
            <v>Paid</v>
          </cell>
        </row>
        <row r="10321">
          <cell r="J10321" t="str">
            <v>INV-020925124134</v>
          </cell>
          <cell r="K10321" t="str">
            <v>Paid</v>
          </cell>
        </row>
        <row r="10322">
          <cell r="J10322" t="str">
            <v>INV-021025133137</v>
          </cell>
          <cell r="K10322" t="str">
            <v>Paid</v>
          </cell>
        </row>
        <row r="10323">
          <cell r="J10323" t="str">
            <v>INV-031125191013</v>
          </cell>
          <cell r="K10323" t="str">
            <v>Paid</v>
          </cell>
        </row>
        <row r="10324">
          <cell r="J10324" t="str">
            <v>INV-021225130933</v>
          </cell>
          <cell r="K10324" t="str">
            <v>Paid</v>
          </cell>
        </row>
        <row r="10325">
          <cell r="J10325" t="str">
            <v>INV-020126172929</v>
          </cell>
          <cell r="K10325" t="str">
            <v>Paid</v>
          </cell>
        </row>
        <row r="10326">
          <cell r="J10326" t="str">
            <v>INV-020226164422</v>
          </cell>
          <cell r="K10326" t="str">
            <v>Paid</v>
          </cell>
        </row>
        <row r="10327">
          <cell r="J10327" t="str">
            <v>INV-030326094302</v>
          </cell>
          <cell r="K10327" t="str">
            <v>Paid</v>
          </cell>
        </row>
        <row r="10328">
          <cell r="J10328" t="str">
            <v>INV-010426154136</v>
          </cell>
          <cell r="K10328" t="str">
            <v>Paid</v>
          </cell>
        </row>
        <row r="10329">
          <cell r="J10329" t="str">
            <v>INV-040526113857</v>
          </cell>
          <cell r="K10329" t="str">
            <v>Paid</v>
          </cell>
        </row>
        <row r="10330">
          <cell r="J10330" t="str">
            <v>INV-010626172437</v>
          </cell>
          <cell r="K10330" t="str">
            <v>Invoice Sent</v>
          </cell>
        </row>
        <row r="10331">
          <cell r="J10331" t="str">
            <v>INV-050525191553</v>
          </cell>
          <cell r="K10331" t="str">
            <v>Paid</v>
          </cell>
        </row>
        <row r="10332">
          <cell r="J10332" t="str">
            <v>INV-050625124814</v>
          </cell>
          <cell r="K10332" t="str">
            <v>Paid</v>
          </cell>
        </row>
        <row r="10333">
          <cell r="J10333" t="str">
            <v>INV-020925162239</v>
          </cell>
          <cell r="K10333" t="str">
            <v>Paid</v>
          </cell>
        </row>
        <row r="10334">
          <cell r="J10334" t="str">
            <v>INV-031025160308</v>
          </cell>
          <cell r="K10334" t="str">
            <v>Paid</v>
          </cell>
        </row>
        <row r="10335">
          <cell r="J10335" t="str">
            <v>INV-041125182344</v>
          </cell>
          <cell r="K10335" t="str">
            <v>Outstanding</v>
          </cell>
        </row>
        <row r="10336">
          <cell r="J10336" t="str">
            <v>INV-031225091936</v>
          </cell>
          <cell r="K10336" t="str">
            <v>Paid</v>
          </cell>
        </row>
        <row r="10337">
          <cell r="J10337" t="str">
            <v>INV-030126111809</v>
          </cell>
          <cell r="K10337" t="str">
            <v>Paid</v>
          </cell>
        </row>
        <row r="10338">
          <cell r="J10338" t="str">
            <v>INV-050226121256</v>
          </cell>
          <cell r="K10338" t="str">
            <v>Paid</v>
          </cell>
        </row>
        <row r="10339">
          <cell r="J10339" t="str">
            <v>INV-030326161806</v>
          </cell>
          <cell r="K10339" t="str">
            <v>Paid</v>
          </cell>
        </row>
        <row r="10340">
          <cell r="J10340" t="str">
            <v>INV-020426160801</v>
          </cell>
          <cell r="K10340" t="str">
            <v>Outstanding</v>
          </cell>
        </row>
        <row r="10341">
          <cell r="J10341" t="str">
            <v>INV-070526092521</v>
          </cell>
          <cell r="K10341" t="str">
            <v>Outstanding</v>
          </cell>
        </row>
        <row r="10342">
          <cell r="J10342" t="str">
            <v>INV-040626114112</v>
          </cell>
          <cell r="K10342" t="str">
            <v>Outstanding</v>
          </cell>
        </row>
        <row r="10343">
          <cell r="J10343" t="str">
            <v>INV2021-ZPA-001</v>
          </cell>
          <cell r="K10343" t="str">
            <v>Void</v>
          </cell>
        </row>
        <row r="10344">
          <cell r="J10344" t="str">
            <v>EUCARDS0005</v>
          </cell>
          <cell r="K10344" t="str">
            <v>Waived Off</v>
          </cell>
        </row>
        <row r="10345">
          <cell r="J10345" t="str">
            <v>INV-050924160523</v>
          </cell>
          <cell r="K10345" t="str">
            <v>Paid</v>
          </cell>
        </row>
        <row r="10346">
          <cell r="J10346" t="str">
            <v>INV-071124165602</v>
          </cell>
          <cell r="K10346" t="str">
            <v>Paid</v>
          </cell>
        </row>
        <row r="10347">
          <cell r="J10347" t="str">
            <v>INV-081024213803</v>
          </cell>
          <cell r="K10347" t="str">
            <v>Paid</v>
          </cell>
        </row>
        <row r="10348">
          <cell r="J10348" t="str">
            <v>INV-190824190843</v>
          </cell>
          <cell r="K10348" t="str">
            <v>Paid</v>
          </cell>
        </row>
        <row r="10349">
          <cell r="J10349" t="str">
            <v>INV-051224125905</v>
          </cell>
          <cell r="K10349" t="str">
            <v>Paid</v>
          </cell>
        </row>
        <row r="10350">
          <cell r="J10350" t="str">
            <v>INV-060125171103</v>
          </cell>
          <cell r="K10350" t="str">
            <v>Paid</v>
          </cell>
        </row>
        <row r="10351">
          <cell r="J10351" t="str">
            <v>INV-060225145636</v>
          </cell>
          <cell r="K10351" t="str">
            <v>Paid</v>
          </cell>
        </row>
        <row r="10352">
          <cell r="J10352" t="str">
            <v>INV-050325131120</v>
          </cell>
          <cell r="K10352" t="str">
            <v>Paid</v>
          </cell>
        </row>
        <row r="10353">
          <cell r="J10353" t="str">
            <v>INV-030425134529</v>
          </cell>
          <cell r="K10353" t="str">
            <v>Paid</v>
          </cell>
        </row>
        <row r="10354">
          <cell r="J10354" t="str">
            <v>INV-050525182436</v>
          </cell>
          <cell r="K10354" t="str">
            <v>Paid</v>
          </cell>
        </row>
        <row r="10355">
          <cell r="J10355" t="str">
            <v>INV-040625142800</v>
          </cell>
          <cell r="K10355" t="str">
            <v>Paid</v>
          </cell>
        </row>
        <row r="10356">
          <cell r="J10356" t="str">
            <v>DN-INV120625174801</v>
          </cell>
          <cell r="K10356" t="str">
            <v>Paid</v>
          </cell>
        </row>
        <row r="10357">
          <cell r="J10357" t="str">
            <v>INV-040725153255</v>
          </cell>
          <cell r="K10357" t="str">
            <v>Paid</v>
          </cell>
        </row>
        <row r="10358">
          <cell r="J10358" t="str">
            <v>INV-050825124456</v>
          </cell>
          <cell r="K10358" t="str">
            <v>Paid</v>
          </cell>
        </row>
        <row r="10359">
          <cell r="J10359" t="str">
            <v>CN-INV-140825153255</v>
          </cell>
          <cell r="K10359" t="str">
            <v>Paid</v>
          </cell>
        </row>
        <row r="10360">
          <cell r="J10360" t="str">
            <v>INV-020925175024</v>
          </cell>
          <cell r="K10360" t="str">
            <v>Paid</v>
          </cell>
        </row>
        <row r="10361">
          <cell r="J10361" t="str">
            <v>INV-021025183505</v>
          </cell>
          <cell r="K10361" t="str">
            <v>Paid</v>
          </cell>
        </row>
        <row r="10362">
          <cell r="J10362" t="str">
            <v>INV-041125110604</v>
          </cell>
          <cell r="K10362" t="str">
            <v>Paid</v>
          </cell>
        </row>
        <row r="10363">
          <cell r="J10363" t="str">
            <v>INV-021225202407</v>
          </cell>
          <cell r="K10363" t="str">
            <v>Paid</v>
          </cell>
        </row>
        <row r="10364">
          <cell r="J10364" t="str">
            <v>INV-050126153552</v>
          </cell>
          <cell r="K10364" t="str">
            <v>Paid</v>
          </cell>
        </row>
        <row r="10365">
          <cell r="J10365" t="str">
            <v>INV-040226160636</v>
          </cell>
          <cell r="K10365" t="str">
            <v>Paid</v>
          </cell>
        </row>
        <row r="10366">
          <cell r="J10366" t="str">
            <v>INV-040326180353</v>
          </cell>
          <cell r="K10366" t="str">
            <v>Paid</v>
          </cell>
        </row>
        <row r="10367">
          <cell r="J10367" t="str">
            <v>INV-030426175048</v>
          </cell>
          <cell r="K10367" t="str">
            <v>Paid</v>
          </cell>
        </row>
        <row r="10368">
          <cell r="J10368" t="str">
            <v>INV-040526203823</v>
          </cell>
          <cell r="K10368" t="str">
            <v>Paid</v>
          </cell>
        </row>
        <row r="10369">
          <cell r="J10369" t="str">
            <v>INV-030626163158</v>
          </cell>
          <cell r="K10369" t="str">
            <v>Paid</v>
          </cell>
        </row>
      </sheetData>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118518521" createdVersion="8" refreshedVersion="8" minRefreshableVersion="3" recordCount="134" xr:uid="{7488C365-8027-4B0C-B24D-9376063D0A15}">
  <cacheSource type="worksheet">
    <worksheetSource ref="A1:X105" sheet="Invoices"/>
  </cacheSource>
  <cacheFields count="24">
    <cacheField name="Platform" numFmtId="0">
      <sharedItems/>
    </cacheField>
    <cacheField name="Customer Label" numFmtId="0">
      <sharedItems/>
    </cacheField>
    <cacheField name="Region" numFmtId="0">
      <sharedItems count="5">
        <s v="APAC"/>
        <s v="USA"/>
        <s v="Shared Centre"/>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154936.98679425809"/>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acheField>
    <cacheField name="Days" numFmtId="0">
      <sharedItems containsSemiMixedTypes="0" containsString="0" containsNumber="1" containsInteger="1" minValue="-30" maxValue="534"/>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30T00:00:00"/>
    </cacheField>
    <cacheField name="Due Date" numFmtId="14">
      <sharedItems containsSemiMixedTypes="0" containsNonDate="0" containsDate="1" containsString="0" minDate="2024-12-11T00:00:00" maxDate="2026-06-29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97.392134027781" createdVersion="8" refreshedVersion="8" minRefreshableVersion="3" recordCount="101" xr:uid="{F345A991-F84D-4355-A7CB-FED123DB027A}">
  <cacheSource type="worksheet">
    <worksheetSource ref="A1:X99"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FIRSTKYC PTE. LTD."/>
        <s v="Express Hub Services Pty Ltd"/>
        <s v="MyBeacon Services Inc."/>
        <s v="MyBeacon Services Inc.-Verify"/>
        <s v="Corporate Alliance Payments Pty Ltd - NSP"/>
        <s v="Red Owl Pty Ltd"/>
        <s v="EZ Money Sdn Bhd."/>
        <s v="Qatar National Bank (Q.P.S.C.)"/>
        <s v="Stratos Payments, Inc"/>
        <s v="you technologies group (singapore) pte. ltd"/>
        <s v="AL FUAD EXCHANGE"/>
        <s v="Globus Payments (DIFC) Limited"/>
        <s v="HONGKONG FORTUNETECH LIMITED"/>
        <s v="Mizzen Digital DMCC"/>
        <s v="Poaster Technologies Inc. DBA Warp"/>
        <s v="Travel Ledger UK"/>
        <s v="WEEL HOLDINGS PTY LTD"/>
        <s v="BEXS BANCO DE CAMBIO S.A."/>
        <s v="Everpro Holdings Limited"/>
        <s v="PT Midtrans"/>
        <s v="PT PELITA TRANSFER NUSANTARA"/>
        <s v="Emirates Islamic Bank PJSC"/>
        <s v="Emirates NBD Bank PJSC"/>
        <s v="EVERWIN REMITTANCE AND EXCHANGE CO LIMITED"/>
        <s v="Global E-Payment Limited"/>
        <s v="KOHO Financial Inc."/>
        <s v="KOHO Financial Inc.-Verify"/>
        <s v="MeshPay US, Inc"/>
        <s v="VPLUS GREATER BAY EXCHANGE LIMITED"/>
        <s v="TClub Inc." u="1"/>
        <s v="AVENIDA VESSEL" u="1"/>
        <s v="CashD Pty Ltd" u="1"/>
        <s v="Al Muzaini Exchange" u="1"/>
        <s v="borderless llc" u="1"/>
        <s v="Ichange Pte Ltd" u="1"/>
        <s v="kasikorn bank" u="1"/>
        <s v="ppsl paysafe" u="1"/>
        <s v="ppsl skrill" u="1"/>
        <s v="PT Harsya Remitindo" u="1"/>
        <s v="PT Transwap Dunamis Indonesia" u="1"/>
        <s v="REMIT5" u="1"/>
        <s v="Skrill Ltd" u="1"/>
        <s v="The CurrencyCloud Limited" u="1"/>
        <s v="you technologies group (singapore) pte. Ltd - Verify" u="1"/>
        <s v="Banque Patronus" u="1"/>
        <s v="Genieum Services Pty Ltd" u="1"/>
        <s v="Global E-Payment Limited-SG" u="1"/>
        <s v="Lulu Money (Singapore) Pte. Ltd" u="1"/>
        <s v="PT UCE Global Utama" u="1"/>
        <s v="RemitAnywhere INC" u="1"/>
        <s v="Remotely Works Inc." u="1"/>
        <s v="SingCash Pte Ltd" u="1"/>
        <s v="VECTOR HOLDINGS PTY LTD" u="1"/>
        <s v="Volopay Co Pte Ltd." u="1"/>
        <s v="Yorbis Inc." u="1"/>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8">
        <s v="NA"/>
        <s v="Lia Susin"/>
        <s v="Hao Nguyen"/>
        <s v="Bhavani"/>
        <s v="Sachli Zare"/>
        <s v="Jerome Coelho"/>
        <s v="Shi Yin"/>
        <s v="Tanu Arora"/>
        <s v="Mrinal "/>
        <s v="XiaoXiao"/>
        <s v="Tulio Lima"/>
        <s v="Eduardo Avallone"/>
        <s v="Luciana"/>
        <s v="Pat Sarisa"/>
        <s v="Melanie Leonard" u="1"/>
        <s v="Sanat Patakar" u="1"/>
        <s v="Bhavani/Sanat" u="1"/>
        <s v="Hari Budiman" u="1"/>
      </sharedItems>
    </cacheField>
    <cacheField name="BD" numFmtId="0">
      <sharedItems count="18">
        <s v="Vinoth M"/>
        <s v="Christina Hutchinson"/>
        <s v="NA"/>
        <s v="Tyler Reed"/>
        <s v="Ashraf Omran"/>
        <s v="Denis Tan"/>
        <s v="Wendy zhai"/>
        <s v="Michael Bermingham"/>
        <s v="Rohit Bammi"/>
        <s v="Saikat Roy"/>
        <s v="Edward Li"/>
        <s v="Danny May"/>
        <s v="Lisa Sung"/>
        <s v="Hari Budiman"/>
        <s v="Gitesh Athavale"/>
        <s v="Andrew Gyenis" u="1"/>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61001.45"/>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23" maxValue="560"/>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5-12T00:00:00"/>
    </cacheField>
    <cacheField name="Due Date" numFmtId="14">
      <sharedItems containsSemiMixedTypes="0" containsNonDate="0" containsDate="1" containsString="0" minDate="2024-12-11T00:00:00" maxDate="2026-06-0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m/>
        <s v="credit note will be settled against future invoices" u="1"/>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N1"/>
    <s v="SWiM Pay Pty Ltd"/>
    <x v="0"/>
    <s v="NA"/>
    <s v="Vinoth M"/>
    <s v="Active"/>
    <n v="2024"/>
    <s v="Bank Transfer"/>
    <s v="USD"/>
    <n v="5500"/>
    <n v="5500"/>
    <d v="2024-11-01T00:00:00"/>
    <s v="Nov"/>
    <n v="534"/>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471"/>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443"/>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415"/>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382"/>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352"/>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290"/>
    <x v="0"/>
    <s v="Monthly Billing"/>
    <d v="2025-08-05T00:00:00"/>
    <d v="2025-08-12T00:00:00"/>
    <s v="Outstanding"/>
    <s v="INV-050825115818"/>
    <s v="Yes"/>
    <s v="No"/>
    <s v="AM is chasing the client to clear all o/s invoices"/>
    <m/>
  </r>
  <r>
    <s v="N1"/>
    <s v="Yondr Money Pty Ltd"/>
    <x v="0"/>
    <s v="Hao Nguyen"/>
    <s v="NA"/>
    <s v="Active"/>
    <n v="2025"/>
    <s v="Bank Transfer"/>
    <s v="AUD"/>
    <n v="1411.8645650595627"/>
    <n v="1971.5749999999998"/>
    <d v="2025-07-01T00:00:00"/>
    <s v="Jul"/>
    <n v="290"/>
    <x v="0"/>
    <s v="Monthly Billing"/>
    <d v="2025-08-05T00:00:00"/>
    <d v="2025-08-12T00:00:00"/>
    <s v="Partially Paid"/>
    <s v="INV-050825195438"/>
    <s v="Yes"/>
    <s v="Yes"/>
    <s v="AM to provide an update if invoices needs to be written off as client is suspended"/>
    <m/>
  </r>
  <r>
    <s v="N1"/>
    <s v="Loadpass LTDA"/>
    <x v="1"/>
    <s v="Eduardo Avallone"/>
    <s v="Christina Hutchinson"/>
    <s v="Active"/>
    <n v="2025"/>
    <s v="Bank Transfer"/>
    <s v="USD"/>
    <n v="3485"/>
    <n v="3485"/>
    <d v="2025-08-01T00:00:00"/>
    <s v="Aug"/>
    <n v="262"/>
    <x v="0"/>
    <s v="Monthly Billing"/>
    <d v="2025-09-02T00:00:00"/>
    <d v="2025-09-09T00:00:00"/>
    <s v="Outstanding"/>
    <s v="INV-020925171323"/>
    <s v="Yes"/>
    <s v="No"/>
    <s v="AM is chasing the client to clear all o/s invoices"/>
    <m/>
  </r>
  <r>
    <s v="N1"/>
    <s v="Yondr Money Pty Ltd"/>
    <x v="0"/>
    <s v="Hao Nguyen"/>
    <s v="NA"/>
    <s v="Active"/>
    <n v="2025"/>
    <s v="Bank Transfer"/>
    <s v="AUD"/>
    <n v="4920.7605781039329"/>
    <n v="6871.5150000000003"/>
    <d v="2025-08-01T00:00:00"/>
    <s v="Aug"/>
    <n v="261"/>
    <x v="0"/>
    <s v="Monthly Billing"/>
    <d v="2025-09-03T00:00:00"/>
    <d v="2025-09-10T00:00:00"/>
    <s v="Outstanding"/>
    <s v="INV-030925145658"/>
    <s v="Yes"/>
    <s v="Yes"/>
    <s v="AM to provide an update if invoices needs to be written off as client is suspended"/>
    <m/>
  </r>
  <r>
    <s v="Masspay"/>
    <s v="FTB HUB S.A.C "/>
    <x v="2"/>
    <s v="Bhavani"/>
    <s v="NA"/>
    <s v="Active"/>
    <n v="2025"/>
    <s v="Wallet Debit"/>
    <s v="USD"/>
    <n v="1020"/>
    <n v="1020"/>
    <d v="2025-09-01T00:00:00"/>
    <s v="Sep"/>
    <n v="234"/>
    <x v="0"/>
    <s v="Monthly Billing"/>
    <d v="2025-10-01T00:00:00"/>
    <d v="2025-10-07T00:00:00"/>
    <s v="Force Settlement"/>
    <s v="SG-FTBHUB-09/2025"/>
    <s v="Yes"/>
    <s v="No"/>
    <s v="wallet debited, insufficient funds"/>
    <m/>
  </r>
  <r>
    <s v="N1"/>
    <s v="Loadpass LTDA"/>
    <x v="1"/>
    <s v="Eduardo Avallone"/>
    <s v="Christina Hutchinson"/>
    <s v="Active"/>
    <n v="2025"/>
    <s v="Bank Transfer"/>
    <s v="USD"/>
    <n v="3487.5"/>
    <n v="3487.5"/>
    <d v="2025-09-01T00:00:00"/>
    <s v="Sep"/>
    <n v="232"/>
    <x v="0"/>
    <s v="Monthly Billing"/>
    <d v="2025-10-02T00:00:00"/>
    <d v="2025-10-09T00:00:00"/>
    <s v="Outstanding"/>
    <s v="INV-021025184847"/>
    <s v="Yes"/>
    <s v="No"/>
    <s v="AM is chasing the client to clear all o/s invoices"/>
    <m/>
  </r>
  <r>
    <s v="N1"/>
    <s v="Yondr Money Pty Ltd"/>
    <x v="0"/>
    <s v="Hao Nguyen"/>
    <s v="NA"/>
    <s v="Active"/>
    <n v="2025"/>
    <s v="Bank Transfer"/>
    <s v="AUD"/>
    <n v="4808.8361663032229"/>
    <n v="6715.2199999999993"/>
    <d v="2025-09-01T00:00:00"/>
    <s v="Sep"/>
    <n v="228"/>
    <x v="0"/>
    <s v="Monthly Billing"/>
    <d v="2025-10-06T00:00:00"/>
    <d v="2025-10-13T00:00:00"/>
    <s v="Outstanding"/>
    <s v="INV-061025125629"/>
    <s v="Yes"/>
    <s v="Yes"/>
    <s v="AM to provide an update if invoices needs to be written off as client is suspended"/>
    <m/>
  </r>
  <r>
    <s v="Masspay"/>
    <s v="FTB HUB S.A.C "/>
    <x v="2"/>
    <s v="Bhavani"/>
    <s v="NA"/>
    <s v="Active"/>
    <n v="2025"/>
    <s v="Wallet Debit"/>
    <s v="USD"/>
    <n v="1000"/>
    <n v="1000"/>
    <d v="2025-10-01T00:00:00"/>
    <s v="Oct"/>
    <n v="203"/>
    <x v="0"/>
    <s v="Monthly Billing"/>
    <d v="2025-11-01T00:00:00"/>
    <d v="2025-11-07T00:00:00"/>
    <s v="Force Settlement"/>
    <s v="SG-FTBHUB-10/2025"/>
    <s v="Yes"/>
    <s v="No"/>
    <s v="wallet debited, insufficient funds"/>
    <m/>
  </r>
  <r>
    <s v="N1"/>
    <s v="Budgetly Pty Ltd"/>
    <x v="0"/>
    <s v="Hao Nguyen"/>
    <s v="Vinoth M"/>
    <s v="Active"/>
    <n v="2025"/>
    <s v="Bank Transfer"/>
    <s v="AUD"/>
    <n v="983.1474132966149"/>
    <n v="1372.8999999999999"/>
    <d v="2025-09-01T00:00:00"/>
    <s v="Sep"/>
    <n v="182"/>
    <x v="0"/>
    <s v="Card Printing and Delivery"/>
    <d v="2025-10-28T00:00:00"/>
    <d v="2025-11-28T00:00:00"/>
    <s v="Partially Paid"/>
    <s v="INV-281025170000"/>
    <s v="Yes"/>
    <s v="No"/>
    <s v="No response from the client post reminder sent"/>
    <m/>
  </r>
  <r>
    <s v="N1"/>
    <s v="JPMORGAN CHASE BANK"/>
    <x v="3"/>
    <s v="Sachli Zare"/>
    <s v="NA"/>
    <s v="Active"/>
    <n v="2025"/>
    <s v="Bank Transfer"/>
    <s v="USD"/>
    <n v="75"/>
    <n v="75"/>
    <d v="2025-10-01T00:00:00"/>
    <s v="Oct"/>
    <n v="198"/>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98"/>
    <x v="0"/>
    <s v="Monthly Billing"/>
    <d v="2025-11-05T00:00:00"/>
    <d v="2025-11-12T00:00:00"/>
    <s v="Outstanding"/>
    <s v="INV-051125173213"/>
    <s v="Yes"/>
    <s v="No"/>
    <s v="AM is chasing the client to clear all o/s invoices"/>
    <m/>
  </r>
  <r>
    <s v="N1"/>
    <s v="Yondr Money Pty Ltd"/>
    <x v="0"/>
    <s v="Hao Nguyen"/>
    <s v="NA"/>
    <s v="Active"/>
    <n v="2025"/>
    <s v="Bank Transfer"/>
    <s v="AUD"/>
    <n v="4785.0792171910407"/>
    <n v="6682.0450000000001"/>
    <d v="2025-10-01T00:00:00"/>
    <s v="Oct"/>
    <n v="197"/>
    <x v="0"/>
    <s v="Monthly Billing"/>
    <d v="2025-11-06T00:00:00"/>
    <d v="2025-11-13T00:00:00"/>
    <s v="Outstanding"/>
    <s v="INV-061125104927"/>
    <s v="Yes"/>
    <s v="Yes"/>
    <s v="AM to provide an update if invoices needs to be written off as client is suspended"/>
    <m/>
  </r>
  <r>
    <s v="N1"/>
    <s v="Zeni, Inc."/>
    <x v="1"/>
    <s v="NA"/>
    <s v="Tyler Reed"/>
    <s v="Active"/>
    <n v="2025"/>
    <s v="Bank Transfer"/>
    <s v="USD"/>
    <n v="0.5"/>
    <n v="0.5"/>
    <d v="2025-10-01T00:00:00"/>
    <s v="Oct"/>
    <n v="198"/>
    <x v="0"/>
    <s v="Monthly Billing"/>
    <d v="2025-11-05T00:00:00"/>
    <d v="2025-11-12T00:00:00"/>
    <s v="Outstanding"/>
    <s v="INV-041125182344"/>
    <s v="Yes"/>
    <s v="No"/>
    <s v="No response from the client post reminder sent"/>
    <m/>
  </r>
  <r>
    <s v="N1"/>
    <s v="Budgetly Pty Ltd"/>
    <x v="0"/>
    <s v="Hao Nguyen"/>
    <s v="Vinoth M"/>
    <s v="Active"/>
    <n v="2025"/>
    <s v="Bank Transfer"/>
    <s v="AUD"/>
    <n v="1851.201628060903"/>
    <n v="2585.08"/>
    <d v="2025-10-01T00:00:00"/>
    <s v="Oct"/>
    <n v="163"/>
    <x v="0"/>
    <s v="Card Printing and Delivery"/>
    <d v="2025-11-17T00:00:00"/>
    <d v="2025-12-17T00:00:00"/>
    <s v="Outstanding"/>
    <s v="INV-171125170000"/>
    <s v="Yes"/>
    <s v="No"/>
    <s v="No response from the client post reminder sent"/>
    <m/>
  </r>
  <r>
    <s v="Masspay"/>
    <s v="FTB HUB S.A.C "/>
    <x v="2"/>
    <s v="Bhavani"/>
    <s v="NA"/>
    <s v="Active"/>
    <n v="2025"/>
    <s v="Wallet Debit"/>
    <s v="USD"/>
    <n v="1000"/>
    <n v="1000"/>
    <d v="2025-11-01T00:00:00"/>
    <s v="Nov"/>
    <n v="172"/>
    <x v="0"/>
    <s v="Monthly Billing"/>
    <d v="2025-12-01T00:00:00"/>
    <d v="2025-12-08T00:00:00"/>
    <s v="Force Settlement"/>
    <s v="SG-FTBHUB-11/2025"/>
    <s v="Yes"/>
    <s v="No"/>
    <s v="wallet debited, insufficient funds"/>
    <m/>
  </r>
  <r>
    <s v="N1"/>
    <s v="Budgetly Pty Ltd"/>
    <x v="0"/>
    <s v="Hao Nguyen"/>
    <s v="Vinoth M"/>
    <s v="Active"/>
    <n v="2025"/>
    <s v="Bank Transfer"/>
    <s v="AUD"/>
    <n v="1849.9914021679235"/>
    <n v="2583.39"/>
    <d v="2025-11-01T00:00:00"/>
    <s v="Nov"/>
    <n v="134"/>
    <x v="0"/>
    <s v="Card Printing and Delivery"/>
    <d v="2025-12-15T00:00:00"/>
    <d v="2026-01-15T00:00:00"/>
    <s v="Outstanding"/>
    <s v="INV-151225170000"/>
    <s v="Yes"/>
    <s v="No"/>
    <s v="No response from the client post reminder sent"/>
    <m/>
  </r>
  <r>
    <s v="N1"/>
    <s v="Istanbul Ödeme ve Elektronik Para A.S"/>
    <x v="4"/>
    <s v="Jerome Coelho"/>
    <s v="Ashraf Omran"/>
    <s v="Active"/>
    <n v="2025"/>
    <s v="Bank Transfer"/>
    <s v="USD"/>
    <n v="57.489999999999782"/>
    <n v="57.489999999999782"/>
    <d v="2025-11-01T00:00:00"/>
    <s v="Nov"/>
    <n v="171"/>
    <x v="0"/>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171"/>
    <x v="0"/>
    <s v="Monthly Billing"/>
    <d v="2025-12-02T00:00:00"/>
    <d v="2025-12-09T00:00:00"/>
    <s v="Outstanding"/>
    <s v="INV-021225201549"/>
    <s v="Yes"/>
    <s v="No"/>
    <s v="AM is chasing the client to clear all o/s invoices"/>
    <m/>
  </r>
  <r>
    <s v="N1"/>
    <s v="MULTIPLIER TECHNOLOGIES PTE. LTD"/>
    <x v="0"/>
    <s v="Shi Yin"/>
    <s v="Vinoth M"/>
    <s v="Active"/>
    <n v="2025"/>
    <s v="Bank Transfer"/>
    <s v="USD"/>
    <n v="2743"/>
    <n v="2743"/>
    <d v="2025-11-01T00:00:00"/>
    <s v="Nov"/>
    <n v="162"/>
    <x v="0"/>
    <s v="Monthly Billing"/>
    <d v="2025-12-03T00:00:00"/>
    <d v="2025-12-18T00:00:00"/>
    <s v="Outstanding"/>
    <s v="INV-031225170417"/>
    <s v="Yes"/>
    <s v="Yes"/>
    <s v="No response from the client post reminder sent"/>
    <m/>
  </r>
  <r>
    <s v="N1"/>
    <s v="Yondr Money Pty Ltd"/>
    <x v="0"/>
    <s v="Hao Nguyen"/>
    <s v="NA"/>
    <s v="Active"/>
    <n v="2025"/>
    <s v="Bank Transfer"/>
    <s v="AUD"/>
    <n v="4906.1906041284556"/>
    <n v="6851.1689999999999"/>
    <d v="2025-11-01T00:00:00"/>
    <s v="Nov"/>
    <n v="169"/>
    <x v="0"/>
    <s v="Monthly Billing"/>
    <d v="2025-12-04T00:00:00"/>
    <d v="2025-12-11T00:00:00"/>
    <s v="Outstanding"/>
    <s v="INV-041225150054"/>
    <s v="Yes"/>
    <s v="Yes"/>
    <s v="AM to provide an update if invoices needs to be written off as client is suspended"/>
    <m/>
  </r>
  <r>
    <s v="Masspay"/>
    <s v="GLOBAL ROOTS INC"/>
    <x v="2"/>
    <s v="Bhavani"/>
    <s v="NA"/>
    <s v="Active"/>
    <n v="2025"/>
    <s v="Bank Transfer"/>
    <s v="USD"/>
    <n v="2217.6"/>
    <n v="2217.6"/>
    <d v="2025-12-01T00:00:00"/>
    <s v="Dec"/>
    <n v="132"/>
    <x v="0"/>
    <s v="Monthly Billing"/>
    <d v="2026-01-02T00:00:00"/>
    <d v="2026-01-17T00:00:00"/>
    <s v="Outstanding"/>
    <s v="US-GLOBAL ROOTS INC-12/2025"/>
    <s v="Yes"/>
    <s v="No"/>
    <s v="No response from the client post reminder sent"/>
    <m/>
  </r>
  <r>
    <s v="Masspay"/>
    <s v="TClub Inc."/>
    <x v="1"/>
    <s v="Tanu Arora"/>
    <s v="NA"/>
    <s v="Active"/>
    <n v="2025"/>
    <s v="Bank Transfer"/>
    <s v="USD"/>
    <n v="1.5"/>
    <n v="1.5"/>
    <d v="2025-12-01T00:00:00"/>
    <s v="Dec"/>
    <n v="139"/>
    <x v="0"/>
    <s v="Monthly Billing"/>
    <d v="2026-01-03T00:00:00"/>
    <d v="2026-01-10T00:00:00"/>
    <s v="Outstanding"/>
    <s v="US-TClub Inc.-12/2025"/>
    <s v="Yes"/>
    <s v="No"/>
    <s v="No response from the client post reminder sent"/>
    <m/>
  </r>
  <r>
    <s v="N1"/>
    <s v="Budgetly Pty Ltd"/>
    <x v="0"/>
    <s v="Hao Nguyen"/>
    <s v="Vinoth M"/>
    <s v="Active"/>
    <n v="2025"/>
    <s v="Bank Transfer"/>
    <s v="AUD"/>
    <n v="850.3935100467429"/>
    <n v="1187.5180000000037"/>
    <d v="2025-12-01T00:00:00"/>
    <s v="Dec"/>
    <n v="113"/>
    <x v="0"/>
    <s v="Monthly Billing"/>
    <d v="2026-01-06T00:00:00"/>
    <d v="2026-02-05T00:00:00"/>
    <s v="Outstanding"/>
    <s v="INV-060126122618"/>
    <s v="Yes"/>
    <s v="No"/>
    <s v="No response from the client post reminder sent"/>
    <m/>
  </r>
  <r>
    <s v="N1"/>
    <s v="FIRSTKYC PTE. LTD."/>
    <x v="0"/>
    <s v="NA"/>
    <s v="Denis Tan"/>
    <s v="Active"/>
    <n v="2025"/>
    <s v="Bank Transfer"/>
    <s v="USD"/>
    <n v="1.72"/>
    <n v="1.72"/>
    <d v="2025-12-01T00:00:00"/>
    <s v="Dec"/>
    <n v="137"/>
    <x v="0"/>
    <s v="Monthly Billing"/>
    <d v="2026-01-05T00:00:00"/>
    <d v="2026-01-12T00:00:00"/>
    <s v="Outstanding"/>
    <s v="INV-050126095427"/>
    <s v="Yes"/>
    <s v="No"/>
    <s v="Client will settle once lumpsum threshold achieved"/>
    <m/>
  </r>
  <r>
    <s v="N1"/>
    <s v="Istanbul Ödeme ve Elektronik Para A.S"/>
    <x v="4"/>
    <s v="Jerome Coelho"/>
    <s v="Ashraf Omran"/>
    <s v="Active"/>
    <n v="2025"/>
    <s v="Bank Transfer"/>
    <s v="USD"/>
    <n v="2500"/>
    <n v="2500"/>
    <d v="2025-12-01T00:00:00"/>
    <s v="Dec"/>
    <n v="137"/>
    <x v="0"/>
    <s v="Monthly Billing"/>
    <d v="2026-01-05T00:00:00"/>
    <d v="2026-01-12T00:00:00"/>
    <s v="Force Settlement"/>
    <s v="INV-050126150313"/>
    <s v="Yes"/>
    <s v="No"/>
    <s v="No response from the client post reminder sent"/>
    <m/>
  </r>
  <r>
    <s v="N1"/>
    <s v="JPMORGAN CHASE BANK"/>
    <x v="3"/>
    <s v="Sachli Zare"/>
    <s v="NA"/>
    <s v="Active"/>
    <n v="2025"/>
    <s v="Bank Transfer"/>
    <s v="USD"/>
    <n v="2.5"/>
    <n v="2.5"/>
    <d v="2025-12-01T00:00:00"/>
    <s v="Dec"/>
    <n v="137"/>
    <x v="0"/>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137"/>
    <x v="0"/>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137"/>
    <x v="0"/>
    <s v="Monthly Billing"/>
    <d v="2026-01-05T00:00:00"/>
    <d v="2026-01-12T00:00:00"/>
    <s v="Outstanding"/>
    <s v="INV-050126154823"/>
    <s v="Yes"/>
    <s v="Yes"/>
    <s v="No response from the client post reminder sent"/>
    <m/>
  </r>
  <r>
    <s v="N1"/>
    <s v="Yondr Money Pty Ltd"/>
    <x v="0"/>
    <s v="Hao Nguyen"/>
    <s v="NA"/>
    <s v="Active"/>
    <n v="2025"/>
    <s v="Bank Transfer"/>
    <s v="AUD"/>
    <n v="4867.0594895154618"/>
    <n v="6796.5250000000005"/>
    <d v="2025-12-01T00:00:00"/>
    <s v="Dec"/>
    <n v="136"/>
    <x v="0"/>
    <s v="Monthly Billing"/>
    <d v="2026-01-06T00:00:00"/>
    <d v="2026-01-13T00:00:00"/>
    <s v="Outstanding"/>
    <s v="INV-060126181825"/>
    <s v="Yes"/>
    <s v="Yes"/>
    <s v="AM to provide an update if invoices needs to be written off as client is suspended"/>
    <m/>
  </r>
  <r>
    <s v="N1"/>
    <s v="Budgetly Pty Ltd"/>
    <x v="0"/>
    <s v="Hao Nguyen"/>
    <s v="Vinoth M"/>
    <s v="Active"/>
    <n v="2025"/>
    <s v="Bank Transfer"/>
    <s v="AUD"/>
    <n v="1592.8219804598018"/>
    <n v="2224.27"/>
    <d v="2025-12-01T00:00:00"/>
    <s v="Dec"/>
    <n v="95"/>
    <x v="0"/>
    <s v="Card Printing and Delivery"/>
    <d v="2026-01-23T00:00:00"/>
    <d v="2026-02-23T00:00:00"/>
    <s v="Outstanding"/>
    <s v="INV-230126170000"/>
    <s v="Yes"/>
    <s v="No"/>
    <s v="No response from the client post reminder sent"/>
    <m/>
  </r>
  <r>
    <s v="Masspay"/>
    <s v="TClub Inc."/>
    <x v="1"/>
    <s v="Tanu Arora"/>
    <s v="NA"/>
    <s v="Active"/>
    <n v="2026"/>
    <s v="Bank Transfer"/>
    <s v="USD"/>
    <n v="5.5"/>
    <n v="5.5"/>
    <d v="2026-01-01T00:00:00"/>
    <s v="Jan"/>
    <n v="111"/>
    <x v="0"/>
    <s v="Monthly Billing"/>
    <d v="2026-02-02T00:00:00"/>
    <d v="2026-02-07T00:00:00"/>
    <s v="Outstanding"/>
    <s v="US-TClub Inc.-01/2026"/>
    <s v="Yes"/>
    <s v="No"/>
    <s v="No response from the client post reminder sent"/>
    <m/>
  </r>
  <r>
    <s v="N1"/>
    <s v="Budgetly Pty Ltd"/>
    <x v="0"/>
    <s v="Hao Nguyen"/>
    <s v="Vinoth M"/>
    <s v="Active"/>
    <n v="2026"/>
    <s v="Bank Transfer"/>
    <s v="AUD"/>
    <n v="3814.9750313587629"/>
    <n v="5327.359000000004"/>
    <d v="2026-01-01T00:00:00"/>
    <s v="Jan"/>
    <n v="104"/>
    <x v="0"/>
    <s v="Monthly Billing"/>
    <d v="2026-02-07T00:00:00"/>
    <d v="2026-02-14T00:00:00"/>
    <s v="Outstanding"/>
    <s v="INV-070226133026"/>
    <s v="Yes"/>
    <s v="No"/>
    <s v="No response from the client post reminder sent"/>
    <m/>
  </r>
  <r>
    <s v="N1"/>
    <s v="Express Hub Services Pty Ltd"/>
    <x v="0"/>
    <s v="NA"/>
    <s v="Wendy zhai"/>
    <s v="Active"/>
    <n v="2026"/>
    <s v="Bank Transfer"/>
    <s v="AUD"/>
    <n v="7131.2811382303735"/>
    <n v="9958.36"/>
    <d v="2026-01-01T00:00:00"/>
    <s v="Jan"/>
    <n v="105"/>
    <x v="0"/>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05"/>
    <x v="0"/>
    <s v="Monthly Billing"/>
    <d v="2026-02-06T00:00:00"/>
    <d v="2026-02-13T00:00:00"/>
    <s v="Outstanding"/>
    <s v="INV-060226120820"/>
    <s v="Yes"/>
    <s v="No"/>
    <s v="Client will settle once lumpsum threshold achieved"/>
    <m/>
  </r>
  <r>
    <s v="N1"/>
    <s v="Istanbul Ödeme ve Elektronik Para A.S"/>
    <x v="4"/>
    <s v="Jerome Coelho"/>
    <s v="Ashraf Omran"/>
    <s v="Active"/>
    <n v="2026"/>
    <s v="Bank Transfer"/>
    <s v="USD"/>
    <n v="2500"/>
    <n v="2500"/>
    <d v="2026-01-01T00:00:00"/>
    <s v="Jan"/>
    <n v="109"/>
    <x v="0"/>
    <s v="Monthly Billing"/>
    <d v="2026-02-02T00:00:00"/>
    <d v="2026-02-09T00:00:00"/>
    <s v="Force Settlement"/>
    <s v="INV-020226182425"/>
    <s v="Yes"/>
    <s v="No"/>
    <s v="No response from the client post reminder sent"/>
    <m/>
  </r>
  <r>
    <s v="N1"/>
    <s v="MULTIPLIER TECHNOLOGIES PTE. LTD"/>
    <x v="0"/>
    <s v="Shi Yin"/>
    <s v="Vinoth M"/>
    <s v="Active"/>
    <n v="2026"/>
    <s v="Bank Transfer"/>
    <s v="USD"/>
    <n v="2965"/>
    <n v="2965"/>
    <d v="2026-01-01T00:00:00"/>
    <s v="Jan"/>
    <n v="106"/>
    <x v="0"/>
    <s v="Monthly Billing"/>
    <d v="2026-02-05T00:00:00"/>
    <d v="2026-02-12T00:00:00"/>
    <s v="Outstanding"/>
    <s v="INV-050226133127"/>
    <s v="Yes"/>
    <s v="Yes"/>
    <s v="No response from the client post reminder sent"/>
    <m/>
  </r>
  <r>
    <s v="N1"/>
    <s v="MyBeacon Services Inc."/>
    <x v="1"/>
    <s v="NA"/>
    <s v="Michael Bermingham"/>
    <s v="Active"/>
    <n v="2026"/>
    <s v="Bank Transfer"/>
    <s v="CAD"/>
    <n v="265.36476326938953"/>
    <n v="362.5"/>
    <d v="2026-01-01T00:00:00"/>
    <s v="Jan"/>
    <n v="107"/>
    <x v="0"/>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07"/>
    <x v="0"/>
    <s v="Monthly Billing"/>
    <d v="2026-02-04T00:00:00"/>
    <d v="2026-02-11T00:00:00"/>
    <s v="Outstanding"/>
    <s v="INV-040226185603"/>
    <s v="Yes"/>
    <s v="No"/>
    <s v="No response from the client post reminder sent"/>
    <m/>
  </r>
  <r>
    <s v="N1"/>
    <s v="Yondr Money Pty Ltd"/>
    <x v="0"/>
    <s v="Hao Nguyen"/>
    <s v="NA"/>
    <s v="Active"/>
    <n v="2026"/>
    <s v="Bank Transfer"/>
    <s v="AUD"/>
    <n v="5080.012699530087"/>
    <n v="7093.9"/>
    <d v="2026-01-01T00:00:00"/>
    <s v="Jan"/>
    <n v="105"/>
    <x v="0"/>
    <s v="Monthly Billing"/>
    <d v="2026-02-06T00:00:00"/>
    <d v="2026-02-13T00:00:00"/>
    <s v="Outstanding"/>
    <s v="INV-060226143545"/>
    <s v="Yes"/>
    <s v="Yes"/>
    <s v="AM to provide an update if invoices needs to be written off as client is suspended"/>
    <m/>
  </r>
  <r>
    <s v="N1"/>
    <s v="Budgetly Pty Ltd"/>
    <x v="0"/>
    <s v="Hao Nguyen"/>
    <s v="Vinoth M"/>
    <s v="Active"/>
    <n v="2026"/>
    <s v="Bank Transfer"/>
    <s v="AUD"/>
    <n v="39.758426969355433"/>
    <n v="55.52"/>
    <d v="2026-01-01T00:00:00"/>
    <s v="Jan"/>
    <n v="70"/>
    <x v="1"/>
    <s v="Card Printing and Delivery"/>
    <d v="2026-02-20T00:00:00"/>
    <d v="2026-03-20T00:00:00"/>
    <s v="Outstanding"/>
    <s v="INV-200226170000"/>
    <s v="Yes"/>
    <s v="No"/>
    <s v="No response from the client post reminder sent"/>
    <m/>
  </r>
  <r>
    <s v="Masspay"/>
    <s v="Corporate Alliance Payments Pty Ltd - NSP"/>
    <x v="0"/>
    <s v="Hao Nguyen"/>
    <s v="Vinoth M"/>
    <s v="Active"/>
    <n v="2026"/>
    <s v="Bank Transfer"/>
    <s v="AUD"/>
    <n v="1531.2221986171514"/>
    <n v="2138.25"/>
    <d v="2026-02-01T00:00:00"/>
    <s v="Feb"/>
    <n v="80"/>
    <x v="1"/>
    <s v="Monthly Billing"/>
    <d v="2026-03-03T00:00:00"/>
    <d v="2026-03-10T00:00:00"/>
    <s v="Outstanding"/>
    <s v="AU-CorporateAlliance-02/2026"/>
    <s v="Yes"/>
    <s v="No"/>
    <s v="No response from the client post reminder sent"/>
    <m/>
  </r>
  <r>
    <s v="N1"/>
    <s v="Budgetly Pty Ltd"/>
    <x v="0"/>
    <s v="Hao Nguyen"/>
    <s v="Vinoth M"/>
    <s v="Active"/>
    <n v="2026"/>
    <s v="Bank Transfer"/>
    <s v="AUD"/>
    <n v="2755.5003180449307"/>
    <n v="3847.8729999999996"/>
    <d v="2026-02-01T00:00:00"/>
    <s v="Feb"/>
    <n v="56"/>
    <x v="2"/>
    <s v="Monthly Billing"/>
    <d v="2026-03-04T00:00:00"/>
    <d v="2026-04-03T00:00:00"/>
    <s v="Invoice Sent"/>
    <s v="INV-040326125850"/>
    <s v="Yes"/>
    <s v="No"/>
    <s v="No response from the client post reminder sent"/>
    <m/>
  </r>
  <r>
    <s v="N1"/>
    <s v="Express Hub Services Pty Ltd"/>
    <x v="0"/>
    <s v="NA"/>
    <s v="Wendy zhai"/>
    <s v="Active"/>
    <n v="2026"/>
    <s v="Bank Transfer"/>
    <s v="AUD"/>
    <n v="3550.9817975002243"/>
    <n v="4958.71"/>
    <d v="2026-02-01T00:00:00"/>
    <s v="Feb"/>
    <n v="80"/>
    <x v="1"/>
    <s v="Monthly Billing"/>
    <d v="2026-03-03T00:00:00"/>
    <d v="2026-03-10T00:00:00"/>
    <s v="Outstanding"/>
    <s v="INV-030326151733"/>
    <s v="Yes"/>
    <s v="No"/>
    <s v="No response from the client post reminder sent"/>
    <m/>
  </r>
  <r>
    <s v="N1"/>
    <s v="FIRSTKYC PTE. LTD."/>
    <x v="0"/>
    <s v="NA"/>
    <s v="Denis Tan"/>
    <s v="Active"/>
    <n v="2026"/>
    <s v="Bank Transfer"/>
    <s v="USD"/>
    <n v="6.88"/>
    <n v="6.88"/>
    <d v="2026-02-01T00:00:00"/>
    <s v="Feb"/>
    <n v="79"/>
    <x v="1"/>
    <s v="Monthly Billing"/>
    <d v="2026-03-04T00:00:00"/>
    <d v="2026-03-11T00:00:00"/>
    <s v="Outstanding"/>
    <s v="INV-040326132912"/>
    <s v="Yes"/>
    <s v="No"/>
    <s v="Client will settle once lumpsum threshold achieved"/>
    <m/>
  </r>
  <r>
    <s v="N1"/>
    <s v="Istanbul Ödeme ve Elektronik Para A.S"/>
    <x v="4"/>
    <s v="Jerome Coelho"/>
    <s v="Ashraf Omran"/>
    <s v="Active"/>
    <n v="2026"/>
    <s v="Bank Transfer"/>
    <s v="USD"/>
    <n v="2500"/>
    <n v="2500"/>
    <d v="2026-02-01T00:00:00"/>
    <s v="Feb"/>
    <n v="81"/>
    <x v="1"/>
    <s v="Monthly Billing"/>
    <d v="2026-03-02T00:00:00"/>
    <d v="2026-03-09T00:00:00"/>
    <s v="Force Settlement"/>
    <s v="INV-020326191014"/>
    <s v="Yes"/>
    <s v="No"/>
    <s v="No response from the client post reminder sent"/>
    <m/>
  </r>
  <r>
    <s v="N1"/>
    <s v="JPMORGAN CHASE BANK"/>
    <x v="3"/>
    <s v="Sachli Zare"/>
    <s v="NA"/>
    <s v="Active"/>
    <n v="2026"/>
    <s v="Bank Transfer"/>
    <s v="USD"/>
    <n v="89.8"/>
    <n v="89.8"/>
    <d v="2026-02-01T00:00:00"/>
    <s v="Feb"/>
    <n v="79"/>
    <x v="1"/>
    <s v="Monthly Billing"/>
    <d v="2026-03-04T00:00:00"/>
    <d v="2026-03-11T00:00:00"/>
    <s v="Outstanding"/>
    <s v="INV-040326132449"/>
    <s v="Yes"/>
    <s v="No"/>
    <s v="Partially settled by the client"/>
    <m/>
  </r>
  <r>
    <s v="N1"/>
    <s v="Loadpass LTDA"/>
    <x v="1"/>
    <s v="Eduardo Avallone"/>
    <s v="Christina Hutchinson"/>
    <s v="Active"/>
    <n v="2026"/>
    <s v="Bank Transfer"/>
    <s v="USD"/>
    <n v="608.9699999999998"/>
    <n v="608.9699999999998"/>
    <d v="2026-02-01T00:00:00"/>
    <s v="Feb"/>
    <n v="80"/>
    <x v="1"/>
    <s v="Monthly Billing"/>
    <d v="2026-03-03T00:00:00"/>
    <d v="2026-03-10T00:00:00"/>
    <s v="Outstanding"/>
    <s v="INV-030326144903"/>
    <s v="Yes"/>
    <s v="No"/>
    <s v="AM is chasing the client to clear all o/s invoices"/>
    <m/>
  </r>
  <r>
    <s v="N1"/>
    <s v="MULTIPLIER TECHNOLOGIES PTE. LTD"/>
    <x v="0"/>
    <s v="Shi Yin"/>
    <s v="Vinoth M"/>
    <s v="Active"/>
    <n v="2026"/>
    <s v="Bank Transfer"/>
    <s v="USD"/>
    <n v="2963.5"/>
    <n v="2963.5"/>
    <d v="2026-02-01T00:00:00"/>
    <s v="Feb"/>
    <n v="80"/>
    <x v="1"/>
    <s v="Monthly Billing"/>
    <d v="2026-03-03T00:00:00"/>
    <d v="2026-03-10T00:00:00"/>
    <s v="Outstanding"/>
    <s v="INV-030326180323"/>
    <s v="Yes"/>
    <s v="Yes"/>
    <s v="No response from the client post reminder sent"/>
    <m/>
  </r>
  <r>
    <s v="N1"/>
    <s v="MyBeacon Services Inc."/>
    <x v="1"/>
    <s v="NA"/>
    <s v="Michael Bermingham"/>
    <s v="Active"/>
    <n v="2026"/>
    <s v="Bank Transfer"/>
    <s v="CAD"/>
    <n v="1020.4296930153743"/>
    <n v="1393.95208"/>
    <d v="2026-02-01T00:00:00"/>
    <s v="Feb"/>
    <n v="79"/>
    <x v="1"/>
    <s v="Monthly Billing"/>
    <d v="2026-03-04T00:00:00"/>
    <d v="2026-03-11T00:00:00"/>
    <s v="Outstanding"/>
    <s v="INV-040326160006"/>
    <s v="Yes"/>
    <s v="No"/>
    <s v="No response from the client post reminder sent"/>
    <m/>
  </r>
  <r>
    <s v="N1"/>
    <s v="MyBeacon Services Inc.-Verify"/>
    <x v="1"/>
    <s v="NA"/>
    <s v="Michael Bermingham"/>
    <s v="Active"/>
    <n v="2026"/>
    <s v="Bank Transfer"/>
    <s v="USD"/>
    <n v="43.5"/>
    <n v="43.5"/>
    <d v="2026-02-01T00:00:00"/>
    <s v="Feb"/>
    <n v="79"/>
    <x v="1"/>
    <s v="Monthly Billing"/>
    <d v="2026-03-04T00:00:00"/>
    <d v="2026-03-11T00:00:00"/>
    <s v="Outstanding"/>
    <s v="INV-040326095350"/>
    <s v="Yes"/>
    <s v="No"/>
    <s v="No response from the client post reminder sent"/>
    <m/>
  </r>
  <r>
    <s v="N1"/>
    <s v="Red Owl Pty Ltd"/>
    <x v="0"/>
    <s v="NA"/>
    <s v="Vinoth M"/>
    <s v="Active"/>
    <n v="2026"/>
    <s v="Bank Transfer"/>
    <s v="AUD"/>
    <n v="7774.8062248971883"/>
    <n v="10857"/>
    <d v="2026-03-01T00:00:00"/>
    <s v="Mar"/>
    <n v="72"/>
    <x v="1"/>
    <s v="Setup Fee"/>
    <d v="2026-03-11T00:00:00"/>
    <d v="2026-03-18T00:00:00"/>
    <s v="Outstanding"/>
    <s v="INV-110326113159"/>
    <s v="Yes"/>
    <s v="No"/>
    <s v="No response from the client post reminder sent"/>
    <m/>
  </r>
  <r>
    <s v="Masspay"/>
    <s v="Corporate Alliance Payments Pty Ltd - NSP"/>
    <x v="0"/>
    <s v="Hao Nguyen"/>
    <s v="Vinoth M"/>
    <s v="Active"/>
    <n v="2026"/>
    <s v="Bank Transfer"/>
    <s v="AUD"/>
    <n v="1561.9433174389337"/>
    <n v="2181.15"/>
    <d v="2026-03-01T00:00:00"/>
    <s v="Mar"/>
    <n v="50"/>
    <x v="2"/>
    <s v="Monthly Billing"/>
    <d v="2026-04-02T00:00:00"/>
    <d v="2026-04-09T00:00:00"/>
    <s v="Overdue"/>
    <s v="AU-CorporateAlliance-03/2026"/>
    <s v="Yes"/>
    <s v="No"/>
    <s v="No response from the client post reminder sent"/>
    <m/>
  </r>
  <r>
    <s v="Masspay"/>
    <s v="EZ Money Sdn Bhd."/>
    <x v="0"/>
    <s v="NA"/>
    <s v="Rohit Bammi"/>
    <s v="Active"/>
    <n v="2026"/>
    <s v="Bank Transfer"/>
    <s v="USD"/>
    <n v="42"/>
    <n v="42"/>
    <d v="2026-03-01T00:00:00"/>
    <s v="Mar"/>
    <n v="50"/>
    <x v="2"/>
    <s v="Monthly Billing"/>
    <d v="2026-04-02T00:00:00"/>
    <d v="2026-04-09T00:00:00"/>
    <s v="Overdue"/>
    <s v="MY-EZ Money-03/2026"/>
    <s v="Yes"/>
    <s v="No"/>
    <s v="No response from the client post reminder sent"/>
    <m/>
  </r>
  <r>
    <s v="Masspay"/>
    <s v="GLOBAL ROOTS INC"/>
    <x v="2"/>
    <s v="Bhavani"/>
    <s v="NA"/>
    <s v="Active"/>
    <n v="2026"/>
    <s v="Bank Transfer"/>
    <s v="USD"/>
    <n v="2125.9"/>
    <n v="2125.9"/>
    <d v="2026-03-01T00:00:00"/>
    <s v="Mar"/>
    <n v="43"/>
    <x v="2"/>
    <s v="Monthly Billing"/>
    <d v="2026-04-01T00:00:00"/>
    <d v="2026-04-16T00:00:00"/>
    <s v="Overdue"/>
    <s v="US-GLOBAL ROOTS INC-03/2026"/>
    <s v="Yes"/>
    <s v="No"/>
    <s v="No response from the client post reminder sent"/>
    <m/>
  </r>
  <r>
    <s v="Masspay"/>
    <s v="PT Midtrans"/>
    <x v="0"/>
    <s v="Hao Nguyen"/>
    <s v="Hari Budiman"/>
    <s v="Active"/>
    <n v="2026"/>
    <s v="Bank Transfer"/>
    <s v="IDR"/>
    <n v="352.95581732678494"/>
    <n v="6076312"/>
    <d v="2026-03-01T00:00:00"/>
    <s v="Mar"/>
    <n v="28"/>
    <x v="3"/>
    <s v="Monthly Billing"/>
    <d v="2026-04-01T00:00:00"/>
    <d v="2026-05-01T00:00:00"/>
    <s v="Invoice Sent"/>
    <s v="ID-PT Midtrans-03/2026"/>
    <s v="Yes"/>
    <s v="No"/>
    <s v="No response from the client post reminder sent"/>
    <m/>
  </r>
  <r>
    <s v="Masspay"/>
    <s v="Qatar National Bank (Q.P.S.C.)"/>
    <x v="4"/>
    <s v="Jerome Coelho"/>
    <s v="Rohit Bammi"/>
    <s v="Active"/>
    <n v="2026"/>
    <s v="Bank Transfer"/>
    <s v="USD"/>
    <n v="2235.75"/>
    <n v="2235.75"/>
    <d v="2026-03-01T00:00:00"/>
    <s v="Mar"/>
    <n v="50"/>
    <x v="2"/>
    <s v="Monthly Billing"/>
    <d v="2026-04-02T00:00:00"/>
    <d v="2026-04-09T00:00:00"/>
    <s v="Overdue"/>
    <s v="SG-Qatar National Bank (Q.P.S.C.)-03/2026"/>
    <s v="Yes"/>
    <s v="No"/>
    <s v="No response from the client post reminder sent"/>
    <m/>
  </r>
  <r>
    <s v="Masspay"/>
    <s v="Stratos Payments, Inc"/>
    <x v="1"/>
    <s v="Tanu Arora"/>
    <s v="Michael Bermingham"/>
    <s v="Active"/>
    <n v="2026"/>
    <s v="Wallet Debit"/>
    <s v="USD"/>
    <n v="2000"/>
    <n v="2000"/>
    <d v="2026-03-01T00:00:00"/>
    <s v="Mar"/>
    <n v="52"/>
    <x v="2"/>
    <s v="Monthly Billing"/>
    <d v="2026-04-02T00:00:00"/>
    <d v="2026-04-07T00:00:00"/>
    <s v="Force Settlement"/>
    <s v="US-Stratos Payments, Inc-03/2026"/>
    <s v="Yes"/>
    <s v="No"/>
    <s v="No response from the client post reminder sent"/>
    <m/>
  </r>
  <r>
    <s v="Masspay"/>
    <s v="you technologies group (singapore) pte. ltd"/>
    <x v="0"/>
    <s v="XiaoXiao"/>
    <s v="NA"/>
    <s v="Active"/>
    <n v="2026"/>
    <s v="Bank Transfer"/>
    <s v="USD"/>
    <n v="60745.5"/>
    <n v="60745.5"/>
    <d v="2026-03-01T00:00:00"/>
    <s v="Mar"/>
    <n v="45"/>
    <x v="2"/>
    <s v="Monthly Billing"/>
    <d v="2026-04-02T00:00:00"/>
    <d v="2026-04-14T00:00:00"/>
    <s v="Overdue"/>
    <s v="SG-youtech-03/2026"/>
    <s v="Yes"/>
    <s v="No"/>
    <s v="No response from the client post reminder sent"/>
    <m/>
  </r>
  <r>
    <s v="N1"/>
    <s v="AL FUAD EXCHANGE"/>
    <x v="4"/>
    <s v="Jerome Coelho"/>
    <s v="Saikat Roy"/>
    <s v="Active"/>
    <n v="2026"/>
    <s v="Bank Transfer"/>
    <s v="USD"/>
    <n v="3000"/>
    <n v="3000"/>
    <d v="2026-03-01T00:00:00"/>
    <s v="Mar"/>
    <n v="50"/>
    <x v="2"/>
    <s v="Monthly Billing"/>
    <d v="2026-04-02T00:00:00"/>
    <d v="2026-04-09T00:00:00"/>
    <s v="Force Settlement"/>
    <s v="INV-020426113526"/>
    <s v="Yes"/>
    <s v="No"/>
    <s v="Client has requested for a waiver hence awaiting update from Sikat on this."/>
    <m/>
  </r>
  <r>
    <s v="N1"/>
    <s v="AVENIDA VESSEL"/>
    <x v="1"/>
    <s v="NA"/>
    <s v="Christina Hutchinson"/>
    <s v="Active"/>
    <n v="2026"/>
    <s v="Bank Transfer"/>
    <s v="USD"/>
    <n v="1000"/>
    <n v="1000"/>
    <d v="2026-03-01T00:00:00"/>
    <s v="Mar"/>
    <n v="51"/>
    <x v="2"/>
    <s v="Monthly Billing"/>
    <d v="2026-04-01T00:00:00"/>
    <d v="2026-04-08T00:00:00"/>
    <s v="Outstanding"/>
    <s v="INV-010426200152"/>
    <s v="Yes"/>
    <s v="No"/>
    <s v="No response from the client post reminder sent"/>
    <m/>
  </r>
  <r>
    <s v="N1"/>
    <s v="Budgetly Pty Ltd"/>
    <x v="0"/>
    <s v="Hao Nguyen"/>
    <s v="Vinoth M"/>
    <s v="Active"/>
    <n v="2026"/>
    <s v="Bank Transfer"/>
    <s v="AUD"/>
    <n v="1475.2030619721268"/>
    <n v="2060.0230000000001"/>
    <d v="2026-03-01T00:00:00"/>
    <s v="Mar"/>
    <n v="27"/>
    <x v="3"/>
    <s v="Monthly Billing"/>
    <d v="2026-04-03T00:00:00"/>
    <d v="2026-05-02T00:00:00"/>
    <s v="Invoice Sent"/>
    <s v="INV-030426112139"/>
    <s v="No"/>
    <s v="No"/>
    <s v="No response from the client post reminder sent"/>
    <m/>
  </r>
  <r>
    <s v="N1"/>
    <s v="CashD Pty Ltd"/>
    <x v="0"/>
    <s v="NA"/>
    <s v="Vinoth M"/>
    <s v="Active"/>
    <n v="2026"/>
    <s v="Bank Transfer"/>
    <s v="AUD"/>
    <n v="2252.165936934849"/>
    <n v="3145"/>
    <d v="2026-03-01T00:00:00"/>
    <s v="Mar"/>
    <n v="51"/>
    <x v="2"/>
    <s v="Monthly Billing"/>
    <d v="2026-04-01T00:00:00"/>
    <d v="2026-04-08T00:00:00"/>
    <s v="Outstanding"/>
    <s v="INV-010426164512"/>
    <s v="Yes"/>
    <s v="No"/>
    <s v="No response from the client post reminder sent"/>
    <m/>
  </r>
  <r>
    <s v="N1"/>
    <s v="Express Hub Services Pty Ltd"/>
    <x v="0"/>
    <s v="NA"/>
    <s v="Wendy zhai"/>
    <s v="Active"/>
    <n v="2026"/>
    <s v="Bank Transfer"/>
    <s v="AUD"/>
    <n v="3646.9405369435535"/>
    <n v="5092.71"/>
    <d v="2026-03-01T00:00:00"/>
    <s v="Mar"/>
    <n v="50"/>
    <x v="2"/>
    <s v="Monthly Billing"/>
    <d v="2026-04-02T00:00:00"/>
    <d v="2026-04-09T00:00:00"/>
    <s v="Outstanding"/>
    <s v="INV-020426173052"/>
    <s v="Yes"/>
    <s v="No"/>
    <s v="No response from the client post reminder sent"/>
    <m/>
  </r>
  <r>
    <s v="N1"/>
    <s v="FIRSTKYC PTE. LTD."/>
    <x v="0"/>
    <s v="NA"/>
    <s v="Denis Tan"/>
    <s v="Active"/>
    <n v="2026"/>
    <s v="Bank Transfer"/>
    <s v="USD"/>
    <n v="11.18"/>
    <n v="11.18"/>
    <d v="2026-03-01T00:00:00"/>
    <s v="Mar"/>
    <n v="49"/>
    <x v="2"/>
    <s v="Monthly Billing"/>
    <d v="2026-04-03T00:00:00"/>
    <d v="2026-04-10T00:00:00"/>
    <s v="Outstanding"/>
    <s v="INV-030426123312"/>
    <s v="Yes"/>
    <s v="No"/>
    <s v="Client will settle once lumpsum threshold achieved"/>
    <m/>
  </r>
  <r>
    <s v="N1"/>
    <s v="Globus Payments (DIFC) Limited"/>
    <x v="4"/>
    <s v="NA"/>
    <s v="Ashraf Omran"/>
    <s v="Active"/>
    <n v="2026"/>
    <s v="Bank Transfer"/>
    <s v="USD"/>
    <n v="5000"/>
    <n v="5000"/>
    <d v="2026-04-01T00:00:00"/>
    <s v="Apr"/>
    <n v="44"/>
    <x v="2"/>
    <s v="Pay Out Service Integration Fee"/>
    <d v="2026-04-08T00:00:00"/>
    <d v="2026-04-15T00:00:00"/>
    <s v="Outstanding"/>
    <s v="INV-080426104349"/>
    <s v="Yes"/>
    <s v="No"/>
    <s v="No response from the client post reminder sent"/>
    <m/>
  </r>
  <r>
    <s v="N1"/>
    <s v="HONGKONG FORTUNETECH LIMITED"/>
    <x v="0"/>
    <s v="NA"/>
    <s v="Edward Li"/>
    <s v="Active"/>
    <n v="2026"/>
    <s v="Bank Transfer"/>
    <s v="USD"/>
    <n v="40"/>
    <n v="40"/>
    <d v="2026-03-01T00:00:00"/>
    <s v="Mar"/>
    <n v="50"/>
    <x v="2"/>
    <s v="Monthly Billing"/>
    <d v="2026-04-02T00:00:00"/>
    <d v="2026-04-09T00:00:00"/>
    <s v="Outstanding"/>
    <s v="INV-020426180801"/>
    <s v="Yes"/>
    <s v="No"/>
    <s v="No response from the client post reminder sent"/>
    <m/>
  </r>
  <r>
    <s v="N1"/>
    <s v="JPMORGAN CHASE BANK"/>
    <x v="3"/>
    <s v="Sachli Zare"/>
    <s v="NA"/>
    <s v="Active"/>
    <n v="2026"/>
    <s v="Bank Transfer"/>
    <s v="USD"/>
    <n v="21.1"/>
    <n v="21.1"/>
    <d v="2026-03-01T00:00:00"/>
    <s v="Mar"/>
    <n v="49"/>
    <x v="2"/>
    <s v="Monthly Billing"/>
    <d v="2026-04-03T00:00:00"/>
    <d v="2026-04-10T00:00:00"/>
    <s v="Outstanding"/>
    <s v="INV-030426152534"/>
    <s v="Yes"/>
    <s v="No"/>
    <s v="Partially settled by the client"/>
    <m/>
  </r>
  <r>
    <s v="N1"/>
    <s v="KOHO Financial Inc."/>
    <x v="1"/>
    <s v="Eduardo Avallone"/>
    <s v="Vinoth M"/>
    <s v="Active"/>
    <n v="2026"/>
    <s v="Bank Transfer"/>
    <s v="USD"/>
    <n v="250"/>
    <n v="250"/>
    <d v="2026-03-01T00:00:00"/>
    <s v="Mar"/>
    <n v="51"/>
    <x v="2"/>
    <s v="Monthly Billing"/>
    <d v="2026-04-01T00:00:00"/>
    <d v="2026-04-08T00:00:00"/>
    <s v="Outstanding"/>
    <s v="INV-010426194307"/>
    <s v="Yes"/>
    <s v="No"/>
    <s v="No response from the client post reminder sent"/>
    <m/>
  </r>
  <r>
    <s v="N1"/>
    <s v="KOHO Financial Inc.-Verify"/>
    <x v="1"/>
    <s v="Eduardo Avallone"/>
    <s v="Vinoth M"/>
    <s v="Active"/>
    <n v="2026"/>
    <s v="Bank Transfer"/>
    <s v="USD"/>
    <n v="275.60000000000002"/>
    <n v="275.60000000000002"/>
    <d v="2026-03-01T00:00:00"/>
    <s v="Mar"/>
    <n v="51"/>
    <x v="2"/>
    <s v="Monthly Billing"/>
    <d v="2026-04-01T00:00:00"/>
    <d v="2026-04-08T00:00:00"/>
    <s v="Outstanding"/>
    <s v="INV-010426195023"/>
    <s v="Yes"/>
    <s v="No"/>
    <s v="No response from the client post reminder sent"/>
    <m/>
  </r>
  <r>
    <s v="N1"/>
    <s v="Mizzen Digital DMCC"/>
    <x v="4"/>
    <s v="Jerome Coelho"/>
    <s v="Rohit Bammi"/>
    <s v="Active"/>
    <n v="2026"/>
    <s v="Bank Transfer"/>
    <s v="USD"/>
    <n v="1483.54"/>
    <n v="1483.54"/>
    <d v="2026-03-01T00:00:00"/>
    <s v="Mar"/>
    <n v="49"/>
    <x v="2"/>
    <s v="Monthly Billing"/>
    <d v="2026-04-03T00:00:00"/>
    <d v="2026-04-10T00:00:00"/>
    <s v="Outstanding"/>
    <s v="INV-030426095657"/>
    <s v="Yes"/>
    <s v="No"/>
    <s v="No response from the client post reminder sent"/>
    <m/>
  </r>
  <r>
    <s v="N1"/>
    <s v="MULTIPLIER TECHNOLOGIES PTE. LTD"/>
    <x v="0"/>
    <s v="Shi Yin"/>
    <s v="Vinoth M"/>
    <s v="Active"/>
    <n v="2026"/>
    <s v="Bank Transfer"/>
    <s v="USD"/>
    <n v="2952"/>
    <n v="2952"/>
    <d v="2026-03-01T00:00:00"/>
    <s v="Mar"/>
    <n v="50"/>
    <x v="2"/>
    <s v="Monthly Billing"/>
    <d v="2026-04-02T00:00:00"/>
    <d v="2026-04-09T00:00:00"/>
    <s v="Outstanding"/>
    <s v="INV-020426170424"/>
    <s v="Yes"/>
    <s v="Yes"/>
    <s v="No response from the client post reminder sent"/>
    <m/>
  </r>
  <r>
    <s v="N1"/>
    <s v="MyBeacon Services Inc."/>
    <x v="1"/>
    <s v="NA"/>
    <s v="Michael Bermingham"/>
    <s v="Active"/>
    <n v="2026"/>
    <s v="Bank Transfer"/>
    <s v="CAD"/>
    <n v="5219.948165930402"/>
    <n v="7130.68"/>
    <d v="2026-03-01T00:00:00"/>
    <s v="Mar"/>
    <n v="46"/>
    <x v="2"/>
    <s v="Monthly Billing"/>
    <d v="2026-04-06T00:00:00"/>
    <d v="2026-04-13T00:00:00"/>
    <s v="Outstanding"/>
    <s v="INV-030426231221"/>
    <s v="Yes"/>
    <s v="No"/>
    <s v="No response from the client post reminder sent"/>
    <m/>
  </r>
  <r>
    <s v="N1"/>
    <s v="MyBeacon Services Inc.-Verify"/>
    <x v="1"/>
    <s v="NA"/>
    <s v="Michael Bermingham"/>
    <s v="Active"/>
    <n v="2026"/>
    <s v="Bank Transfer"/>
    <s v="USD"/>
    <n v="7.5"/>
    <n v="7.5"/>
    <d v="2026-03-01T00:00:00"/>
    <s v="Mar"/>
    <n v="51"/>
    <x v="2"/>
    <s v="Monthly Billing"/>
    <d v="2026-04-01T00:00:00"/>
    <d v="2026-04-08T00:00:00"/>
    <s v="Outstanding"/>
    <s v="INV-010426201156"/>
    <s v="Yes"/>
    <s v="No"/>
    <s v="No response from the client post reminder sent"/>
    <m/>
  </r>
  <r>
    <s v="N1"/>
    <s v="Poaster Technologies Inc. DBA Warp"/>
    <x v="1"/>
    <s v="Tanu Arora"/>
    <s v="NA"/>
    <s v="Active"/>
    <n v="2026"/>
    <s v="Bank Transfer"/>
    <s v="USD"/>
    <n v="250"/>
    <n v="250"/>
    <d v="2026-03-01T00:00:00"/>
    <s v="Mar"/>
    <n v="51"/>
    <x v="2"/>
    <s v="Monthly Billing"/>
    <d v="2026-04-01T00:00:00"/>
    <d v="2026-04-08T00:00:00"/>
    <s v="Outstanding"/>
    <s v="INV-010426152406"/>
    <s v="Yes"/>
    <s v="No"/>
    <s v="No response from the client post reminder sent"/>
    <m/>
  </r>
  <r>
    <s v="N1"/>
    <s v="Travel Ledger UK"/>
    <x v="3"/>
    <s v="Sachli Zare"/>
    <s v="Danny May"/>
    <s v="Active"/>
    <n v="2026"/>
    <s v="Bank Transfer"/>
    <s v="GBP"/>
    <n v="4102.1855725513351"/>
    <n v="3037.8"/>
    <d v="2026-03-01T00:00:00"/>
    <s v="Mar"/>
    <n v="42"/>
    <x v="2"/>
    <s v="Monthly Billing"/>
    <d v="2026-04-03T00:00:00"/>
    <d v="2026-04-17T00:00:00"/>
    <s v="Invoice Sent"/>
    <s v="INV-030426101140"/>
    <s v="Yes"/>
    <s v="No"/>
    <s v="No response from the client post reminder sent"/>
    <m/>
  </r>
  <r>
    <s v="N1"/>
    <s v="Zeni, Inc."/>
    <x v="1"/>
    <s v="NA"/>
    <s v="Tyler Reed"/>
    <s v="Active"/>
    <n v="2026"/>
    <s v="Bank Transfer"/>
    <s v="USD"/>
    <n v="500"/>
    <n v="500"/>
    <d v="2026-03-01T00:00:00"/>
    <s v="Mar"/>
    <n v="50"/>
    <x v="2"/>
    <s v="Monthly Billing"/>
    <d v="2026-04-02T00:00:00"/>
    <d v="2026-04-09T00:00:00"/>
    <s v="Outstanding"/>
    <s v="INV-020426160801"/>
    <s v="Yes"/>
    <s v="No"/>
    <s v="No response from the client post reminder sent"/>
    <m/>
  </r>
  <r>
    <s v="N1"/>
    <s v="WEEL HOLDINGS PTY LTD"/>
    <x v="0"/>
    <s v="Hao Nguyen"/>
    <s v="Vinoth M"/>
    <s v="Active"/>
    <n v="2026"/>
    <s v="Bank Transfer"/>
    <s v="AUD"/>
    <n v="1508.4785451490905"/>
    <n v="2106.4899999999998"/>
    <d v="2026-03-01T00:00:00"/>
    <s v="Mar"/>
    <n v="5"/>
    <x v="3"/>
    <s v="Card Printing and Delivery"/>
    <d v="2026-04-24T00:00:00"/>
    <d v="2026-05-24T00:00:00"/>
    <s v="Invoice Sent"/>
    <s v="INV-240426132000"/>
    <s v="No"/>
    <s v="No"/>
    <s v="Card printing invoice"/>
    <m/>
  </r>
  <r>
    <s v="Masspay"/>
    <s v="BEXS BANCO DE CAMBIO S.A."/>
    <x v="1"/>
    <s v="Eduardo Avallone"/>
    <s v="Christina Hutchinson"/>
    <s v="Active"/>
    <n v="2026"/>
    <s v="Bank Transfer"/>
    <s v="USD"/>
    <n v="500"/>
    <n v="500"/>
    <d v="2026-04-01T00:00:00"/>
    <s v="Apr"/>
    <n v="20"/>
    <x v="3"/>
    <s v="Monthly Billing"/>
    <d v="2026-05-02T00:00:00"/>
    <d v="2026-05-09T00:00:00"/>
    <s v="Overdue"/>
    <s v="SG-BEXS BANCO DE CAMBIO-04/2026"/>
    <s v="Yes"/>
    <s v="No"/>
    <s v="No response from the client post reminder sent"/>
    <m/>
  </r>
  <r>
    <s v="Masspay"/>
    <s v="Corporate Alliance Payments Pty Ltd - NSP"/>
    <x v="0"/>
    <s v="Hao Nguyen"/>
    <s v="Vinoth M"/>
    <s v="Active"/>
    <n v="2026"/>
    <s v="Bank Transfer"/>
    <s v="AUD"/>
    <n v="1491.2632608489589"/>
    <n v="2082.4499999999998"/>
    <d v="2026-04-01T00:00:00"/>
    <s v="Apr"/>
    <n v="20"/>
    <x v="3"/>
    <s v="Monthly Billing"/>
    <d v="2026-05-02T00:00:00"/>
    <d v="2026-05-09T00:00:00"/>
    <s v="Overdue"/>
    <s v="AU-CorporateAlliance-04/2026"/>
    <s v="Yes"/>
    <s v="No"/>
    <s v="No response from the client post reminder sent"/>
    <m/>
  </r>
  <r>
    <s v="Masspay"/>
    <s v="Everpro Holdings Limited"/>
    <x v="0"/>
    <s v="NA"/>
    <s v="Lisa Sung"/>
    <s v="Active"/>
    <n v="2026"/>
    <s v="Bank Transfer"/>
    <s v="USD"/>
    <n v="5000"/>
    <n v="5000"/>
    <d v="2026-04-01T00:00:00"/>
    <s v="Apr"/>
    <n v="20"/>
    <x v="3"/>
    <s v="Monthly Billing"/>
    <d v="2026-05-02T00:00:00"/>
    <d v="2026-05-09T00:00:00"/>
    <s v="Overdue"/>
    <s v="HK-Everpro-04/2026"/>
    <m/>
    <m/>
    <m/>
    <m/>
  </r>
  <r>
    <s v="Masspay"/>
    <s v="EZ Money Sdn Bhd."/>
    <x v="0"/>
    <s v="NA"/>
    <s v="Rohit Bammi"/>
    <s v="Active"/>
    <n v="2026"/>
    <s v="Bank Transfer"/>
    <s v="USD"/>
    <n v="47"/>
    <n v="47"/>
    <d v="2026-04-01T00:00:00"/>
    <s v="Apr"/>
    <n v="20"/>
    <x v="3"/>
    <s v="Monthly Billing"/>
    <d v="2026-05-02T00:00:00"/>
    <d v="2026-05-09T00:00:00"/>
    <s v="Overdue"/>
    <s v="MY-EZ Money-04/2026"/>
    <s v="Yes"/>
    <s v="No"/>
    <s v="No response from the client post reminder sent"/>
    <m/>
  </r>
  <r>
    <s v="Masspay"/>
    <s v="Ichange Pte Ltd"/>
    <x v="0"/>
    <s v="Shi Yin"/>
    <s v="Gitesh Athavale"/>
    <s v="Active"/>
    <n v="2026"/>
    <s v="Wallet Debit"/>
    <s v="USD"/>
    <n v="24.5"/>
    <n v="24.5"/>
    <d v="2026-04-01T00:00:00"/>
    <s v="Apr"/>
    <n v="20"/>
    <x v="3"/>
    <s v="Monthly Billing"/>
    <d v="2026-05-02T00:00:00"/>
    <d v="2026-05-09T00:00:00"/>
    <s v="Force Settlement"/>
    <s v="SG-Ichange Pte Ltd-04/2026"/>
    <m/>
    <m/>
    <m/>
    <m/>
  </r>
  <r>
    <s v="Masspay"/>
    <s v="kasikorn bank"/>
    <x v="0"/>
    <s v="Pat Sarisa"/>
    <s v="NA"/>
    <s v="Active"/>
    <n v="2026"/>
    <s v="Bank Transfer"/>
    <s v="USD"/>
    <n v="21020.5"/>
    <n v="21020.5"/>
    <d v="2026-04-01T00:00:00"/>
    <s v="Apr"/>
    <n v="18"/>
    <x v="3"/>
    <s v="Monthly Billing"/>
    <d v="2026-05-04T00:00:00"/>
    <d v="2026-05-11T00:00:00"/>
    <s v="Overdue"/>
    <s v="SG-KasikornBank-04/2026"/>
    <m/>
    <m/>
    <m/>
    <m/>
  </r>
  <r>
    <s v="Masspay"/>
    <s v="ppsl paysafe"/>
    <x v="3"/>
    <s v="Melanie Leonard"/>
    <s v="NA"/>
    <s v="Active"/>
    <n v="2026"/>
    <s v="Bank Transfer"/>
    <s v="EUR"/>
    <n v="103.86801058765266"/>
    <n v="88.67"/>
    <d v="2026-04-01T00:00:00"/>
    <s v="Apr"/>
    <n v="-5"/>
    <x v="3"/>
    <s v="Monthly Billing"/>
    <d v="2026-05-04T00:00:00"/>
    <d v="2026-06-03T00:00:00"/>
    <s v="Invoice Sent"/>
    <s v="HK-Ppsl Paysafe-04/2026"/>
    <m/>
    <m/>
    <m/>
    <m/>
  </r>
  <r>
    <s v="Masspay"/>
    <s v="ppsl skrill"/>
    <x v="3"/>
    <s v="Melanie Leonard"/>
    <s v="NA"/>
    <s v="Active"/>
    <n v="2026"/>
    <s v="Bank Transfer"/>
    <s v="EUR"/>
    <n v="1691.9228574758315"/>
    <n v="1444.36"/>
    <d v="2026-04-01T00:00:00"/>
    <s v="Apr"/>
    <n v="-5"/>
    <x v="3"/>
    <s v="Monthly Billing"/>
    <d v="2026-05-04T00:00:00"/>
    <d v="2026-06-03T00:00:00"/>
    <s v="Invoice Sent"/>
    <s v="HK-Ppsl Skrill-04/2026"/>
    <m/>
    <m/>
    <m/>
    <m/>
  </r>
  <r>
    <s v="Masspay"/>
    <s v="PT Midtrans"/>
    <x v="0"/>
    <s v="Hao Nguyen"/>
    <s v="Hari Budiman"/>
    <s v="Active"/>
    <n v="2026"/>
    <s v="Bank Transfer"/>
    <s v="IDR"/>
    <n v="370.74141421444534"/>
    <n v="6382500"/>
    <d v="2026-04-01T00:00:00"/>
    <s v="Apr"/>
    <n v="-3"/>
    <x v="3"/>
    <s v="Monthly Billing"/>
    <d v="2026-05-01T00:00:00"/>
    <d v="2026-06-01T00:00:00"/>
    <s v="Invoice Sent"/>
    <s v="ID-PT Midtrans-04/2026"/>
    <s v="No"/>
    <s v="No"/>
    <s v="No response from the client post reminder sent"/>
    <m/>
  </r>
  <r>
    <s v="Masspay"/>
    <s v="PT PELITA TRANSFER NUSANTARA"/>
    <x v="0"/>
    <s v="Luciana"/>
    <s v="NA"/>
    <s v="Active"/>
    <n v="2026"/>
    <s v="Bank Transfer"/>
    <s v="IDR"/>
    <n v="5.5440726264447351"/>
    <n v="95444"/>
    <d v="2026-04-01T00:00:00"/>
    <s v="Apr"/>
    <n v="7"/>
    <x v="3"/>
    <s v="Monthly Billing"/>
    <d v="2026-05-01T00:00:00"/>
    <d v="2026-05-22T00:00:00"/>
    <s v="Invoice Sent"/>
    <s v="ID-ptpelita-04/2026"/>
    <m/>
    <m/>
    <m/>
    <m/>
  </r>
  <r>
    <s v="Masspay"/>
    <s v="Qatar National Bank (Q.P.S.C.)"/>
    <x v="4"/>
    <s v="Jerome Coelho"/>
    <s v="Rohit Bammi"/>
    <s v="Active"/>
    <n v="2026"/>
    <s v="Bank Transfer"/>
    <s v="USD"/>
    <n v="4029.75"/>
    <n v="4029.75"/>
    <d v="2026-04-01T00:00:00"/>
    <s v="Apr"/>
    <n v="18"/>
    <x v="3"/>
    <s v="Monthly Billing"/>
    <d v="2026-05-04T00:00:00"/>
    <d v="2026-05-11T00:00:00"/>
    <s v="Overdue"/>
    <s v="SG-Qatar National Bank (Q.P.S.C.)-04/2026"/>
    <s v="Yes"/>
    <s v="No"/>
    <s v="No response from the client post reminder sent"/>
    <m/>
  </r>
  <r>
    <s v="Masspay"/>
    <s v="REMIT5"/>
    <x v="1"/>
    <s v="Tanu Arora"/>
    <s v="Michael Bermingham"/>
    <s v="Active"/>
    <n v="2026"/>
    <s v="Bank Transfer"/>
    <s v="USD"/>
    <n v="2500"/>
    <n v="2500"/>
    <d v="2026-04-01T00:00:00"/>
    <s v="Apr"/>
    <n v="20"/>
    <x v="3"/>
    <s v="Monthly Billing"/>
    <d v="2026-05-02T00:00:00"/>
    <d v="2026-05-09T00:00:00"/>
    <s v="Overdue"/>
    <s v="CA-REMIT5-04/2026"/>
    <m/>
    <m/>
    <m/>
    <m/>
  </r>
  <r>
    <s v="Masspay"/>
    <s v="TClub Inc."/>
    <x v="1"/>
    <s v="Tanu Arora"/>
    <s v="NA"/>
    <s v="Active"/>
    <n v="2026"/>
    <s v="Bank Transfer"/>
    <s v="USD"/>
    <n v="10"/>
    <n v="10"/>
    <d v="2026-04-01T00:00:00"/>
    <s v="Apr"/>
    <n v="22"/>
    <x v="3"/>
    <s v="Monthly Billing"/>
    <d v="2026-05-02T00:00:00"/>
    <d v="2026-05-07T00:00:00"/>
    <s v="Overdue"/>
    <s v="US-TClub Inc.-04/2026"/>
    <s v="Yes"/>
    <s v="No"/>
    <s v="No response from the client post reminder sent"/>
    <m/>
  </r>
  <r>
    <s v="Masspay"/>
    <s v="you technologies group (singapore) pte. Ltd - Verify"/>
    <x v="0"/>
    <s v="XiaoXiao"/>
    <s v="NA"/>
    <s v="Active"/>
    <n v="2026"/>
    <s v="Bank Transfer"/>
    <s v="USD"/>
    <n v="3285.8"/>
    <n v="3285.8"/>
    <d v="2026-04-01T00:00:00"/>
    <s v="Apr"/>
    <n v="15"/>
    <x v="3"/>
    <s v="Monthly Billing"/>
    <d v="2026-05-04T00:00:00"/>
    <d v="2026-05-14T00:00:00"/>
    <s v="Overdue"/>
    <s v="US-youtech-Verify-04/2026"/>
    <m/>
    <m/>
    <m/>
    <m/>
  </r>
  <r>
    <s v="N1"/>
    <s v="AVENIDA VESSEL"/>
    <x v="1"/>
    <s v="NA"/>
    <s v="Christina Hutchinson"/>
    <s v="Active"/>
    <n v="2026"/>
    <s v="Bank Transfer"/>
    <s v="USD"/>
    <n v="1000"/>
    <n v="1000"/>
    <d v="2026-04-01T00:00:00"/>
    <s v="Apr"/>
    <n v="16"/>
    <x v="3"/>
    <s v="Monthly Billing"/>
    <d v="2026-05-06T00:00:00"/>
    <d v="2026-05-13T00:00:00"/>
    <s v="Outstanding"/>
    <s v="INV-060526133122"/>
    <s v="Yes"/>
    <s v="No"/>
    <s v="No response from the client post reminder sent"/>
    <m/>
  </r>
  <r>
    <s v="N1"/>
    <s v="Banque Patronus"/>
    <x v="4"/>
    <s v="Jerome Coelho"/>
    <s v="Saikat Roy"/>
    <s v="Active"/>
    <n v="2026"/>
    <s v="Bank Transfer"/>
    <s v="USD"/>
    <n v="3000"/>
    <n v="3000"/>
    <d v="2026-04-01T00:00:00"/>
    <s v="Apr"/>
    <n v="17"/>
    <x v="3"/>
    <s v="Monthly Billing"/>
    <d v="2026-05-05T00:00:00"/>
    <d v="2026-05-12T00:00:00"/>
    <s v="Outstanding"/>
    <s v="INV-050526104933"/>
    <m/>
    <m/>
    <m/>
    <m/>
  </r>
  <r>
    <s v="N1"/>
    <s v="CashD Pty Ltd"/>
    <x v="0"/>
    <s v="NA"/>
    <s v="Vinoth M"/>
    <s v="Active"/>
    <n v="2026"/>
    <s v="Bank Transfer"/>
    <s v="AUD"/>
    <n v="2252.165936934849"/>
    <n v="3145"/>
    <d v="2026-04-01T00:00:00"/>
    <s v="Apr"/>
    <n v="18"/>
    <x v="3"/>
    <s v="Monthly Billing"/>
    <d v="2026-05-04T00:00:00"/>
    <d v="2026-05-11T00:00:00"/>
    <s v="Outstanding"/>
    <s v="INV-040526140556"/>
    <s v="Yes"/>
    <s v="No"/>
    <s v="No response from the client post reminder sent"/>
    <m/>
  </r>
  <r>
    <s v="N1"/>
    <s v="Emirates Islamic Bank PJSC"/>
    <x v="4"/>
    <s v="Jerome Coelho"/>
    <s v="Rohit Bammi"/>
    <s v="Active"/>
    <n v="2026"/>
    <s v="Bank Transfer"/>
    <s v="USD"/>
    <n v="3736.5"/>
    <n v="3736.5"/>
    <d v="2026-04-01T00:00:00"/>
    <s v="Apr"/>
    <n v="18"/>
    <x v="3"/>
    <s v="Monthly Billing"/>
    <d v="2026-05-04T00:00:00"/>
    <d v="2026-05-11T00:00:00"/>
    <s v="Outstanding"/>
    <s v="INV-040526204049"/>
    <m/>
    <m/>
    <m/>
    <m/>
  </r>
  <r>
    <s v="N1"/>
    <s v="Emirates NBD Bank PJSC"/>
    <x v="4"/>
    <s v="Jerome Coelho"/>
    <s v="Rohit Bammi"/>
    <s v="Active"/>
    <n v="2026"/>
    <s v="Bank Transfer"/>
    <s v="USD"/>
    <n v="42610.5"/>
    <n v="42610.5"/>
    <d v="2026-04-01T00:00:00"/>
    <s v="Apr"/>
    <n v="18"/>
    <x v="3"/>
    <s v="Monthly Billing"/>
    <d v="2026-05-04T00:00:00"/>
    <d v="2026-05-11T00:00:00"/>
    <s v="Outstanding"/>
    <s v="INV-040526222935"/>
    <m/>
    <m/>
    <m/>
    <m/>
  </r>
  <r>
    <s v="N1"/>
    <s v="EVERWIN REMITTANCE AND EXCHANGE CO LIMITED"/>
    <x v="0"/>
    <s v="NA"/>
    <s v="Lisa Sung"/>
    <s v="Active"/>
    <n v="2026"/>
    <s v="Bank Transfer"/>
    <s v="USD"/>
    <n v="61001.45"/>
    <n v="61001.45"/>
    <d v="2026-05-01T00:00:00"/>
    <s v="May"/>
    <n v="11"/>
    <x v="3"/>
    <s v="Monthly Billing"/>
    <d v="2026-05-11T00:00:00"/>
    <d v="2026-05-18T00:00:00"/>
    <s v="Outstanding"/>
    <s v="INV-110526145754"/>
    <m/>
    <m/>
    <m/>
    <m/>
  </r>
  <r>
    <s v="N1"/>
    <s v="Express Hub Services Pty Ltd"/>
    <x v="0"/>
    <s v="NA"/>
    <s v="Wendy zhai"/>
    <s v="Active"/>
    <n v="2026"/>
    <s v="Bank Transfer"/>
    <s v="AUD"/>
    <n v="3501.1047362895688"/>
    <n v="4889.0600000000004"/>
    <d v="2026-04-01T00:00:00"/>
    <s v="Apr"/>
    <n v="17"/>
    <x v="3"/>
    <s v="Monthly Billing"/>
    <d v="2026-05-05T00:00:00"/>
    <d v="2026-05-12T00:00:00"/>
    <s v="Outstanding"/>
    <s v="INV-050526150527"/>
    <s v="Yes"/>
    <s v="No"/>
    <s v="No response from the client post reminder sent"/>
    <m/>
  </r>
  <r>
    <s v="N1"/>
    <s v="FIRSTKYC PTE. LTD."/>
    <x v="0"/>
    <s v="NA"/>
    <s v="Denis Tan"/>
    <s v="Active"/>
    <n v="2026"/>
    <s v="Bank Transfer"/>
    <s v="USD"/>
    <n v="37.840000000000003"/>
    <n v="37.840000000000003"/>
    <d v="2026-04-01T00:00:00"/>
    <s v="Apr"/>
    <n v="18"/>
    <x v="3"/>
    <s v="Monthly Billing"/>
    <d v="2026-05-04T00:00:00"/>
    <d v="2026-05-11T00:00:00"/>
    <s v="Outstanding"/>
    <s v="INV-040526162158"/>
    <s v="Yes"/>
    <s v="No"/>
    <s v="Client will settle once lumpsum threshold achieved"/>
    <m/>
  </r>
  <r>
    <s v="N1"/>
    <s v="Genieum Services Pty Ltd"/>
    <x v="0"/>
    <s v="NA"/>
    <s v="Vinoth M"/>
    <s v="Active"/>
    <n v="2026"/>
    <s v="Bank Transfer"/>
    <s v="AUD"/>
    <n v="4996.0917691169252"/>
    <n v="6976.71"/>
    <d v="2026-04-01T00:00:00"/>
    <s v="Apr"/>
    <n v="18"/>
    <x v="3"/>
    <s v="Monthly Billing"/>
    <d v="2026-05-04T00:00:00"/>
    <d v="2026-05-11T00:00:00"/>
    <s v="Outstanding"/>
    <s v="INV-040526193804"/>
    <m/>
    <m/>
    <m/>
    <m/>
  </r>
  <r>
    <s v="N1"/>
    <s v="Global E-Payment Limited"/>
    <x v="0"/>
    <s v="Pat Sarisa"/>
    <s v="Gitesh Athavale"/>
    <s v="Active"/>
    <n v="2026"/>
    <s v="Bank Transfer"/>
    <s v="USD"/>
    <n v="16152.5"/>
    <n v="16152.5"/>
    <d v="2026-04-01T00:00:00"/>
    <s v="Apr"/>
    <n v="15"/>
    <x v="3"/>
    <s v="Monthly Billing"/>
    <d v="2026-05-07T00:00:00"/>
    <d v="2026-05-14T00:00:00"/>
    <s v="Outstanding"/>
    <s v="INV-070526124101"/>
    <s v="Yes"/>
    <s v="No"/>
    <s v="No response from the client post reminder sent"/>
    <m/>
  </r>
  <r>
    <s v="N1"/>
    <s v="Global E-Payment Limited-SG"/>
    <x v="0"/>
    <s v="Pat Sarisa"/>
    <s v="NA"/>
    <s v="Active"/>
    <n v="2026"/>
    <s v="Bank Transfer"/>
    <s v="USD"/>
    <n v="10000"/>
    <n v="10000"/>
    <d v="2026-04-01T00:00:00"/>
    <s v="Apr"/>
    <n v="17"/>
    <x v="3"/>
    <s v="Monthly Billing"/>
    <d v="2026-05-05T00:00:00"/>
    <d v="2026-05-12T00:00:00"/>
    <s v="Outstanding"/>
    <s v="INV-050526181126"/>
    <s v="Yes"/>
    <s v="No"/>
    <s v="No response from the client post reminder sent"/>
    <m/>
  </r>
  <r>
    <s v="N1"/>
    <s v="Globus Payments (DIFC) Limited"/>
    <x v="4"/>
    <s v="NA"/>
    <s v="Ashraf Omran"/>
    <s v="Active"/>
    <n v="2026"/>
    <s v="Bank Transfer"/>
    <s v="USD"/>
    <n v="5000"/>
    <n v="5000"/>
    <d v="2026-05-01T00:00:00"/>
    <s v="May"/>
    <n v="11"/>
    <x v="3"/>
    <s v="Pay Out Service Integration Fee"/>
    <d v="2026-05-11T00:00:00"/>
    <d v="2026-05-18T00:00:00"/>
    <s v="Outstanding"/>
    <s v="INV-110526134838"/>
    <s v="Yes"/>
    <s v="No"/>
    <s v="No response from the client post reminder sent"/>
    <m/>
  </r>
  <r>
    <s v="N1"/>
    <s v="JPMORGAN CHASE BANK"/>
    <x v="3"/>
    <s v="Sachli Zare"/>
    <s v="NA"/>
    <s v="Active"/>
    <n v="2026"/>
    <s v="Bank Transfer"/>
    <s v="USD"/>
    <n v="99.6"/>
    <n v="99.6"/>
    <d v="2026-04-01T00:00:00"/>
    <s v="Apr"/>
    <n v="18"/>
    <x v="3"/>
    <s v="Monthly Billing"/>
    <d v="2026-05-04T00:00:00"/>
    <d v="2026-05-11T00:00:00"/>
    <s v="Outstanding"/>
    <s v="INV-040526200003"/>
    <s v="Yes"/>
    <s v="No"/>
    <s v="Partially settled by the client"/>
    <m/>
  </r>
  <r>
    <s v="N1"/>
    <s v="KOHO Financial Inc."/>
    <x v="1"/>
    <s v="Eduardo Avallone"/>
    <s v="Vinoth M"/>
    <s v="Active"/>
    <n v="2026"/>
    <s v="Bank Transfer"/>
    <s v="USD"/>
    <n v="1412.24"/>
    <n v="1412.24"/>
    <d v="2026-04-01T00:00:00"/>
    <s v="Apr"/>
    <n v="18"/>
    <x v="3"/>
    <s v="Monthly Billing"/>
    <d v="2026-05-04T00:00:00"/>
    <d v="2026-05-11T00:00:00"/>
    <s v="Outstanding"/>
    <s v="INV-040526165805"/>
    <s v="Yes"/>
    <s v="No"/>
    <s v="No response from the client post reminder sent"/>
    <m/>
  </r>
  <r>
    <s v="N1"/>
    <s v="KOHO Financial Inc.-Verify"/>
    <x v="1"/>
    <s v="Eduardo Avallone"/>
    <s v="Vinoth M"/>
    <s v="Active"/>
    <n v="2026"/>
    <s v="Bank Transfer"/>
    <s v="USD"/>
    <n v="312"/>
    <n v="312"/>
    <d v="2026-04-01T00:00:00"/>
    <s v="Apr"/>
    <n v="18"/>
    <x v="3"/>
    <s v="Monthly Billing"/>
    <d v="2026-05-04T00:00:00"/>
    <d v="2026-05-11T00:00:00"/>
    <s v="Outstanding"/>
    <s v="INV-040526185154"/>
    <s v="Yes"/>
    <s v="No"/>
    <s v="No response from the client post reminder sent"/>
    <m/>
  </r>
  <r>
    <s v="N1"/>
    <s v="Lulu Money (Singapore) Pte. Ltd"/>
    <x v="4"/>
    <s v="Jerome Coelho"/>
    <s v="Ashraf Omran"/>
    <s v="Active"/>
    <n v="2026"/>
    <s v="Bank Transfer"/>
    <s v="USD"/>
    <n v="10"/>
    <n v="10"/>
    <d v="2026-04-01T00:00:00"/>
    <s v="Apr"/>
    <n v="16"/>
    <x v="3"/>
    <s v="Monthly Billing"/>
    <d v="2026-05-06T00:00:00"/>
    <d v="2026-05-13T00:00:00"/>
    <s v="Outstanding"/>
    <s v="INV-060526172652"/>
    <m/>
    <m/>
    <m/>
    <m/>
  </r>
  <r>
    <s v="N1"/>
    <s v="MeshPay US, Inc"/>
    <x v="3"/>
    <s v="Sachli Zare"/>
    <s v="Gitesh Athavale"/>
    <s v="Active"/>
    <n v="2026"/>
    <s v="Bank Transfer"/>
    <s v="USD"/>
    <n v="15540.78"/>
    <n v="15540.78"/>
    <d v="2026-04-01T00:00:00"/>
    <s v="Apr"/>
    <n v="8"/>
    <x v="3"/>
    <s v="Monthly Billing"/>
    <d v="2026-05-06T00:00:00"/>
    <d v="2026-05-21T00:00:00"/>
    <s v="Outstanding"/>
    <s v="INV-060526163836"/>
    <m/>
    <m/>
    <m/>
    <m/>
  </r>
  <r>
    <s v="N1"/>
    <s v="Mizzen Digital DMCC"/>
    <x v="4"/>
    <s v="Jerome Coelho"/>
    <s v="Rohit Bammi"/>
    <s v="Active"/>
    <n v="2026"/>
    <s v="Bank Transfer"/>
    <s v="USD"/>
    <n v="1185.58"/>
    <n v="1185.58"/>
    <d v="2026-04-01T00:00:00"/>
    <s v="Apr"/>
    <n v="17"/>
    <x v="3"/>
    <s v="Monthly Billing"/>
    <d v="2026-05-05T00:00:00"/>
    <d v="2026-05-12T00:00:00"/>
    <s v="Outstanding"/>
    <s v="INV-050526130450"/>
    <s v="Yes"/>
    <s v="No"/>
    <s v="No response from the client post reminder sent"/>
    <m/>
  </r>
  <r>
    <s v="N1"/>
    <s v="MULTIPLIER TECHNOLOGIES PTE. LTD"/>
    <x v="0"/>
    <s v="Shi Yin"/>
    <s v="Vinoth M"/>
    <s v="Active"/>
    <n v="2026"/>
    <s v="Bank Transfer"/>
    <s v="USD"/>
    <n v="2954.5"/>
    <n v="2954.5"/>
    <d v="2026-04-01T00:00:00"/>
    <s v="Apr"/>
    <n v="18"/>
    <x v="3"/>
    <s v="Monthly Billing"/>
    <d v="2026-05-04T00:00:00"/>
    <d v="2026-05-11T00:00:00"/>
    <s v="Outstanding"/>
    <s v="INV-040526195142"/>
    <s v="Yes"/>
    <s v="Yes"/>
    <s v="No response from the client post reminder sent"/>
    <m/>
  </r>
  <r>
    <s v="N1"/>
    <s v="MyBeacon Services Inc."/>
    <x v="1"/>
    <s v="NA"/>
    <s v="Michael Bermingham"/>
    <s v="Active"/>
    <n v="2026"/>
    <s v="Bank Transfer"/>
    <s v="CAD"/>
    <n v="39.566801254373807"/>
    <n v="54.05"/>
    <d v="2026-04-01T00:00:00"/>
    <s v="Apr"/>
    <n v="17"/>
    <x v="3"/>
    <s v="Monthly Billing"/>
    <d v="2026-05-05T00:00:00"/>
    <d v="2026-05-12T00:00:00"/>
    <s v="Outstanding"/>
    <s v="INV-050526163450"/>
    <s v="Yes"/>
    <s v="No"/>
    <s v="No response from the client post reminder sent"/>
    <m/>
  </r>
  <r>
    <s v="N1"/>
    <s v="Poaster Technologies Inc. DBA Warp"/>
    <x v="1"/>
    <s v="Tanu Arora"/>
    <s v="NA"/>
    <s v="Active"/>
    <n v="2026"/>
    <s v="Bank Transfer"/>
    <s v="USD"/>
    <n v="130"/>
    <n v="130"/>
    <d v="2026-04-01T00:00:00"/>
    <s v="Apr"/>
    <n v="18"/>
    <x v="3"/>
    <s v="Monthly Billing"/>
    <d v="2026-05-04T00:00:00"/>
    <d v="2026-05-11T00:00:00"/>
    <s v="Outstanding"/>
    <s v="INV-040526102628"/>
    <s v="Yes"/>
    <s v="No"/>
    <s v="No response from the client post reminder sent"/>
    <m/>
  </r>
  <r>
    <s v="N1"/>
    <s v="Remotely Works Inc."/>
    <x v="1"/>
    <s v="Eduardo Avallone"/>
    <s v="Christina Hutchinson"/>
    <s v="Active"/>
    <n v="2026"/>
    <s v="Bank Transfer"/>
    <s v="USD"/>
    <n v="4381.5"/>
    <n v="4381.5"/>
    <d v="2026-04-01T00:00:00"/>
    <s v="Apr"/>
    <n v="18"/>
    <x v="3"/>
    <s v="Monthly Billing"/>
    <d v="2026-05-04T00:00:00"/>
    <d v="2026-05-11T00:00:00"/>
    <s v="Outstanding"/>
    <s v="INV-040526103454"/>
    <m/>
    <m/>
    <m/>
    <m/>
  </r>
  <r>
    <s v="N1"/>
    <s v="SingCash Pte Ltd"/>
    <x v="0"/>
    <s v="Shi Yin"/>
    <s v="Gitesh Athavale"/>
    <s v="Active"/>
    <n v="2026"/>
    <s v="Bank Transfer"/>
    <s v="SGD"/>
    <n v="62387.466095495532"/>
    <n v="79554.797019999998"/>
    <d v="2026-04-01T00:00:00"/>
    <s v="Apr"/>
    <n v="-9"/>
    <x v="3"/>
    <s v="Monthly Billing"/>
    <d v="2026-05-08T00:00:00"/>
    <d v="2026-06-07T00:00:00"/>
    <s v="Invoice Sent"/>
    <s v="INV-080526104631"/>
    <m/>
    <m/>
    <m/>
    <m/>
  </r>
  <r>
    <s v="N1"/>
    <s v="Travel Ledger UK"/>
    <x v="3"/>
    <s v="Sachli Zare"/>
    <s v="Danny May"/>
    <s v="Active"/>
    <n v="2026"/>
    <s v="Bank Transfer"/>
    <s v="GBP"/>
    <n v="4102.455648630902"/>
    <n v="3038"/>
    <d v="2026-04-01T00:00:00"/>
    <s v="Apr"/>
    <n v="10"/>
    <x v="3"/>
    <s v="Monthly Billing"/>
    <d v="2026-05-05T00:00:00"/>
    <d v="2026-05-19T00:00:00"/>
    <s v="Outstanding"/>
    <s v="INV-050526184408"/>
    <s v="Yes"/>
    <s v="No"/>
    <s v="No response from the client post reminder sent"/>
    <m/>
  </r>
  <r>
    <s v="N1"/>
    <s v="VECTOR HOLDINGS PTY LTD"/>
    <x v="2"/>
    <s v="Sanat Patakar"/>
    <s v="NA"/>
    <s v="Active"/>
    <n v="2026"/>
    <s v="Bank Transfer"/>
    <s v="AUD"/>
    <n v="8063.7114932912054"/>
    <n v="11260.437"/>
    <d v="2026-04-01T00:00:00"/>
    <s v="Apr"/>
    <n v="2"/>
    <x v="3"/>
    <s v="Monthly Billing"/>
    <d v="2026-05-20T00:00:00"/>
    <d v="2026-05-27T00:00:00"/>
    <s v="Invoice Sent"/>
    <s v="INV-200526091517"/>
    <m/>
    <m/>
    <m/>
    <m/>
  </r>
  <r>
    <s v="N1"/>
    <s v="VPLUS GREATER BAY EXCHANGE LIMITED"/>
    <x v="0"/>
    <s v="NA"/>
    <s v="Lisa Sung"/>
    <s v="Active"/>
    <n v="2026"/>
    <s v="Bank Transfer"/>
    <s v="USD"/>
    <n v="15125"/>
    <n v="15125"/>
    <d v="2026-04-01T00:00:00"/>
    <s v="Apr"/>
    <n v="16"/>
    <x v="3"/>
    <s v="Monthly Billing"/>
    <d v="2026-05-06T00:00:00"/>
    <d v="2026-05-13T00:00:00"/>
    <s v="Outstanding"/>
    <s v="INV-060526134523"/>
    <m/>
    <m/>
    <m/>
    <m/>
  </r>
  <r>
    <s v="N1"/>
    <s v="Yorbis Inc."/>
    <x v="2"/>
    <s v="Bhavani/Sanat"/>
    <s v="Andrew Gyenis"/>
    <s v="Active"/>
    <n v="2026"/>
    <s v="Bank Transfer"/>
    <s v="USD"/>
    <n v="2548.2199999999998"/>
    <n v="2548.2199999999998"/>
    <d v="2026-04-01T00:00:00"/>
    <s v="Apr"/>
    <n v="-5"/>
    <x v="3"/>
    <s v="Monthly Billing"/>
    <d v="2026-05-04T00:00:00"/>
    <d v="2026-06-03T00:00:00"/>
    <s v="Invoice Sent"/>
    <s v="INV-040526113857"/>
    <m/>
    <m/>
    <m/>
    <m/>
  </r>
  <r>
    <s v="N1"/>
    <s v="Zeni, Inc."/>
    <x v="1"/>
    <s v="NA"/>
    <s v="Tyler Reed"/>
    <s v="Active"/>
    <n v="2026"/>
    <s v="Bank Transfer"/>
    <s v="USD"/>
    <n v="503"/>
    <n v="503"/>
    <d v="2026-04-01T00:00:00"/>
    <s v="Apr"/>
    <n v="15"/>
    <x v="3"/>
    <s v="Monthly Billing"/>
    <d v="2026-05-07T00:00:00"/>
    <d v="2026-05-14T00:00:00"/>
    <s v="Outstanding"/>
    <s v="INV-070526092521"/>
    <s v="Yes"/>
    <s v="No"/>
    <s v="No response from the client post reminder sent"/>
    <m/>
  </r>
  <r>
    <s v="N1"/>
    <s v="Ailingual Limited"/>
    <x v="0"/>
    <s v="Pat Sarisa"/>
    <s v="NA"/>
    <s v="Active"/>
    <n v="2026"/>
    <s v="Bank Transfer"/>
    <s v="USD"/>
    <n v="3762.83"/>
    <n v="3762.83"/>
    <d v="2026-04-01T00:00:00"/>
    <s v="Apr"/>
    <n v="0"/>
    <x v="3"/>
    <s v="Monthly Billing"/>
    <d v="2026-05-22T00:00:00"/>
    <d v="2026-05-29T00:00:00"/>
    <s v="Outstanding"/>
    <s v="INV-220526121001"/>
    <m/>
    <m/>
    <m/>
    <m/>
  </r>
  <r>
    <s v="N1"/>
    <s v="Aspire FT Pte Ltd"/>
    <x v="0"/>
    <s v="Shi Yin"/>
    <s v="Gitesh Athavale"/>
    <s v="Active"/>
    <n v="2026"/>
    <s v="Bank Transfer"/>
    <s v="SGD"/>
    <n v="108452.35762375321"/>
    <n v="138295.49166"/>
    <d v="2026-05-01T00:00:00"/>
    <s v="May"/>
    <n v="-28"/>
    <x v="3"/>
    <s v="Quarterly Scheme Fees"/>
    <d v="2026-05-27T00:00:00"/>
    <d v="2026-06-26T00:00:00"/>
    <s v="Invoice Sent"/>
    <s v="INV-270526152527"/>
    <m/>
    <m/>
    <m/>
    <m/>
  </r>
  <r>
    <s v="N1"/>
    <s v="Aspire FT Pte Ltd"/>
    <x v="0"/>
    <s v="Shi Yin"/>
    <s v="Gitesh Athavale"/>
    <s v="Active"/>
    <n v="2026"/>
    <s v="Bank Transfer"/>
    <s v="SGD"/>
    <n v="2481.0520672854568"/>
    <n v="3163.77"/>
    <d v="2026-04-01T00:00:00"/>
    <s v="Apr"/>
    <n v="-29"/>
    <x v="3"/>
    <s v="Card Printing and Delivery"/>
    <d v="2026-05-27T00:00:00"/>
    <d v="2026-06-27T00:00:00"/>
    <s v="Invoice Sent"/>
    <s v="INV-240526220000"/>
    <m/>
    <m/>
    <m/>
    <m/>
  </r>
  <r>
    <s v="N1"/>
    <s v="Back Market Japan K.K"/>
    <x v="2"/>
    <s v="Sanat Patakar"/>
    <s v="NA"/>
    <s v="Active"/>
    <n v="2026"/>
    <s v="Bank Transfer"/>
    <s v="JPY"/>
    <n v="14996.710242819188"/>
    <n v="2391900"/>
    <d v="2026-05-01T00:00:00"/>
    <s v="May"/>
    <n v="-6"/>
    <x v="3"/>
    <s v="Integration Fee"/>
    <d v="2026-05-28T00:00:00"/>
    <d v="2026-06-04T00:00:00"/>
    <s v="Invoice Sent"/>
    <s v="INV-280526122557"/>
    <m/>
    <m/>
    <m/>
    <m/>
  </r>
  <r>
    <s v="N1"/>
    <s v="Budgetly Pty Ltd"/>
    <x v="0"/>
    <s v="Hao Nguyen"/>
    <s v="Vinoth M"/>
    <s v="Active"/>
    <n v="2026"/>
    <s v="Bank Transfer"/>
    <s v="AUD"/>
    <n v="22513.825125993939"/>
    <n v="31439.06"/>
    <d v="2026-04-01T00:00:00"/>
    <s v="Apr"/>
    <n v="-30"/>
    <x v="3"/>
    <s v="Monthly Billing"/>
    <d v="2026-05-29T00:00:00"/>
    <d v="2026-06-28T00:00:00"/>
    <s v="Invoice Sent"/>
    <s v="INV-290526111409"/>
    <m/>
    <m/>
    <m/>
    <m/>
  </r>
  <r>
    <s v="N1"/>
    <s v="iFast Financial Pte Ltd"/>
    <x v="0"/>
    <s v="Pat Sarisa"/>
    <s v="Gitesh Athavale"/>
    <s v="Active"/>
    <n v="2026"/>
    <s v="Bank Transfer"/>
    <s v="SGD"/>
    <n v="443.76732310992719"/>
    <n v="565.88"/>
    <d v="2026-04-01T00:00:00"/>
    <s v="Apr"/>
    <n v="-29"/>
    <x v="3"/>
    <s v="Card Printing and Delivery"/>
    <d v="2026-05-27T00:00:00"/>
    <d v="2026-06-27T00:00:00"/>
    <s v="Invoice Sent"/>
    <s v="INV-230526181000"/>
    <m/>
    <m/>
    <m/>
    <m/>
  </r>
  <r>
    <s v="N1"/>
    <s v="iFast Financial Pte Ltd"/>
    <x v="0"/>
    <s v="Pat Sarisa"/>
    <s v="Gitesh Athavale"/>
    <s v="Active"/>
    <n v="2026"/>
    <s v="Bank Transfer"/>
    <s v="SGD"/>
    <n v="42.049204540104434"/>
    <n v="53.62"/>
    <d v="2026-04-01T00:00:00"/>
    <s v="Apr"/>
    <n v="-29"/>
    <x v="3"/>
    <s v="Card Printing and Delivery"/>
    <d v="2026-05-27T00:00:00"/>
    <d v="2026-06-27T00:00:00"/>
    <s v="Invoice Sent"/>
    <s v="INV-270626197000"/>
    <m/>
    <m/>
    <m/>
    <m/>
  </r>
  <r>
    <s v="N1"/>
    <s v="WEEL HOLDINGS PTY LTD"/>
    <x v="0"/>
    <s v="Hao Nguyen"/>
    <s v="Vinoth M"/>
    <s v="Active"/>
    <n v="2026"/>
    <s v="Bank Transfer"/>
    <s v="AUD"/>
    <n v="154936.98679425809"/>
    <n v="216359.20137"/>
    <d v="2026-05-01T00:00:00"/>
    <s v="May"/>
    <n v="-4"/>
    <x v="3"/>
    <s v="Quarterly Scheme Fee-2025"/>
    <d v="2026-05-26T00:00:00"/>
    <d v="2026-06-02T00:00:00"/>
    <s v="Invoice Sent"/>
    <s v="INV-260526102104"/>
    <m/>
    <m/>
    <m/>
    <m/>
  </r>
  <r>
    <s v="N1"/>
    <s v="WEEL HOLDINGS PTY LTD"/>
    <x v="0"/>
    <s v="Hao Nguyen"/>
    <s v="Vinoth M"/>
    <s v="Active"/>
    <n v="2026"/>
    <s v="Bank Transfer"/>
    <s v="AUD"/>
    <n v="1159.5825940730881"/>
    <n v="1619.28"/>
    <d v="2026-04-01T00:00:00"/>
    <s v="Apr"/>
    <n v="-29"/>
    <x v="3"/>
    <s v="Card Printing and Delivery"/>
    <d v="2026-05-27T00:00:00"/>
    <d v="2026-06-27T00:00:00"/>
    <s v="Invoice Sent"/>
    <s v="INV-240526132000"/>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x v="0"/>
    <x v="0"/>
    <x v="0"/>
    <s v="USD"/>
    <n v="5500"/>
    <n v="5500"/>
    <d v="2024-11-01T00:00:00"/>
    <x v="0"/>
    <n v="560"/>
    <s v="Over 90+ days"/>
    <s v="Monthly Billing"/>
    <d v="2024-11-01T00:00:00"/>
    <d v="2024-12-11T00:00:00"/>
    <s v="Outstanding"/>
    <s v="INV-041224105640"/>
    <s v="Yes"/>
    <s v="Yes"/>
    <x v="0"/>
    <m/>
  </r>
  <r>
    <x v="0"/>
    <x v="0"/>
    <x v="0"/>
    <x v="0"/>
    <x v="0"/>
    <x v="0"/>
    <x v="1"/>
    <x v="0"/>
    <s v="USD"/>
    <n v="9930"/>
    <n v="9930"/>
    <d v="2025-01-01T00:00:00"/>
    <x v="1"/>
    <n v="497"/>
    <s v="Over 90+ days"/>
    <s v="Monthly Billing"/>
    <d v="2025-02-05T00:00:00"/>
    <d v="2025-02-12T00:00:00"/>
    <s v="Outstanding"/>
    <s v="INV-050225183406"/>
    <s v="Yes"/>
    <s v="Yes"/>
    <x v="0"/>
    <m/>
  </r>
  <r>
    <x v="0"/>
    <x v="0"/>
    <x v="0"/>
    <x v="0"/>
    <x v="0"/>
    <x v="0"/>
    <x v="1"/>
    <x v="0"/>
    <s v="USD"/>
    <n v="10000"/>
    <n v="10000"/>
    <d v="2025-02-01T00:00:00"/>
    <x v="2"/>
    <n v="469"/>
    <s v="Over 90+ days"/>
    <s v="Monthly Billing"/>
    <d v="2025-03-05T00:00:00"/>
    <d v="2025-03-12T00:00:00"/>
    <s v="Outstanding"/>
    <s v="INV-050325103203"/>
    <s v="Yes"/>
    <s v="Yes"/>
    <x v="0"/>
    <m/>
  </r>
  <r>
    <x v="0"/>
    <x v="0"/>
    <x v="0"/>
    <x v="0"/>
    <x v="0"/>
    <x v="0"/>
    <x v="1"/>
    <x v="0"/>
    <s v="USD"/>
    <n v="10000"/>
    <n v="10000"/>
    <d v="2025-03-01T00:00:00"/>
    <x v="3"/>
    <n v="441"/>
    <s v="Over 90+ days"/>
    <s v="Monthly Billing"/>
    <d v="2025-04-02T00:00:00"/>
    <d v="2025-04-09T00:00:00"/>
    <s v="Outstanding"/>
    <s v="INV-020425174717"/>
    <s v="Yes"/>
    <s v="Yes"/>
    <x v="0"/>
    <m/>
  </r>
  <r>
    <x v="0"/>
    <x v="0"/>
    <x v="0"/>
    <x v="0"/>
    <x v="0"/>
    <x v="0"/>
    <x v="1"/>
    <x v="0"/>
    <s v="USD"/>
    <n v="10000"/>
    <n v="10000"/>
    <d v="2025-04-01T00:00:00"/>
    <x v="4"/>
    <n v="408"/>
    <s v="Over 90+ days"/>
    <s v="Monthly Billing"/>
    <d v="2025-05-05T00:00:00"/>
    <d v="2025-05-12T00:00:00"/>
    <s v="Outstanding"/>
    <s v="INV-050525114818"/>
    <s v="Yes"/>
    <s v="Yes"/>
    <x v="0"/>
    <m/>
  </r>
  <r>
    <x v="0"/>
    <x v="0"/>
    <x v="0"/>
    <x v="0"/>
    <x v="0"/>
    <x v="0"/>
    <x v="1"/>
    <x v="0"/>
    <s v="USD"/>
    <n v="10000"/>
    <n v="10000"/>
    <d v="2025-05-01T00:00:00"/>
    <x v="5"/>
    <n v="378"/>
    <s v="Over 90+ days"/>
    <s v="Monthly Billing"/>
    <d v="2025-06-04T00:00:00"/>
    <d v="2025-06-11T00:00:00"/>
    <s v="Outstanding"/>
    <s v="INV-040625165635"/>
    <s v="Yes"/>
    <s v="Yes"/>
    <x v="0"/>
    <m/>
  </r>
  <r>
    <x v="0"/>
    <x v="1"/>
    <x v="1"/>
    <x v="1"/>
    <x v="1"/>
    <x v="0"/>
    <x v="1"/>
    <x v="0"/>
    <s v="USD"/>
    <n v="3495.5"/>
    <n v="3495.5"/>
    <d v="2025-07-01T00:00:00"/>
    <x v="6"/>
    <n v="316"/>
    <s v="Over 90+ days"/>
    <s v="Monthly Billing"/>
    <d v="2025-08-05T00:00:00"/>
    <d v="2025-08-12T00:00:00"/>
    <s v="Outstanding"/>
    <s v="INV-050825115818"/>
    <s v="Yes"/>
    <s v="No"/>
    <x v="1"/>
    <m/>
  </r>
  <r>
    <x v="0"/>
    <x v="2"/>
    <x v="0"/>
    <x v="2"/>
    <x v="2"/>
    <x v="0"/>
    <x v="1"/>
    <x v="0"/>
    <s v="AUD"/>
    <n v="1411.8645650595627"/>
    <n v="1971.5749999999998"/>
    <d v="2025-07-01T00:00:00"/>
    <x v="6"/>
    <n v="316"/>
    <s v="Over 90+ days"/>
    <s v="Monthly Billing"/>
    <d v="2025-08-05T00:00:00"/>
    <d v="2025-08-12T00:00:00"/>
    <s v="Partially Paid"/>
    <s v="INV-050825195438"/>
    <s v="Yes"/>
    <s v="Yes"/>
    <x v="2"/>
    <m/>
  </r>
  <r>
    <x v="0"/>
    <x v="1"/>
    <x v="1"/>
    <x v="1"/>
    <x v="1"/>
    <x v="0"/>
    <x v="1"/>
    <x v="0"/>
    <s v="USD"/>
    <n v="3485"/>
    <n v="3485"/>
    <d v="2025-08-01T00:00:00"/>
    <x v="7"/>
    <n v="288"/>
    <s v="Over 90+ days"/>
    <s v="Monthly Billing"/>
    <d v="2025-09-02T00:00:00"/>
    <d v="2025-09-09T00:00:00"/>
    <s v="Outstanding"/>
    <s v="INV-020925171323"/>
    <s v="Yes"/>
    <s v="No"/>
    <x v="1"/>
    <m/>
  </r>
  <r>
    <x v="0"/>
    <x v="2"/>
    <x v="0"/>
    <x v="2"/>
    <x v="2"/>
    <x v="0"/>
    <x v="1"/>
    <x v="0"/>
    <s v="AUD"/>
    <n v="4920.7605781039329"/>
    <n v="6871.5150000000003"/>
    <d v="2025-08-01T00:00:00"/>
    <x v="7"/>
    <n v="287"/>
    <s v="Over 90+ days"/>
    <s v="Monthly Billing"/>
    <d v="2025-09-03T00:00:00"/>
    <d v="2025-09-10T00:00:00"/>
    <s v="Outstanding"/>
    <s v="INV-030925145658"/>
    <s v="Yes"/>
    <s v="Yes"/>
    <x v="2"/>
    <m/>
  </r>
  <r>
    <x v="1"/>
    <x v="3"/>
    <x v="2"/>
    <x v="3"/>
    <x v="2"/>
    <x v="0"/>
    <x v="1"/>
    <x v="1"/>
    <s v="USD"/>
    <n v="1020"/>
    <n v="1020"/>
    <d v="2025-09-01T00:00:00"/>
    <x v="8"/>
    <n v="260"/>
    <s v="Over 90+ days"/>
    <s v="Monthly Billing"/>
    <d v="2025-10-01T00:00:00"/>
    <d v="2025-10-07T00:00:00"/>
    <s v="Force Settlement"/>
    <s v="SG-FTBHUB-09/2025"/>
    <s v="Yes"/>
    <s v="No"/>
    <x v="3"/>
    <m/>
  </r>
  <r>
    <x v="0"/>
    <x v="1"/>
    <x v="1"/>
    <x v="1"/>
    <x v="1"/>
    <x v="0"/>
    <x v="1"/>
    <x v="0"/>
    <s v="USD"/>
    <n v="3487.5"/>
    <n v="3487.5"/>
    <d v="2025-09-01T00:00:00"/>
    <x v="8"/>
    <n v="258"/>
    <s v="Over 90+ days"/>
    <s v="Monthly Billing"/>
    <d v="2025-10-02T00:00:00"/>
    <d v="2025-10-09T00:00:00"/>
    <s v="Outstanding"/>
    <s v="INV-021025184847"/>
    <s v="Yes"/>
    <s v="No"/>
    <x v="1"/>
    <m/>
  </r>
  <r>
    <x v="0"/>
    <x v="2"/>
    <x v="0"/>
    <x v="2"/>
    <x v="2"/>
    <x v="0"/>
    <x v="1"/>
    <x v="0"/>
    <s v="AUD"/>
    <n v="4808.8361663032229"/>
    <n v="6715.2199999999993"/>
    <d v="2025-09-01T00:00:00"/>
    <x v="8"/>
    <n v="254"/>
    <s v="Over 90+ days"/>
    <s v="Monthly Billing"/>
    <d v="2025-10-06T00:00:00"/>
    <d v="2025-10-13T00:00:00"/>
    <s v="Outstanding"/>
    <s v="INV-061025125629"/>
    <s v="Yes"/>
    <s v="Yes"/>
    <x v="2"/>
    <m/>
  </r>
  <r>
    <x v="1"/>
    <x v="3"/>
    <x v="2"/>
    <x v="3"/>
    <x v="2"/>
    <x v="0"/>
    <x v="1"/>
    <x v="1"/>
    <s v="USD"/>
    <n v="1000"/>
    <n v="1000"/>
    <d v="2025-10-01T00:00:00"/>
    <x v="9"/>
    <n v="229"/>
    <s v="Over 90+ days"/>
    <s v="Monthly Billing"/>
    <d v="2025-11-01T00:00:00"/>
    <d v="2025-11-07T00:00:00"/>
    <s v="Force Settlement"/>
    <s v="SG-FTBHUB-10/2025"/>
    <s v="Yes"/>
    <s v="No"/>
    <x v="3"/>
    <m/>
  </r>
  <r>
    <x v="0"/>
    <x v="4"/>
    <x v="0"/>
    <x v="2"/>
    <x v="0"/>
    <x v="0"/>
    <x v="1"/>
    <x v="0"/>
    <s v="AUD"/>
    <n v="983.1474132966149"/>
    <n v="1372.8999999999999"/>
    <d v="2025-09-01T00:00:00"/>
    <x v="8"/>
    <n v="208"/>
    <s v="Over 90+ days"/>
    <s v="Card Printing and Delivery"/>
    <d v="2025-10-28T00:00:00"/>
    <d v="2025-11-28T00:00:00"/>
    <s v="Partially Paid"/>
    <s v="INV-281025170000"/>
    <s v="Yes"/>
    <s v="No"/>
    <x v="4"/>
    <m/>
  </r>
  <r>
    <x v="0"/>
    <x v="5"/>
    <x v="3"/>
    <x v="4"/>
    <x v="2"/>
    <x v="0"/>
    <x v="1"/>
    <x v="0"/>
    <s v="USD"/>
    <n v="75"/>
    <n v="75"/>
    <d v="2025-10-01T00:00:00"/>
    <x v="9"/>
    <n v="224"/>
    <s v="Over 90+ days"/>
    <s v="Monthly Billing"/>
    <d v="2025-11-05T00:00:00"/>
    <d v="2025-11-12T00:00:00"/>
    <s v="Partially Paid"/>
    <s v="INV-051125174218"/>
    <s v="Yes"/>
    <s v="No"/>
    <x v="5"/>
    <m/>
  </r>
  <r>
    <x v="0"/>
    <x v="1"/>
    <x v="1"/>
    <x v="1"/>
    <x v="1"/>
    <x v="0"/>
    <x v="1"/>
    <x v="0"/>
    <s v="USD"/>
    <n v="2602.25"/>
    <n v="2602.25"/>
    <d v="2025-10-01T00:00:00"/>
    <x v="9"/>
    <n v="224"/>
    <s v="Over 90+ days"/>
    <s v="Monthly Billing"/>
    <d v="2025-11-05T00:00:00"/>
    <d v="2025-11-12T00:00:00"/>
    <s v="Outstanding"/>
    <s v="INV-051125173213"/>
    <s v="Yes"/>
    <s v="No"/>
    <x v="1"/>
    <m/>
  </r>
  <r>
    <x v="0"/>
    <x v="2"/>
    <x v="0"/>
    <x v="2"/>
    <x v="2"/>
    <x v="0"/>
    <x v="1"/>
    <x v="0"/>
    <s v="AUD"/>
    <n v="4785.0792171910407"/>
    <n v="6682.0450000000001"/>
    <d v="2025-10-01T00:00:00"/>
    <x v="9"/>
    <n v="223"/>
    <s v="Over 90+ days"/>
    <s v="Monthly Billing"/>
    <d v="2025-11-06T00:00:00"/>
    <d v="2025-11-13T00:00:00"/>
    <s v="Outstanding"/>
    <s v="INV-061125104927"/>
    <s v="Yes"/>
    <s v="Yes"/>
    <x v="2"/>
    <m/>
  </r>
  <r>
    <x v="0"/>
    <x v="6"/>
    <x v="2"/>
    <x v="0"/>
    <x v="3"/>
    <x v="0"/>
    <x v="1"/>
    <x v="0"/>
    <s v="USD"/>
    <n v="0.5"/>
    <n v="0.5"/>
    <d v="2025-10-01T00:00:00"/>
    <x v="9"/>
    <n v="224"/>
    <s v="Over 90+ days"/>
    <s v="Monthly Billing"/>
    <d v="2025-11-05T00:00:00"/>
    <d v="2025-11-12T00:00:00"/>
    <s v="Outstanding"/>
    <s v="INV-041125182344"/>
    <s v="Yes"/>
    <s v="No"/>
    <x v="4"/>
    <m/>
  </r>
  <r>
    <x v="0"/>
    <x v="4"/>
    <x v="0"/>
    <x v="2"/>
    <x v="0"/>
    <x v="0"/>
    <x v="1"/>
    <x v="0"/>
    <s v="AUD"/>
    <n v="1851.201628060903"/>
    <n v="2585.08"/>
    <d v="2025-10-01T00:00:00"/>
    <x v="9"/>
    <n v="189"/>
    <s v="Over 90+ days"/>
    <s v="Card Printing and Delivery"/>
    <d v="2025-11-17T00:00:00"/>
    <d v="2025-12-17T00:00:00"/>
    <s v="Outstanding"/>
    <s v="INV-171125170000"/>
    <s v="Yes"/>
    <s v="No"/>
    <x v="4"/>
    <m/>
  </r>
  <r>
    <x v="1"/>
    <x v="3"/>
    <x v="2"/>
    <x v="3"/>
    <x v="2"/>
    <x v="0"/>
    <x v="1"/>
    <x v="1"/>
    <s v="USD"/>
    <n v="1000"/>
    <n v="1000"/>
    <d v="2025-11-01T00:00:00"/>
    <x v="0"/>
    <n v="198"/>
    <s v="Over 90+ days"/>
    <s v="Monthly Billing"/>
    <d v="2025-12-01T00:00:00"/>
    <d v="2025-12-08T00:00:00"/>
    <s v="Force Settlement"/>
    <s v="SG-FTBHUB-11/2025"/>
    <s v="Yes"/>
    <s v="No"/>
    <x v="3"/>
    <m/>
  </r>
  <r>
    <x v="0"/>
    <x v="4"/>
    <x v="0"/>
    <x v="2"/>
    <x v="0"/>
    <x v="0"/>
    <x v="1"/>
    <x v="0"/>
    <s v="AUD"/>
    <n v="1849.9914021679235"/>
    <n v="2583.39"/>
    <d v="2025-11-01T00:00:00"/>
    <x v="0"/>
    <n v="160"/>
    <s v="Over 90+ days"/>
    <s v="Card Printing and Delivery"/>
    <d v="2025-12-15T00:00:00"/>
    <d v="2026-01-15T00:00:00"/>
    <s v="Outstanding"/>
    <s v="INV-151225170000"/>
    <s v="Yes"/>
    <s v="No"/>
    <x v="4"/>
    <m/>
  </r>
  <r>
    <x v="0"/>
    <x v="7"/>
    <x v="4"/>
    <x v="5"/>
    <x v="4"/>
    <x v="0"/>
    <x v="1"/>
    <x v="0"/>
    <s v="USD"/>
    <n v="57.489999999999782"/>
    <n v="57.489999999999782"/>
    <d v="2025-11-01T00:00:00"/>
    <x v="0"/>
    <n v="197"/>
    <s v="Over 90+ days"/>
    <s v="Monthly Billing"/>
    <d v="2025-12-02T00:00:00"/>
    <d v="2025-12-09T00:00:00"/>
    <s v="Partially Paid"/>
    <s v="INV-021225185612"/>
    <s v="Yes"/>
    <s v="No"/>
    <x v="4"/>
    <m/>
  </r>
  <r>
    <x v="0"/>
    <x v="1"/>
    <x v="1"/>
    <x v="1"/>
    <x v="1"/>
    <x v="0"/>
    <x v="1"/>
    <x v="0"/>
    <s v="USD"/>
    <n v="1786.14"/>
    <n v="1786.14"/>
    <d v="2025-11-01T00:00:00"/>
    <x v="0"/>
    <n v="197"/>
    <s v="Over 90+ days"/>
    <s v="Monthly Billing"/>
    <d v="2025-12-02T00:00:00"/>
    <d v="2025-12-09T00:00:00"/>
    <s v="Outstanding"/>
    <s v="INV-021225201549"/>
    <s v="Yes"/>
    <s v="No"/>
    <x v="1"/>
    <m/>
  </r>
  <r>
    <x v="0"/>
    <x v="8"/>
    <x v="0"/>
    <x v="6"/>
    <x v="0"/>
    <x v="0"/>
    <x v="1"/>
    <x v="0"/>
    <s v="USD"/>
    <n v="2743"/>
    <n v="2743"/>
    <d v="2025-11-01T00:00:00"/>
    <x v="0"/>
    <n v="188"/>
    <s v="Over 90+ days"/>
    <s v="Monthly Billing"/>
    <d v="2025-12-03T00:00:00"/>
    <d v="2025-12-18T00:00:00"/>
    <s v="Outstanding"/>
    <s v="INV-031225170417"/>
    <s v="Yes"/>
    <s v="Yes"/>
    <x v="4"/>
    <m/>
  </r>
  <r>
    <x v="0"/>
    <x v="2"/>
    <x v="0"/>
    <x v="2"/>
    <x v="2"/>
    <x v="0"/>
    <x v="1"/>
    <x v="0"/>
    <s v="AUD"/>
    <n v="4906.1906041284556"/>
    <n v="6851.1689999999999"/>
    <d v="2025-11-01T00:00:00"/>
    <x v="0"/>
    <n v="195"/>
    <s v="Over 90+ days"/>
    <s v="Monthly Billing"/>
    <d v="2025-12-04T00:00:00"/>
    <d v="2025-12-11T00:00:00"/>
    <s v="Outstanding"/>
    <s v="INV-041225150054"/>
    <s v="Yes"/>
    <s v="Yes"/>
    <x v="2"/>
    <m/>
  </r>
  <r>
    <x v="1"/>
    <x v="9"/>
    <x v="2"/>
    <x v="3"/>
    <x v="2"/>
    <x v="0"/>
    <x v="1"/>
    <x v="0"/>
    <s v="USD"/>
    <n v="2217.6"/>
    <n v="2217.6"/>
    <d v="2025-12-01T00:00:00"/>
    <x v="10"/>
    <n v="158"/>
    <s v="Over 90+ days"/>
    <s v="Monthly Billing"/>
    <d v="2026-01-02T00:00:00"/>
    <d v="2026-01-17T00:00:00"/>
    <s v="Outstanding"/>
    <s v="US-GLOBAL ROOTS INC-12/2025"/>
    <s v="Yes"/>
    <s v="No"/>
    <x v="4"/>
    <m/>
  </r>
  <r>
    <x v="0"/>
    <x v="4"/>
    <x v="0"/>
    <x v="2"/>
    <x v="0"/>
    <x v="0"/>
    <x v="1"/>
    <x v="0"/>
    <s v="AUD"/>
    <n v="850.3935100467429"/>
    <n v="1187.5180000000037"/>
    <d v="2025-12-01T00:00:00"/>
    <x v="10"/>
    <n v="139"/>
    <s v="Over 90+ days"/>
    <s v="Monthly Billing"/>
    <d v="2026-01-06T00:00:00"/>
    <d v="2026-02-05T00:00:00"/>
    <s v="Outstanding"/>
    <s v="INV-060126122618"/>
    <s v="Yes"/>
    <s v="No"/>
    <x v="4"/>
    <m/>
  </r>
  <r>
    <x v="0"/>
    <x v="10"/>
    <x v="0"/>
    <x v="0"/>
    <x v="5"/>
    <x v="0"/>
    <x v="1"/>
    <x v="0"/>
    <s v="USD"/>
    <n v="1.72"/>
    <n v="1.72"/>
    <d v="2025-12-01T00:00:00"/>
    <x v="10"/>
    <n v="163"/>
    <s v="Over 90+ days"/>
    <s v="Monthly Billing"/>
    <d v="2026-01-05T00:00:00"/>
    <d v="2026-01-12T00:00:00"/>
    <s v="Outstanding"/>
    <s v="INV-050126095427"/>
    <s v="Yes"/>
    <s v="No"/>
    <x v="6"/>
    <m/>
  </r>
  <r>
    <x v="0"/>
    <x v="7"/>
    <x v="4"/>
    <x v="5"/>
    <x v="4"/>
    <x v="0"/>
    <x v="1"/>
    <x v="0"/>
    <s v="USD"/>
    <n v="2500"/>
    <n v="2500"/>
    <d v="2025-12-01T00:00:00"/>
    <x v="10"/>
    <n v="163"/>
    <s v="Over 90+ days"/>
    <s v="Monthly Billing"/>
    <d v="2026-01-05T00:00:00"/>
    <d v="2026-01-12T00:00:00"/>
    <s v="Force Settlement"/>
    <s v="INV-050126150313"/>
    <s v="Yes"/>
    <s v="No"/>
    <x v="4"/>
    <m/>
  </r>
  <r>
    <x v="0"/>
    <x v="5"/>
    <x v="3"/>
    <x v="4"/>
    <x v="2"/>
    <x v="0"/>
    <x v="1"/>
    <x v="0"/>
    <s v="USD"/>
    <n v="2.5"/>
    <n v="2.5"/>
    <d v="2025-12-01T00:00:00"/>
    <x v="10"/>
    <n v="163"/>
    <s v="Over 90+ days"/>
    <s v="Monthly Billing"/>
    <d v="2026-01-05T00:00:00"/>
    <d v="2026-01-12T00:00:00"/>
    <s v="Outstanding"/>
    <s v="INV-050126184308"/>
    <s v="Yes"/>
    <s v="No"/>
    <x v="5"/>
    <m/>
  </r>
  <r>
    <x v="0"/>
    <x v="1"/>
    <x v="1"/>
    <x v="1"/>
    <x v="1"/>
    <x v="0"/>
    <x v="1"/>
    <x v="0"/>
    <s v="USD"/>
    <n v="1659.6200000000001"/>
    <n v="1659.6200000000001"/>
    <d v="2025-12-01T00:00:00"/>
    <x v="10"/>
    <n v="163"/>
    <s v="Over 90+ days"/>
    <s v="Monthly Billing"/>
    <d v="2026-01-05T00:00:00"/>
    <d v="2026-01-12T00:00:00"/>
    <s v="Outstanding"/>
    <s v="INV-050126153219"/>
    <s v="Yes"/>
    <s v="No"/>
    <x v="1"/>
    <m/>
  </r>
  <r>
    <x v="0"/>
    <x v="8"/>
    <x v="0"/>
    <x v="6"/>
    <x v="0"/>
    <x v="0"/>
    <x v="1"/>
    <x v="0"/>
    <s v="USD"/>
    <n v="2034"/>
    <n v="2034"/>
    <d v="2025-12-01T00:00:00"/>
    <x v="10"/>
    <n v="163"/>
    <s v="Over 90+ days"/>
    <s v="Monthly Billing"/>
    <d v="2026-01-05T00:00:00"/>
    <d v="2026-01-12T00:00:00"/>
    <s v="Outstanding"/>
    <s v="INV-050126154823"/>
    <s v="Yes"/>
    <s v="Yes"/>
    <x v="4"/>
    <m/>
  </r>
  <r>
    <x v="0"/>
    <x v="2"/>
    <x v="0"/>
    <x v="2"/>
    <x v="2"/>
    <x v="0"/>
    <x v="1"/>
    <x v="0"/>
    <s v="AUD"/>
    <n v="4867.0594895154618"/>
    <n v="6796.5250000000005"/>
    <d v="2025-12-01T00:00:00"/>
    <x v="10"/>
    <n v="162"/>
    <s v="Over 90+ days"/>
    <s v="Monthly Billing"/>
    <d v="2026-01-06T00:00:00"/>
    <d v="2026-01-13T00:00:00"/>
    <s v="Outstanding"/>
    <s v="INV-060126181825"/>
    <s v="Yes"/>
    <s v="Yes"/>
    <x v="2"/>
    <m/>
  </r>
  <r>
    <x v="0"/>
    <x v="4"/>
    <x v="0"/>
    <x v="2"/>
    <x v="0"/>
    <x v="0"/>
    <x v="1"/>
    <x v="0"/>
    <s v="AUD"/>
    <n v="1592.8219804598018"/>
    <n v="2224.27"/>
    <d v="2025-12-01T00:00:00"/>
    <x v="10"/>
    <n v="121"/>
    <s v="Over 90+ days"/>
    <s v="Card Printing and Delivery"/>
    <d v="2026-01-23T00:00:00"/>
    <d v="2026-02-23T00:00:00"/>
    <s v="Outstanding"/>
    <s v="INV-230126170000"/>
    <s v="Yes"/>
    <s v="No"/>
    <x v="4"/>
    <m/>
  </r>
  <r>
    <x v="0"/>
    <x v="4"/>
    <x v="0"/>
    <x v="2"/>
    <x v="0"/>
    <x v="0"/>
    <x v="2"/>
    <x v="0"/>
    <s v="AUD"/>
    <n v="3814.9750313587629"/>
    <n v="5327.359000000004"/>
    <d v="2026-01-01T00:00:00"/>
    <x v="1"/>
    <n v="130"/>
    <s v="Over 90+ days"/>
    <s v="Monthly Billing"/>
    <d v="2026-02-07T00:00:00"/>
    <d v="2026-02-14T00:00:00"/>
    <s v="Outstanding"/>
    <s v="INV-070226133026"/>
    <s v="Yes"/>
    <s v="No"/>
    <x v="4"/>
    <m/>
  </r>
  <r>
    <x v="0"/>
    <x v="11"/>
    <x v="0"/>
    <x v="0"/>
    <x v="6"/>
    <x v="0"/>
    <x v="2"/>
    <x v="0"/>
    <s v="AUD"/>
    <n v="7131.2811382303735"/>
    <n v="9958.36"/>
    <d v="2026-01-01T00:00:00"/>
    <x v="1"/>
    <n v="131"/>
    <s v="Over 90+ days"/>
    <s v="Monthly Billing"/>
    <d v="2026-02-06T00:00:00"/>
    <d v="2026-02-13T00:00:00"/>
    <s v="Outstanding"/>
    <s v="INV-060226135736"/>
    <s v="Yes"/>
    <s v="No"/>
    <x v="4"/>
    <m/>
  </r>
  <r>
    <x v="0"/>
    <x v="10"/>
    <x v="0"/>
    <x v="0"/>
    <x v="5"/>
    <x v="0"/>
    <x v="2"/>
    <x v="0"/>
    <s v="USD"/>
    <n v="14.19"/>
    <n v="14.19"/>
    <d v="2026-01-01T00:00:00"/>
    <x v="1"/>
    <n v="131"/>
    <s v="Over 90+ days"/>
    <s v="Monthly Billing"/>
    <d v="2026-02-06T00:00:00"/>
    <d v="2026-02-13T00:00:00"/>
    <s v="Outstanding"/>
    <s v="INV-060226120820"/>
    <s v="Yes"/>
    <s v="No"/>
    <x v="6"/>
    <m/>
  </r>
  <r>
    <x v="0"/>
    <x v="7"/>
    <x v="4"/>
    <x v="5"/>
    <x v="4"/>
    <x v="0"/>
    <x v="2"/>
    <x v="0"/>
    <s v="USD"/>
    <n v="2500"/>
    <n v="2500"/>
    <d v="2026-01-01T00:00:00"/>
    <x v="1"/>
    <n v="135"/>
    <s v="Over 90+ days"/>
    <s v="Monthly Billing"/>
    <d v="2026-02-02T00:00:00"/>
    <d v="2026-02-09T00:00:00"/>
    <s v="Force Settlement"/>
    <s v="INV-020226182425"/>
    <s v="Yes"/>
    <s v="No"/>
    <x v="4"/>
    <m/>
  </r>
  <r>
    <x v="0"/>
    <x v="8"/>
    <x v="0"/>
    <x v="6"/>
    <x v="0"/>
    <x v="0"/>
    <x v="2"/>
    <x v="0"/>
    <s v="USD"/>
    <n v="2965"/>
    <n v="2965"/>
    <d v="2026-01-01T00:00:00"/>
    <x v="1"/>
    <n v="132"/>
    <s v="Over 90+ days"/>
    <s v="Monthly Billing"/>
    <d v="2026-02-05T00:00:00"/>
    <d v="2026-02-12T00:00:00"/>
    <s v="Outstanding"/>
    <s v="INV-050226133127"/>
    <s v="Yes"/>
    <s v="Yes"/>
    <x v="4"/>
    <m/>
  </r>
  <r>
    <x v="0"/>
    <x v="12"/>
    <x v="1"/>
    <x v="7"/>
    <x v="7"/>
    <x v="0"/>
    <x v="2"/>
    <x v="0"/>
    <s v="CAD"/>
    <n v="265.36476326938953"/>
    <n v="362.5"/>
    <d v="2026-01-01T00:00:00"/>
    <x v="1"/>
    <n v="133"/>
    <s v="Over 90+ days"/>
    <s v="Monthly Billing"/>
    <d v="2026-02-04T00:00:00"/>
    <d v="2026-02-11T00:00:00"/>
    <s v="Outstanding"/>
    <s v="INV-030226181855"/>
    <s v="Yes"/>
    <s v="No"/>
    <x v="4"/>
    <m/>
  </r>
  <r>
    <x v="0"/>
    <x v="13"/>
    <x v="1"/>
    <x v="7"/>
    <x v="7"/>
    <x v="0"/>
    <x v="2"/>
    <x v="0"/>
    <s v="USD"/>
    <n v="36.32"/>
    <n v="36.32"/>
    <d v="2026-01-01T00:00:00"/>
    <x v="1"/>
    <n v="133"/>
    <s v="Over 90+ days"/>
    <s v="Monthly Billing"/>
    <d v="2026-02-04T00:00:00"/>
    <d v="2026-02-11T00:00:00"/>
    <s v="Outstanding"/>
    <s v="INV-040226185603"/>
    <s v="Yes"/>
    <s v="No"/>
    <x v="4"/>
    <m/>
  </r>
  <r>
    <x v="0"/>
    <x v="2"/>
    <x v="0"/>
    <x v="2"/>
    <x v="2"/>
    <x v="0"/>
    <x v="2"/>
    <x v="0"/>
    <s v="AUD"/>
    <n v="5080.012699530087"/>
    <n v="7093.9"/>
    <d v="2026-01-01T00:00:00"/>
    <x v="1"/>
    <n v="131"/>
    <s v="Over 90+ days"/>
    <s v="Monthly Billing"/>
    <d v="2026-02-06T00:00:00"/>
    <d v="2026-02-13T00:00:00"/>
    <s v="Outstanding"/>
    <s v="INV-060226143545"/>
    <s v="Yes"/>
    <s v="Yes"/>
    <x v="2"/>
    <m/>
  </r>
  <r>
    <x v="0"/>
    <x v="4"/>
    <x v="0"/>
    <x v="2"/>
    <x v="0"/>
    <x v="0"/>
    <x v="2"/>
    <x v="0"/>
    <s v="AUD"/>
    <n v="39.758426969355433"/>
    <n v="55.52"/>
    <d v="2026-01-01T00:00:00"/>
    <x v="1"/>
    <n v="96"/>
    <s v="Over 90+ days"/>
    <s v="Card Printing and Delivery"/>
    <d v="2026-02-20T00:00:00"/>
    <d v="2026-03-20T00:00:00"/>
    <s v="Outstanding"/>
    <s v="INV-200226170000"/>
    <s v="Yes"/>
    <s v="No"/>
    <x v="4"/>
    <m/>
  </r>
  <r>
    <x v="1"/>
    <x v="14"/>
    <x v="0"/>
    <x v="2"/>
    <x v="0"/>
    <x v="0"/>
    <x v="2"/>
    <x v="0"/>
    <s v="AUD"/>
    <n v="1531.2221986171514"/>
    <n v="2138.25"/>
    <d v="2026-02-01T00:00:00"/>
    <x v="2"/>
    <n v="106"/>
    <s v="Over 90+ days"/>
    <s v="Monthly Billing"/>
    <d v="2026-03-03T00:00:00"/>
    <d v="2026-03-10T00:00:00"/>
    <s v="Outstanding"/>
    <s v="AU-CorporateAlliance-02/2026"/>
    <s v="Yes"/>
    <s v="No"/>
    <x v="4"/>
    <m/>
  </r>
  <r>
    <x v="0"/>
    <x v="4"/>
    <x v="0"/>
    <x v="2"/>
    <x v="0"/>
    <x v="0"/>
    <x v="2"/>
    <x v="0"/>
    <s v="AUD"/>
    <n v="2755.5003180449307"/>
    <n v="3847.8729999999996"/>
    <d v="2026-02-01T00:00:00"/>
    <x v="2"/>
    <n v="82"/>
    <s v="61-90 days"/>
    <s v="Monthly Billing"/>
    <d v="2026-03-04T00:00:00"/>
    <d v="2026-04-03T00:00:00"/>
    <s v="Invoice Sent"/>
    <s v="INV-040326125850"/>
    <s v="Yes"/>
    <s v="No"/>
    <x v="4"/>
    <m/>
  </r>
  <r>
    <x v="0"/>
    <x v="11"/>
    <x v="0"/>
    <x v="0"/>
    <x v="6"/>
    <x v="0"/>
    <x v="2"/>
    <x v="0"/>
    <s v="AUD"/>
    <n v="3550.9817975002243"/>
    <n v="4958.71"/>
    <d v="2026-02-01T00:00:00"/>
    <x v="2"/>
    <n v="106"/>
    <s v="Over 90+ days"/>
    <s v="Monthly Billing"/>
    <d v="2026-03-03T00:00:00"/>
    <d v="2026-03-10T00:00:00"/>
    <s v="Outstanding"/>
    <s v="INV-030326151733"/>
    <s v="Yes"/>
    <s v="No"/>
    <x v="4"/>
    <m/>
  </r>
  <r>
    <x v="0"/>
    <x v="10"/>
    <x v="0"/>
    <x v="0"/>
    <x v="5"/>
    <x v="0"/>
    <x v="2"/>
    <x v="0"/>
    <s v="USD"/>
    <n v="6.88"/>
    <n v="6.88"/>
    <d v="2026-02-01T00:00:00"/>
    <x v="2"/>
    <n v="105"/>
    <s v="Over 90+ days"/>
    <s v="Monthly Billing"/>
    <d v="2026-03-04T00:00:00"/>
    <d v="2026-03-11T00:00:00"/>
    <s v="Outstanding"/>
    <s v="INV-040326132912"/>
    <s v="Yes"/>
    <s v="No"/>
    <x v="6"/>
    <m/>
  </r>
  <r>
    <x v="0"/>
    <x v="7"/>
    <x v="4"/>
    <x v="5"/>
    <x v="4"/>
    <x v="0"/>
    <x v="2"/>
    <x v="0"/>
    <s v="USD"/>
    <n v="2500"/>
    <n v="2500"/>
    <d v="2026-02-01T00:00:00"/>
    <x v="2"/>
    <n v="107"/>
    <s v="Over 90+ days"/>
    <s v="Monthly Billing"/>
    <d v="2026-03-02T00:00:00"/>
    <d v="2026-03-09T00:00:00"/>
    <s v="Force Settlement"/>
    <s v="INV-020326191014"/>
    <s v="Yes"/>
    <s v="No"/>
    <x v="4"/>
    <m/>
  </r>
  <r>
    <x v="0"/>
    <x v="5"/>
    <x v="3"/>
    <x v="4"/>
    <x v="2"/>
    <x v="0"/>
    <x v="2"/>
    <x v="0"/>
    <s v="USD"/>
    <n v="89.8"/>
    <n v="89.8"/>
    <d v="2026-02-01T00:00:00"/>
    <x v="2"/>
    <n v="105"/>
    <s v="Over 90+ days"/>
    <s v="Monthly Billing"/>
    <d v="2026-03-04T00:00:00"/>
    <d v="2026-03-11T00:00:00"/>
    <s v="Outstanding"/>
    <s v="INV-040326132449"/>
    <s v="Yes"/>
    <s v="No"/>
    <x v="5"/>
    <m/>
  </r>
  <r>
    <x v="0"/>
    <x v="1"/>
    <x v="1"/>
    <x v="1"/>
    <x v="1"/>
    <x v="0"/>
    <x v="2"/>
    <x v="0"/>
    <s v="USD"/>
    <n v="608.9699999999998"/>
    <n v="608.9699999999998"/>
    <d v="2026-02-01T00:00:00"/>
    <x v="2"/>
    <n v="106"/>
    <s v="Over 90+ days"/>
    <s v="Monthly Billing"/>
    <d v="2026-03-03T00:00:00"/>
    <d v="2026-03-10T00:00:00"/>
    <s v="Outstanding"/>
    <s v="INV-030326144903"/>
    <s v="Yes"/>
    <s v="No"/>
    <x v="1"/>
    <m/>
  </r>
  <r>
    <x v="0"/>
    <x v="8"/>
    <x v="0"/>
    <x v="6"/>
    <x v="0"/>
    <x v="0"/>
    <x v="2"/>
    <x v="0"/>
    <s v="USD"/>
    <n v="2963.5"/>
    <n v="2963.5"/>
    <d v="2026-02-01T00:00:00"/>
    <x v="2"/>
    <n v="106"/>
    <s v="Over 90+ days"/>
    <s v="Monthly Billing"/>
    <d v="2026-03-03T00:00:00"/>
    <d v="2026-03-10T00:00:00"/>
    <s v="Outstanding"/>
    <s v="INV-030326180323"/>
    <s v="Yes"/>
    <s v="Yes"/>
    <x v="4"/>
    <m/>
  </r>
  <r>
    <x v="0"/>
    <x v="12"/>
    <x v="1"/>
    <x v="7"/>
    <x v="7"/>
    <x v="0"/>
    <x v="2"/>
    <x v="0"/>
    <s v="CAD"/>
    <n v="1020.4296930153743"/>
    <n v="1393.95208"/>
    <d v="2026-02-01T00:00:00"/>
    <x v="2"/>
    <n v="105"/>
    <s v="Over 90+ days"/>
    <s v="Monthly Billing"/>
    <d v="2026-03-04T00:00:00"/>
    <d v="2026-03-11T00:00:00"/>
    <s v="Outstanding"/>
    <s v="INV-040326160006"/>
    <s v="Yes"/>
    <s v="No"/>
    <x v="4"/>
    <m/>
  </r>
  <r>
    <x v="0"/>
    <x v="13"/>
    <x v="1"/>
    <x v="7"/>
    <x v="7"/>
    <x v="0"/>
    <x v="2"/>
    <x v="0"/>
    <s v="USD"/>
    <n v="43.5"/>
    <n v="43.5"/>
    <d v="2026-02-01T00:00:00"/>
    <x v="2"/>
    <n v="105"/>
    <s v="Over 90+ days"/>
    <s v="Monthly Billing"/>
    <d v="2026-03-04T00:00:00"/>
    <d v="2026-03-11T00:00:00"/>
    <s v="Outstanding"/>
    <s v="INV-040326095350"/>
    <s v="Yes"/>
    <s v="No"/>
    <x v="4"/>
    <m/>
  </r>
  <r>
    <x v="0"/>
    <x v="15"/>
    <x v="0"/>
    <x v="0"/>
    <x v="0"/>
    <x v="0"/>
    <x v="2"/>
    <x v="0"/>
    <s v="AUD"/>
    <n v="7774.8062248971883"/>
    <n v="10857"/>
    <d v="2026-03-01T00:00:00"/>
    <x v="3"/>
    <n v="98"/>
    <s v="Over 90+ days"/>
    <s v="Setup Fee"/>
    <d v="2026-03-11T00:00:00"/>
    <d v="2026-03-18T00:00:00"/>
    <s v="Outstanding"/>
    <s v="INV-110326113159"/>
    <s v="Yes"/>
    <s v="No"/>
    <x v="4"/>
    <m/>
  </r>
  <r>
    <x v="1"/>
    <x v="14"/>
    <x v="0"/>
    <x v="2"/>
    <x v="0"/>
    <x v="0"/>
    <x v="2"/>
    <x v="0"/>
    <s v="AUD"/>
    <n v="1561.9433174389337"/>
    <n v="2181.15"/>
    <d v="2026-03-01T00:00:00"/>
    <x v="3"/>
    <n v="76"/>
    <s v="61-90 days"/>
    <s v="Monthly Billing"/>
    <d v="2026-04-02T00:00:00"/>
    <d v="2026-04-09T00:00:00"/>
    <s v="Overdue"/>
    <s v="AU-CorporateAlliance-03/2026"/>
    <s v="Yes"/>
    <s v="No"/>
    <x v="4"/>
    <m/>
  </r>
  <r>
    <x v="1"/>
    <x v="16"/>
    <x v="0"/>
    <x v="0"/>
    <x v="8"/>
    <x v="0"/>
    <x v="2"/>
    <x v="0"/>
    <s v="USD"/>
    <n v="42"/>
    <n v="42"/>
    <d v="2026-03-01T00:00:00"/>
    <x v="3"/>
    <n v="76"/>
    <s v="61-90 days"/>
    <s v="Monthly Billing"/>
    <d v="2026-04-02T00:00:00"/>
    <d v="2026-04-09T00:00:00"/>
    <s v="Overdue"/>
    <s v="MY-EZ Money-03/2026"/>
    <s v="Yes"/>
    <s v="No"/>
    <x v="4"/>
    <m/>
  </r>
  <r>
    <x v="1"/>
    <x v="9"/>
    <x v="2"/>
    <x v="3"/>
    <x v="2"/>
    <x v="0"/>
    <x v="2"/>
    <x v="0"/>
    <s v="USD"/>
    <n v="2125.9"/>
    <n v="2125.9"/>
    <d v="2026-03-01T00:00:00"/>
    <x v="3"/>
    <n v="69"/>
    <s v="61-90 days"/>
    <s v="Monthly Billing"/>
    <d v="2026-04-01T00:00:00"/>
    <d v="2026-04-16T00:00:00"/>
    <s v="Overdue"/>
    <s v="US-GLOBAL ROOTS INC-03/2026"/>
    <s v="Yes"/>
    <s v="No"/>
    <x v="4"/>
    <m/>
  </r>
  <r>
    <x v="1"/>
    <x v="17"/>
    <x v="4"/>
    <x v="5"/>
    <x v="8"/>
    <x v="0"/>
    <x v="2"/>
    <x v="0"/>
    <s v="USD"/>
    <n v="2235.75"/>
    <n v="2235.75"/>
    <d v="2026-03-01T00:00:00"/>
    <x v="3"/>
    <n v="76"/>
    <s v="61-90 days"/>
    <s v="Monthly Billing"/>
    <d v="2026-04-02T00:00:00"/>
    <d v="2026-04-09T00:00:00"/>
    <s v="Overdue"/>
    <s v="SG-Qatar National Bank (Q.P.S.C.)-03/2026"/>
    <s v="Yes"/>
    <s v="No"/>
    <x v="4"/>
    <m/>
  </r>
  <r>
    <x v="1"/>
    <x v="18"/>
    <x v="2"/>
    <x v="8"/>
    <x v="7"/>
    <x v="0"/>
    <x v="2"/>
    <x v="1"/>
    <s v="USD"/>
    <n v="2000"/>
    <n v="2000"/>
    <d v="2026-03-01T00:00:00"/>
    <x v="3"/>
    <n v="78"/>
    <s v="61-90 days"/>
    <s v="Monthly Billing"/>
    <d v="2026-04-02T00:00:00"/>
    <d v="2026-04-07T00:00:00"/>
    <s v="Force Settlement"/>
    <s v="US-Stratos Payments, Inc-03/2026"/>
    <s v="Yes"/>
    <s v="No"/>
    <x v="4"/>
    <m/>
  </r>
  <r>
    <x v="1"/>
    <x v="19"/>
    <x v="0"/>
    <x v="9"/>
    <x v="2"/>
    <x v="0"/>
    <x v="2"/>
    <x v="0"/>
    <s v="USD"/>
    <n v="60745.5"/>
    <n v="60745.5"/>
    <d v="2026-03-01T00:00:00"/>
    <x v="3"/>
    <n v="71"/>
    <s v="61-90 days"/>
    <s v="Monthly Billing"/>
    <d v="2026-04-02T00:00:00"/>
    <d v="2026-04-14T00:00:00"/>
    <s v="Overdue"/>
    <s v="SG-youtech-03/2026"/>
    <s v="Yes"/>
    <s v="No"/>
    <x v="4"/>
    <m/>
  </r>
  <r>
    <x v="0"/>
    <x v="20"/>
    <x v="4"/>
    <x v="5"/>
    <x v="9"/>
    <x v="0"/>
    <x v="2"/>
    <x v="0"/>
    <s v="USD"/>
    <n v="3000"/>
    <n v="3000"/>
    <d v="2026-03-01T00:00:00"/>
    <x v="3"/>
    <n v="76"/>
    <s v="61-90 days"/>
    <s v="Monthly Billing"/>
    <d v="2026-04-02T00:00:00"/>
    <d v="2026-04-09T00:00:00"/>
    <s v="Force Settlement"/>
    <s v="INV-020426113526"/>
    <s v="Yes"/>
    <s v="No"/>
    <x v="7"/>
    <m/>
  </r>
  <r>
    <x v="0"/>
    <x v="4"/>
    <x v="0"/>
    <x v="2"/>
    <x v="0"/>
    <x v="0"/>
    <x v="2"/>
    <x v="0"/>
    <s v="AUD"/>
    <n v="1475.2030619721268"/>
    <n v="2060.0230000000001"/>
    <d v="2026-03-01T00:00:00"/>
    <x v="3"/>
    <n v="53"/>
    <s v="31-60 days"/>
    <s v="Monthly Billing"/>
    <d v="2026-04-03T00:00:00"/>
    <d v="2026-05-02T00:00:00"/>
    <s v="Invoice Sent"/>
    <s v="INV-030426112139"/>
    <s v="No"/>
    <s v="No"/>
    <x v="4"/>
    <m/>
  </r>
  <r>
    <x v="0"/>
    <x v="11"/>
    <x v="0"/>
    <x v="0"/>
    <x v="6"/>
    <x v="0"/>
    <x v="2"/>
    <x v="0"/>
    <s v="AUD"/>
    <n v="3646.9405369435535"/>
    <n v="5092.71"/>
    <d v="2026-03-01T00:00:00"/>
    <x v="3"/>
    <n v="76"/>
    <s v="61-90 days"/>
    <s v="Monthly Billing"/>
    <d v="2026-04-02T00:00:00"/>
    <d v="2026-04-09T00:00:00"/>
    <s v="Outstanding"/>
    <s v="INV-020426173052"/>
    <s v="Yes"/>
    <s v="No"/>
    <x v="4"/>
    <m/>
  </r>
  <r>
    <x v="0"/>
    <x v="10"/>
    <x v="0"/>
    <x v="0"/>
    <x v="5"/>
    <x v="0"/>
    <x v="2"/>
    <x v="0"/>
    <s v="USD"/>
    <n v="11.18"/>
    <n v="11.18"/>
    <d v="2026-03-01T00:00:00"/>
    <x v="3"/>
    <n v="75"/>
    <s v="61-90 days"/>
    <s v="Monthly Billing"/>
    <d v="2026-04-03T00:00:00"/>
    <d v="2026-04-10T00:00:00"/>
    <s v="Outstanding"/>
    <s v="INV-030426123312"/>
    <s v="Yes"/>
    <s v="No"/>
    <x v="6"/>
    <m/>
  </r>
  <r>
    <x v="0"/>
    <x v="21"/>
    <x v="4"/>
    <x v="0"/>
    <x v="4"/>
    <x v="0"/>
    <x v="2"/>
    <x v="0"/>
    <s v="USD"/>
    <n v="5000"/>
    <n v="5000"/>
    <d v="2026-04-01T00:00:00"/>
    <x v="4"/>
    <n v="70"/>
    <s v="61-90 days"/>
    <s v="Pay Out Service Integration Fee"/>
    <d v="2026-04-08T00:00:00"/>
    <d v="2026-04-15T00:00:00"/>
    <s v="Outstanding"/>
    <s v="INV-080426104349"/>
    <s v="Yes"/>
    <s v="No"/>
    <x v="4"/>
    <m/>
  </r>
  <r>
    <x v="0"/>
    <x v="22"/>
    <x v="0"/>
    <x v="0"/>
    <x v="10"/>
    <x v="0"/>
    <x v="2"/>
    <x v="0"/>
    <s v="USD"/>
    <n v="40"/>
    <n v="40"/>
    <d v="2026-03-01T00:00:00"/>
    <x v="3"/>
    <n v="76"/>
    <s v="61-90 days"/>
    <s v="Monthly Billing"/>
    <d v="2026-04-02T00:00:00"/>
    <d v="2026-04-09T00:00:00"/>
    <s v="Outstanding"/>
    <s v="INV-020426180801"/>
    <s v="Yes"/>
    <s v="No"/>
    <x v="4"/>
    <m/>
  </r>
  <r>
    <x v="0"/>
    <x v="5"/>
    <x v="3"/>
    <x v="4"/>
    <x v="2"/>
    <x v="0"/>
    <x v="2"/>
    <x v="0"/>
    <s v="USD"/>
    <n v="21.1"/>
    <n v="21.1"/>
    <d v="2026-03-01T00:00:00"/>
    <x v="3"/>
    <n v="75"/>
    <s v="61-90 days"/>
    <s v="Monthly Billing"/>
    <d v="2026-04-03T00:00:00"/>
    <d v="2026-04-10T00:00:00"/>
    <s v="Outstanding"/>
    <s v="INV-030426152534"/>
    <s v="Yes"/>
    <s v="No"/>
    <x v="5"/>
    <m/>
  </r>
  <r>
    <x v="0"/>
    <x v="23"/>
    <x v="4"/>
    <x v="5"/>
    <x v="8"/>
    <x v="0"/>
    <x v="2"/>
    <x v="0"/>
    <s v="USD"/>
    <n v="1483.54"/>
    <n v="1483.54"/>
    <d v="2026-03-01T00:00:00"/>
    <x v="3"/>
    <n v="75"/>
    <s v="61-90 days"/>
    <s v="Monthly Billing"/>
    <d v="2026-04-03T00:00:00"/>
    <d v="2026-04-10T00:00:00"/>
    <s v="Outstanding"/>
    <s v="INV-030426095657"/>
    <s v="Yes"/>
    <s v="No"/>
    <x v="4"/>
    <m/>
  </r>
  <r>
    <x v="0"/>
    <x v="8"/>
    <x v="0"/>
    <x v="6"/>
    <x v="0"/>
    <x v="0"/>
    <x v="2"/>
    <x v="0"/>
    <s v="USD"/>
    <n v="2952"/>
    <n v="2952"/>
    <d v="2026-03-01T00:00:00"/>
    <x v="3"/>
    <n v="76"/>
    <s v="61-90 days"/>
    <s v="Monthly Billing"/>
    <d v="2026-04-02T00:00:00"/>
    <d v="2026-04-09T00:00:00"/>
    <s v="Outstanding"/>
    <s v="INV-020426170424"/>
    <s v="Yes"/>
    <s v="Yes"/>
    <x v="4"/>
    <m/>
  </r>
  <r>
    <x v="0"/>
    <x v="12"/>
    <x v="1"/>
    <x v="7"/>
    <x v="7"/>
    <x v="0"/>
    <x v="2"/>
    <x v="0"/>
    <s v="CAD"/>
    <n v="5219.948165930402"/>
    <n v="7130.68"/>
    <d v="2026-03-01T00:00:00"/>
    <x v="3"/>
    <n v="72"/>
    <s v="61-90 days"/>
    <s v="Monthly Billing"/>
    <d v="2026-04-06T00:00:00"/>
    <d v="2026-04-13T00:00:00"/>
    <s v="Outstanding"/>
    <s v="INV-030426231221"/>
    <s v="Yes"/>
    <s v="No"/>
    <x v="4"/>
    <m/>
  </r>
  <r>
    <x v="0"/>
    <x v="13"/>
    <x v="1"/>
    <x v="7"/>
    <x v="7"/>
    <x v="0"/>
    <x v="2"/>
    <x v="0"/>
    <s v="USD"/>
    <n v="7.5"/>
    <n v="7.5"/>
    <d v="2026-03-01T00:00:00"/>
    <x v="3"/>
    <n v="77"/>
    <s v="61-90 days"/>
    <s v="Monthly Billing"/>
    <d v="2026-04-01T00:00:00"/>
    <d v="2026-04-08T00:00:00"/>
    <s v="Outstanding"/>
    <s v="INV-010426201156"/>
    <s v="Yes"/>
    <s v="No"/>
    <x v="4"/>
    <m/>
  </r>
  <r>
    <x v="0"/>
    <x v="24"/>
    <x v="1"/>
    <x v="10"/>
    <x v="2"/>
    <x v="0"/>
    <x v="2"/>
    <x v="0"/>
    <s v="USD"/>
    <n v="250"/>
    <n v="250"/>
    <d v="2026-03-01T00:00:00"/>
    <x v="3"/>
    <n v="77"/>
    <s v="61-90 days"/>
    <s v="Monthly Billing"/>
    <d v="2026-04-01T00:00:00"/>
    <d v="2026-04-08T00:00:00"/>
    <s v="Outstanding"/>
    <s v="INV-010426152406"/>
    <s v="Yes"/>
    <s v="No"/>
    <x v="4"/>
    <m/>
  </r>
  <r>
    <x v="0"/>
    <x v="25"/>
    <x v="3"/>
    <x v="4"/>
    <x v="11"/>
    <x v="0"/>
    <x v="2"/>
    <x v="0"/>
    <s v="GBP"/>
    <n v="4102.1855725513351"/>
    <n v="3037.8"/>
    <d v="2026-03-01T00:00:00"/>
    <x v="3"/>
    <n v="68"/>
    <s v="61-90 days"/>
    <s v="Monthly Billing"/>
    <d v="2026-04-03T00:00:00"/>
    <d v="2026-04-17T00:00:00"/>
    <s v="Invoice Sent"/>
    <s v="INV-030426101140"/>
    <s v="Yes"/>
    <s v="No"/>
    <x v="4"/>
    <m/>
  </r>
  <r>
    <x v="0"/>
    <x v="6"/>
    <x v="2"/>
    <x v="0"/>
    <x v="3"/>
    <x v="0"/>
    <x v="2"/>
    <x v="0"/>
    <s v="USD"/>
    <n v="500"/>
    <n v="500"/>
    <d v="2026-03-01T00:00:00"/>
    <x v="3"/>
    <n v="76"/>
    <s v="61-90 days"/>
    <s v="Monthly Billing"/>
    <d v="2026-04-02T00:00:00"/>
    <d v="2026-04-09T00:00:00"/>
    <s v="Outstanding"/>
    <s v="INV-020426160801"/>
    <s v="Yes"/>
    <s v="No"/>
    <x v="4"/>
    <m/>
  </r>
  <r>
    <x v="0"/>
    <x v="26"/>
    <x v="0"/>
    <x v="2"/>
    <x v="0"/>
    <x v="0"/>
    <x v="2"/>
    <x v="0"/>
    <s v="AUD"/>
    <n v="1508.4785451490905"/>
    <n v="2106.4899999999998"/>
    <d v="2026-03-01T00:00:00"/>
    <x v="3"/>
    <n v="31"/>
    <s v="31-60 days"/>
    <s v="Card Printing and Delivery"/>
    <d v="2026-04-24T00:00:00"/>
    <d v="2026-05-24T00:00:00"/>
    <s v="Invoice Sent"/>
    <s v="INV-240426132000"/>
    <s v="No"/>
    <s v="No"/>
    <x v="8"/>
    <m/>
  </r>
  <r>
    <x v="1"/>
    <x v="27"/>
    <x v="1"/>
    <x v="11"/>
    <x v="1"/>
    <x v="0"/>
    <x v="2"/>
    <x v="0"/>
    <s v="USD"/>
    <n v="500"/>
    <n v="500"/>
    <d v="2026-04-01T00:00:00"/>
    <x v="4"/>
    <n v="46"/>
    <s v="31-60 days"/>
    <s v="Monthly Billing"/>
    <d v="2026-05-02T00:00:00"/>
    <d v="2026-05-09T00:00:00"/>
    <s v="Overdue"/>
    <s v="SG-BEXS BANCO DE CAMBIO-04/2026"/>
    <s v="Yes"/>
    <s v="No"/>
    <x v="4"/>
    <m/>
  </r>
  <r>
    <x v="1"/>
    <x v="14"/>
    <x v="0"/>
    <x v="2"/>
    <x v="0"/>
    <x v="0"/>
    <x v="2"/>
    <x v="0"/>
    <s v="AUD"/>
    <n v="1491.2632608489589"/>
    <n v="2082.4499999999998"/>
    <d v="2026-04-01T00:00:00"/>
    <x v="4"/>
    <n v="46"/>
    <s v="31-60 days"/>
    <s v="Monthly Billing"/>
    <d v="2026-05-02T00:00:00"/>
    <d v="2026-05-09T00:00:00"/>
    <s v="Overdue"/>
    <s v="AU-CorporateAlliance-04/2026"/>
    <s v="Yes"/>
    <s v="No"/>
    <x v="4"/>
    <m/>
  </r>
  <r>
    <x v="1"/>
    <x v="28"/>
    <x v="0"/>
    <x v="0"/>
    <x v="12"/>
    <x v="0"/>
    <x v="2"/>
    <x v="0"/>
    <s v="USD"/>
    <n v="5000"/>
    <n v="5000"/>
    <d v="2026-04-01T00:00:00"/>
    <x v="4"/>
    <n v="46"/>
    <s v="31-60 days"/>
    <s v="Monthly Billing"/>
    <d v="2026-05-02T00:00:00"/>
    <d v="2026-05-09T00:00:00"/>
    <s v="Overdue"/>
    <s v="HK-Everpro-04/2026"/>
    <m/>
    <m/>
    <x v="9"/>
    <m/>
  </r>
  <r>
    <x v="1"/>
    <x v="16"/>
    <x v="0"/>
    <x v="0"/>
    <x v="8"/>
    <x v="0"/>
    <x v="2"/>
    <x v="0"/>
    <s v="USD"/>
    <n v="47"/>
    <n v="47"/>
    <d v="2026-04-01T00:00:00"/>
    <x v="4"/>
    <n v="46"/>
    <s v="31-60 days"/>
    <s v="Monthly Billing"/>
    <d v="2026-05-02T00:00:00"/>
    <d v="2026-05-09T00:00:00"/>
    <s v="Overdue"/>
    <s v="MY-EZ Money-04/2026"/>
    <s v="Yes"/>
    <s v="No"/>
    <x v="4"/>
    <m/>
  </r>
  <r>
    <x v="1"/>
    <x v="29"/>
    <x v="0"/>
    <x v="2"/>
    <x v="13"/>
    <x v="0"/>
    <x v="2"/>
    <x v="0"/>
    <s v="IDR"/>
    <n v="370.74141421444534"/>
    <n v="6382500"/>
    <d v="2026-04-01T00:00:00"/>
    <x v="4"/>
    <n v="23"/>
    <s v="0-30 days"/>
    <s v="Monthly Billing"/>
    <d v="2026-05-01T00:00:00"/>
    <d v="2026-06-01T00:00:00"/>
    <s v="Invoice Sent"/>
    <s v="ID-PT Midtrans-04/2026"/>
    <s v="No"/>
    <s v="No"/>
    <x v="4"/>
    <m/>
  </r>
  <r>
    <x v="1"/>
    <x v="30"/>
    <x v="0"/>
    <x v="12"/>
    <x v="2"/>
    <x v="0"/>
    <x v="2"/>
    <x v="0"/>
    <s v="IDR"/>
    <n v="5.5440726264447351"/>
    <n v="95444"/>
    <d v="2026-04-01T00:00:00"/>
    <x v="4"/>
    <n v="33"/>
    <s v="31-60 days"/>
    <s v="Monthly Billing"/>
    <d v="2026-05-01T00:00:00"/>
    <d v="2026-05-22T00:00:00"/>
    <s v="Invoice Sent"/>
    <s v="ID-ptpelita-04/2026"/>
    <m/>
    <m/>
    <x v="9"/>
    <m/>
  </r>
  <r>
    <x v="1"/>
    <x v="17"/>
    <x v="4"/>
    <x v="5"/>
    <x v="8"/>
    <x v="0"/>
    <x v="2"/>
    <x v="0"/>
    <s v="USD"/>
    <n v="4029.75"/>
    <n v="4029.75"/>
    <d v="2026-04-01T00:00:00"/>
    <x v="4"/>
    <n v="44"/>
    <s v="31-60 days"/>
    <s v="Monthly Billing"/>
    <d v="2026-05-04T00:00:00"/>
    <d v="2026-05-11T00:00:00"/>
    <s v="Overdue"/>
    <s v="SG-Qatar National Bank (Q.P.S.C.)-04/2026"/>
    <s v="Yes"/>
    <s v="No"/>
    <x v="4"/>
    <m/>
  </r>
  <r>
    <x v="0"/>
    <x v="31"/>
    <x v="4"/>
    <x v="5"/>
    <x v="8"/>
    <x v="0"/>
    <x v="2"/>
    <x v="0"/>
    <s v="USD"/>
    <n v="3736.5"/>
    <n v="3736.5"/>
    <d v="2026-04-01T00:00:00"/>
    <x v="4"/>
    <n v="44"/>
    <s v="31-60 days"/>
    <s v="Monthly Billing"/>
    <d v="2026-05-04T00:00:00"/>
    <d v="2026-05-11T00:00:00"/>
    <s v="Outstanding"/>
    <s v="INV-040526204049"/>
    <m/>
    <m/>
    <x v="9"/>
    <m/>
  </r>
  <r>
    <x v="0"/>
    <x v="32"/>
    <x v="4"/>
    <x v="5"/>
    <x v="8"/>
    <x v="0"/>
    <x v="2"/>
    <x v="0"/>
    <s v="USD"/>
    <n v="42610.5"/>
    <n v="42610.5"/>
    <d v="2026-04-01T00:00:00"/>
    <x v="4"/>
    <n v="44"/>
    <s v="31-60 days"/>
    <s v="Monthly Billing"/>
    <d v="2026-05-04T00:00:00"/>
    <d v="2026-05-11T00:00:00"/>
    <s v="Outstanding"/>
    <s v="INV-040526222935"/>
    <m/>
    <m/>
    <x v="9"/>
    <m/>
  </r>
  <r>
    <x v="0"/>
    <x v="33"/>
    <x v="0"/>
    <x v="0"/>
    <x v="12"/>
    <x v="0"/>
    <x v="2"/>
    <x v="0"/>
    <s v="USD"/>
    <n v="61001.45"/>
    <n v="61001.45"/>
    <d v="2026-05-01T00:00:00"/>
    <x v="5"/>
    <n v="37"/>
    <s v="31-60 days"/>
    <s v="Monthly Billing"/>
    <d v="2026-05-11T00:00:00"/>
    <d v="2026-05-18T00:00:00"/>
    <s v="Outstanding"/>
    <s v="INV-110526145754"/>
    <m/>
    <m/>
    <x v="9"/>
    <m/>
  </r>
  <r>
    <x v="0"/>
    <x v="11"/>
    <x v="0"/>
    <x v="0"/>
    <x v="6"/>
    <x v="0"/>
    <x v="2"/>
    <x v="0"/>
    <s v="AUD"/>
    <n v="3501.1047362895688"/>
    <n v="4889.0600000000004"/>
    <d v="2026-04-01T00:00:00"/>
    <x v="4"/>
    <n v="43"/>
    <s v="31-60 days"/>
    <s v="Monthly Billing"/>
    <d v="2026-05-05T00:00:00"/>
    <d v="2026-05-12T00:00:00"/>
    <s v="Outstanding"/>
    <s v="INV-050526150527"/>
    <s v="Yes"/>
    <s v="No"/>
    <x v="4"/>
    <m/>
  </r>
  <r>
    <x v="0"/>
    <x v="10"/>
    <x v="0"/>
    <x v="0"/>
    <x v="5"/>
    <x v="0"/>
    <x v="2"/>
    <x v="0"/>
    <s v="USD"/>
    <n v="37.840000000000003"/>
    <n v="37.840000000000003"/>
    <d v="2026-04-01T00:00:00"/>
    <x v="4"/>
    <n v="44"/>
    <s v="31-60 days"/>
    <s v="Monthly Billing"/>
    <d v="2026-05-04T00:00:00"/>
    <d v="2026-05-11T00:00:00"/>
    <s v="Outstanding"/>
    <s v="INV-040526162158"/>
    <s v="Yes"/>
    <s v="No"/>
    <x v="6"/>
    <m/>
  </r>
  <r>
    <x v="0"/>
    <x v="34"/>
    <x v="0"/>
    <x v="13"/>
    <x v="14"/>
    <x v="0"/>
    <x v="2"/>
    <x v="0"/>
    <s v="USD"/>
    <n v="16152.5"/>
    <n v="16152.5"/>
    <d v="2026-04-01T00:00:00"/>
    <x v="4"/>
    <n v="41"/>
    <s v="31-60 days"/>
    <s v="Monthly Billing"/>
    <d v="2026-05-07T00:00:00"/>
    <d v="2026-05-14T00:00:00"/>
    <s v="Outstanding"/>
    <s v="INV-070526124101"/>
    <s v="Yes"/>
    <s v="No"/>
    <x v="4"/>
    <m/>
  </r>
  <r>
    <x v="0"/>
    <x v="21"/>
    <x v="4"/>
    <x v="0"/>
    <x v="4"/>
    <x v="0"/>
    <x v="2"/>
    <x v="0"/>
    <s v="USD"/>
    <n v="5000"/>
    <n v="5000"/>
    <d v="2026-05-01T00:00:00"/>
    <x v="5"/>
    <n v="37"/>
    <s v="31-60 days"/>
    <s v="Pay Out Service Integration Fee"/>
    <d v="2026-05-11T00:00:00"/>
    <d v="2026-05-18T00:00:00"/>
    <s v="Outstanding"/>
    <s v="INV-110526134838"/>
    <s v="Yes"/>
    <s v="No"/>
    <x v="4"/>
    <m/>
  </r>
  <r>
    <x v="0"/>
    <x v="5"/>
    <x v="3"/>
    <x v="4"/>
    <x v="2"/>
    <x v="0"/>
    <x v="2"/>
    <x v="0"/>
    <s v="USD"/>
    <n v="99.6"/>
    <n v="99.6"/>
    <d v="2026-04-01T00:00:00"/>
    <x v="4"/>
    <n v="44"/>
    <s v="31-60 days"/>
    <s v="Monthly Billing"/>
    <d v="2026-05-04T00:00:00"/>
    <d v="2026-05-11T00:00:00"/>
    <s v="Outstanding"/>
    <s v="INV-040526200003"/>
    <s v="Yes"/>
    <s v="No"/>
    <x v="5"/>
    <m/>
  </r>
  <r>
    <x v="0"/>
    <x v="35"/>
    <x v="1"/>
    <x v="7"/>
    <x v="0"/>
    <x v="0"/>
    <x v="2"/>
    <x v="0"/>
    <s v="USD"/>
    <n v="1412.24"/>
    <n v="1412.24"/>
    <d v="2026-04-01T00:00:00"/>
    <x v="4"/>
    <n v="44"/>
    <s v="31-60 days"/>
    <s v="Monthly Billing"/>
    <d v="2026-05-04T00:00:00"/>
    <d v="2026-05-11T00:00:00"/>
    <s v="Outstanding"/>
    <s v="INV-040526165805"/>
    <s v="Yes"/>
    <s v="No"/>
    <x v="4"/>
    <m/>
  </r>
  <r>
    <x v="0"/>
    <x v="36"/>
    <x v="1"/>
    <x v="7"/>
    <x v="0"/>
    <x v="0"/>
    <x v="2"/>
    <x v="0"/>
    <s v="USD"/>
    <n v="312"/>
    <n v="312"/>
    <d v="2026-04-01T00:00:00"/>
    <x v="4"/>
    <n v="44"/>
    <s v="31-60 days"/>
    <s v="Monthly Billing"/>
    <d v="2026-05-04T00:00:00"/>
    <d v="2026-05-11T00:00:00"/>
    <s v="Outstanding"/>
    <s v="INV-040526185154"/>
    <s v="Yes"/>
    <s v="No"/>
    <x v="4"/>
    <m/>
  </r>
  <r>
    <x v="0"/>
    <x v="37"/>
    <x v="3"/>
    <x v="4"/>
    <x v="14"/>
    <x v="0"/>
    <x v="2"/>
    <x v="0"/>
    <s v="USD"/>
    <n v="15540.78"/>
    <n v="15540.78"/>
    <d v="2026-04-01T00:00:00"/>
    <x v="4"/>
    <n v="34"/>
    <s v="31-60 days"/>
    <s v="Monthly Billing"/>
    <d v="2026-05-06T00:00:00"/>
    <d v="2026-05-21T00:00:00"/>
    <s v="Outstanding"/>
    <s v="INV-060526163836"/>
    <m/>
    <m/>
    <x v="9"/>
    <m/>
  </r>
  <r>
    <x v="0"/>
    <x v="23"/>
    <x v="4"/>
    <x v="5"/>
    <x v="8"/>
    <x v="0"/>
    <x v="2"/>
    <x v="0"/>
    <s v="USD"/>
    <n v="1185.58"/>
    <n v="1185.58"/>
    <d v="2026-04-01T00:00:00"/>
    <x v="4"/>
    <n v="43"/>
    <s v="31-60 days"/>
    <s v="Monthly Billing"/>
    <d v="2026-05-05T00:00:00"/>
    <d v="2026-05-12T00:00:00"/>
    <s v="Outstanding"/>
    <s v="INV-050526130450"/>
    <s v="Yes"/>
    <s v="No"/>
    <x v="4"/>
    <m/>
  </r>
  <r>
    <x v="0"/>
    <x v="8"/>
    <x v="0"/>
    <x v="6"/>
    <x v="0"/>
    <x v="0"/>
    <x v="2"/>
    <x v="0"/>
    <s v="USD"/>
    <n v="2954.5"/>
    <n v="2954.5"/>
    <d v="2026-04-01T00:00:00"/>
    <x v="4"/>
    <n v="44"/>
    <s v="31-60 days"/>
    <s v="Monthly Billing"/>
    <d v="2026-05-04T00:00:00"/>
    <d v="2026-05-11T00:00:00"/>
    <s v="Outstanding"/>
    <s v="INV-040526195142"/>
    <s v="Yes"/>
    <s v="Yes"/>
    <x v="4"/>
    <m/>
  </r>
  <r>
    <x v="0"/>
    <x v="12"/>
    <x v="1"/>
    <x v="7"/>
    <x v="7"/>
    <x v="0"/>
    <x v="2"/>
    <x v="0"/>
    <s v="CAD"/>
    <n v="39.566801254373807"/>
    <n v="54.05"/>
    <d v="2026-04-01T00:00:00"/>
    <x v="4"/>
    <n v="43"/>
    <s v="31-60 days"/>
    <s v="Monthly Billing"/>
    <d v="2026-05-05T00:00:00"/>
    <d v="2026-05-12T00:00:00"/>
    <s v="Outstanding"/>
    <s v="INV-050526163450"/>
    <s v="Yes"/>
    <s v="No"/>
    <x v="4"/>
    <m/>
  </r>
  <r>
    <x v="0"/>
    <x v="24"/>
    <x v="1"/>
    <x v="10"/>
    <x v="2"/>
    <x v="0"/>
    <x v="2"/>
    <x v="0"/>
    <s v="USD"/>
    <n v="130"/>
    <n v="130"/>
    <d v="2026-04-01T00:00:00"/>
    <x v="4"/>
    <n v="44"/>
    <s v="31-60 days"/>
    <s v="Monthly Billing"/>
    <d v="2026-05-04T00:00:00"/>
    <d v="2026-05-11T00:00:00"/>
    <s v="Outstanding"/>
    <s v="INV-040526102628"/>
    <s v="Yes"/>
    <s v="No"/>
    <x v="4"/>
    <m/>
  </r>
  <r>
    <x v="0"/>
    <x v="25"/>
    <x v="3"/>
    <x v="4"/>
    <x v="11"/>
    <x v="0"/>
    <x v="2"/>
    <x v="0"/>
    <s v="GBP"/>
    <n v="4102.455648630902"/>
    <n v="3038"/>
    <d v="2026-04-01T00:00:00"/>
    <x v="4"/>
    <n v="36"/>
    <s v="31-60 days"/>
    <s v="Monthly Billing"/>
    <d v="2026-05-05T00:00:00"/>
    <d v="2026-05-19T00:00:00"/>
    <s v="Outstanding"/>
    <s v="INV-050526184408"/>
    <s v="Yes"/>
    <s v="No"/>
    <x v="4"/>
    <m/>
  </r>
  <r>
    <x v="0"/>
    <x v="38"/>
    <x v="0"/>
    <x v="0"/>
    <x v="12"/>
    <x v="0"/>
    <x v="2"/>
    <x v="0"/>
    <s v="USD"/>
    <n v="15125"/>
    <n v="15125"/>
    <d v="2026-04-01T00:00:00"/>
    <x v="4"/>
    <n v="42"/>
    <s v="31-60 days"/>
    <s v="Monthly Billing"/>
    <d v="2026-05-06T00:00:00"/>
    <d v="2026-05-13T00:00:00"/>
    <s v="Outstanding"/>
    <s v="INV-060526134523"/>
    <m/>
    <m/>
    <x v="9"/>
    <m/>
  </r>
  <r>
    <x v="0"/>
    <x v="6"/>
    <x v="2"/>
    <x v="0"/>
    <x v="3"/>
    <x v="0"/>
    <x v="2"/>
    <x v="0"/>
    <s v="USD"/>
    <n v="503"/>
    <n v="503"/>
    <d v="2026-04-01T00:00:00"/>
    <x v="4"/>
    <n v="41"/>
    <s v="31-60 days"/>
    <s v="Monthly Billing"/>
    <d v="2026-05-07T00:00:00"/>
    <d v="2026-05-14T00:00:00"/>
    <s v="Outstanding"/>
    <s v="INV-070526092521"/>
    <s v="Yes"/>
    <s v="No"/>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F151A-680C-4F93-8728-41086F5EE8CA}"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59">
      <pivotArea outline="0" collapsedLevelsAreSubtotals="1" fieldPosition="0"/>
    </format>
    <format dxfId="58">
      <pivotArea dataOnly="0" labelOnly="1" fieldPosition="0">
        <references count="1">
          <reference field="14" count="0"/>
        </references>
      </pivotArea>
    </format>
    <format dxfId="57">
      <pivotArea dataOnly="0" labelOnly="1" grandCol="1" outline="0" fieldPosition="0"/>
    </format>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outline="0" collapsedLevelsAreSubtotals="1" fieldPosition="0"/>
    </format>
    <format dxfId="53">
      <pivotArea dataOnly="0" labelOnly="1" fieldPosition="0">
        <references count="1">
          <reference field="2" count="0"/>
        </references>
      </pivotArea>
    </format>
    <format dxfId="52">
      <pivotArea dataOnly="0" labelOnly="1" grandRow="1"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1">
          <reference field="14"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4" type="button" dataOnly="0" labelOnly="1" outline="0" axis="axisCol" fieldPosition="0"/>
    </format>
    <format dxfId="41">
      <pivotArea type="topRight" dataOnly="0" labelOnly="1"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1">
          <reference field="14" count="0"/>
        </references>
      </pivotArea>
    </format>
    <format dxfId="36">
      <pivotArea dataOnly="0" labelOnly="1" grandCol="1" outline="0" fieldPosition="0"/>
    </format>
    <format dxfId="35">
      <pivotArea collapsedLevelsAreSubtotals="1" fieldPosition="0">
        <references count="1">
          <reference field="2" count="1">
            <x v="4"/>
          </reference>
        </references>
      </pivotArea>
    </format>
    <format dxfId="34">
      <pivotArea grandRow="1" outline="0" collapsedLevelsAreSubtotals="1" fieldPosition="0"/>
    </format>
    <format dxfId="33">
      <pivotArea dataOnly="0" labelOnly="1" fieldPosition="0">
        <references count="1">
          <reference field="2" count="1">
            <x v="4"/>
          </reference>
        </references>
      </pivotArea>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1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34"/>
        <item m="1" x="65"/>
        <item x="29"/>
        <item m="1" x="61"/>
        <item x="0"/>
        <item m="1" x="39"/>
        <item x="26"/>
        <item x="2"/>
        <item m="1" x="64"/>
        <item m="1" x="41"/>
        <item x="6"/>
        <item x="31"/>
        <item x="7"/>
        <item m="1" x="66"/>
        <item x="1"/>
        <item m="1" x="42"/>
        <item m="1" x="56"/>
        <item x="4"/>
        <item x="15"/>
        <item x="3"/>
        <item x="30"/>
        <item x="5"/>
        <item x="36"/>
        <item m="1" x="53"/>
        <item x="8"/>
        <item m="1" x="58"/>
        <item x="9"/>
        <item x="10"/>
        <item m="1" x="62"/>
        <item x="14"/>
        <item m="1" x="69"/>
        <item m="1" x="46"/>
        <item m="1" x="47"/>
        <item m="1" x="49"/>
        <item m="1" x="70"/>
        <item m="1" x="51"/>
        <item m="1" x="52"/>
        <item x="19"/>
        <item m="1" x="40"/>
        <item x="32"/>
        <item x="11"/>
        <item m="1" x="55"/>
        <item x="22"/>
        <item x="12"/>
        <item x="13"/>
        <item x="25"/>
        <item m="1" x="43"/>
        <item m="1" x="45"/>
        <item x="17"/>
        <item x="35"/>
        <item m="1" x="57"/>
        <item x="21"/>
        <item x="27"/>
        <item x="16"/>
        <item x="18"/>
        <item x="20"/>
        <item m="1" x="71"/>
        <item x="23"/>
        <item x="24"/>
        <item m="1" x="77"/>
        <item m="1" x="67"/>
        <item x="28"/>
        <item m="1" x="44"/>
        <item m="1" x="68"/>
        <item m="1" x="48"/>
        <item m="1" x="50"/>
        <item m="1" x="54"/>
        <item m="1" x="72"/>
        <item x="33"/>
        <item m="1" x="73"/>
        <item m="1" x="74"/>
        <item m="1" x="75"/>
        <item m="1" x="76"/>
        <item x="37"/>
        <item m="1" x="59"/>
        <item m="1" x="60"/>
        <item m="1" x="63"/>
        <item x="38"/>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5"/>
        <item x="0"/>
        <item x="7"/>
        <item x="11"/>
        <item x="13"/>
        <item x="9"/>
        <item x="6"/>
        <item x="4"/>
        <item x="3"/>
        <item m="1" x="16"/>
        <item x="1"/>
        <item m="1" x="14"/>
        <item m="1" x="15"/>
        <item x="12"/>
        <item m="1" x="17"/>
        <item x="8"/>
        <item x="10"/>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13"/>
        <item x="10"/>
        <item x="6"/>
        <item x="11"/>
        <item x="5"/>
        <item x="9"/>
        <item m="1" x="16"/>
        <item x="12"/>
        <item m="1" x="17"/>
        <item m="1"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m="1" x="10"/>
        <item x="9"/>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9">
    <i>
      <x v="14"/>
      <x v="3"/>
      <x v="1"/>
      <x/>
      <x/>
      <x v="3"/>
      <x v="11"/>
      <x/>
      <x v="1"/>
    </i>
    <i r="8">
      <x v="2"/>
    </i>
    <i>
      <x v="22"/>
      <x v="3"/>
      <x v="1"/>
      <x/>
      <x/>
      <x/>
      <x v="3"/>
      <x v="5"/>
      <x v="2"/>
    </i>
    <i>
      <x v="43"/>
      <x v="3"/>
      <x v="1"/>
      <x/>
      <x/>
      <x/>
      <x v="3"/>
      <x v="2"/>
      <x v="2"/>
    </i>
    <i>
      <x v="44"/>
      <x v="3"/>
      <x v="1"/>
      <x/>
      <x/>
      <x/>
      <x v="3"/>
      <x v="2"/>
      <x v="2"/>
    </i>
    <i>
      <x v="49"/>
      <x v="3"/>
      <x v="1"/>
      <x/>
      <x/>
      <x/>
      <x v="3"/>
      <x v="5"/>
      <x v="2"/>
    </i>
    <i>
      <x v="52"/>
      <x v="3"/>
      <x/>
      <x/>
      <x/>
      <x/>
      <x v="4"/>
      <x/>
      <x v="2"/>
    </i>
    <i>
      <x v="58"/>
      <x v="3"/>
      <x v="1"/>
      <x/>
      <x/>
      <x/>
      <x v="17"/>
      <x v="3"/>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27">
    <format dxfId="30">
      <pivotArea type="all" dataOnly="0" outline="0" fieldPosition="0"/>
    </format>
    <format dxfId="29">
      <pivotArea outline="0" collapsedLevelsAreSubtotals="1" fieldPosition="0"/>
    </format>
    <format dxfId="28">
      <pivotArea type="origin" dataOnly="0" labelOnly="1" outline="0" fieldPosition="0"/>
    </format>
    <format dxfId="27">
      <pivotArea field="12" type="button" dataOnly="0" labelOnly="1" outline="0" axis="axisCol" fieldPosition="0"/>
    </format>
    <format dxfId="26">
      <pivotArea type="topRight" dataOnly="0" labelOnly="1" outline="0" fieldPosition="0"/>
    </format>
    <format dxfId="25">
      <pivotArea field="1" type="button" dataOnly="0" labelOnly="1" outline="0" axis="axisRow" fieldPosition="0"/>
    </format>
    <format dxfId="24">
      <pivotArea field="0" type="button" dataOnly="0" labelOnly="1" outline="0" axis="axisRow" fieldPosition="2"/>
    </format>
    <format dxfId="23">
      <pivotArea field="7" type="button" dataOnly="0" labelOnly="1" outline="0" axis="axisRow" fieldPosition="3"/>
    </format>
    <format dxfId="22">
      <pivotArea field="5" type="button" dataOnly="0" labelOnly="1" outline="0" axis="axisRow" fieldPosition="4"/>
    </format>
    <format dxfId="21">
      <pivotArea field="22" type="button" dataOnly="0" labelOnly="1" outline="0" axis="axisRow" fieldPosition="5"/>
    </format>
    <format dxfId="20">
      <pivotArea field="3" type="button" dataOnly="0" labelOnly="1" outline="0" axis="axisRow" fieldPosition="6"/>
    </format>
    <format dxfId="19">
      <pivotArea field="4" type="button" dataOnly="0" labelOnly="1" outline="0" axis="axisRow" fieldPosition="7"/>
    </format>
    <format dxfId="18">
      <pivotArea field="6" type="button" dataOnly="0" labelOnly="1" outline="0" axis="axisRow" fieldPosition="8"/>
    </format>
    <format dxfId="17">
      <pivotArea dataOnly="0" labelOnly="1" outline="0" fieldPosition="0">
        <references count="1">
          <reference field="1" count="13">
            <x v="0"/>
            <x v="1"/>
            <x v="2"/>
            <x v="3"/>
            <x v="4"/>
            <x v="5"/>
            <x v="6"/>
            <x v="7"/>
            <x v="8"/>
            <x v="9"/>
            <x v="10"/>
            <x v="11"/>
            <x v="12"/>
          </reference>
        </references>
      </pivotArea>
    </format>
    <format dxfId="16">
      <pivotArea dataOnly="0" labelOnly="1" outline="0" fieldPosition="0">
        <references count="1">
          <reference field="1" count="4">
            <x v="13"/>
            <x v="14"/>
            <x v="15"/>
            <x v="16"/>
          </reference>
        </references>
      </pivotArea>
    </format>
    <format dxfId="15">
      <pivotArea dataOnly="0" labelOnly="1" grandRow="1" outline="0" fieldPosition="0"/>
    </format>
    <format dxfId="14">
      <pivotArea dataOnly="0" labelOnly="1" outline="0" fieldPosition="0">
        <references count="2">
          <reference field="0" count="1">
            <x v="0"/>
          </reference>
          <reference field="1" count="1" selected="0">
            <x v="1"/>
          </reference>
        </references>
      </pivotArea>
    </format>
    <format dxfId="13">
      <pivotArea dataOnly="0" labelOnly="1" outline="0" fieldPosition="0">
        <references count="2">
          <reference field="0" count="1">
            <x v="1"/>
          </reference>
          <reference field="1" count="1" selected="0">
            <x v="3"/>
          </reference>
        </references>
      </pivotArea>
    </format>
    <format dxfId="12">
      <pivotArea dataOnly="0" labelOnly="1" outline="0" fieldPosition="0">
        <references count="2">
          <reference field="0" count="1">
            <x v="0"/>
          </reference>
          <reference field="1" count="1" selected="0">
            <x v="5"/>
          </reference>
        </references>
      </pivotArea>
    </format>
    <format dxfId="11">
      <pivotArea dataOnly="0" labelOnly="1" outline="0" fieldPosition="0">
        <references count="2">
          <reference field="0" count="1">
            <x v="1"/>
          </reference>
          <reference field="1" count="1" selected="0">
            <x v="9"/>
          </reference>
        </references>
      </pivotArea>
    </format>
    <format dxfId="10">
      <pivotArea dataOnly="0" labelOnly="1" outline="0" fieldPosition="0">
        <references count="2">
          <reference field="0" count="1">
            <x v="1"/>
          </reference>
          <reference field="1" count="1" selected="0">
            <x v="15"/>
          </reference>
        </references>
      </pivotArea>
    </format>
    <format dxfId="9">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8">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5">
      <pivotArea dataOnly="0" labelOnly="1" outline="0" fieldPosition="0">
        <references count="1">
          <reference field="12"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topLeftCell="A12" workbookViewId="0">
      <selection activeCell="D15" sqref="D15"/>
    </sheetView>
  </sheetViews>
  <sheetFormatPr defaultRowHeight="14.5"/>
  <cols>
    <col min="2" max="2" width="18.453125" bestFit="1" customWidth="1"/>
    <col min="3" max="3" width="17.90625" bestFit="1" customWidth="1"/>
    <col min="4" max="4" width="18" bestFit="1" customWidth="1"/>
    <col min="5" max="5" width="9.6328125" bestFit="1" customWidth="1"/>
    <col min="6" max="6" width="13.08984375" bestFit="1" customWidth="1"/>
    <col min="7" max="7" width="11.08984375" bestFit="1" customWidth="1"/>
    <col min="8" max="8" width="19.453125" customWidth="1"/>
  </cols>
  <sheetData>
    <row r="2" spans="2:8" ht="21">
      <c r="B2" s="90" t="s">
        <v>0</v>
      </c>
      <c r="C2" s="90"/>
      <c r="D2" s="90"/>
      <c r="E2" s="90"/>
      <c r="F2" s="90"/>
      <c r="G2" s="90"/>
    </row>
    <row r="3" spans="2:8">
      <c r="B3" s="36" t="s">
        <v>1</v>
      </c>
      <c r="C3" s="36" t="s">
        <v>2</v>
      </c>
      <c r="D3" s="7"/>
      <c r="E3" s="7"/>
      <c r="F3" s="7"/>
      <c r="G3" s="7"/>
    </row>
    <row r="4" spans="2:8">
      <c r="B4" s="37" t="s">
        <v>3</v>
      </c>
      <c r="C4" s="38" t="s">
        <v>4</v>
      </c>
      <c r="D4" s="38" t="s">
        <v>5</v>
      </c>
      <c r="E4" s="38" t="s">
        <v>6</v>
      </c>
      <c r="F4" s="38" t="s">
        <v>7</v>
      </c>
      <c r="G4" s="38" t="s">
        <v>8</v>
      </c>
    </row>
    <row r="5" spans="2:8">
      <c r="B5" s="1" t="s">
        <v>9</v>
      </c>
      <c r="C5" s="34">
        <v>21538.626516694385</v>
      </c>
      <c r="D5" s="34">
        <v>4123.2855725513355</v>
      </c>
      <c r="E5" s="34">
        <v>89.8</v>
      </c>
      <c r="F5" s="34">
        <v>77.5</v>
      </c>
      <c r="G5" s="34">
        <v>25829.212089245721</v>
      </c>
    </row>
    <row r="6" spans="2:8">
      <c r="B6" s="1" t="s">
        <v>10</v>
      </c>
      <c r="C6" s="34">
        <v>10788.306801254374</v>
      </c>
      <c r="D6" s="34">
        <v>9503.0481659304023</v>
      </c>
      <c r="E6" s="34">
        <v>1672.8996930153739</v>
      </c>
      <c r="F6" s="34">
        <v>16825.194763269388</v>
      </c>
      <c r="G6" s="34">
        <v>38789.449423469538</v>
      </c>
    </row>
    <row r="7" spans="2:8">
      <c r="B7" s="1" t="s">
        <v>11</v>
      </c>
      <c r="C7" s="34">
        <v>59572.33</v>
      </c>
      <c r="D7" s="34">
        <v>11719.29</v>
      </c>
      <c r="E7" s="34">
        <v>2500</v>
      </c>
      <c r="F7" s="34">
        <v>5057.49</v>
      </c>
      <c r="G7" s="34">
        <v>78849.11</v>
      </c>
    </row>
    <row r="8" spans="2:8">
      <c r="B8" s="1" t="s">
        <v>12</v>
      </c>
      <c r="C8" s="34">
        <v>506782.55544298847</v>
      </c>
      <c r="D8" s="34">
        <v>74007.230109362252</v>
      </c>
      <c r="E8" s="34">
        <v>15867.148647983919</v>
      </c>
      <c r="F8" s="34">
        <v>112041.5254234529</v>
      </c>
      <c r="G8" s="34">
        <v>708698.45962378755</v>
      </c>
    </row>
    <row r="9" spans="2:8">
      <c r="B9" s="1" t="s">
        <v>713</v>
      </c>
      <c r="C9" s="34">
        <v>25608.641736110396</v>
      </c>
      <c r="D9" s="34">
        <v>2125.9</v>
      </c>
      <c r="E9" s="34"/>
      <c r="F9" s="34">
        <v>5237.6000000000004</v>
      </c>
      <c r="G9" s="34">
        <v>32972.141736110396</v>
      </c>
    </row>
    <row r="10" spans="2:8">
      <c r="B10" s="1" t="s">
        <v>8</v>
      </c>
      <c r="C10" s="34">
        <v>624290.46049704764</v>
      </c>
      <c r="D10" s="34">
        <v>101478.75384784398</v>
      </c>
      <c r="E10" s="34">
        <v>20129.848340999291</v>
      </c>
      <c r="F10" s="34">
        <v>139239.31018672229</v>
      </c>
      <c r="G10" s="34">
        <v>885138.37287261325</v>
      </c>
    </row>
    <row r="11" spans="2:8">
      <c r="B11" s="7"/>
      <c r="C11" s="49"/>
      <c r="D11" s="49"/>
      <c r="E11" s="49"/>
      <c r="F11" s="49"/>
      <c r="G11" s="49"/>
    </row>
    <row r="12" spans="2:8">
      <c r="B12" s="7"/>
      <c r="C12" s="49"/>
      <c r="D12" s="49"/>
      <c r="E12" s="49"/>
      <c r="F12" s="49"/>
      <c r="G12" s="49"/>
    </row>
    <row r="13" spans="2:8" ht="21">
      <c r="B13" s="88" t="s">
        <v>13</v>
      </c>
      <c r="C13" s="88"/>
      <c r="D13" s="88"/>
      <c r="E13" s="88"/>
      <c r="F13" s="88"/>
      <c r="G13" s="88"/>
      <c r="H13" s="89"/>
    </row>
    <row r="14" spans="2:8" ht="29">
      <c r="B14" s="29" t="s">
        <v>14</v>
      </c>
      <c r="C14" s="74" t="s">
        <v>4</v>
      </c>
      <c r="D14" s="74" t="s">
        <v>5</v>
      </c>
      <c r="E14" s="74" t="s">
        <v>6</v>
      </c>
      <c r="F14" s="74" t="s">
        <v>7</v>
      </c>
      <c r="G14" s="74" t="s">
        <v>8</v>
      </c>
      <c r="H14" s="75" t="s">
        <v>15</v>
      </c>
    </row>
    <row r="15" spans="2:8">
      <c r="B15" s="30" t="s">
        <v>9</v>
      </c>
      <c r="C15" s="76">
        <f>GETPIVOTDATA("USD AMOUNT",$B$3,"Region","EU/UK","Ageing Tier","0-30 days")</f>
        <v>21538.626516694385</v>
      </c>
      <c r="D15" s="76">
        <f>GETPIVOTDATA("USD AMOUNT",$B$3,"Region","EU/UK","Ageing Tier","31-60 days")</f>
        <v>4123.2855725513355</v>
      </c>
      <c r="E15" s="76">
        <f>GETPIVOTDATA("USD AMOUNT",$B$3,"Region","EU/UK","Ageing Tier","61-90 days")</f>
        <v>89.8</v>
      </c>
      <c r="F15" s="76">
        <f>GETPIVOTDATA("USD AMOUNT",$B$3,"Region","EU/UK","Ageing Tier","Over 90+ days")</f>
        <v>77.5</v>
      </c>
      <c r="G15" s="76">
        <f>SUM(C15:F15)</f>
        <v>25829.212089245721</v>
      </c>
      <c r="H15" s="77">
        <f>G15/G20</f>
        <v>2.9180987832919308E-2</v>
      </c>
    </row>
    <row r="16" spans="2:8">
      <c r="B16" s="30" t="s">
        <v>10</v>
      </c>
      <c r="C16" s="76">
        <f>GETPIVOTDATA("USD AMOUNT",$B$3,"Region","USA","Ageing Tier","0-30 days")</f>
        <v>10788.306801254374</v>
      </c>
      <c r="D16" s="76">
        <f>GETPIVOTDATA("USD AMOUNT",$B$3,"Region","USA","Ageing Tier","31-60 days")</f>
        <v>9503.0481659304023</v>
      </c>
      <c r="E16" s="76">
        <f>GETPIVOTDATA("USD AMOUNT",$B$3,"Region","USA","Ageing Tier","61-90 days")</f>
        <v>1672.8996930153739</v>
      </c>
      <c r="F16" s="76">
        <f>GETPIVOTDATA("USD AMOUNT",$B$3,"Region","USA","Ageing Tier","Over 90+ days")</f>
        <v>16825.194763269388</v>
      </c>
      <c r="G16" s="76">
        <f t="shared" ref="G16:G17" si="0">SUM(C16:F16)</f>
        <v>38789.449423469538</v>
      </c>
      <c r="H16" s="77">
        <f>G16/G20</f>
        <v>4.3823034468139607E-2</v>
      </c>
    </row>
    <row r="17" spans="2:8">
      <c r="B17" s="30" t="s">
        <v>11</v>
      </c>
      <c r="C17" s="76">
        <f>GETPIVOTDATA("USD AMOUNT",$B$3,"Region","ME","Ageing Tier","0-30 days")</f>
        <v>59572.33</v>
      </c>
      <c r="D17" s="76">
        <f>GETPIVOTDATA("USD AMOUNT",$B$3,"Region","ME","Ageing Tier","31-60 days")</f>
        <v>11719.29</v>
      </c>
      <c r="E17" s="76">
        <f>GETPIVOTDATA("USD AMOUNT",$B$3,"Region","ME","Ageing Tier","61-90 days")</f>
        <v>2500</v>
      </c>
      <c r="F17" s="76">
        <f>GETPIVOTDATA("USD AMOUNT",$B$3,"Region","ME","Ageing Tier","Over 90+ days")</f>
        <v>5057.49</v>
      </c>
      <c r="G17" s="76">
        <f t="shared" si="0"/>
        <v>78849.11</v>
      </c>
      <c r="H17" s="77">
        <f>G17/G20</f>
        <v>8.9081111401943205E-2</v>
      </c>
    </row>
    <row r="18" spans="2:8">
      <c r="B18" s="30" t="s">
        <v>12</v>
      </c>
      <c r="C18" s="76">
        <f>GETPIVOTDATA("USD AMOUNT",$B$3,"Region","APAC","Ageing Tier","0-30 days")</f>
        <v>506782.55544298847</v>
      </c>
      <c r="D18" s="76">
        <f>GETPIVOTDATA("USD AMOUNT",$B$3,"Region","APAC","Ageing Tier","31-60 days")</f>
        <v>74007.230109362252</v>
      </c>
      <c r="E18" s="76">
        <f>GETPIVOTDATA("USD AMOUNT",$B$3,"Region","APAC","Ageing Tier","61-90 days")</f>
        <v>15867.148647983919</v>
      </c>
      <c r="F18" s="76">
        <f>GETPIVOTDATA("USD AMOUNT",$B$3,"Region","APAC","Ageing Tier","Over 90+ days")</f>
        <v>112041.5254234529</v>
      </c>
      <c r="G18" s="76">
        <f>GETPIVOTDATA("USD AMOUNT",$B$3,"Region","APAC")</f>
        <v>708698.45962378755</v>
      </c>
      <c r="H18" s="77">
        <f>G18/G20</f>
        <v>0.80066403326723867</v>
      </c>
    </row>
    <row r="19" spans="2:8">
      <c r="B19" s="1" t="s">
        <v>713</v>
      </c>
      <c r="C19" s="76">
        <f>GETPIVOTDATA("USD AMOUNT",$B$3,"Region","Shared Centre","Ageing Tier","0-30 days")</f>
        <v>25608.641736110396</v>
      </c>
      <c r="D19" s="76">
        <f>GETPIVOTDATA("USD AMOUNT",$B$3,"Region","Shared Centre","Ageing Tier","31-60 days")</f>
        <v>2125.9</v>
      </c>
      <c r="E19" s="76">
        <f>GETPIVOTDATA("USD AMOUNT",$B$3,"Region","Shared Centre","Ageing Tier","61-90 days")</f>
        <v>0</v>
      </c>
      <c r="F19" s="76">
        <f>GETPIVOTDATA("USD AMOUNT",$B$3,"Region","Shared Centre","Ageing Tier","Over 90+ days")</f>
        <v>5237.6000000000004</v>
      </c>
      <c r="G19" s="76">
        <f>GETPIVOTDATA("USD AMOUNT",$B$3,"Region","Shared Centre")</f>
        <v>32972.141736110396</v>
      </c>
      <c r="H19" s="77">
        <f>G19/G20</f>
        <v>3.725083302975913E-2</v>
      </c>
    </row>
    <row r="20" spans="2:8">
      <c r="B20" s="30" t="s">
        <v>8</v>
      </c>
      <c r="C20" s="78">
        <f>SUM(C15:C19)</f>
        <v>624290.46049704764</v>
      </c>
      <c r="D20" s="78">
        <f>SUM(D15:D19)</f>
        <v>101478.75384784398</v>
      </c>
      <c r="E20" s="78">
        <f>SUM(E15:E19)</f>
        <v>20129.848340999291</v>
      </c>
      <c r="F20" s="78">
        <f>SUM(F15:F19)</f>
        <v>139239.31018672229</v>
      </c>
      <c r="G20" s="78">
        <f>SUM(G15:G19)</f>
        <v>885138.37287261325</v>
      </c>
      <c r="H20" s="77">
        <v>1</v>
      </c>
    </row>
    <row r="21" spans="2:8" ht="29">
      <c r="B21" s="31" t="s">
        <v>16</v>
      </c>
      <c r="C21" s="13">
        <f>C20/G20</f>
        <v>0.70530267315265727</v>
      </c>
      <c r="D21" s="13">
        <f>D20/G20</f>
        <v>0.11464733307008997</v>
      </c>
      <c r="E21" s="13">
        <f>E20/G20</f>
        <v>2.2742035548261475E-2</v>
      </c>
      <c r="F21" s="13">
        <f>F20/G20</f>
        <v>0.15730795822899121</v>
      </c>
      <c r="G21" s="13">
        <v>1</v>
      </c>
      <c r="H21" s="32"/>
    </row>
    <row r="22" spans="2:8">
      <c r="B22" s="50"/>
      <c r="C22" s="51"/>
      <c r="D22" s="51"/>
      <c r="E22" s="51"/>
      <c r="F22" s="51"/>
      <c r="G22" s="51"/>
      <c r="H22" s="51"/>
    </row>
    <row r="23" spans="2:8">
      <c r="B23" s="2" t="s">
        <v>17</v>
      </c>
      <c r="C23" s="2" t="s">
        <v>18</v>
      </c>
      <c r="D23" s="2" t="s">
        <v>19</v>
      </c>
      <c r="E23" t="s">
        <v>20</v>
      </c>
    </row>
    <row r="24" spans="2:8">
      <c r="B24" t="s">
        <v>21</v>
      </c>
      <c r="C24" t="s">
        <v>22</v>
      </c>
      <c r="D24" t="s">
        <v>23</v>
      </c>
      <c r="E24" s="35">
        <v>-48</v>
      </c>
      <c r="F24" s="33"/>
    </row>
    <row r="25" spans="2:8">
      <c r="B25" t="s">
        <v>29</v>
      </c>
      <c r="C25" t="s">
        <v>30</v>
      </c>
      <c r="D25" t="s">
        <v>28</v>
      </c>
      <c r="E25" s="35">
        <v>-1826.2714293601748</v>
      </c>
      <c r="F25" s="33"/>
    </row>
    <row r="26" spans="2:8">
      <c r="B26" t="s">
        <v>31</v>
      </c>
      <c r="C26" t="s">
        <v>32</v>
      </c>
      <c r="D26" t="s">
        <v>33</v>
      </c>
      <c r="E26" s="35">
        <v>-152.90999999999985</v>
      </c>
      <c r="F26" s="33"/>
    </row>
    <row r="27" spans="2:8">
      <c r="B27" t="s">
        <v>34</v>
      </c>
      <c r="C27" t="s">
        <v>35</v>
      </c>
      <c r="D27" t="s">
        <v>36</v>
      </c>
      <c r="E27" s="35">
        <v>-3310.7</v>
      </c>
    </row>
    <row r="28" spans="2:8">
      <c r="B28" t="s">
        <v>8</v>
      </c>
      <c r="E28" s="35">
        <v>-5337.8814293601745</v>
      </c>
    </row>
    <row r="32" spans="2:8">
      <c r="E32" s="35"/>
    </row>
    <row r="33" spans="2:4">
      <c r="B33" s="71" t="s">
        <v>37</v>
      </c>
      <c r="C33" s="71" t="s">
        <v>38</v>
      </c>
      <c r="D33" s="72" t="s">
        <v>39</v>
      </c>
    </row>
    <row r="34" spans="2:4">
      <c r="B34" s="54" t="s">
        <v>21</v>
      </c>
      <c r="C34" s="54" t="s">
        <v>23</v>
      </c>
      <c r="D34" s="73">
        <v>-48</v>
      </c>
    </row>
    <row r="35" spans="2:4">
      <c r="B35" s="54" t="s">
        <v>31</v>
      </c>
      <c r="C35" s="54" t="s">
        <v>32</v>
      </c>
      <c r="D35" s="73">
        <v>-152.90999999999985</v>
      </c>
    </row>
    <row r="36" spans="2:4">
      <c r="B36" s="54" t="s">
        <v>29</v>
      </c>
      <c r="C36" s="54" t="s">
        <v>30</v>
      </c>
      <c r="D36" s="73">
        <v>-1826.2714293601748</v>
      </c>
    </row>
    <row r="37" spans="2:4">
      <c r="B37" s="54" t="s">
        <v>34</v>
      </c>
      <c r="C37" s="54" t="s">
        <v>35</v>
      </c>
      <c r="D37" s="73">
        <v>-3310.7</v>
      </c>
    </row>
    <row r="38" spans="2:4" ht="15" thickBot="1">
      <c r="C38" s="39" t="s">
        <v>40</v>
      </c>
      <c r="D38" s="53">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13"/>
  <sheetViews>
    <sheetView zoomScale="80" zoomScaleNormal="80" workbookViewId="0">
      <selection activeCell="A12" sqref="A12"/>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9" width="9.08984375" bestFit="1" customWidth="1"/>
    <col min="20" max="24" width="10.81640625" bestFit="1" customWidth="1"/>
    <col min="25" max="25" width="11.26953125" bestFit="1" customWidth="1"/>
  </cols>
  <sheetData>
    <row r="3" spans="1:20">
      <c r="A3" t="s">
        <v>1</v>
      </c>
      <c r="J3" t="s">
        <v>41</v>
      </c>
    </row>
    <row r="4" spans="1:20">
      <c r="A4" t="s">
        <v>37</v>
      </c>
      <c r="B4" t="s">
        <v>14</v>
      </c>
      <c r="C4" t="s">
        <v>42</v>
      </c>
      <c r="D4" t="s">
        <v>43</v>
      </c>
      <c r="E4" t="s">
        <v>44</v>
      </c>
      <c r="F4" t="s">
        <v>45</v>
      </c>
      <c r="G4" t="s">
        <v>18</v>
      </c>
      <c r="H4" t="s">
        <v>19</v>
      </c>
      <c r="I4" t="s">
        <v>46</v>
      </c>
      <c r="J4" t="s">
        <v>47</v>
      </c>
      <c r="K4" t="s">
        <v>48</v>
      </c>
      <c r="L4" t="s">
        <v>873</v>
      </c>
      <c r="M4" t="s">
        <v>874</v>
      </c>
      <c r="N4" t="s">
        <v>997</v>
      </c>
      <c r="O4" t="s">
        <v>908</v>
      </c>
      <c r="P4" t="s">
        <v>998</v>
      </c>
      <c r="Q4" t="s">
        <v>49</v>
      </c>
      <c r="R4" t="s">
        <v>999</v>
      </c>
      <c r="S4" t="s">
        <v>50</v>
      </c>
      <c r="T4" t="s">
        <v>8</v>
      </c>
    </row>
    <row r="5" spans="1:20">
      <c r="A5" t="s">
        <v>31</v>
      </c>
      <c r="B5" t="s">
        <v>10</v>
      </c>
      <c r="C5" t="s">
        <v>58</v>
      </c>
      <c r="D5" t="s">
        <v>53</v>
      </c>
      <c r="E5" t="s">
        <v>54</v>
      </c>
      <c r="F5" t="s">
        <v>62</v>
      </c>
      <c r="G5" t="s">
        <v>35</v>
      </c>
      <c r="H5" t="s">
        <v>33</v>
      </c>
      <c r="I5">
        <v>2025</v>
      </c>
      <c r="J5" s="3"/>
      <c r="K5" s="3"/>
      <c r="L5" s="3"/>
      <c r="M5" s="3"/>
      <c r="N5" s="3">
        <v>3487.5</v>
      </c>
      <c r="O5" s="3">
        <v>2602.25</v>
      </c>
      <c r="P5" s="3">
        <v>1786.14</v>
      </c>
      <c r="Q5" s="3">
        <v>1659.6200000000001</v>
      </c>
      <c r="R5" s="3">
        <v>3495.5</v>
      </c>
      <c r="S5" s="3">
        <v>3485</v>
      </c>
      <c r="T5" s="3">
        <v>16516.010000000002</v>
      </c>
    </row>
    <row r="6" spans="1:20">
      <c r="A6" t="s">
        <v>31</v>
      </c>
      <c r="B6" t="s">
        <v>10</v>
      </c>
      <c r="C6" t="s">
        <v>58</v>
      </c>
      <c r="D6" t="s">
        <v>53</v>
      </c>
      <c r="E6" t="s">
        <v>54</v>
      </c>
      <c r="F6" t="s">
        <v>62</v>
      </c>
      <c r="G6" t="s">
        <v>35</v>
      </c>
      <c r="H6" t="s">
        <v>33</v>
      </c>
      <c r="I6">
        <v>2026</v>
      </c>
      <c r="J6" s="3"/>
      <c r="K6" s="3">
        <v>608.9699999999998</v>
      </c>
      <c r="L6" s="3"/>
      <c r="M6" s="3"/>
      <c r="N6" s="3"/>
      <c r="O6" s="3"/>
      <c r="P6" s="3"/>
      <c r="Q6" s="3"/>
      <c r="R6" s="3"/>
      <c r="S6" s="3"/>
      <c r="T6" s="3">
        <v>608.9699999999998</v>
      </c>
    </row>
    <row r="7" spans="1:20">
      <c r="A7" t="s">
        <v>70</v>
      </c>
      <c r="B7" t="s">
        <v>10</v>
      </c>
      <c r="C7" t="s">
        <v>58</v>
      </c>
      <c r="D7" t="s">
        <v>53</v>
      </c>
      <c r="E7" t="s">
        <v>54</v>
      </c>
      <c r="F7" t="s">
        <v>55</v>
      </c>
      <c r="G7" t="s">
        <v>56</v>
      </c>
      <c r="H7" t="s">
        <v>71</v>
      </c>
      <c r="I7">
        <v>2026</v>
      </c>
      <c r="J7" s="3"/>
      <c r="K7" s="3"/>
      <c r="L7" s="3"/>
      <c r="M7" s="3">
        <v>312</v>
      </c>
      <c r="N7" s="3"/>
      <c r="O7" s="3"/>
      <c r="P7" s="3"/>
      <c r="Q7" s="3"/>
      <c r="R7" s="3"/>
      <c r="S7" s="3"/>
      <c r="T7" s="3">
        <v>312</v>
      </c>
    </row>
    <row r="8" spans="1:20">
      <c r="A8" t="s">
        <v>76</v>
      </c>
      <c r="B8" t="s">
        <v>10</v>
      </c>
      <c r="C8" t="s">
        <v>58</v>
      </c>
      <c r="D8" t="s">
        <v>53</v>
      </c>
      <c r="E8" t="s">
        <v>54</v>
      </c>
      <c r="F8" t="s">
        <v>55</v>
      </c>
      <c r="G8" t="s">
        <v>56</v>
      </c>
      <c r="H8" t="s">
        <v>69</v>
      </c>
      <c r="I8">
        <v>2026</v>
      </c>
      <c r="J8" s="3">
        <v>265.36476326938953</v>
      </c>
      <c r="K8" s="3">
        <v>1020.4296930153743</v>
      </c>
      <c r="L8" s="3">
        <v>5219.948165930402</v>
      </c>
      <c r="M8" s="3">
        <v>39.566801254373807</v>
      </c>
      <c r="N8" s="3"/>
      <c r="O8" s="3"/>
      <c r="P8" s="3"/>
      <c r="Q8" s="3"/>
      <c r="R8" s="3"/>
      <c r="S8" s="3"/>
      <c r="T8" s="3">
        <v>6545.30942346954</v>
      </c>
    </row>
    <row r="9" spans="1:20">
      <c r="A9" t="s">
        <v>77</v>
      </c>
      <c r="B9" t="s">
        <v>10</v>
      </c>
      <c r="C9" t="s">
        <v>58</v>
      </c>
      <c r="D9" t="s">
        <v>53</v>
      </c>
      <c r="E9" t="s">
        <v>54</v>
      </c>
      <c r="F9" t="s">
        <v>55</v>
      </c>
      <c r="G9" t="s">
        <v>56</v>
      </c>
      <c r="H9" t="s">
        <v>69</v>
      </c>
      <c r="I9">
        <v>2026</v>
      </c>
      <c r="J9" s="3">
        <v>36.32</v>
      </c>
      <c r="K9" s="3">
        <v>43.5</v>
      </c>
      <c r="L9" s="3">
        <v>7.5</v>
      </c>
      <c r="M9" s="3"/>
      <c r="N9" s="3"/>
      <c r="O9" s="3"/>
      <c r="P9" s="3"/>
      <c r="Q9" s="3"/>
      <c r="R9" s="3"/>
      <c r="S9" s="3"/>
      <c r="T9" s="3">
        <v>87.32</v>
      </c>
    </row>
    <row r="10" spans="1:20">
      <c r="A10" t="s">
        <v>87</v>
      </c>
      <c r="B10" t="s">
        <v>10</v>
      </c>
      <c r="C10" t="s">
        <v>58</v>
      </c>
      <c r="D10" t="s">
        <v>53</v>
      </c>
      <c r="E10" t="s">
        <v>54</v>
      </c>
      <c r="F10" t="s">
        <v>55</v>
      </c>
      <c r="G10" t="s">
        <v>56</v>
      </c>
      <c r="H10" t="s">
        <v>71</v>
      </c>
      <c r="I10">
        <v>2026</v>
      </c>
      <c r="J10" s="3"/>
      <c r="K10" s="3"/>
      <c r="L10" s="3"/>
      <c r="M10" s="3">
        <v>1412.24</v>
      </c>
      <c r="N10" s="3"/>
      <c r="O10" s="3"/>
      <c r="P10" s="3"/>
      <c r="Q10" s="3"/>
      <c r="R10" s="3"/>
      <c r="S10" s="3"/>
      <c r="T10" s="3">
        <v>1412.24</v>
      </c>
    </row>
    <row r="11" spans="1:20">
      <c r="A11" t="s">
        <v>681</v>
      </c>
      <c r="B11" t="s">
        <v>10</v>
      </c>
      <c r="C11" t="s">
        <v>52</v>
      </c>
      <c r="D11" t="s">
        <v>53</v>
      </c>
      <c r="E11" t="s">
        <v>54</v>
      </c>
      <c r="F11" t="s">
        <v>55</v>
      </c>
      <c r="G11" t="s">
        <v>32</v>
      </c>
      <c r="H11" t="s">
        <v>33</v>
      </c>
      <c r="I11">
        <v>2026</v>
      </c>
      <c r="J11" s="3"/>
      <c r="K11" s="3"/>
      <c r="L11" s="3"/>
      <c r="M11" s="3">
        <v>500</v>
      </c>
      <c r="N11" s="3"/>
      <c r="O11" s="3"/>
      <c r="P11" s="3"/>
      <c r="Q11" s="3"/>
      <c r="R11" s="3"/>
      <c r="S11" s="3"/>
      <c r="T11" s="3">
        <v>500</v>
      </c>
    </row>
    <row r="12" spans="1:20">
      <c r="A12" t="s">
        <v>760</v>
      </c>
      <c r="B12" t="s">
        <v>10</v>
      </c>
      <c r="C12" t="s">
        <v>58</v>
      </c>
      <c r="D12" t="s">
        <v>53</v>
      </c>
      <c r="E12" t="s">
        <v>54</v>
      </c>
      <c r="F12" t="s">
        <v>55</v>
      </c>
      <c r="G12" t="s">
        <v>995</v>
      </c>
      <c r="H12" t="s">
        <v>36</v>
      </c>
      <c r="I12">
        <v>2026</v>
      </c>
      <c r="J12" s="3"/>
      <c r="K12" s="3"/>
      <c r="L12" s="3">
        <v>250</v>
      </c>
      <c r="M12" s="3">
        <v>130</v>
      </c>
      <c r="N12" s="3"/>
      <c r="O12" s="3"/>
      <c r="P12" s="3"/>
      <c r="Q12" s="3"/>
      <c r="R12" s="3"/>
      <c r="S12" s="3"/>
      <c r="T12" s="3">
        <v>380</v>
      </c>
    </row>
    <row r="13" spans="1:20">
      <c r="A13" t="s">
        <v>8</v>
      </c>
      <c r="J13" s="3">
        <v>301.68476326938952</v>
      </c>
      <c r="K13" s="3">
        <v>1672.8996930153739</v>
      </c>
      <c r="L13" s="3">
        <v>5477.448165930402</v>
      </c>
      <c r="M13" s="3">
        <v>2393.8068012543736</v>
      </c>
      <c r="N13" s="3">
        <v>3487.5</v>
      </c>
      <c r="O13" s="3">
        <v>2602.25</v>
      </c>
      <c r="P13" s="3">
        <v>1786.14</v>
      </c>
      <c r="Q13" s="3">
        <v>1659.6200000000001</v>
      </c>
      <c r="R13" s="3">
        <v>3495.5</v>
      </c>
      <c r="S13" s="3">
        <v>3485</v>
      </c>
      <c r="T13" s="3">
        <v>26361.849423469543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89</v>
      </c>
    </row>
    <row r="2" spans="1:6">
      <c r="A2" s="2" t="s">
        <v>18</v>
      </c>
      <c r="B2" t="s">
        <v>90</v>
      </c>
    </row>
    <row r="4" spans="1:6">
      <c r="A4" s="2" t="s">
        <v>1</v>
      </c>
      <c r="B4" s="2" t="s">
        <v>2</v>
      </c>
    </row>
    <row r="5" spans="1:6">
      <c r="A5" s="2" t="s">
        <v>3</v>
      </c>
      <c r="B5" t="s">
        <v>4</v>
      </c>
      <c r="C5" t="s">
        <v>5</v>
      </c>
      <c r="D5" t="s">
        <v>6</v>
      </c>
      <c r="E5" t="s">
        <v>7</v>
      </c>
      <c r="F5" t="s">
        <v>8</v>
      </c>
    </row>
    <row r="6" spans="1:6">
      <c r="A6" s="14" t="s">
        <v>91</v>
      </c>
      <c r="B6" s="3">
        <v>8074.9534426516293</v>
      </c>
      <c r="C6" s="3"/>
      <c r="D6" s="3">
        <v>4652.5833449858073</v>
      </c>
      <c r="E6" s="3"/>
      <c r="F6" s="3">
        <v>12727.536787637437</v>
      </c>
    </row>
    <row r="7" spans="1:6">
      <c r="A7" s="14" t="s">
        <v>92</v>
      </c>
      <c r="B7" s="3">
        <v>3452.8544567679137</v>
      </c>
      <c r="C7" s="3"/>
      <c r="D7" s="3"/>
      <c r="E7" s="3"/>
      <c r="F7" s="3">
        <v>3452.8544567679137</v>
      </c>
    </row>
    <row r="8" spans="1:6">
      <c r="A8" s="14" t="s">
        <v>93</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B164"/>
  <sheetViews>
    <sheetView tabSelected="1" zoomScale="81" zoomScaleNormal="81" workbookViewId="0">
      <pane xSplit="2" ySplit="1" topLeftCell="I70" activePane="bottomRight" state="frozen"/>
      <selection pane="topRight" activeCell="C1" sqref="C1"/>
      <selection pane="bottomLeft" activeCell="A2" sqref="A2"/>
      <selection pane="bottomRight" activeCell="L165" sqref="L165"/>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57" t="s">
        <v>42</v>
      </c>
      <c r="B1" s="57" t="s">
        <v>17</v>
      </c>
      <c r="C1" s="57" t="s">
        <v>14</v>
      </c>
      <c r="D1" s="57" t="s">
        <v>18</v>
      </c>
      <c r="E1" s="57" t="s">
        <v>19</v>
      </c>
      <c r="F1" s="57" t="s">
        <v>44</v>
      </c>
      <c r="G1" s="57" t="s">
        <v>46</v>
      </c>
      <c r="H1" s="57" t="s">
        <v>43</v>
      </c>
      <c r="I1" s="57" t="s">
        <v>94</v>
      </c>
      <c r="J1" s="65" t="s">
        <v>95</v>
      </c>
      <c r="K1" s="65" t="s">
        <v>96</v>
      </c>
      <c r="L1" s="58" t="s">
        <v>97</v>
      </c>
      <c r="M1" s="59" t="s">
        <v>41</v>
      </c>
      <c r="N1" s="57" t="s">
        <v>98</v>
      </c>
      <c r="O1" s="57" t="s">
        <v>99</v>
      </c>
      <c r="P1" s="57" t="s">
        <v>100</v>
      </c>
      <c r="Q1" s="58" t="s">
        <v>101</v>
      </c>
      <c r="R1" s="58" t="s">
        <v>102</v>
      </c>
      <c r="S1" s="57" t="s">
        <v>103</v>
      </c>
      <c r="T1" s="58" t="s">
        <v>104</v>
      </c>
      <c r="U1" s="58" t="s">
        <v>105</v>
      </c>
      <c r="V1" s="58" t="s">
        <v>106</v>
      </c>
      <c r="W1" s="58" t="s">
        <v>45</v>
      </c>
      <c r="X1" s="58" t="s">
        <v>107</v>
      </c>
      <c r="Y1" s="60">
        <f ca="1">TODAY()</f>
        <v>46198</v>
      </c>
      <c r="Z1" s="55"/>
      <c r="AA1" s="55"/>
      <c r="AB1" s="54"/>
    </row>
    <row r="2" spans="1:28" hidden="1">
      <c r="A2" s="55" t="s">
        <v>58</v>
      </c>
      <c r="B2" s="55" t="s">
        <v>108</v>
      </c>
      <c r="C2" s="55" t="str">
        <f>VLOOKUP(B2,Validation!A:B,2,0)</f>
        <v>APAC</v>
      </c>
      <c r="D2" s="55" t="str">
        <f>VLOOKUP(B2,Validation!A:D,4,0)</f>
        <v>NA</v>
      </c>
      <c r="E2" s="55" t="str">
        <f>VLOOKUP(B2,Validation!A:E,5,0)</f>
        <v>Vinoth M</v>
      </c>
      <c r="F2" s="55" t="s">
        <v>54</v>
      </c>
      <c r="G2" s="55">
        <f t="shared" ref="G2:G29" si="0">YEAR(L2)</f>
        <v>2024</v>
      </c>
      <c r="H2" s="55" t="s">
        <v>53</v>
      </c>
      <c r="I2" s="55" t="s">
        <v>109</v>
      </c>
      <c r="J2" s="66">
        <f>VLOOKUP(I2,'XE rates'!A:D,4,0)*K2</f>
        <v>5500</v>
      </c>
      <c r="K2" s="52">
        <v>5500</v>
      </c>
      <c r="L2" s="60">
        <v>45597</v>
      </c>
      <c r="M2" s="61" t="str">
        <f t="shared" ref="M2:M5" si="1">TEXT(L2,"mmm")</f>
        <v>Nov</v>
      </c>
      <c r="N2" s="55">
        <f t="shared" ref="N2:N5" ca="1" si="2">$Y$1-R2</f>
        <v>561</v>
      </c>
      <c r="O2" s="55" t="str">
        <f t="shared" ref="O2:O5" ca="1" si="3">IF(N2&lt;=30, "0-30 days", IF(N2&lt;=60, "31-60 days", IF(N2&lt;=90, "61-90 days", "Over 90+ days")))</f>
        <v>Over 90+ days</v>
      </c>
      <c r="P2" s="55" t="s">
        <v>110</v>
      </c>
      <c r="Q2" s="60">
        <v>45597</v>
      </c>
      <c r="R2" s="60">
        <v>45637</v>
      </c>
      <c r="S2" s="55" t="s">
        <v>111</v>
      </c>
      <c r="T2" s="55" t="s">
        <v>112</v>
      </c>
      <c r="U2" s="55" t="s">
        <v>113</v>
      </c>
      <c r="V2" s="55" t="s">
        <v>113</v>
      </c>
      <c r="W2" s="55" t="s">
        <v>114</v>
      </c>
      <c r="X2" s="55"/>
      <c r="Y2" s="55">
        <f>VLOOKUP(T2,'[1]Query result'!$J:$K,2,0)</f>
        <v>45637</v>
      </c>
      <c r="Z2" s="55">
        <f>VLOOKUP(T2,'[1]Query result'!$J:$W,14,0)</f>
        <v>0</v>
      </c>
      <c r="AA2" s="62">
        <f t="shared" ref="AA2:AA24" si="4">K2-Z2</f>
        <v>5500</v>
      </c>
      <c r="AB2" s="54" t="str">
        <f>VLOOKUP(T2,'[2]Query result'!$J:$K,2,0)</f>
        <v>Outstanding</v>
      </c>
    </row>
    <row r="3" spans="1:28" hidden="1">
      <c r="A3" s="55" t="s">
        <v>58</v>
      </c>
      <c r="B3" s="55" t="s">
        <v>108</v>
      </c>
      <c r="C3" s="55" t="str">
        <f>VLOOKUP(B3,Validation!A:B,2,0)</f>
        <v>APAC</v>
      </c>
      <c r="D3" s="55" t="str">
        <f>VLOOKUP(B3,Validation!A:D,4,0)</f>
        <v>NA</v>
      </c>
      <c r="E3" s="55" t="str">
        <f>VLOOKUP(B3,Validation!A:E,5,0)</f>
        <v>Vinoth M</v>
      </c>
      <c r="F3" s="55" t="s">
        <v>54</v>
      </c>
      <c r="G3" s="55">
        <f t="shared" si="0"/>
        <v>2025</v>
      </c>
      <c r="H3" s="55" t="s">
        <v>53</v>
      </c>
      <c r="I3" s="55" t="s">
        <v>109</v>
      </c>
      <c r="J3" s="66">
        <f>VLOOKUP(I3,'XE rates'!A:D,4,0)*K3</f>
        <v>9930</v>
      </c>
      <c r="K3" s="52">
        <v>9930</v>
      </c>
      <c r="L3" s="63">
        <v>45658</v>
      </c>
      <c r="M3" s="61" t="str">
        <f t="shared" si="1"/>
        <v>Jan</v>
      </c>
      <c r="N3" s="55">
        <f t="shared" ca="1" si="2"/>
        <v>498</v>
      </c>
      <c r="O3" s="55" t="str">
        <f t="shared" ca="1" si="3"/>
        <v>Over 90+ days</v>
      </c>
      <c r="P3" s="55" t="s">
        <v>110</v>
      </c>
      <c r="Q3" s="60">
        <v>45693</v>
      </c>
      <c r="R3" s="60">
        <v>45700</v>
      </c>
      <c r="S3" s="55" t="s">
        <v>111</v>
      </c>
      <c r="T3" s="55" t="s">
        <v>115</v>
      </c>
      <c r="U3" s="55" t="s">
        <v>113</v>
      </c>
      <c r="V3" s="55" t="s">
        <v>113</v>
      </c>
      <c r="W3" s="55" t="s">
        <v>114</v>
      </c>
      <c r="X3" s="55"/>
      <c r="Y3" s="55">
        <f>VLOOKUP(T3,'[1]Query result'!$J:$K,2,0)</f>
        <v>45700</v>
      </c>
      <c r="Z3" s="55">
        <f>VLOOKUP(T3,'[1]Query result'!$J:$W,14,0)</f>
        <v>0</v>
      </c>
      <c r="AA3" s="62">
        <f t="shared" si="4"/>
        <v>9930</v>
      </c>
      <c r="AB3" s="54" t="str">
        <f>VLOOKUP(T3,'[2]Query result'!$J:$K,2,0)</f>
        <v>Outstanding</v>
      </c>
    </row>
    <row r="4" spans="1:28" hidden="1">
      <c r="A4" s="55" t="s">
        <v>58</v>
      </c>
      <c r="B4" s="55" t="s">
        <v>108</v>
      </c>
      <c r="C4" s="55" t="str">
        <f>VLOOKUP(B4,Validation!A:B,2,0)</f>
        <v>APAC</v>
      </c>
      <c r="D4" s="55" t="str">
        <f>VLOOKUP(B4,Validation!A:D,4,0)</f>
        <v>NA</v>
      </c>
      <c r="E4" s="55" t="str">
        <f>VLOOKUP(B4,Validation!A:E,5,0)</f>
        <v>Vinoth M</v>
      </c>
      <c r="F4" s="55" t="s">
        <v>54</v>
      </c>
      <c r="G4" s="55">
        <f t="shared" si="0"/>
        <v>2025</v>
      </c>
      <c r="H4" s="55" t="s">
        <v>53</v>
      </c>
      <c r="I4" s="55" t="s">
        <v>109</v>
      </c>
      <c r="J4" s="66">
        <f>VLOOKUP(I4,'XE rates'!A:D,4,0)*K4</f>
        <v>10000</v>
      </c>
      <c r="K4" s="52">
        <v>10000</v>
      </c>
      <c r="L4" s="60">
        <v>45689</v>
      </c>
      <c r="M4" s="61" t="str">
        <f t="shared" si="1"/>
        <v>Feb</v>
      </c>
      <c r="N4" s="55">
        <f t="shared" ca="1" si="2"/>
        <v>470</v>
      </c>
      <c r="O4" s="55" t="str">
        <f t="shared" ca="1" si="3"/>
        <v>Over 90+ days</v>
      </c>
      <c r="P4" s="55" t="s">
        <v>110</v>
      </c>
      <c r="Q4" s="60">
        <v>45721</v>
      </c>
      <c r="R4" s="60">
        <v>45728</v>
      </c>
      <c r="S4" s="55" t="s">
        <v>111</v>
      </c>
      <c r="T4" s="55" t="s">
        <v>116</v>
      </c>
      <c r="U4" s="55" t="s">
        <v>113</v>
      </c>
      <c r="V4" s="55" t="s">
        <v>113</v>
      </c>
      <c r="W4" s="55" t="s">
        <v>114</v>
      </c>
      <c r="X4" s="55"/>
      <c r="Y4" s="55">
        <f>VLOOKUP(T4,'[1]Query result'!$J:$K,2,0)</f>
        <v>45728</v>
      </c>
      <c r="Z4" s="55">
        <f>VLOOKUP(T4,'[1]Query result'!$J:$W,14,0)</f>
        <v>0</v>
      </c>
      <c r="AA4" s="62">
        <f t="shared" si="4"/>
        <v>10000</v>
      </c>
      <c r="AB4" s="54" t="str">
        <f>VLOOKUP(T4,'[2]Query result'!$J:$K,2,0)</f>
        <v>Outstanding</v>
      </c>
    </row>
    <row r="5" spans="1:28" hidden="1">
      <c r="A5" s="55" t="s">
        <v>58</v>
      </c>
      <c r="B5" s="55" t="s">
        <v>108</v>
      </c>
      <c r="C5" s="55" t="str">
        <f>VLOOKUP(B5,Validation!A:B,2,0)</f>
        <v>APAC</v>
      </c>
      <c r="D5" s="55" t="str">
        <f>VLOOKUP(B5,Validation!A:D,4,0)</f>
        <v>NA</v>
      </c>
      <c r="E5" s="55" t="str">
        <f>VLOOKUP(B5,Validation!A:E,5,0)</f>
        <v>Vinoth M</v>
      </c>
      <c r="F5" s="55" t="s">
        <v>54</v>
      </c>
      <c r="G5" s="55">
        <f t="shared" si="0"/>
        <v>2025</v>
      </c>
      <c r="H5" s="55" t="s">
        <v>53</v>
      </c>
      <c r="I5" s="55" t="s">
        <v>109</v>
      </c>
      <c r="J5" s="66">
        <f>VLOOKUP(I5,'XE rates'!A:D,4,0)*K5</f>
        <v>10000</v>
      </c>
      <c r="K5" s="52">
        <v>10000</v>
      </c>
      <c r="L5" s="60">
        <v>45717</v>
      </c>
      <c r="M5" s="61" t="str">
        <f t="shared" si="1"/>
        <v>Mar</v>
      </c>
      <c r="N5" s="55">
        <f t="shared" ca="1" si="2"/>
        <v>442</v>
      </c>
      <c r="O5" s="55" t="str">
        <f t="shared" ca="1" si="3"/>
        <v>Over 90+ days</v>
      </c>
      <c r="P5" s="55" t="s">
        <v>110</v>
      </c>
      <c r="Q5" s="60">
        <v>45749</v>
      </c>
      <c r="R5" s="60">
        <v>45756</v>
      </c>
      <c r="S5" s="55" t="s">
        <v>111</v>
      </c>
      <c r="T5" s="55" t="s">
        <v>117</v>
      </c>
      <c r="U5" s="55" t="s">
        <v>113</v>
      </c>
      <c r="V5" s="55" t="s">
        <v>113</v>
      </c>
      <c r="W5" s="55" t="s">
        <v>114</v>
      </c>
      <c r="X5" s="55"/>
      <c r="Y5" s="55">
        <f>VLOOKUP(T5,'[1]Query result'!$J:$K,2,0)</f>
        <v>45756</v>
      </c>
      <c r="Z5" s="55">
        <f>VLOOKUP(T5,'[1]Query result'!$J:$W,14,0)</f>
        <v>0</v>
      </c>
      <c r="AA5" s="62">
        <f t="shared" si="4"/>
        <v>10000</v>
      </c>
      <c r="AB5" s="54" t="str">
        <f>VLOOKUP(T5,'[2]Query result'!$J:$K,2,0)</f>
        <v>Outstanding</v>
      </c>
    </row>
    <row r="6" spans="1:28" hidden="1">
      <c r="A6" s="55" t="s">
        <v>58</v>
      </c>
      <c r="B6" s="55" t="s">
        <v>108</v>
      </c>
      <c r="C6" s="55" t="str">
        <f>VLOOKUP(B6,Validation!A:B,2,0)</f>
        <v>APAC</v>
      </c>
      <c r="D6" s="55" t="str">
        <f>VLOOKUP(B6,Validation!A:D,4,0)</f>
        <v>NA</v>
      </c>
      <c r="E6" s="55" t="str">
        <f>VLOOKUP(B6,Validation!A:E,5,0)</f>
        <v>Vinoth M</v>
      </c>
      <c r="F6" s="55" t="s">
        <v>54</v>
      </c>
      <c r="G6" s="55">
        <f t="shared" si="0"/>
        <v>2025</v>
      </c>
      <c r="H6" s="55" t="s">
        <v>53</v>
      </c>
      <c r="I6" s="55" t="s">
        <v>109</v>
      </c>
      <c r="J6" s="66">
        <f>VLOOKUP(I6,'XE rates'!A:D,4,0)*K6</f>
        <v>10000</v>
      </c>
      <c r="K6" s="52">
        <v>10000</v>
      </c>
      <c r="L6" s="60">
        <v>45748</v>
      </c>
      <c r="M6" s="61" t="str">
        <f t="shared" ref="M6" si="5">TEXT(L6,"mmm")</f>
        <v>Apr</v>
      </c>
      <c r="N6" s="55">
        <f t="shared" ref="N6:N7" ca="1" si="6">$Y$1-R6</f>
        <v>409</v>
      </c>
      <c r="O6" s="55" t="str">
        <f t="shared" ref="O6:O7" ca="1" si="7">IF(N6&lt;=30, "0-30 days", IF(N6&lt;=60, "31-60 days", IF(N6&lt;=90, "61-90 days", "Over 90+ days")))</f>
        <v>Over 90+ days</v>
      </c>
      <c r="P6" s="55" t="s">
        <v>110</v>
      </c>
      <c r="Q6" s="60">
        <v>45782</v>
      </c>
      <c r="R6" s="60">
        <v>45789</v>
      </c>
      <c r="S6" s="55" t="s">
        <v>111</v>
      </c>
      <c r="T6" s="55" t="s">
        <v>118</v>
      </c>
      <c r="U6" s="55" t="s">
        <v>113</v>
      </c>
      <c r="V6" s="55" t="s">
        <v>113</v>
      </c>
      <c r="W6" s="55" t="s">
        <v>114</v>
      </c>
      <c r="X6" s="55"/>
      <c r="Y6" s="55">
        <f>VLOOKUP(T6,'[1]Query result'!$J:$K,2,0)</f>
        <v>45789</v>
      </c>
      <c r="Z6" s="55">
        <f>VLOOKUP(T6,'[1]Query result'!$J:$W,14,0)</f>
        <v>0</v>
      </c>
      <c r="AA6" s="62">
        <f t="shared" si="4"/>
        <v>10000</v>
      </c>
      <c r="AB6" s="54" t="str">
        <f>VLOOKUP(T6,'[2]Query result'!$J:$K,2,0)</f>
        <v>Outstanding</v>
      </c>
    </row>
    <row r="7" spans="1:28" hidden="1">
      <c r="A7" s="55" t="s">
        <v>58</v>
      </c>
      <c r="B7" s="55" t="s">
        <v>108</v>
      </c>
      <c r="C7" s="55" t="str">
        <f>VLOOKUP(B7,Validation!A:B,2,0)</f>
        <v>APAC</v>
      </c>
      <c r="D7" s="55" t="str">
        <f>VLOOKUP(B7,Validation!A:D,4,0)</f>
        <v>NA</v>
      </c>
      <c r="E7" s="55" t="str">
        <f>VLOOKUP(B7,Validation!A:E,5,0)</f>
        <v>Vinoth M</v>
      </c>
      <c r="F7" s="55" t="s">
        <v>54</v>
      </c>
      <c r="G7" s="55">
        <f t="shared" si="0"/>
        <v>2025</v>
      </c>
      <c r="H7" s="55" t="s">
        <v>53</v>
      </c>
      <c r="I7" s="55" t="s">
        <v>109</v>
      </c>
      <c r="J7" s="66">
        <f>VLOOKUP(I7,'XE rates'!A:D,4,0)*K7</f>
        <v>10000</v>
      </c>
      <c r="K7" s="52">
        <v>10000</v>
      </c>
      <c r="L7" s="60">
        <v>45778</v>
      </c>
      <c r="M7" s="61" t="str">
        <f t="shared" ref="M7" si="8">TEXT(L7,"mmm")</f>
        <v>May</v>
      </c>
      <c r="N7" s="55">
        <f t="shared" ca="1" si="6"/>
        <v>379</v>
      </c>
      <c r="O7" s="55" t="str">
        <f t="shared" ca="1" si="7"/>
        <v>Over 90+ days</v>
      </c>
      <c r="P7" s="55" t="s">
        <v>110</v>
      </c>
      <c r="Q7" s="60">
        <v>45812</v>
      </c>
      <c r="R7" s="60">
        <v>45819</v>
      </c>
      <c r="S7" s="55" t="s">
        <v>111</v>
      </c>
      <c r="T7" s="55" t="s">
        <v>119</v>
      </c>
      <c r="U7" s="55" t="s">
        <v>113</v>
      </c>
      <c r="V7" s="55" t="s">
        <v>113</v>
      </c>
      <c r="W7" s="55" t="s">
        <v>114</v>
      </c>
      <c r="X7" s="55"/>
      <c r="Y7" s="55">
        <f>VLOOKUP(T7,'[1]Query result'!$J:$K,2,0)</f>
        <v>45819</v>
      </c>
      <c r="Z7" s="55">
        <f>VLOOKUP(T7,'[1]Query result'!$J:$W,14,0)</f>
        <v>0</v>
      </c>
      <c r="AA7" s="62">
        <f t="shared" si="4"/>
        <v>10000</v>
      </c>
      <c r="AB7" s="54" t="str">
        <f>VLOOKUP(T7,'[2]Query result'!$J:$K,2,0)</f>
        <v>Outstanding</v>
      </c>
    </row>
    <row r="8" spans="1:28" hidden="1">
      <c r="A8" s="55" t="s">
        <v>58</v>
      </c>
      <c r="B8" s="55" t="s">
        <v>31</v>
      </c>
      <c r="C8" s="55" t="str">
        <f>VLOOKUP(B8,Validation!A:B,2,0)</f>
        <v>USA</v>
      </c>
      <c r="D8" s="55" t="str">
        <f>VLOOKUP(B8,Validation!A:D,4,0)</f>
        <v>Lia Susin</v>
      </c>
      <c r="E8" s="55" t="str">
        <f>VLOOKUP(B8,Validation!A:E,5,0)</f>
        <v>Christina Hutchinson</v>
      </c>
      <c r="F8" s="55" t="s">
        <v>54</v>
      </c>
      <c r="G8" s="55">
        <f t="shared" si="0"/>
        <v>2025</v>
      </c>
      <c r="H8" s="55" t="s">
        <v>53</v>
      </c>
      <c r="I8" s="55" t="s">
        <v>109</v>
      </c>
      <c r="J8" s="66">
        <f>VLOOKUP(I8,'XE rates'!A:D,4,0)*K8</f>
        <v>3495.5</v>
      </c>
      <c r="K8" s="52">
        <v>3495.5</v>
      </c>
      <c r="L8" s="60">
        <v>45839</v>
      </c>
      <c r="M8" s="61" t="str">
        <f t="shared" ref="M8:M9" si="9">TEXT(L8,"mmm")</f>
        <v>Jul</v>
      </c>
      <c r="N8" s="55">
        <f t="shared" ref="N8:N9" ca="1" si="10">$Y$1-R8</f>
        <v>317</v>
      </c>
      <c r="O8" s="55" t="str">
        <f t="shared" ref="O8:O9" ca="1" si="11">IF(N8&lt;=30, "0-30 days", IF(N8&lt;=60, "31-60 days", IF(N8&lt;=90, "61-90 days", "Over 90+ days")))</f>
        <v>Over 90+ days</v>
      </c>
      <c r="P8" s="55" t="s">
        <v>110</v>
      </c>
      <c r="Q8" s="60">
        <v>45874</v>
      </c>
      <c r="R8" s="60">
        <v>45881</v>
      </c>
      <c r="S8" s="55" t="s">
        <v>111</v>
      </c>
      <c r="T8" s="55" t="s">
        <v>120</v>
      </c>
      <c r="U8" s="55" t="s">
        <v>113</v>
      </c>
      <c r="V8" s="55" t="s">
        <v>121</v>
      </c>
      <c r="W8" s="55" t="s">
        <v>62</v>
      </c>
      <c r="X8" s="55"/>
      <c r="Y8" s="55">
        <f>VLOOKUP(T8,'[1]Query result'!$J:$K,2,0)</f>
        <v>45881</v>
      </c>
      <c r="Z8" s="55">
        <f>VLOOKUP(T8,'[1]Query result'!$J:$W,14,0)</f>
        <v>0</v>
      </c>
      <c r="AA8" s="62">
        <f t="shared" si="4"/>
        <v>3495.5</v>
      </c>
      <c r="AB8" s="54" t="str">
        <f>VLOOKUP(T8,'[2]Query result'!$J:$K,2,0)</f>
        <v>Outstanding</v>
      </c>
    </row>
    <row r="9" spans="1:28" hidden="1">
      <c r="A9" s="55" t="s">
        <v>58</v>
      </c>
      <c r="B9" s="55" t="s">
        <v>122</v>
      </c>
      <c r="C9" s="55" t="str">
        <f>VLOOKUP(B9,Validation!A:B,2,0)</f>
        <v>APAC</v>
      </c>
      <c r="D9" s="55" t="str">
        <f>VLOOKUP(B9,Validation!A:D,4,0)</f>
        <v>Hao Nguyen</v>
      </c>
      <c r="E9" s="55" t="str">
        <f>VLOOKUP(B9,Validation!A:E,5,0)</f>
        <v>NA</v>
      </c>
      <c r="F9" s="55" t="s">
        <v>54</v>
      </c>
      <c r="G9" s="55">
        <f t="shared" si="0"/>
        <v>2025</v>
      </c>
      <c r="H9" s="55" t="s">
        <v>53</v>
      </c>
      <c r="I9" s="55" t="s">
        <v>123</v>
      </c>
      <c r="J9" s="66">
        <f>VLOOKUP(I9,'XE rates'!A:D,4,0)*K9</f>
        <v>1411.8645650595627</v>
      </c>
      <c r="K9" s="52">
        <f>6943.705-4972.13</f>
        <v>1971.5749999999998</v>
      </c>
      <c r="L9" s="60">
        <v>45839</v>
      </c>
      <c r="M9" s="61" t="str">
        <f t="shared" si="9"/>
        <v>Jul</v>
      </c>
      <c r="N9" s="55">
        <f t="shared" ca="1" si="10"/>
        <v>317</v>
      </c>
      <c r="O9" s="55" t="str">
        <f t="shared" ca="1" si="11"/>
        <v>Over 90+ days</v>
      </c>
      <c r="P9" s="55" t="s">
        <v>110</v>
      </c>
      <c r="Q9" s="60">
        <v>45874</v>
      </c>
      <c r="R9" s="60">
        <v>45881</v>
      </c>
      <c r="S9" s="55" t="s">
        <v>124</v>
      </c>
      <c r="T9" s="55" t="s">
        <v>125</v>
      </c>
      <c r="U9" s="55" t="s">
        <v>113</v>
      </c>
      <c r="V9" s="55" t="s">
        <v>113</v>
      </c>
      <c r="W9" s="55" t="s">
        <v>126</v>
      </c>
      <c r="X9" s="55"/>
      <c r="Y9" s="55">
        <f>VLOOKUP(T9,'[1]Query result'!$J:$K,2,0)</f>
        <v>45881</v>
      </c>
      <c r="Z9" s="55">
        <f>VLOOKUP(T9,'[1]Query result'!$J:$W,14,0)</f>
        <v>0</v>
      </c>
      <c r="AA9" s="62">
        <f t="shared" si="4"/>
        <v>1971.5749999999998</v>
      </c>
      <c r="AB9" s="54" t="str">
        <f>VLOOKUP(T9,'[2]Query result'!$J:$K,2,0)</f>
        <v>Partially Paid</v>
      </c>
    </row>
    <row r="10" spans="1:28" hidden="1">
      <c r="A10" s="55" t="s">
        <v>58</v>
      </c>
      <c r="B10" s="55" t="s">
        <v>31</v>
      </c>
      <c r="C10" s="55" t="str">
        <f>VLOOKUP(B10,Validation!A:B,2,0)</f>
        <v>USA</v>
      </c>
      <c r="D10" s="55" t="str">
        <f>VLOOKUP(B10,Validation!A:D,4,0)</f>
        <v>Lia Susin</v>
      </c>
      <c r="E10" s="55" t="str">
        <f>VLOOKUP(B10,Validation!A:E,5,0)</f>
        <v>Christina Hutchinson</v>
      </c>
      <c r="F10" s="55" t="s">
        <v>54</v>
      </c>
      <c r="G10" s="55">
        <f t="shared" si="0"/>
        <v>2025</v>
      </c>
      <c r="H10" s="55" t="s">
        <v>53</v>
      </c>
      <c r="I10" s="55" t="s">
        <v>109</v>
      </c>
      <c r="J10" s="66">
        <f>VLOOKUP(I10,'XE rates'!A:D,4,0)*K10</f>
        <v>3485</v>
      </c>
      <c r="K10" s="52">
        <v>3485</v>
      </c>
      <c r="L10" s="60">
        <v>45870</v>
      </c>
      <c r="M10" s="61" t="str">
        <f t="shared" ref="M10" si="12">TEXT(L10,"mmm")</f>
        <v>Aug</v>
      </c>
      <c r="N10" s="55">
        <f t="shared" ref="N10" ca="1" si="13">$Y$1-R10</f>
        <v>289</v>
      </c>
      <c r="O10" s="55" t="str">
        <f t="shared" ref="O10" ca="1" si="14">IF(N10&lt;=30, "0-30 days", IF(N10&lt;=60, "31-60 days", IF(N10&lt;=90, "61-90 days", "Over 90+ days")))</f>
        <v>Over 90+ days</v>
      </c>
      <c r="P10" s="55" t="s">
        <v>110</v>
      </c>
      <c r="Q10" s="60">
        <v>45902</v>
      </c>
      <c r="R10" s="60">
        <v>45909</v>
      </c>
      <c r="S10" s="55" t="s">
        <v>111</v>
      </c>
      <c r="T10" s="55" t="s">
        <v>127</v>
      </c>
      <c r="U10" s="55" t="s">
        <v>113</v>
      </c>
      <c r="V10" s="55" t="s">
        <v>121</v>
      </c>
      <c r="W10" s="55" t="s">
        <v>62</v>
      </c>
      <c r="X10" s="55"/>
      <c r="Y10" s="55">
        <f>VLOOKUP(T10,'[1]Query result'!$J:$K,2,0)</f>
        <v>45909</v>
      </c>
      <c r="Z10" s="55">
        <f>VLOOKUP(T10,'[1]Query result'!$J:$W,14,0)</f>
        <v>0</v>
      </c>
      <c r="AA10" s="62">
        <f t="shared" si="4"/>
        <v>3485</v>
      </c>
      <c r="AB10" s="54" t="str">
        <f>VLOOKUP(T10,'[2]Query result'!$J:$K,2,0)</f>
        <v>Outstanding</v>
      </c>
    </row>
    <row r="11" spans="1:28" hidden="1">
      <c r="A11" s="55" t="s">
        <v>58</v>
      </c>
      <c r="B11" s="55" t="s">
        <v>122</v>
      </c>
      <c r="C11" s="55" t="str">
        <f>VLOOKUP(B11,Validation!A:B,2,0)</f>
        <v>APAC</v>
      </c>
      <c r="D11" s="55" t="str">
        <f>VLOOKUP(B11,Validation!A:D,4,0)</f>
        <v>Hao Nguyen</v>
      </c>
      <c r="E11" s="55" t="str">
        <f>VLOOKUP(B11,Validation!A:E,5,0)</f>
        <v>NA</v>
      </c>
      <c r="F11" s="55" t="s">
        <v>54</v>
      </c>
      <c r="G11" s="55">
        <f t="shared" si="0"/>
        <v>2025</v>
      </c>
      <c r="H11" s="55" t="s">
        <v>53</v>
      </c>
      <c r="I11" s="55" t="s">
        <v>123</v>
      </c>
      <c r="J11" s="66">
        <f>VLOOKUP(I11,'XE rates'!A:D,4,0)*K11</f>
        <v>4920.7605781039329</v>
      </c>
      <c r="K11" s="52">
        <v>6871.5150000000003</v>
      </c>
      <c r="L11" s="60">
        <v>45870</v>
      </c>
      <c r="M11" s="61" t="str">
        <f t="shared" ref="M11" si="15">TEXT(L11,"mmm")</f>
        <v>Aug</v>
      </c>
      <c r="N11" s="55">
        <f t="shared" ref="N11" ca="1" si="16">$Y$1-R11</f>
        <v>288</v>
      </c>
      <c r="O11" s="55" t="str">
        <f t="shared" ref="O11" ca="1" si="17">IF(N11&lt;=30, "0-30 days", IF(N11&lt;=60, "31-60 days", IF(N11&lt;=90, "61-90 days", "Over 90+ days")))</f>
        <v>Over 90+ days</v>
      </c>
      <c r="P11" s="55" t="s">
        <v>110</v>
      </c>
      <c r="Q11" s="60">
        <v>45903</v>
      </c>
      <c r="R11" s="60">
        <v>45910</v>
      </c>
      <c r="S11" s="55" t="s">
        <v>111</v>
      </c>
      <c r="T11" s="55" t="s">
        <v>128</v>
      </c>
      <c r="U11" s="55" t="s">
        <v>113</v>
      </c>
      <c r="V11" s="55" t="s">
        <v>113</v>
      </c>
      <c r="W11" s="55" t="s">
        <v>126</v>
      </c>
      <c r="X11" s="55"/>
      <c r="Y11" s="55">
        <f>VLOOKUP(T11,'[1]Query result'!$J:$K,2,0)</f>
        <v>45910</v>
      </c>
      <c r="Z11" s="55">
        <f>VLOOKUP(T11,'[1]Query result'!$J:$W,14,0)</f>
        <v>0</v>
      </c>
      <c r="AA11" s="62">
        <f t="shared" si="4"/>
        <v>6871.5150000000003</v>
      </c>
      <c r="AB11" s="54" t="str">
        <f>VLOOKUP(T11,'[2]Query result'!$J:$K,2,0)</f>
        <v>Outstanding</v>
      </c>
    </row>
    <row r="12" spans="1:28" hidden="1">
      <c r="A12" s="55" t="s">
        <v>52</v>
      </c>
      <c r="B12" s="55" t="s">
        <v>65</v>
      </c>
      <c r="C12" s="55" t="str">
        <f>VLOOKUP(B12,Validation!A:B,2,0)</f>
        <v>Shared Centre</v>
      </c>
      <c r="D12" s="55" t="str">
        <f>VLOOKUP(B12,Validation!A:D,4,0)</f>
        <v>Bhavani</v>
      </c>
      <c r="E12" s="55" t="str">
        <f>VLOOKUP(B12,Validation!A:E,5,0)</f>
        <v>NA</v>
      </c>
      <c r="F12" s="55" t="s">
        <v>54</v>
      </c>
      <c r="G12" s="55">
        <f t="shared" si="0"/>
        <v>2025</v>
      </c>
      <c r="H12" s="55" t="s">
        <v>66</v>
      </c>
      <c r="I12" s="55" t="s">
        <v>109</v>
      </c>
      <c r="J12" s="66">
        <f>VLOOKUP(I12,'XE rates'!A:D,4,0)*K12</f>
        <v>1020</v>
      </c>
      <c r="K12" s="52">
        <v>1020</v>
      </c>
      <c r="L12" s="60">
        <v>45901</v>
      </c>
      <c r="M12" s="61" t="str">
        <f t="shared" ref="M12:M13" si="18">TEXT(L12,"mmm")</f>
        <v>Sep</v>
      </c>
      <c r="N12" s="55">
        <f t="shared" ref="N12:N13" ca="1" si="19">$Y$1-R12</f>
        <v>261</v>
      </c>
      <c r="O12" s="55" t="str">
        <f t="shared" ref="O12:O13" ca="1" si="20">IF(N12&lt;=30, "0-30 days", IF(N12&lt;=60, "31-60 days", IF(N12&lt;=90, "61-90 days", "Over 90+ days")))</f>
        <v>Over 90+ days</v>
      </c>
      <c r="P12" s="55" t="s">
        <v>110</v>
      </c>
      <c r="Q12" s="60">
        <v>45931</v>
      </c>
      <c r="R12" s="60">
        <v>45937</v>
      </c>
      <c r="S12" s="55" t="s">
        <v>129</v>
      </c>
      <c r="T12" s="55" t="s">
        <v>130</v>
      </c>
      <c r="U12" s="55" t="s">
        <v>113</v>
      </c>
      <c r="V12" s="55" t="s">
        <v>121</v>
      </c>
      <c r="W12" s="55" t="s">
        <v>67</v>
      </c>
      <c r="X12" s="55"/>
      <c r="Y12" s="55">
        <f>VLOOKUP(T12,'[1]Query result'!$J:$K,2,0)</f>
        <v>45937</v>
      </c>
      <c r="Z12" s="55">
        <f>VLOOKUP(T12,'[1]Query result'!$J:$W,14,0)</f>
        <v>0</v>
      </c>
      <c r="AA12" s="62">
        <f t="shared" si="4"/>
        <v>1020</v>
      </c>
      <c r="AB12" s="54" t="str">
        <f>VLOOKUP(T12,'[2]Query result'!$J:$K,2,0)</f>
        <v>Force Settlement</v>
      </c>
    </row>
    <row r="13" spans="1:28" hidden="1">
      <c r="A13" s="55" t="s">
        <v>58</v>
      </c>
      <c r="B13" s="55" t="s">
        <v>31</v>
      </c>
      <c r="C13" s="55" t="str">
        <f>VLOOKUP(B13,Validation!A:B,2,0)</f>
        <v>USA</v>
      </c>
      <c r="D13" s="55" t="str">
        <f>VLOOKUP(B13,Validation!A:D,4,0)</f>
        <v>Lia Susin</v>
      </c>
      <c r="E13" s="55" t="str">
        <f>VLOOKUP(B13,Validation!A:E,5,0)</f>
        <v>Christina Hutchinson</v>
      </c>
      <c r="F13" s="55" t="s">
        <v>54</v>
      </c>
      <c r="G13" s="55">
        <f t="shared" si="0"/>
        <v>2025</v>
      </c>
      <c r="H13" s="55" t="s">
        <v>53</v>
      </c>
      <c r="I13" s="55" t="s">
        <v>109</v>
      </c>
      <c r="J13" s="66">
        <f>VLOOKUP(I13,'XE rates'!A:D,4,0)*K13</f>
        <v>3487.5</v>
      </c>
      <c r="K13" s="52">
        <v>3487.5</v>
      </c>
      <c r="L13" s="60">
        <v>45901</v>
      </c>
      <c r="M13" s="61" t="str">
        <f t="shared" si="18"/>
        <v>Sep</v>
      </c>
      <c r="N13" s="55">
        <f t="shared" ca="1" si="19"/>
        <v>259</v>
      </c>
      <c r="O13" s="55" t="str">
        <f t="shared" ca="1" si="20"/>
        <v>Over 90+ days</v>
      </c>
      <c r="P13" s="55" t="s">
        <v>110</v>
      </c>
      <c r="Q13" s="60">
        <v>45932</v>
      </c>
      <c r="R13" s="60">
        <v>45939</v>
      </c>
      <c r="S13" s="55" t="s">
        <v>111</v>
      </c>
      <c r="T13" s="55" t="s">
        <v>131</v>
      </c>
      <c r="U13" s="55" t="s">
        <v>113</v>
      </c>
      <c r="V13" s="55" t="s">
        <v>121</v>
      </c>
      <c r="W13" s="55" t="s">
        <v>62</v>
      </c>
      <c r="X13" s="55"/>
      <c r="Y13" s="55">
        <f>VLOOKUP(T13,'[1]Query result'!$J:$K,2,0)</f>
        <v>45939</v>
      </c>
      <c r="Z13" s="55">
        <f>VLOOKUP(T13,'[1]Query result'!$J:$W,14,0)</f>
        <v>0</v>
      </c>
      <c r="AA13" s="62">
        <f t="shared" si="4"/>
        <v>3487.5</v>
      </c>
      <c r="AB13" s="54" t="str">
        <f>VLOOKUP(T13,'[2]Query result'!$J:$K,2,0)</f>
        <v>Outstanding</v>
      </c>
    </row>
    <row r="14" spans="1:28" hidden="1">
      <c r="A14" s="55" t="s">
        <v>58</v>
      </c>
      <c r="B14" s="55" t="s">
        <v>122</v>
      </c>
      <c r="C14" s="55" t="str">
        <f>VLOOKUP(B14,Validation!A:B,2,0)</f>
        <v>APAC</v>
      </c>
      <c r="D14" s="55" t="str">
        <f>VLOOKUP(B14,Validation!A:D,4,0)</f>
        <v>Hao Nguyen</v>
      </c>
      <c r="E14" s="55" t="str">
        <f>VLOOKUP(B14,Validation!A:E,5,0)</f>
        <v>NA</v>
      </c>
      <c r="F14" s="55" t="s">
        <v>54</v>
      </c>
      <c r="G14" s="55">
        <f t="shared" si="0"/>
        <v>2025</v>
      </c>
      <c r="H14" s="55" t="s">
        <v>53</v>
      </c>
      <c r="I14" s="55" t="s">
        <v>123</v>
      </c>
      <c r="J14" s="66">
        <f>VLOOKUP(I14,'XE rates'!A:D,4,0)*K14</f>
        <v>4808.8361663032229</v>
      </c>
      <c r="K14" s="52">
        <v>6715.2199999999993</v>
      </c>
      <c r="L14" s="60">
        <v>45901</v>
      </c>
      <c r="M14" s="61" t="str">
        <f t="shared" ref="M14" si="21">TEXT(L14,"mmm")</f>
        <v>Sep</v>
      </c>
      <c r="N14" s="55">
        <f t="shared" ref="N14" ca="1" si="22">$Y$1-R14</f>
        <v>255</v>
      </c>
      <c r="O14" s="55" t="str">
        <f t="shared" ref="O14" ca="1" si="23">IF(N14&lt;=30, "0-30 days", IF(N14&lt;=60, "31-60 days", IF(N14&lt;=90, "61-90 days", "Over 90+ days")))</f>
        <v>Over 90+ days</v>
      </c>
      <c r="P14" s="55" t="s">
        <v>110</v>
      </c>
      <c r="Q14" s="60">
        <v>45936</v>
      </c>
      <c r="R14" s="60">
        <v>45943</v>
      </c>
      <c r="S14" s="55" t="s">
        <v>111</v>
      </c>
      <c r="T14" s="55" t="s">
        <v>132</v>
      </c>
      <c r="U14" s="55" t="s">
        <v>113</v>
      </c>
      <c r="V14" s="55" t="s">
        <v>113</v>
      </c>
      <c r="W14" s="55" t="s">
        <v>126</v>
      </c>
      <c r="X14" s="55"/>
      <c r="Y14" s="55">
        <f>VLOOKUP(T14,'[1]Query result'!$J:$K,2,0)</f>
        <v>45943</v>
      </c>
      <c r="Z14" s="55">
        <f>VLOOKUP(T14,'[1]Query result'!$J:$W,14,0)</f>
        <v>0</v>
      </c>
      <c r="AA14" s="62">
        <f t="shared" si="4"/>
        <v>6715.2199999999993</v>
      </c>
      <c r="AB14" s="54" t="str">
        <f>VLOOKUP(T14,'[2]Query result'!$J:$K,2,0)</f>
        <v>Outstanding</v>
      </c>
    </row>
    <row r="15" spans="1:28" hidden="1">
      <c r="A15" s="55" t="s">
        <v>52</v>
      </c>
      <c r="B15" s="55" t="s">
        <v>65</v>
      </c>
      <c r="C15" s="55" t="str">
        <f>VLOOKUP(B15,Validation!A:B,2,0)</f>
        <v>Shared Centre</v>
      </c>
      <c r="D15" s="55" t="str">
        <f>VLOOKUP(B15,Validation!A:D,4,0)</f>
        <v>Bhavani</v>
      </c>
      <c r="E15" s="55" t="str">
        <f>VLOOKUP(B15,Validation!A:E,5,0)</f>
        <v>NA</v>
      </c>
      <c r="F15" s="55" t="s">
        <v>54</v>
      </c>
      <c r="G15" s="55">
        <f t="shared" si="0"/>
        <v>2025</v>
      </c>
      <c r="H15" s="55" t="s">
        <v>66</v>
      </c>
      <c r="I15" s="55" t="s">
        <v>109</v>
      </c>
      <c r="J15" s="66">
        <f>VLOOKUP(I15,'XE rates'!A:D,4,0)*K15</f>
        <v>1000</v>
      </c>
      <c r="K15" s="52">
        <v>1000</v>
      </c>
      <c r="L15" s="60">
        <v>45931</v>
      </c>
      <c r="M15" s="61" t="str">
        <f t="shared" ref="M15" si="24">TEXT(L15,"mmm")</f>
        <v>Oct</v>
      </c>
      <c r="N15" s="55">
        <f t="shared" ref="N15" ca="1" si="25">$Y$1-R15</f>
        <v>230</v>
      </c>
      <c r="O15" s="55" t="str">
        <f t="shared" ref="O15" ca="1" si="26">IF(N15&lt;=30, "0-30 days", IF(N15&lt;=60, "31-60 days", IF(N15&lt;=90, "61-90 days", "Over 90+ days")))</f>
        <v>Over 90+ days</v>
      </c>
      <c r="P15" s="55" t="s">
        <v>110</v>
      </c>
      <c r="Q15" s="60">
        <v>45962</v>
      </c>
      <c r="R15" s="60">
        <v>45968</v>
      </c>
      <c r="S15" s="55" t="s">
        <v>129</v>
      </c>
      <c r="T15" s="55" t="s">
        <v>133</v>
      </c>
      <c r="U15" s="55" t="s">
        <v>113</v>
      </c>
      <c r="V15" s="55" t="s">
        <v>121</v>
      </c>
      <c r="W15" s="55" t="s">
        <v>67</v>
      </c>
      <c r="X15" s="55"/>
      <c r="Y15" s="55">
        <f>VLOOKUP(T15,'[1]Query result'!$J:$K,2,0)</f>
        <v>45968</v>
      </c>
      <c r="Z15" s="55">
        <f>VLOOKUP(T15,'[1]Query result'!$J:$W,14,0)</f>
        <v>0</v>
      </c>
      <c r="AA15" s="62">
        <f t="shared" si="4"/>
        <v>1000</v>
      </c>
      <c r="AB15" s="54" t="str">
        <f>VLOOKUP(T15,'[2]Query result'!$J:$K,2,0)</f>
        <v>Force Settlement</v>
      </c>
    </row>
    <row r="16" spans="1:28" hidden="1">
      <c r="A16" s="55" t="s">
        <v>58</v>
      </c>
      <c r="B16" s="55" t="s">
        <v>138</v>
      </c>
      <c r="C16" s="55" t="str">
        <f>VLOOKUP(B16,Validation!A:B,2,0)</f>
        <v>APAC</v>
      </c>
      <c r="D16" s="55" t="str">
        <f>VLOOKUP(B16,Validation!A:D,4,0)</f>
        <v>Hao Nguyen</v>
      </c>
      <c r="E16" s="55" t="str">
        <f>VLOOKUP(B16,Validation!A:E,5,0)</f>
        <v>Vinoth M</v>
      </c>
      <c r="F16" s="55" t="s">
        <v>54</v>
      </c>
      <c r="G16" s="55">
        <f t="shared" si="0"/>
        <v>2025</v>
      </c>
      <c r="H16" s="55" t="s">
        <v>53</v>
      </c>
      <c r="I16" s="55" t="s">
        <v>123</v>
      </c>
      <c r="J16" s="66">
        <f>VLOOKUP(I16,'XE rates'!A:D,4,0)*K16</f>
        <v>983.1474132966149</v>
      </c>
      <c r="K16" s="66">
        <v>1372.8999999999999</v>
      </c>
      <c r="L16" s="60">
        <v>45901</v>
      </c>
      <c r="M16" s="61" t="str">
        <f t="shared" ref="M16:M18" si="27">TEXT(L16,"mmm")</f>
        <v>Sep</v>
      </c>
      <c r="N16" s="55">
        <f t="shared" ref="N16:N18" ca="1" si="28">$Y$1-R16</f>
        <v>209</v>
      </c>
      <c r="O16" s="55" t="str">
        <f t="shared" ref="O16:O18" ca="1" si="29">IF(N16&lt;=30, "0-30 days", IF(N16&lt;=60, "31-60 days", IF(N16&lt;=90, "61-90 days", "Over 90+ days")))</f>
        <v>Over 90+ days</v>
      </c>
      <c r="P16" s="55" t="s">
        <v>139</v>
      </c>
      <c r="Q16" s="60">
        <v>45958</v>
      </c>
      <c r="R16" s="60">
        <v>45989</v>
      </c>
      <c r="S16" s="55" t="s">
        <v>124</v>
      </c>
      <c r="T16" s="55" t="s">
        <v>140</v>
      </c>
      <c r="U16" s="55" t="s">
        <v>113</v>
      </c>
      <c r="V16" s="55" t="s">
        <v>121</v>
      </c>
      <c r="W16" s="55" t="s">
        <v>55</v>
      </c>
      <c r="X16" s="55"/>
      <c r="Y16" s="55">
        <f>VLOOKUP(T16,'[1]Query result'!$J:$K,2,0)</f>
        <v>45989</v>
      </c>
      <c r="Z16" s="55">
        <f>VLOOKUP(T16,'[1]Query result'!$J:$W,14,0)</f>
        <v>0</v>
      </c>
      <c r="AA16" s="62">
        <f t="shared" si="4"/>
        <v>1372.8999999999999</v>
      </c>
      <c r="AB16" s="54" t="str">
        <f>VLOOKUP(T16,'[2]Query result'!$J:$K,2,0)</f>
        <v>Partially Paid</v>
      </c>
    </row>
    <row r="17" spans="1:28" hidden="1">
      <c r="A17" s="55" t="s">
        <v>58</v>
      </c>
      <c r="B17" s="55" t="s">
        <v>141</v>
      </c>
      <c r="C17" s="55" t="str">
        <f>VLOOKUP(B17,Validation!A:B,2,0)</f>
        <v>EU/UK</v>
      </c>
      <c r="D17" s="55" t="str">
        <f>VLOOKUP(B17,Validation!A:D,4,0)</f>
        <v>Sachli Zare</v>
      </c>
      <c r="E17" s="55" t="str">
        <f>VLOOKUP(B17,Validation!A:E,5,0)</f>
        <v>NA</v>
      </c>
      <c r="F17" s="55" t="s">
        <v>54</v>
      </c>
      <c r="G17" s="55">
        <f t="shared" si="0"/>
        <v>2025</v>
      </c>
      <c r="H17" s="55" t="s">
        <v>53</v>
      </c>
      <c r="I17" s="55" t="s">
        <v>109</v>
      </c>
      <c r="J17" s="66">
        <f>VLOOKUP(I17,'XE rates'!A:D,4,0)*K17</f>
        <v>75</v>
      </c>
      <c r="K17" s="52">
        <v>75</v>
      </c>
      <c r="L17" s="60">
        <v>45931</v>
      </c>
      <c r="M17" s="61" t="str">
        <f t="shared" si="27"/>
        <v>Oct</v>
      </c>
      <c r="N17" s="55">
        <f t="shared" ca="1" si="28"/>
        <v>225</v>
      </c>
      <c r="O17" s="55" t="str">
        <f t="shared" ca="1" si="29"/>
        <v>Over 90+ days</v>
      </c>
      <c r="P17" s="55" t="s">
        <v>110</v>
      </c>
      <c r="Q17" s="60">
        <v>45966</v>
      </c>
      <c r="R17" s="60">
        <v>45973</v>
      </c>
      <c r="S17" s="55" t="s">
        <v>124</v>
      </c>
      <c r="T17" s="55" t="s">
        <v>142</v>
      </c>
      <c r="U17" s="55" t="s">
        <v>113</v>
      </c>
      <c r="V17" s="55" t="s">
        <v>121</v>
      </c>
      <c r="W17" s="55" t="s">
        <v>143</v>
      </c>
      <c r="X17" s="55"/>
      <c r="Y17" s="55">
        <f>VLOOKUP(T17,'[1]Query result'!$J:$K,2,0)</f>
        <v>45973</v>
      </c>
      <c r="Z17" s="55">
        <f>VLOOKUP(T17,'[1]Query result'!$J:$W,14,0)</f>
        <v>0</v>
      </c>
      <c r="AA17" s="62">
        <f t="shared" si="4"/>
        <v>75</v>
      </c>
      <c r="AB17" s="54" t="str">
        <f>VLOOKUP(T17,'[2]Query result'!$J:$K,2,0)</f>
        <v>Partially Paid</v>
      </c>
    </row>
    <row r="18" spans="1:28" hidden="1">
      <c r="A18" s="55" t="s">
        <v>58</v>
      </c>
      <c r="B18" s="55" t="s">
        <v>31</v>
      </c>
      <c r="C18" s="55" t="str">
        <f>VLOOKUP(B18,Validation!A:B,2,0)</f>
        <v>USA</v>
      </c>
      <c r="D18" s="55" t="str">
        <f>VLOOKUP(B18,Validation!A:D,4,0)</f>
        <v>Lia Susin</v>
      </c>
      <c r="E18" s="55" t="str">
        <f>VLOOKUP(B18,Validation!A:E,5,0)</f>
        <v>Christina Hutchinson</v>
      </c>
      <c r="F18" s="55" t="s">
        <v>54</v>
      </c>
      <c r="G18" s="55">
        <f t="shared" si="0"/>
        <v>2025</v>
      </c>
      <c r="H18" s="55" t="s">
        <v>53</v>
      </c>
      <c r="I18" s="55" t="s">
        <v>109</v>
      </c>
      <c r="J18" s="66">
        <f>VLOOKUP(I18,'XE rates'!A:D,4,0)*K18</f>
        <v>2602.25</v>
      </c>
      <c r="K18" s="52">
        <v>2602.25</v>
      </c>
      <c r="L18" s="60">
        <v>45931</v>
      </c>
      <c r="M18" s="61" t="str">
        <f t="shared" si="27"/>
        <v>Oct</v>
      </c>
      <c r="N18" s="55">
        <f t="shared" ca="1" si="28"/>
        <v>225</v>
      </c>
      <c r="O18" s="55" t="str">
        <f t="shared" ca="1" si="29"/>
        <v>Over 90+ days</v>
      </c>
      <c r="P18" s="55" t="s">
        <v>110</v>
      </c>
      <c r="Q18" s="60">
        <v>45966</v>
      </c>
      <c r="R18" s="60">
        <v>45973</v>
      </c>
      <c r="S18" s="55" t="s">
        <v>111</v>
      </c>
      <c r="T18" s="55" t="s">
        <v>144</v>
      </c>
      <c r="U18" s="55" t="s">
        <v>113</v>
      </c>
      <c r="V18" s="55" t="s">
        <v>121</v>
      </c>
      <c r="W18" s="55" t="s">
        <v>62</v>
      </c>
      <c r="X18" s="55"/>
      <c r="Y18" s="55">
        <f>VLOOKUP(T18,'[1]Query result'!$J:$K,2,0)</f>
        <v>45973</v>
      </c>
      <c r="Z18" s="55">
        <f>VLOOKUP(T18,'[1]Query result'!$J:$W,14,0)</f>
        <v>0</v>
      </c>
      <c r="AA18" s="62">
        <f t="shared" si="4"/>
        <v>2602.25</v>
      </c>
      <c r="AB18" s="54" t="str">
        <f>VLOOKUP(T18,'[2]Query result'!$J:$K,2,0)</f>
        <v>Outstanding</v>
      </c>
    </row>
    <row r="19" spans="1:28" hidden="1">
      <c r="A19" s="55" t="s">
        <v>58</v>
      </c>
      <c r="B19" s="55" t="s">
        <v>122</v>
      </c>
      <c r="C19" s="55" t="str">
        <f>VLOOKUP(B19,Validation!A:B,2,0)</f>
        <v>APAC</v>
      </c>
      <c r="D19" s="55" t="str">
        <f>VLOOKUP(B19,Validation!A:D,4,0)</f>
        <v>Hao Nguyen</v>
      </c>
      <c r="E19" s="55" t="str">
        <f>VLOOKUP(B19,Validation!A:E,5,0)</f>
        <v>NA</v>
      </c>
      <c r="F19" s="55" t="s">
        <v>54</v>
      </c>
      <c r="G19" s="55">
        <f t="shared" si="0"/>
        <v>2025</v>
      </c>
      <c r="H19" s="55" t="s">
        <v>53</v>
      </c>
      <c r="I19" s="55" t="s">
        <v>123</v>
      </c>
      <c r="J19" s="66">
        <f>VLOOKUP(I19,'XE rates'!A:D,4,0)*K19</f>
        <v>4785.0792171910407</v>
      </c>
      <c r="K19" s="52">
        <v>6682.0450000000001</v>
      </c>
      <c r="L19" s="60">
        <v>45931</v>
      </c>
      <c r="M19" s="61" t="str">
        <f t="shared" ref="M19:M20" si="30">TEXT(L19,"mmm")</f>
        <v>Oct</v>
      </c>
      <c r="N19" s="55">
        <f t="shared" ref="N19" ca="1" si="31">$Y$1-R19</f>
        <v>224</v>
      </c>
      <c r="O19" s="55" t="str">
        <f t="shared" ref="O19" ca="1" si="32">IF(N19&lt;=30, "0-30 days", IF(N19&lt;=60, "31-60 days", IF(N19&lt;=90, "61-90 days", "Over 90+ days")))</f>
        <v>Over 90+ days</v>
      </c>
      <c r="P19" s="55" t="s">
        <v>110</v>
      </c>
      <c r="Q19" s="60">
        <v>45967</v>
      </c>
      <c r="R19" s="60">
        <v>45974</v>
      </c>
      <c r="S19" s="55" t="s">
        <v>111</v>
      </c>
      <c r="T19" s="55" t="s">
        <v>146</v>
      </c>
      <c r="U19" s="55" t="s">
        <v>113</v>
      </c>
      <c r="V19" s="55" t="s">
        <v>113</v>
      </c>
      <c r="W19" s="55" t="s">
        <v>126</v>
      </c>
      <c r="X19" s="55"/>
      <c r="Y19" s="55">
        <f>VLOOKUP(T19,'[1]Query result'!$J:$K,2,0)</f>
        <v>45974</v>
      </c>
      <c r="Z19" s="55">
        <f>VLOOKUP(T19,'[1]Query result'!$J:$W,14,0)</f>
        <v>0</v>
      </c>
      <c r="AA19" s="62">
        <f t="shared" si="4"/>
        <v>6682.0450000000001</v>
      </c>
      <c r="AB19" s="54" t="str">
        <f>VLOOKUP(T19,'[2]Query result'!$J:$K,2,0)</f>
        <v>Outstanding</v>
      </c>
    </row>
    <row r="20" spans="1:28" hidden="1">
      <c r="A20" s="55" t="s">
        <v>58</v>
      </c>
      <c r="B20" s="55" t="s">
        <v>60</v>
      </c>
      <c r="C20" s="55" t="str">
        <f>VLOOKUP(B20,Validation!A:B,2,0)</f>
        <v>Shared Centre</v>
      </c>
      <c r="D20" s="55" t="str">
        <f>VLOOKUP(B20,Validation!A:D,4,0)</f>
        <v>NA</v>
      </c>
      <c r="E20" s="55" t="str">
        <f>VLOOKUP(B20,Validation!A:E,5,0)</f>
        <v>Tyler Reed</v>
      </c>
      <c r="F20" s="55" t="s">
        <v>54</v>
      </c>
      <c r="G20" s="55">
        <f t="shared" si="0"/>
        <v>2025</v>
      </c>
      <c r="H20" s="55" t="s">
        <v>53</v>
      </c>
      <c r="I20" s="55" t="s">
        <v>109</v>
      </c>
      <c r="J20" s="66">
        <f>VLOOKUP(I20,'XE rates'!A:D,4,0)*K20</f>
        <v>0.5</v>
      </c>
      <c r="K20" s="52">
        <v>0.5</v>
      </c>
      <c r="L20" s="60">
        <v>45931</v>
      </c>
      <c r="M20" s="61" t="str">
        <f t="shared" si="30"/>
        <v>Oct</v>
      </c>
      <c r="N20" s="55">
        <f t="shared" ref="N20" ca="1" si="33">$Y$1-R20</f>
        <v>225</v>
      </c>
      <c r="O20" s="55" t="str">
        <f t="shared" ref="O20" ca="1" si="34">IF(N20&lt;=30, "0-30 days", IF(N20&lt;=60, "31-60 days", IF(N20&lt;=90, "61-90 days", "Over 90+ days")))</f>
        <v>Over 90+ days</v>
      </c>
      <c r="P20" s="55" t="s">
        <v>110</v>
      </c>
      <c r="Q20" s="60">
        <v>45966</v>
      </c>
      <c r="R20" s="60">
        <v>45973</v>
      </c>
      <c r="S20" s="55" t="s">
        <v>111</v>
      </c>
      <c r="T20" s="55" t="s">
        <v>147</v>
      </c>
      <c r="U20" s="55" t="s">
        <v>113</v>
      </c>
      <c r="V20" s="55" t="s">
        <v>121</v>
      </c>
      <c r="W20" s="55" t="s">
        <v>55</v>
      </c>
      <c r="X20" s="55"/>
      <c r="Y20" s="55">
        <f>VLOOKUP(T20,'[1]Query result'!$J:$K,2,0)</f>
        <v>45973</v>
      </c>
      <c r="Z20" s="55">
        <f>VLOOKUP(T20,'[1]Query result'!$J:$W,14,0)</f>
        <v>0</v>
      </c>
      <c r="AA20" s="62">
        <f t="shared" si="4"/>
        <v>0.5</v>
      </c>
      <c r="AB20" s="54" t="str">
        <f>VLOOKUP(T20,'[2]Query result'!$J:$K,2,0)</f>
        <v>Outstanding</v>
      </c>
    </row>
    <row r="21" spans="1:28" hidden="1">
      <c r="A21" s="55" t="s">
        <v>58</v>
      </c>
      <c r="B21" s="55" t="s">
        <v>138</v>
      </c>
      <c r="C21" s="55" t="str">
        <f>VLOOKUP(B21,Validation!A:B,2,0)</f>
        <v>APAC</v>
      </c>
      <c r="D21" s="55" t="str">
        <f>VLOOKUP(B21,Validation!A:D,4,0)</f>
        <v>Hao Nguyen</v>
      </c>
      <c r="E21" s="55" t="str">
        <f>VLOOKUP(B21,Validation!A:E,5,0)</f>
        <v>Vinoth M</v>
      </c>
      <c r="F21" s="55" t="s">
        <v>54</v>
      </c>
      <c r="G21" s="55">
        <f t="shared" si="0"/>
        <v>2025</v>
      </c>
      <c r="H21" s="55" t="s">
        <v>53</v>
      </c>
      <c r="I21" s="55" t="s">
        <v>123</v>
      </c>
      <c r="J21" s="66">
        <f>VLOOKUP(I21,'XE rates'!A:D,4,0)*K21</f>
        <v>1851.201628060903</v>
      </c>
      <c r="K21" s="67">
        <v>2585.08</v>
      </c>
      <c r="L21" s="60">
        <v>45931</v>
      </c>
      <c r="M21" s="61" t="str">
        <f t="shared" ref="M21" si="35">TEXT(L21,"mmm")</f>
        <v>Oct</v>
      </c>
      <c r="N21" s="55">
        <f t="shared" ref="N21" ca="1" si="36">$Y$1-R21</f>
        <v>190</v>
      </c>
      <c r="O21" s="55" t="str">
        <f t="shared" ref="O21" ca="1" si="37">IF(N21&lt;=30, "0-30 days", IF(N21&lt;=60, "31-60 days", IF(N21&lt;=90, "61-90 days", "Over 90+ days")))</f>
        <v>Over 90+ days</v>
      </c>
      <c r="P21" s="55" t="s">
        <v>139</v>
      </c>
      <c r="Q21" s="60">
        <v>45978</v>
      </c>
      <c r="R21" s="60">
        <v>46008</v>
      </c>
      <c r="S21" s="55" t="s">
        <v>111</v>
      </c>
      <c r="T21" s="55" t="s">
        <v>148</v>
      </c>
      <c r="U21" s="55" t="s">
        <v>113</v>
      </c>
      <c r="V21" s="55" t="s">
        <v>121</v>
      </c>
      <c r="W21" s="55" t="s">
        <v>55</v>
      </c>
      <c r="X21" s="55"/>
      <c r="Y21" s="55">
        <f>VLOOKUP(T21,'[1]Query result'!$J:$K,2,0)</f>
        <v>46008</v>
      </c>
      <c r="Z21" s="55">
        <f>VLOOKUP(T21,'[1]Query result'!$J:$W,14,0)</f>
        <v>0</v>
      </c>
      <c r="AA21" s="62">
        <f t="shared" si="4"/>
        <v>2585.08</v>
      </c>
      <c r="AB21" s="54" t="str">
        <f>VLOOKUP(T21,'[2]Query result'!$J:$K,2,0)</f>
        <v>Outstanding</v>
      </c>
    </row>
    <row r="22" spans="1:28" hidden="1">
      <c r="A22" s="55" t="s">
        <v>52</v>
      </c>
      <c r="B22" s="55" t="s">
        <v>65</v>
      </c>
      <c r="C22" s="55" t="str">
        <f>VLOOKUP(B22,Validation!A:B,2,0)</f>
        <v>Shared Centre</v>
      </c>
      <c r="D22" s="55" t="str">
        <f>VLOOKUP(B22,Validation!A:D,4,0)</f>
        <v>Bhavani</v>
      </c>
      <c r="E22" s="55" t="str">
        <f>VLOOKUP(B22,Validation!A:E,5,0)</f>
        <v>NA</v>
      </c>
      <c r="F22" s="55" t="s">
        <v>54</v>
      </c>
      <c r="G22" s="55">
        <f t="shared" si="0"/>
        <v>2025</v>
      </c>
      <c r="H22" s="55" t="s">
        <v>66</v>
      </c>
      <c r="I22" s="55" t="s">
        <v>109</v>
      </c>
      <c r="J22" s="66">
        <f>VLOOKUP(I22,'XE rates'!A:D,4,0)*K22</f>
        <v>1000</v>
      </c>
      <c r="K22" s="52">
        <v>1000</v>
      </c>
      <c r="L22" s="60">
        <v>45962</v>
      </c>
      <c r="M22" s="61" t="str">
        <f t="shared" ref="M22:M26" si="38">TEXT(L22,"mmm")</f>
        <v>Nov</v>
      </c>
      <c r="N22" s="55">
        <f t="shared" ref="N22:N26" ca="1" si="39">$Y$1-R22</f>
        <v>199</v>
      </c>
      <c r="O22" s="55" t="str">
        <f t="shared" ref="O22:O26" ca="1" si="40">IF(N22&lt;=30, "0-30 days", IF(N22&lt;=60, "31-60 days", IF(N22&lt;=90, "61-90 days", "Over 90+ days")))</f>
        <v>Over 90+ days</v>
      </c>
      <c r="P22" s="55" t="s">
        <v>110</v>
      </c>
      <c r="Q22" s="60">
        <v>45992</v>
      </c>
      <c r="R22" s="60">
        <v>45999</v>
      </c>
      <c r="S22" s="55" t="s">
        <v>129</v>
      </c>
      <c r="T22" s="55" t="s">
        <v>149</v>
      </c>
      <c r="U22" s="55" t="s">
        <v>113</v>
      </c>
      <c r="V22" s="55" t="s">
        <v>121</v>
      </c>
      <c r="W22" s="55" t="s">
        <v>67</v>
      </c>
      <c r="X22" s="55"/>
      <c r="Y22" s="55">
        <f>VLOOKUP(T22,'[1]Query result'!$J:$K,2,0)</f>
        <v>45999</v>
      </c>
      <c r="Z22" s="55">
        <f>VLOOKUP(T22,'[1]Query result'!$J:$W,14,0)</f>
        <v>0</v>
      </c>
      <c r="AA22" s="62">
        <f t="shared" si="4"/>
        <v>1000</v>
      </c>
      <c r="AB22" s="54" t="str">
        <f>VLOOKUP(T22,'[2]Query result'!$J:$K,2,0)</f>
        <v>Force Settlement</v>
      </c>
    </row>
    <row r="23" spans="1:28" hidden="1">
      <c r="A23" s="55" t="s">
        <v>58</v>
      </c>
      <c r="B23" s="55" t="s">
        <v>138</v>
      </c>
      <c r="C23" s="55" t="str">
        <f>VLOOKUP(B23,Validation!A:B,2,0)</f>
        <v>APAC</v>
      </c>
      <c r="D23" s="55" t="str">
        <f>VLOOKUP(B23,Validation!A:D,4,0)</f>
        <v>Hao Nguyen</v>
      </c>
      <c r="E23" s="55" t="str">
        <f>VLOOKUP(B23,Validation!A:E,5,0)</f>
        <v>Vinoth M</v>
      </c>
      <c r="F23" s="55" t="s">
        <v>54</v>
      </c>
      <c r="G23" s="55">
        <f t="shared" si="0"/>
        <v>2025</v>
      </c>
      <c r="H23" s="55" t="s">
        <v>53</v>
      </c>
      <c r="I23" s="55" t="s">
        <v>123</v>
      </c>
      <c r="J23" s="66">
        <f>VLOOKUP(I23,'XE rates'!A:D,4,0)*K23</f>
        <v>1849.9914021679235</v>
      </c>
      <c r="K23" s="66">
        <v>2583.39</v>
      </c>
      <c r="L23" s="60">
        <v>45962</v>
      </c>
      <c r="M23" s="61" t="str">
        <f t="shared" si="38"/>
        <v>Nov</v>
      </c>
      <c r="N23" s="55">
        <f t="shared" ca="1" si="39"/>
        <v>161</v>
      </c>
      <c r="O23" s="55" t="str">
        <f t="shared" ca="1" si="40"/>
        <v>Over 90+ days</v>
      </c>
      <c r="P23" s="55" t="s">
        <v>139</v>
      </c>
      <c r="Q23" s="60">
        <v>46006</v>
      </c>
      <c r="R23" s="60">
        <v>46037</v>
      </c>
      <c r="S23" s="55" t="s">
        <v>111</v>
      </c>
      <c r="T23" s="55" t="s">
        <v>152</v>
      </c>
      <c r="U23" s="55" t="s">
        <v>113</v>
      </c>
      <c r="V23" s="55" t="s">
        <v>121</v>
      </c>
      <c r="W23" s="55" t="s">
        <v>55</v>
      </c>
      <c r="X23" s="55"/>
      <c r="Y23" s="55">
        <f>VLOOKUP(T23,'[1]Query result'!$J:$K,2,0)</f>
        <v>46037</v>
      </c>
      <c r="Z23" s="55">
        <f>VLOOKUP(T23,'[1]Query result'!$J:$W,14,0)</f>
        <v>0</v>
      </c>
      <c r="AA23" s="62">
        <f t="shared" si="4"/>
        <v>2583.39</v>
      </c>
      <c r="AB23" s="54" t="str">
        <f>VLOOKUP(T23,'[2]Query result'!$J:$K,2,0)</f>
        <v>Outstanding</v>
      </c>
    </row>
    <row r="24" spans="1:28" hidden="1">
      <c r="A24" s="55" t="s">
        <v>58</v>
      </c>
      <c r="B24" s="55" t="s">
        <v>154</v>
      </c>
      <c r="C24" s="55" t="str">
        <f>VLOOKUP(B24,Validation!A:B,2,0)</f>
        <v>ME</v>
      </c>
      <c r="D24" s="55" t="str">
        <f>VLOOKUP(B24,Validation!A:D,4,0)</f>
        <v>Jerome Coelho</v>
      </c>
      <c r="E24" s="55" t="str">
        <f>VLOOKUP(B24,Validation!A:E,5,0)</f>
        <v>Ashraf Omran</v>
      </c>
      <c r="F24" s="55" t="s">
        <v>54</v>
      </c>
      <c r="G24" s="55">
        <f t="shared" si="0"/>
        <v>2025</v>
      </c>
      <c r="H24" s="55" t="s">
        <v>53</v>
      </c>
      <c r="I24" s="55" t="s">
        <v>109</v>
      </c>
      <c r="J24" s="66">
        <f>VLOOKUP(I24,'XE rates'!A:D,4,0)*K24</f>
        <v>57.489999999999782</v>
      </c>
      <c r="K24" s="52">
        <v>57.489999999999782</v>
      </c>
      <c r="L24" s="60">
        <v>45962</v>
      </c>
      <c r="M24" s="61" t="str">
        <f t="shared" si="38"/>
        <v>Nov</v>
      </c>
      <c r="N24" s="55">
        <f t="shared" ca="1" si="39"/>
        <v>198</v>
      </c>
      <c r="O24" s="55" t="str">
        <f t="shared" ca="1" si="40"/>
        <v>Over 90+ days</v>
      </c>
      <c r="P24" s="55" t="s">
        <v>110</v>
      </c>
      <c r="Q24" s="60">
        <v>45993</v>
      </c>
      <c r="R24" s="60">
        <v>46000</v>
      </c>
      <c r="S24" s="55" t="s">
        <v>124</v>
      </c>
      <c r="T24" s="55" t="s">
        <v>155</v>
      </c>
      <c r="U24" s="55" t="s">
        <v>113</v>
      </c>
      <c r="V24" s="55" t="s">
        <v>121</v>
      </c>
      <c r="W24" s="55" t="s">
        <v>55</v>
      </c>
      <c r="X24" s="55"/>
      <c r="Y24" s="55">
        <f>VLOOKUP(T24,'[1]Query result'!$J:$K,2,0)</f>
        <v>46000</v>
      </c>
      <c r="Z24" s="55">
        <f>VLOOKUP(T24,'[1]Query result'!$J:$W,14,0)</f>
        <v>0</v>
      </c>
      <c r="AA24" s="62">
        <f t="shared" si="4"/>
        <v>57.489999999999782</v>
      </c>
      <c r="AB24" s="54" t="str">
        <f>VLOOKUP(T24,'[2]Query result'!$J:$K,2,0)</f>
        <v>Partially Paid</v>
      </c>
    </row>
    <row r="25" spans="1:28" hidden="1">
      <c r="A25" s="55" t="s">
        <v>58</v>
      </c>
      <c r="B25" s="55" t="s">
        <v>31</v>
      </c>
      <c r="C25" s="55" t="str">
        <f>VLOOKUP(B25,Validation!A:B,2,0)</f>
        <v>USA</v>
      </c>
      <c r="D25" s="55" t="str">
        <f>VLOOKUP(B25,Validation!A:D,4,0)</f>
        <v>Lia Susin</v>
      </c>
      <c r="E25" s="55" t="str">
        <f>VLOOKUP(B25,Validation!A:E,5,0)</f>
        <v>Christina Hutchinson</v>
      </c>
      <c r="F25" s="55" t="s">
        <v>54</v>
      </c>
      <c r="G25" s="55">
        <f t="shared" si="0"/>
        <v>2025</v>
      </c>
      <c r="H25" s="55" t="s">
        <v>53</v>
      </c>
      <c r="I25" s="55" t="s">
        <v>109</v>
      </c>
      <c r="J25" s="66">
        <f>VLOOKUP(I25,'XE rates'!A:D,4,0)*K25</f>
        <v>1786.14</v>
      </c>
      <c r="K25" s="52">
        <v>1786.14</v>
      </c>
      <c r="L25" s="60">
        <v>45962</v>
      </c>
      <c r="M25" s="61" t="str">
        <f t="shared" si="38"/>
        <v>Nov</v>
      </c>
      <c r="N25" s="55">
        <f t="shared" ca="1" si="39"/>
        <v>198</v>
      </c>
      <c r="O25" s="55" t="str">
        <f t="shared" ca="1" si="40"/>
        <v>Over 90+ days</v>
      </c>
      <c r="P25" s="55" t="s">
        <v>110</v>
      </c>
      <c r="Q25" s="60">
        <v>45993</v>
      </c>
      <c r="R25" s="60">
        <v>46000</v>
      </c>
      <c r="S25" s="55" t="s">
        <v>111</v>
      </c>
      <c r="T25" s="55" t="s">
        <v>156</v>
      </c>
      <c r="U25" s="55" t="s">
        <v>113</v>
      </c>
      <c r="V25" s="55" t="s">
        <v>121</v>
      </c>
      <c r="W25" s="55" t="s">
        <v>62</v>
      </c>
      <c r="X25" s="55"/>
      <c r="Y25" s="55">
        <f>VLOOKUP(T25,'[1]Query result'!$J:$K,2,0)</f>
        <v>46000</v>
      </c>
      <c r="Z25" s="55">
        <f>VLOOKUP(T25,'[1]Query result'!$J:$W,14,0)</f>
        <v>0</v>
      </c>
      <c r="AA25" s="62">
        <f t="shared" ref="AA25:AA34" si="41">K25-Z25</f>
        <v>1786.14</v>
      </c>
      <c r="AB25" s="54" t="str">
        <f>VLOOKUP(T25,'[2]Query result'!$J:$K,2,0)</f>
        <v>Outstanding</v>
      </c>
    </row>
    <row r="26" spans="1:28" hidden="1">
      <c r="A26" s="55" t="s">
        <v>58</v>
      </c>
      <c r="B26" s="55" t="s">
        <v>145</v>
      </c>
      <c r="C26" s="55" t="str">
        <f>VLOOKUP(B26,Validation!A:B,2,0)</f>
        <v>APAC</v>
      </c>
      <c r="D26" s="55" t="str">
        <f>VLOOKUP(B26,Validation!A:D,4,0)</f>
        <v>Shi Yin</v>
      </c>
      <c r="E26" s="55" t="str">
        <f>VLOOKUP(B26,Validation!A:E,5,0)</f>
        <v>Vinoth M</v>
      </c>
      <c r="F26" s="55" t="s">
        <v>54</v>
      </c>
      <c r="G26" s="55">
        <f t="shared" si="0"/>
        <v>2025</v>
      </c>
      <c r="H26" s="55" t="s">
        <v>53</v>
      </c>
      <c r="I26" s="55" t="s">
        <v>109</v>
      </c>
      <c r="J26" s="66">
        <f>VLOOKUP(I26,'XE rates'!A:D,4,0)*K26</f>
        <v>2743</v>
      </c>
      <c r="K26" s="52">
        <v>2743</v>
      </c>
      <c r="L26" s="60">
        <v>45962</v>
      </c>
      <c r="M26" s="61" t="str">
        <f t="shared" si="38"/>
        <v>Nov</v>
      </c>
      <c r="N26" s="55">
        <f t="shared" ca="1" si="39"/>
        <v>189</v>
      </c>
      <c r="O26" s="55" t="str">
        <f t="shared" ca="1" si="40"/>
        <v>Over 90+ days</v>
      </c>
      <c r="P26" s="55" t="s">
        <v>110</v>
      </c>
      <c r="Q26" s="60">
        <v>45994</v>
      </c>
      <c r="R26" s="60">
        <v>46009</v>
      </c>
      <c r="S26" s="55" t="s">
        <v>111</v>
      </c>
      <c r="T26" s="55" t="s">
        <v>158</v>
      </c>
      <c r="U26" s="55" t="s">
        <v>113</v>
      </c>
      <c r="V26" s="55" t="s">
        <v>113</v>
      </c>
      <c r="W26" s="55" t="s">
        <v>55</v>
      </c>
      <c r="X26" s="55"/>
      <c r="Y26" s="55">
        <f>VLOOKUP(T26,'[1]Query result'!$J:$K,2,0)</f>
        <v>46009</v>
      </c>
      <c r="Z26" s="55">
        <f>VLOOKUP(T26,'[1]Query result'!$J:$W,14,0)</f>
        <v>0</v>
      </c>
      <c r="AA26" s="62">
        <f t="shared" si="41"/>
        <v>2743</v>
      </c>
      <c r="AB26" s="54" t="str">
        <f>VLOOKUP(T26,'[2]Query result'!$J:$K,2,0)</f>
        <v>Outstanding</v>
      </c>
    </row>
    <row r="27" spans="1:28" hidden="1">
      <c r="A27" s="55" t="s">
        <v>58</v>
      </c>
      <c r="B27" s="55" t="s">
        <v>122</v>
      </c>
      <c r="C27" s="55" t="str">
        <f>VLOOKUP(B27,Validation!A:B,2,0)</f>
        <v>APAC</v>
      </c>
      <c r="D27" s="55" t="str">
        <f>VLOOKUP(B27,Validation!A:D,4,0)</f>
        <v>Hao Nguyen</v>
      </c>
      <c r="E27" s="55" t="str">
        <f>VLOOKUP(B27,Validation!A:E,5,0)</f>
        <v>NA</v>
      </c>
      <c r="F27" s="55" t="s">
        <v>54</v>
      </c>
      <c r="G27" s="55">
        <f t="shared" si="0"/>
        <v>2025</v>
      </c>
      <c r="H27" s="55" t="s">
        <v>53</v>
      </c>
      <c r="I27" s="55" t="s">
        <v>123</v>
      </c>
      <c r="J27" s="66">
        <f>VLOOKUP(I27,'XE rates'!A:D,4,0)*K27</f>
        <v>4906.1906041284556</v>
      </c>
      <c r="K27" s="52">
        <v>6851.1689999999999</v>
      </c>
      <c r="L27" s="60">
        <v>45962</v>
      </c>
      <c r="M27" s="61" t="str">
        <f t="shared" ref="M27" si="42">TEXT(L27,"mmm")</f>
        <v>Nov</v>
      </c>
      <c r="N27" s="55">
        <f t="shared" ref="N27" ca="1" si="43">$Y$1-R27</f>
        <v>196</v>
      </c>
      <c r="O27" s="55" t="str">
        <f t="shared" ref="O27" ca="1" si="44">IF(N27&lt;=30, "0-30 days", IF(N27&lt;=60, "31-60 days", IF(N27&lt;=90, "61-90 days", "Over 90+ days")))</f>
        <v>Over 90+ days</v>
      </c>
      <c r="P27" s="55" t="s">
        <v>110</v>
      </c>
      <c r="Q27" s="60">
        <v>45995</v>
      </c>
      <c r="R27" s="60">
        <v>46002</v>
      </c>
      <c r="S27" s="55" t="s">
        <v>111</v>
      </c>
      <c r="T27" s="55" t="s">
        <v>159</v>
      </c>
      <c r="U27" s="55" t="s">
        <v>113</v>
      </c>
      <c r="V27" s="55" t="s">
        <v>113</v>
      </c>
      <c r="W27" s="55" t="s">
        <v>126</v>
      </c>
      <c r="X27" s="55"/>
      <c r="Y27" s="55">
        <f>VLOOKUP(T27,'[1]Query result'!$J:$K,2,0)</f>
        <v>46002</v>
      </c>
      <c r="Z27" s="55">
        <f>VLOOKUP(T27,'[1]Query result'!$J:$W,14,0)</f>
        <v>0</v>
      </c>
      <c r="AA27" s="62">
        <f t="shared" si="41"/>
        <v>6851.1689999999999</v>
      </c>
      <c r="AB27" s="54" t="str">
        <f>VLOOKUP(T27,'[2]Query result'!$J:$K,2,0)</f>
        <v>Outstanding</v>
      </c>
    </row>
    <row r="28" spans="1:28" hidden="1">
      <c r="A28" s="55" t="s">
        <v>52</v>
      </c>
      <c r="B28" s="55" t="s">
        <v>72</v>
      </c>
      <c r="C28" s="55" t="str">
        <f>VLOOKUP(B28,Validation!A:B,2,0)</f>
        <v>Shared Centre</v>
      </c>
      <c r="D28" s="55" t="str">
        <f>VLOOKUP(B28,Validation!A:D,4,0)</f>
        <v>Bhavani</v>
      </c>
      <c r="E28" s="55" t="str">
        <f>VLOOKUP(B28,Validation!A:E,5,0)</f>
        <v>NA</v>
      </c>
      <c r="F28" s="55" t="s">
        <v>54</v>
      </c>
      <c r="G28" s="55">
        <f t="shared" si="0"/>
        <v>2025</v>
      </c>
      <c r="H28" s="55" t="s">
        <v>53</v>
      </c>
      <c r="I28" s="55" t="s">
        <v>109</v>
      </c>
      <c r="J28" s="66">
        <f>VLOOKUP(I28,'XE rates'!A:D,4,0)*K28</f>
        <v>2217.6</v>
      </c>
      <c r="K28" s="52">
        <v>2217.6</v>
      </c>
      <c r="L28" s="60">
        <v>45992</v>
      </c>
      <c r="M28" s="61" t="str">
        <f t="shared" ref="M28:M33" si="45">TEXT(L28,"mmm")</f>
        <v>Dec</v>
      </c>
      <c r="N28" s="55">
        <f t="shared" ref="N28:N33" ca="1" si="46">$Y$1-R28</f>
        <v>159</v>
      </c>
      <c r="O28" s="55" t="str">
        <f t="shared" ref="O28:O33" ca="1" si="47">IF(N28&lt;=30, "0-30 days", IF(N28&lt;=60, "31-60 days", IF(N28&lt;=90, "61-90 days", "Over 90+ days")))</f>
        <v>Over 90+ days</v>
      </c>
      <c r="P28" s="55" t="s">
        <v>110</v>
      </c>
      <c r="Q28" s="60">
        <v>46024</v>
      </c>
      <c r="R28" s="60">
        <v>46039</v>
      </c>
      <c r="S28" s="55" t="s">
        <v>111</v>
      </c>
      <c r="T28" s="55" t="s">
        <v>160</v>
      </c>
      <c r="U28" s="55" t="s">
        <v>113</v>
      </c>
      <c r="V28" s="55" t="s">
        <v>121</v>
      </c>
      <c r="W28" s="55" t="s">
        <v>55</v>
      </c>
      <c r="X28" s="55"/>
      <c r="Y28" s="55">
        <f>VLOOKUP(T28,'[1]Query result'!$J:$K,2,0)</f>
        <v>46039</v>
      </c>
      <c r="Z28" s="55"/>
      <c r="AA28" s="62"/>
      <c r="AB28" s="54" t="str">
        <f>VLOOKUP(T28,'[2]Query result'!$J:$K,2,0)</f>
        <v>Overdue</v>
      </c>
    </row>
    <row r="29" spans="1:28" hidden="1">
      <c r="A29" s="55" t="s">
        <v>58</v>
      </c>
      <c r="B29" s="55" t="s">
        <v>138</v>
      </c>
      <c r="C29" s="55" t="str">
        <f>VLOOKUP(B29,Validation!A:B,2,0)</f>
        <v>APAC</v>
      </c>
      <c r="D29" s="55" t="str">
        <f>VLOOKUP(B29,Validation!A:D,4,0)</f>
        <v>Hao Nguyen</v>
      </c>
      <c r="E29" s="55" t="str">
        <f>VLOOKUP(B29,Validation!A:E,5,0)</f>
        <v>Vinoth M</v>
      </c>
      <c r="F29" s="55" t="s">
        <v>54</v>
      </c>
      <c r="G29" s="55">
        <f t="shared" si="0"/>
        <v>2025</v>
      </c>
      <c r="H29" s="55" t="s">
        <v>53</v>
      </c>
      <c r="I29" s="55" t="s">
        <v>123</v>
      </c>
      <c r="J29" s="66">
        <f>VLOOKUP(I29,'XE rates'!A:D,4,0)*K29</f>
        <v>850.3935100467429</v>
      </c>
      <c r="K29" s="52">
        <v>1187.5180000000037</v>
      </c>
      <c r="L29" s="60">
        <v>45992</v>
      </c>
      <c r="M29" s="61" t="str">
        <f t="shared" si="45"/>
        <v>Dec</v>
      </c>
      <c r="N29" s="55">
        <f t="shared" ca="1" si="46"/>
        <v>140</v>
      </c>
      <c r="O29" s="55" t="str">
        <f t="shared" ca="1" si="47"/>
        <v>Over 90+ days</v>
      </c>
      <c r="P29" s="55" t="s">
        <v>110</v>
      </c>
      <c r="Q29" s="60">
        <v>46028</v>
      </c>
      <c r="R29" s="60">
        <v>46058</v>
      </c>
      <c r="S29" s="55" t="s">
        <v>111</v>
      </c>
      <c r="T29" s="55" t="s">
        <v>162</v>
      </c>
      <c r="U29" s="55" t="s">
        <v>113</v>
      </c>
      <c r="V29" s="55" t="s">
        <v>121</v>
      </c>
      <c r="W29" s="55" t="s">
        <v>55</v>
      </c>
      <c r="X29" s="55"/>
      <c r="Y29" s="55">
        <f>VLOOKUP(T29,'[1]Query result'!$J:$K,2,0)</f>
        <v>46058</v>
      </c>
      <c r="Z29" s="55">
        <f>VLOOKUP(T29,'[1]Query result'!$J:$W,14,0)</f>
        <v>0</v>
      </c>
      <c r="AA29" s="62">
        <f t="shared" si="41"/>
        <v>1187.5180000000037</v>
      </c>
      <c r="AB29" s="54" t="str">
        <f>VLOOKUP(T29,'[2]Query result'!$J:$K,2,0)</f>
        <v>Outstanding</v>
      </c>
    </row>
    <row r="30" spans="1:28" hidden="1">
      <c r="A30" s="55" t="s">
        <v>58</v>
      </c>
      <c r="B30" s="55" t="s">
        <v>163</v>
      </c>
      <c r="C30" s="55" t="str">
        <f>VLOOKUP(B30,Validation!A:B,2,0)</f>
        <v>APAC</v>
      </c>
      <c r="D30" s="55" t="str">
        <f>VLOOKUP(B30,Validation!A:D,4,0)</f>
        <v>NA</v>
      </c>
      <c r="E30" s="55" t="str">
        <f>VLOOKUP(B30,Validation!A:E,5,0)</f>
        <v>Denis Tan</v>
      </c>
      <c r="F30" s="55" t="s">
        <v>54</v>
      </c>
      <c r="G30" s="55">
        <f t="shared" ref="G30:G36" si="48">YEAR(L30)</f>
        <v>2025</v>
      </c>
      <c r="H30" s="55" t="s">
        <v>53</v>
      </c>
      <c r="I30" s="55" t="s">
        <v>109</v>
      </c>
      <c r="J30" s="66">
        <f>VLOOKUP(I30,'XE rates'!A:D,4,0)*K30</f>
        <v>1.72</v>
      </c>
      <c r="K30" s="52">
        <v>1.72</v>
      </c>
      <c r="L30" s="60">
        <v>45992</v>
      </c>
      <c r="M30" s="61" t="str">
        <f t="shared" si="45"/>
        <v>Dec</v>
      </c>
      <c r="N30" s="55">
        <f t="shared" ca="1" si="46"/>
        <v>164</v>
      </c>
      <c r="O30" s="55" t="str">
        <f t="shared" ca="1" si="47"/>
        <v>Over 90+ days</v>
      </c>
      <c r="P30" s="55" t="s">
        <v>110</v>
      </c>
      <c r="Q30" s="60">
        <v>46027</v>
      </c>
      <c r="R30" s="60">
        <v>46034</v>
      </c>
      <c r="S30" s="55" t="s">
        <v>111</v>
      </c>
      <c r="T30" s="55" t="s">
        <v>164</v>
      </c>
      <c r="U30" s="55" t="s">
        <v>113</v>
      </c>
      <c r="V30" s="55" t="s">
        <v>121</v>
      </c>
      <c r="W30" s="55" t="s">
        <v>165</v>
      </c>
      <c r="X30" s="55"/>
      <c r="Y30" s="55">
        <f>VLOOKUP(T30,'[1]Query result'!$J:$K,2,0)</f>
        <v>46034</v>
      </c>
      <c r="Z30" s="55">
        <f>VLOOKUP(T30,'[1]Query result'!$J:$W,14,0)</f>
        <v>0</v>
      </c>
      <c r="AA30" s="62">
        <f t="shared" si="41"/>
        <v>1.72</v>
      </c>
      <c r="AB30" s="54" t="str">
        <f>VLOOKUP(T30,'[2]Query result'!$J:$K,2,0)</f>
        <v>Outstanding</v>
      </c>
    </row>
    <row r="31" spans="1:28" hidden="1">
      <c r="A31" s="55" t="s">
        <v>58</v>
      </c>
      <c r="B31" s="55" t="s">
        <v>154</v>
      </c>
      <c r="C31" s="55" t="str">
        <f>VLOOKUP(B31,Validation!A:B,2,0)</f>
        <v>ME</v>
      </c>
      <c r="D31" s="55" t="str">
        <f>VLOOKUP(B31,Validation!A:D,4,0)</f>
        <v>Jerome Coelho</v>
      </c>
      <c r="E31" s="55" t="str">
        <f>VLOOKUP(B31,Validation!A:E,5,0)</f>
        <v>Ashraf Omran</v>
      </c>
      <c r="F31" s="55" t="s">
        <v>54</v>
      </c>
      <c r="G31" s="55">
        <f t="shared" si="48"/>
        <v>2025</v>
      </c>
      <c r="H31" s="55" t="s">
        <v>53</v>
      </c>
      <c r="I31" s="55" t="s">
        <v>109</v>
      </c>
      <c r="J31" s="66">
        <f>VLOOKUP(I31,'XE rates'!A:D,4,0)*K31</f>
        <v>2500</v>
      </c>
      <c r="K31" s="52">
        <v>2500</v>
      </c>
      <c r="L31" s="60">
        <v>45992</v>
      </c>
      <c r="M31" s="61" t="str">
        <f t="shared" si="45"/>
        <v>Dec</v>
      </c>
      <c r="N31" s="55">
        <f t="shared" ca="1" si="46"/>
        <v>164</v>
      </c>
      <c r="O31" s="55" t="str">
        <f t="shared" ca="1" si="47"/>
        <v>Over 90+ days</v>
      </c>
      <c r="P31" s="55" t="s">
        <v>110</v>
      </c>
      <c r="Q31" s="60">
        <v>46027</v>
      </c>
      <c r="R31" s="60">
        <v>46034</v>
      </c>
      <c r="S31" s="55" t="s">
        <v>129</v>
      </c>
      <c r="T31" s="55" t="s">
        <v>168</v>
      </c>
      <c r="U31" s="55" t="s">
        <v>113</v>
      </c>
      <c r="V31" s="55" t="s">
        <v>121</v>
      </c>
      <c r="W31" s="55" t="s">
        <v>55</v>
      </c>
      <c r="X31" s="55"/>
      <c r="Y31" s="55">
        <f>VLOOKUP(T31,'[1]Query result'!$J:$K,2,0)</f>
        <v>46034</v>
      </c>
      <c r="Z31" s="55">
        <f>VLOOKUP(T31,'[1]Query result'!$J:$W,14,0)</f>
        <v>0</v>
      </c>
      <c r="AA31" s="62">
        <f t="shared" si="41"/>
        <v>2500</v>
      </c>
      <c r="AB31" s="54" t="str">
        <f>VLOOKUP(T31,'[2]Query result'!$J:$K,2,0)</f>
        <v>Force Settlement</v>
      </c>
    </row>
    <row r="32" spans="1:28" hidden="1">
      <c r="A32" s="55" t="s">
        <v>58</v>
      </c>
      <c r="B32" s="55" t="s">
        <v>141</v>
      </c>
      <c r="C32" s="55" t="str">
        <f>VLOOKUP(B32,Validation!A:B,2,0)</f>
        <v>EU/UK</v>
      </c>
      <c r="D32" s="55" t="str">
        <f>VLOOKUP(B32,Validation!A:D,4,0)</f>
        <v>Sachli Zare</v>
      </c>
      <c r="E32" s="55" t="str">
        <f>VLOOKUP(B32,Validation!A:E,5,0)</f>
        <v>NA</v>
      </c>
      <c r="F32" s="55" t="s">
        <v>54</v>
      </c>
      <c r="G32" s="55">
        <f t="shared" si="48"/>
        <v>2025</v>
      </c>
      <c r="H32" s="55" t="s">
        <v>53</v>
      </c>
      <c r="I32" s="55" t="s">
        <v>109</v>
      </c>
      <c r="J32" s="66">
        <f>VLOOKUP(I32,'XE rates'!A:D,4,0)*K32</f>
        <v>2.5</v>
      </c>
      <c r="K32" s="52">
        <v>2.5</v>
      </c>
      <c r="L32" s="60">
        <v>45992</v>
      </c>
      <c r="M32" s="61" t="str">
        <f t="shared" si="45"/>
        <v>Dec</v>
      </c>
      <c r="N32" s="55">
        <f t="shared" ca="1" si="46"/>
        <v>164</v>
      </c>
      <c r="O32" s="55" t="str">
        <f t="shared" ca="1" si="47"/>
        <v>Over 90+ days</v>
      </c>
      <c r="P32" s="55" t="s">
        <v>110</v>
      </c>
      <c r="Q32" s="60">
        <v>46027</v>
      </c>
      <c r="R32" s="60">
        <v>46034</v>
      </c>
      <c r="S32" s="55" t="s">
        <v>111</v>
      </c>
      <c r="T32" s="55" t="s">
        <v>169</v>
      </c>
      <c r="U32" s="55" t="s">
        <v>113</v>
      </c>
      <c r="V32" s="55" t="s">
        <v>121</v>
      </c>
      <c r="W32" s="55" t="s">
        <v>143</v>
      </c>
      <c r="X32" s="55"/>
      <c r="Y32" s="55">
        <f>VLOOKUP(T32,'[1]Query result'!$J:$K,2,0)</f>
        <v>46034</v>
      </c>
      <c r="Z32" s="55">
        <f>VLOOKUP(T32,'[1]Query result'!$J:$W,14,0)</f>
        <v>0</v>
      </c>
      <c r="AA32" s="62">
        <f t="shared" si="41"/>
        <v>2.5</v>
      </c>
      <c r="AB32" s="54" t="str">
        <f>VLOOKUP(T32,'[2]Query result'!$J:$K,2,0)</f>
        <v>Outstanding</v>
      </c>
    </row>
    <row r="33" spans="1:28" hidden="1">
      <c r="A33" s="55" t="s">
        <v>58</v>
      </c>
      <c r="B33" s="55" t="s">
        <v>31</v>
      </c>
      <c r="C33" s="55" t="str">
        <f>VLOOKUP(B33,Validation!A:B,2,0)</f>
        <v>USA</v>
      </c>
      <c r="D33" s="55" t="str">
        <f>VLOOKUP(B33,Validation!A:D,4,0)</f>
        <v>Lia Susin</v>
      </c>
      <c r="E33" s="55" t="str">
        <f>VLOOKUP(B33,Validation!A:E,5,0)</f>
        <v>Christina Hutchinson</v>
      </c>
      <c r="F33" s="55" t="s">
        <v>54</v>
      </c>
      <c r="G33" s="55">
        <f t="shared" si="48"/>
        <v>2025</v>
      </c>
      <c r="H33" s="55" t="s">
        <v>53</v>
      </c>
      <c r="I33" s="55" t="s">
        <v>109</v>
      </c>
      <c r="J33" s="66">
        <f>VLOOKUP(I33,'XE rates'!A:D,4,0)*K33</f>
        <v>1659.6200000000001</v>
      </c>
      <c r="K33" s="52">
        <v>1659.6200000000001</v>
      </c>
      <c r="L33" s="60">
        <v>45992</v>
      </c>
      <c r="M33" s="61" t="str">
        <f t="shared" si="45"/>
        <v>Dec</v>
      </c>
      <c r="N33" s="55">
        <f t="shared" ca="1" si="46"/>
        <v>164</v>
      </c>
      <c r="O33" s="55" t="str">
        <f t="shared" ca="1" si="47"/>
        <v>Over 90+ days</v>
      </c>
      <c r="P33" s="55" t="s">
        <v>110</v>
      </c>
      <c r="Q33" s="60">
        <v>46027</v>
      </c>
      <c r="R33" s="60">
        <v>46034</v>
      </c>
      <c r="S33" s="55" t="s">
        <v>111</v>
      </c>
      <c r="T33" s="55" t="s">
        <v>170</v>
      </c>
      <c r="U33" s="55" t="s">
        <v>113</v>
      </c>
      <c r="V33" s="55" t="s">
        <v>121</v>
      </c>
      <c r="W33" s="55" t="s">
        <v>62</v>
      </c>
      <c r="X33" s="55"/>
      <c r="Y33" s="55">
        <f>VLOOKUP(T33,'[1]Query result'!$J:$K,2,0)</f>
        <v>46034</v>
      </c>
      <c r="Z33" s="55">
        <f>VLOOKUP(T33,'[1]Query result'!$J:$W,14,0)</f>
        <v>0</v>
      </c>
      <c r="AA33" s="62">
        <f t="shared" si="41"/>
        <v>1659.6200000000001</v>
      </c>
      <c r="AB33" s="54" t="str">
        <f>VLOOKUP(T33,'[2]Query result'!$J:$K,2,0)</f>
        <v>Outstanding</v>
      </c>
    </row>
    <row r="34" spans="1:28" hidden="1">
      <c r="A34" s="55" t="s">
        <v>58</v>
      </c>
      <c r="B34" s="55" t="s">
        <v>145</v>
      </c>
      <c r="C34" s="55" t="str">
        <f>VLOOKUP(B34,Validation!A:B,2,0)</f>
        <v>APAC</v>
      </c>
      <c r="D34" s="55" t="str">
        <f>VLOOKUP(B34,Validation!A:D,4,0)</f>
        <v>Shi Yin</v>
      </c>
      <c r="E34" s="55" t="str">
        <f>VLOOKUP(B34,Validation!A:E,5,0)</f>
        <v>Vinoth M</v>
      </c>
      <c r="F34" s="55" t="s">
        <v>54</v>
      </c>
      <c r="G34" s="55">
        <f t="shared" si="48"/>
        <v>2025</v>
      </c>
      <c r="H34" s="55" t="s">
        <v>53</v>
      </c>
      <c r="I34" s="55" t="s">
        <v>109</v>
      </c>
      <c r="J34" s="66">
        <f>VLOOKUP(I34,'XE rates'!A:D,4,0)*K34</f>
        <v>2034</v>
      </c>
      <c r="K34" s="52">
        <v>2034</v>
      </c>
      <c r="L34" s="60">
        <v>45992</v>
      </c>
      <c r="M34" s="61" t="str">
        <f t="shared" ref="M34:M35" si="49">TEXT(L34,"mmm")</f>
        <v>Dec</v>
      </c>
      <c r="N34" s="55">
        <f t="shared" ref="N34:N35" ca="1" si="50">$Y$1-R34</f>
        <v>164</v>
      </c>
      <c r="O34" s="55" t="str">
        <f t="shared" ref="O34:O35" ca="1" si="51">IF(N34&lt;=30, "0-30 days", IF(N34&lt;=60, "31-60 days", IF(N34&lt;=90, "61-90 days", "Over 90+ days")))</f>
        <v>Over 90+ days</v>
      </c>
      <c r="P34" s="55" t="s">
        <v>110</v>
      </c>
      <c r="Q34" s="60">
        <v>46027</v>
      </c>
      <c r="R34" s="60">
        <v>46034</v>
      </c>
      <c r="S34" s="55" t="s">
        <v>111</v>
      </c>
      <c r="T34" s="55" t="s">
        <v>171</v>
      </c>
      <c r="U34" s="55" t="s">
        <v>113</v>
      </c>
      <c r="V34" s="55" t="s">
        <v>113</v>
      </c>
      <c r="W34" s="55" t="s">
        <v>55</v>
      </c>
      <c r="X34" s="55"/>
      <c r="Y34" s="55">
        <f>VLOOKUP(T34,'[1]Query result'!$J:$K,2,0)</f>
        <v>46034</v>
      </c>
      <c r="Z34" s="55">
        <f>VLOOKUP(T34,'[1]Query result'!$J:$W,14,0)</f>
        <v>0</v>
      </c>
      <c r="AA34" s="62">
        <f t="shared" si="41"/>
        <v>2034</v>
      </c>
      <c r="AB34" s="54" t="str">
        <f>VLOOKUP(T34,'[2]Query result'!$J:$K,2,0)</f>
        <v>Outstanding</v>
      </c>
    </row>
    <row r="35" spans="1:28" hidden="1">
      <c r="A35" s="55" t="s">
        <v>58</v>
      </c>
      <c r="B35" s="55" t="s">
        <v>122</v>
      </c>
      <c r="C35" s="55" t="str">
        <f>VLOOKUP(B35,Validation!A:B,2,0)</f>
        <v>APAC</v>
      </c>
      <c r="D35" s="55" t="str">
        <f>VLOOKUP(B35,Validation!A:D,4,0)</f>
        <v>Hao Nguyen</v>
      </c>
      <c r="E35" s="55" t="str">
        <f>VLOOKUP(B35,Validation!A:E,5,0)</f>
        <v>NA</v>
      </c>
      <c r="F35" s="55" t="s">
        <v>54</v>
      </c>
      <c r="G35" s="55">
        <f t="shared" si="48"/>
        <v>2025</v>
      </c>
      <c r="H35" s="55" t="s">
        <v>53</v>
      </c>
      <c r="I35" s="55" t="s">
        <v>123</v>
      </c>
      <c r="J35" s="66">
        <f>VLOOKUP(I35,'XE rates'!A:D,4,0)*K35</f>
        <v>4867.0594895154618</v>
      </c>
      <c r="K35" s="52">
        <v>6796.5250000000005</v>
      </c>
      <c r="L35" s="60">
        <v>45992</v>
      </c>
      <c r="M35" s="61" t="str">
        <f t="shared" si="49"/>
        <v>Dec</v>
      </c>
      <c r="N35" s="55">
        <f t="shared" ca="1" si="50"/>
        <v>163</v>
      </c>
      <c r="O35" s="55" t="str">
        <f t="shared" ca="1" si="51"/>
        <v>Over 90+ days</v>
      </c>
      <c r="P35" s="55" t="s">
        <v>110</v>
      </c>
      <c r="Q35" s="60">
        <v>46028</v>
      </c>
      <c r="R35" s="60">
        <v>46035</v>
      </c>
      <c r="S35" s="55" t="s">
        <v>111</v>
      </c>
      <c r="T35" s="55" t="s">
        <v>172</v>
      </c>
      <c r="U35" s="55" t="s">
        <v>113</v>
      </c>
      <c r="V35" s="55" t="s">
        <v>113</v>
      </c>
      <c r="W35" s="55" t="s">
        <v>126</v>
      </c>
      <c r="X35" s="55"/>
      <c r="Y35" s="55">
        <f>VLOOKUP(T35,'[1]Query result'!$J:$K,2,0)</f>
        <v>46035</v>
      </c>
      <c r="Z35" s="55">
        <f>VLOOKUP(T35,'[1]Query result'!$J:$W,14,0)</f>
        <v>0</v>
      </c>
      <c r="AA35" s="62">
        <f t="shared" ref="AA35" si="52">K35-Z35</f>
        <v>6796.5250000000005</v>
      </c>
      <c r="AB35" s="54" t="str">
        <f>VLOOKUP(T35,'[2]Query result'!$J:$K,2,0)</f>
        <v>Outstanding</v>
      </c>
    </row>
    <row r="36" spans="1:28" hidden="1">
      <c r="A36" s="55" t="s">
        <v>58</v>
      </c>
      <c r="B36" s="55" t="s">
        <v>138</v>
      </c>
      <c r="C36" s="55" t="str">
        <f>VLOOKUP(B36,Validation!A:B,2,0)</f>
        <v>APAC</v>
      </c>
      <c r="D36" s="55" t="str">
        <f>VLOOKUP(B36,Validation!A:D,4,0)</f>
        <v>Hao Nguyen</v>
      </c>
      <c r="E36" s="55" t="str">
        <f>VLOOKUP(B36,Validation!A:E,5,0)</f>
        <v>Vinoth M</v>
      </c>
      <c r="F36" s="55" t="s">
        <v>54</v>
      </c>
      <c r="G36" s="55">
        <f t="shared" si="48"/>
        <v>2025</v>
      </c>
      <c r="H36" s="55" t="s">
        <v>53</v>
      </c>
      <c r="I36" s="55" t="s">
        <v>123</v>
      </c>
      <c r="J36" s="66">
        <f>VLOOKUP(I36,'XE rates'!A:D,4,0)*K36</f>
        <v>1592.8219804598018</v>
      </c>
      <c r="K36" s="68">
        <v>2224.27</v>
      </c>
      <c r="L36" s="60">
        <v>45992</v>
      </c>
      <c r="M36" s="61" t="str">
        <f t="shared" ref="M36" si="53">TEXT(L36,"mmm")</f>
        <v>Dec</v>
      </c>
      <c r="N36" s="55">
        <f ca="1">$Y$1-R36</f>
        <v>122</v>
      </c>
      <c r="O36" s="55" t="str">
        <f t="shared" ref="O36" ca="1" si="54">IF(N36&lt;=30, "0-30 days", IF(N36&lt;=60, "31-60 days", IF(N36&lt;=90, "61-90 days", "Over 90+ days")))</f>
        <v>Over 90+ days</v>
      </c>
      <c r="P36" s="55" t="s">
        <v>139</v>
      </c>
      <c r="Q36" s="60">
        <v>46045</v>
      </c>
      <c r="R36" s="60">
        <v>46076</v>
      </c>
      <c r="S36" s="55" t="s">
        <v>111</v>
      </c>
      <c r="T36" s="55" t="s">
        <v>173</v>
      </c>
      <c r="U36" s="55" t="s">
        <v>113</v>
      </c>
      <c r="V36" s="55" t="s">
        <v>121</v>
      </c>
      <c r="W36" s="55" t="s">
        <v>55</v>
      </c>
      <c r="X36" s="55"/>
      <c r="Y36" s="55"/>
      <c r="Z36" s="55"/>
      <c r="AA36" s="55"/>
      <c r="AB36" s="54" t="str">
        <f>VLOOKUP(T36,'[2]Query result'!$J:$K,2,0)</f>
        <v>Outstanding</v>
      </c>
    </row>
    <row r="37" spans="1:28" hidden="1">
      <c r="A37" s="55" t="s">
        <v>58</v>
      </c>
      <c r="B37" s="55" t="s">
        <v>138</v>
      </c>
      <c r="C37" s="55" t="str">
        <f>VLOOKUP(B37,Validation!A:B,2,0)</f>
        <v>APAC</v>
      </c>
      <c r="D37" s="55" t="str">
        <f>VLOOKUP(B37,Validation!A:D,4,0)</f>
        <v>Hao Nguyen</v>
      </c>
      <c r="E37" s="55" t="str">
        <f>VLOOKUP(B37,Validation!A:E,5,0)</f>
        <v>Vinoth M</v>
      </c>
      <c r="F37" s="55" t="s">
        <v>54</v>
      </c>
      <c r="G37" s="55">
        <f t="shared" ref="G37:G43" si="55">YEAR(L37)</f>
        <v>2026</v>
      </c>
      <c r="H37" s="55" t="s">
        <v>53</v>
      </c>
      <c r="I37" s="55" t="s">
        <v>123</v>
      </c>
      <c r="J37" s="66">
        <f>VLOOKUP(I37,'XE rates'!A:D,4,0)*K37</f>
        <v>3814.9750313587629</v>
      </c>
      <c r="K37" s="52">
        <v>5327.359000000004</v>
      </c>
      <c r="L37" s="60">
        <v>46023</v>
      </c>
      <c r="M37" s="61" t="str">
        <f t="shared" ref="M37:M39" si="56">TEXT(L37,"mmm")</f>
        <v>Jan</v>
      </c>
      <c r="N37" s="55">
        <f t="shared" ref="N37:N39" ca="1" si="57">$Y$1-R37</f>
        <v>131</v>
      </c>
      <c r="O37" s="55" t="str">
        <f t="shared" ref="O37:O39" ca="1" si="58">IF(N37&lt;=30, "0-30 days", IF(N37&lt;=60, "31-60 days", IF(N37&lt;=90, "61-90 days", "Over 90+ days")))</f>
        <v>Over 90+ days</v>
      </c>
      <c r="P37" s="55" t="s">
        <v>110</v>
      </c>
      <c r="Q37" s="60">
        <v>46060</v>
      </c>
      <c r="R37" s="60">
        <v>46067</v>
      </c>
      <c r="S37" s="55" t="s">
        <v>111</v>
      </c>
      <c r="T37" s="55" t="s">
        <v>180</v>
      </c>
      <c r="U37" s="55" t="s">
        <v>113</v>
      </c>
      <c r="V37" s="55" t="s">
        <v>121</v>
      </c>
      <c r="W37" s="55" t="s">
        <v>55</v>
      </c>
      <c r="X37" s="55"/>
      <c r="Y37" s="55"/>
      <c r="Z37" s="55"/>
      <c r="AA37" s="55"/>
      <c r="AB37" s="54" t="str">
        <f>VLOOKUP(T37,'[2]Query result'!$J:$K,2,0)</f>
        <v>Outstanding</v>
      </c>
    </row>
    <row r="38" spans="1:28" hidden="1">
      <c r="A38" s="55" t="s">
        <v>58</v>
      </c>
      <c r="B38" s="55" t="s">
        <v>182</v>
      </c>
      <c r="C38" s="55" t="str">
        <f>VLOOKUP(B38,Validation!A:B,2,0)</f>
        <v>APAC</v>
      </c>
      <c r="D38" s="55" t="str">
        <f>VLOOKUP(B38,Validation!A:D,4,0)</f>
        <v>NA</v>
      </c>
      <c r="E38" s="55" t="str">
        <f>VLOOKUP(B38,Validation!A:E,5,0)</f>
        <v>Wendy zhai</v>
      </c>
      <c r="F38" s="55" t="s">
        <v>54</v>
      </c>
      <c r="G38" s="55">
        <f t="shared" si="55"/>
        <v>2026</v>
      </c>
      <c r="H38" s="55" t="s">
        <v>53</v>
      </c>
      <c r="I38" s="55" t="s">
        <v>123</v>
      </c>
      <c r="J38" s="66">
        <f>VLOOKUP(I38,'XE rates'!A:D,4,0)*K38</f>
        <v>7131.2811382303735</v>
      </c>
      <c r="K38" s="52">
        <v>9958.36</v>
      </c>
      <c r="L38" s="60">
        <v>46023</v>
      </c>
      <c r="M38" s="61" t="str">
        <f t="shared" si="56"/>
        <v>Jan</v>
      </c>
      <c r="N38" s="55">
        <f t="shared" ca="1" si="57"/>
        <v>132</v>
      </c>
      <c r="O38" s="55" t="str">
        <f t="shared" ca="1" si="58"/>
        <v>Over 90+ days</v>
      </c>
      <c r="P38" s="55" t="s">
        <v>110</v>
      </c>
      <c r="Q38" s="60">
        <v>46059</v>
      </c>
      <c r="R38" s="60">
        <v>46066</v>
      </c>
      <c r="S38" s="55" t="s">
        <v>111</v>
      </c>
      <c r="T38" s="55" t="s">
        <v>183</v>
      </c>
      <c r="U38" s="55" t="s">
        <v>113</v>
      </c>
      <c r="V38" s="55" t="s">
        <v>121</v>
      </c>
      <c r="W38" s="55" t="s">
        <v>55</v>
      </c>
      <c r="X38" s="55"/>
      <c r="Y38" s="55"/>
      <c r="Z38" s="55"/>
      <c r="AA38" s="55"/>
      <c r="AB38" s="54" t="str">
        <f>VLOOKUP(T38,'[2]Query result'!$J:$K,2,0)</f>
        <v>Outstanding</v>
      </c>
    </row>
    <row r="39" spans="1:28" hidden="1">
      <c r="A39" s="55" t="s">
        <v>58</v>
      </c>
      <c r="B39" s="55" t="s">
        <v>163</v>
      </c>
      <c r="C39" s="55" t="str">
        <f>VLOOKUP(B39,Validation!A:B,2,0)</f>
        <v>APAC</v>
      </c>
      <c r="D39" s="55" t="str">
        <f>VLOOKUP(B39,Validation!A:D,4,0)</f>
        <v>NA</v>
      </c>
      <c r="E39" s="55" t="str">
        <f>VLOOKUP(B39,Validation!A:E,5,0)</f>
        <v>Denis Tan</v>
      </c>
      <c r="F39" s="55" t="s">
        <v>54</v>
      </c>
      <c r="G39" s="55">
        <f t="shared" si="55"/>
        <v>2026</v>
      </c>
      <c r="H39" s="55" t="s">
        <v>53</v>
      </c>
      <c r="I39" s="55" t="s">
        <v>109</v>
      </c>
      <c r="J39" s="66">
        <f>VLOOKUP(I39,'XE rates'!A:D,4,0)*K39</f>
        <v>14.19</v>
      </c>
      <c r="K39" s="52">
        <v>14.19</v>
      </c>
      <c r="L39" s="60">
        <v>46023</v>
      </c>
      <c r="M39" s="61" t="str">
        <f t="shared" si="56"/>
        <v>Jan</v>
      </c>
      <c r="N39" s="55">
        <f t="shared" ca="1" si="57"/>
        <v>132</v>
      </c>
      <c r="O39" s="55" t="str">
        <f t="shared" ca="1" si="58"/>
        <v>Over 90+ days</v>
      </c>
      <c r="P39" s="55" t="s">
        <v>110</v>
      </c>
      <c r="Q39" s="60">
        <v>46059</v>
      </c>
      <c r="R39" s="60">
        <v>46066</v>
      </c>
      <c r="S39" s="55" t="s">
        <v>111</v>
      </c>
      <c r="T39" s="55" t="s">
        <v>184</v>
      </c>
      <c r="U39" s="55" t="s">
        <v>113</v>
      </c>
      <c r="V39" s="55" t="s">
        <v>121</v>
      </c>
      <c r="W39" s="55" t="s">
        <v>165</v>
      </c>
      <c r="X39" s="55"/>
      <c r="Y39" s="55"/>
      <c r="Z39" s="55"/>
      <c r="AA39" s="55"/>
      <c r="AB39" s="54" t="str">
        <f>VLOOKUP(T39,'[2]Query result'!$J:$K,2,0)</f>
        <v>Outstanding</v>
      </c>
    </row>
    <row r="40" spans="1:28" hidden="1">
      <c r="A40" s="55" t="s">
        <v>58</v>
      </c>
      <c r="B40" s="55" t="s">
        <v>154</v>
      </c>
      <c r="C40" s="55" t="str">
        <f>VLOOKUP(B40,Validation!A:B,2,0)</f>
        <v>ME</v>
      </c>
      <c r="D40" s="55" t="str">
        <f>VLOOKUP(B40,Validation!A:D,4,0)</f>
        <v>Jerome Coelho</v>
      </c>
      <c r="E40" s="55" t="str">
        <f>VLOOKUP(B40,Validation!A:E,5,0)</f>
        <v>Ashraf Omran</v>
      </c>
      <c r="F40" s="55" t="s">
        <v>54</v>
      </c>
      <c r="G40" s="55">
        <f t="shared" si="55"/>
        <v>2026</v>
      </c>
      <c r="H40" s="55" t="s">
        <v>53</v>
      </c>
      <c r="I40" s="55" t="s">
        <v>109</v>
      </c>
      <c r="J40" s="66">
        <f>VLOOKUP(I40,'XE rates'!A:D,4,0)*K40</f>
        <v>2500</v>
      </c>
      <c r="K40" s="52">
        <v>2500</v>
      </c>
      <c r="L40" s="60">
        <v>46023</v>
      </c>
      <c r="M40" s="61" t="str">
        <f t="shared" ref="M40:M44" si="59">TEXT(L40,"mmm")</f>
        <v>Jan</v>
      </c>
      <c r="N40" s="55">
        <f t="shared" ref="N40:N44" ca="1" si="60">$Y$1-R40</f>
        <v>136</v>
      </c>
      <c r="O40" s="55" t="str">
        <f t="shared" ref="O40:O44" ca="1" si="61">IF(N40&lt;=30, "0-30 days", IF(N40&lt;=60, "31-60 days", IF(N40&lt;=90, "61-90 days", "Over 90+ days")))</f>
        <v>Over 90+ days</v>
      </c>
      <c r="P40" s="55" t="s">
        <v>110</v>
      </c>
      <c r="Q40" s="60">
        <v>46055</v>
      </c>
      <c r="R40" s="60">
        <v>46062</v>
      </c>
      <c r="S40" s="55" t="s">
        <v>129</v>
      </c>
      <c r="T40" s="55" t="s">
        <v>185</v>
      </c>
      <c r="U40" s="55" t="s">
        <v>113</v>
      </c>
      <c r="V40" s="55" t="s">
        <v>121</v>
      </c>
      <c r="W40" s="55" t="s">
        <v>55</v>
      </c>
      <c r="X40" s="55"/>
      <c r="Y40" s="55"/>
      <c r="Z40" s="55"/>
      <c r="AA40" s="55"/>
      <c r="AB40" s="54" t="str">
        <f>VLOOKUP(T40,'[2]Query result'!$J:$K,2,0)</f>
        <v>Force Settlement</v>
      </c>
    </row>
    <row r="41" spans="1:28" hidden="1">
      <c r="A41" s="55" t="s">
        <v>58</v>
      </c>
      <c r="B41" s="55" t="s">
        <v>145</v>
      </c>
      <c r="C41" s="55" t="str">
        <f>VLOOKUP(B41,Validation!A:B,2,0)</f>
        <v>APAC</v>
      </c>
      <c r="D41" s="55" t="str">
        <f>VLOOKUP(B41,Validation!A:D,4,0)</f>
        <v>Shi Yin</v>
      </c>
      <c r="E41" s="55" t="str">
        <f>VLOOKUP(B41,Validation!A:E,5,0)</f>
        <v>Vinoth M</v>
      </c>
      <c r="F41" s="55" t="s">
        <v>54</v>
      </c>
      <c r="G41" s="55">
        <f t="shared" si="55"/>
        <v>2026</v>
      </c>
      <c r="H41" s="55" t="s">
        <v>53</v>
      </c>
      <c r="I41" s="55" t="s">
        <v>109</v>
      </c>
      <c r="J41" s="66">
        <f>VLOOKUP(I41,'XE rates'!A:D,4,0)*K41</f>
        <v>2965</v>
      </c>
      <c r="K41" s="52">
        <v>2965</v>
      </c>
      <c r="L41" s="60">
        <v>46023</v>
      </c>
      <c r="M41" s="61" t="str">
        <f t="shared" si="59"/>
        <v>Jan</v>
      </c>
      <c r="N41" s="55">
        <f t="shared" ca="1" si="60"/>
        <v>133</v>
      </c>
      <c r="O41" s="55" t="str">
        <f t="shared" ca="1" si="61"/>
        <v>Over 90+ days</v>
      </c>
      <c r="P41" s="55" t="s">
        <v>110</v>
      </c>
      <c r="Q41" s="60">
        <v>46058</v>
      </c>
      <c r="R41" s="60">
        <v>46065</v>
      </c>
      <c r="S41" s="55" t="s">
        <v>111</v>
      </c>
      <c r="T41" s="55" t="s">
        <v>186</v>
      </c>
      <c r="U41" s="55" t="s">
        <v>113</v>
      </c>
      <c r="V41" s="55" t="s">
        <v>113</v>
      </c>
      <c r="W41" s="55" t="s">
        <v>55</v>
      </c>
      <c r="X41" s="55"/>
      <c r="Y41" s="55"/>
      <c r="Z41" s="55"/>
      <c r="AA41" s="55"/>
      <c r="AB41" s="54" t="str">
        <f>VLOOKUP(T41,'[2]Query result'!$J:$K,2,0)</f>
        <v>Outstanding</v>
      </c>
    </row>
    <row r="42" spans="1:28" hidden="1">
      <c r="A42" s="55" t="s">
        <v>58</v>
      </c>
      <c r="B42" s="55" t="s">
        <v>76</v>
      </c>
      <c r="C42" s="55" t="str">
        <f>VLOOKUP(B42,Validation!A:B,2,0)</f>
        <v>USA</v>
      </c>
      <c r="D42" s="55" t="str">
        <f>VLOOKUP(B42,Validation!A:D,4,0)</f>
        <v>Tanu Arora</v>
      </c>
      <c r="E42" s="55" t="str">
        <f>VLOOKUP(B42,Validation!A:E,5,0)</f>
        <v>Michael Bermingham</v>
      </c>
      <c r="F42" s="55" t="s">
        <v>54</v>
      </c>
      <c r="G42" s="55">
        <f t="shared" si="55"/>
        <v>2026</v>
      </c>
      <c r="H42" s="55" t="s">
        <v>53</v>
      </c>
      <c r="I42" s="55" t="s">
        <v>187</v>
      </c>
      <c r="J42" s="66">
        <f>VLOOKUP(I42,'XE rates'!A:D,4,0)*K42</f>
        <v>265.36476326938953</v>
      </c>
      <c r="K42" s="52">
        <v>362.5</v>
      </c>
      <c r="L42" s="60">
        <v>46023</v>
      </c>
      <c r="M42" s="61" t="str">
        <f t="shared" si="59"/>
        <v>Jan</v>
      </c>
      <c r="N42" s="55">
        <f t="shared" ca="1" si="60"/>
        <v>134</v>
      </c>
      <c r="O42" s="55" t="str">
        <f t="shared" ca="1" si="61"/>
        <v>Over 90+ days</v>
      </c>
      <c r="P42" s="55" t="s">
        <v>110</v>
      </c>
      <c r="Q42" s="60">
        <v>46057</v>
      </c>
      <c r="R42" s="60">
        <v>46064</v>
      </c>
      <c r="S42" s="55" t="s">
        <v>111</v>
      </c>
      <c r="T42" s="55" t="s">
        <v>188</v>
      </c>
      <c r="U42" s="55" t="s">
        <v>113</v>
      </c>
      <c r="V42" s="55" t="s">
        <v>121</v>
      </c>
      <c r="W42" s="55" t="s">
        <v>55</v>
      </c>
      <c r="X42" s="55"/>
      <c r="Y42" s="55"/>
      <c r="Z42" s="55"/>
      <c r="AA42" s="55"/>
      <c r="AB42" s="54" t="str">
        <f>VLOOKUP(T42,'[2]Query result'!$J:$K,2,0)</f>
        <v>Outstanding</v>
      </c>
    </row>
    <row r="43" spans="1:28" hidden="1">
      <c r="A43" s="55" t="s">
        <v>58</v>
      </c>
      <c r="B43" s="55" t="s">
        <v>77</v>
      </c>
      <c r="C43" s="55" t="str">
        <f>VLOOKUP(B43,Validation!A:B,2,0)</f>
        <v>USA</v>
      </c>
      <c r="D43" s="55" t="str">
        <f>VLOOKUP(B43,Validation!A:D,4,0)</f>
        <v>Tanu Arora</v>
      </c>
      <c r="E43" s="55" t="str">
        <f>VLOOKUP(B43,Validation!A:E,5,0)</f>
        <v>Michael Bermingham</v>
      </c>
      <c r="F43" s="55" t="s">
        <v>54</v>
      </c>
      <c r="G43" s="55">
        <f t="shared" si="55"/>
        <v>2026</v>
      </c>
      <c r="H43" s="55" t="s">
        <v>53</v>
      </c>
      <c r="I43" s="55" t="s">
        <v>109</v>
      </c>
      <c r="J43" s="66">
        <f>VLOOKUP(I43,'XE rates'!A:D,4,0)*K43</f>
        <v>36.32</v>
      </c>
      <c r="K43" s="52">
        <v>36.32</v>
      </c>
      <c r="L43" s="60">
        <v>46023</v>
      </c>
      <c r="M43" s="61" t="str">
        <f t="shared" si="59"/>
        <v>Jan</v>
      </c>
      <c r="N43" s="55">
        <f t="shared" ca="1" si="60"/>
        <v>134</v>
      </c>
      <c r="O43" s="55" t="str">
        <f t="shared" ca="1" si="61"/>
        <v>Over 90+ days</v>
      </c>
      <c r="P43" s="55" t="s">
        <v>110</v>
      </c>
      <c r="Q43" s="60">
        <v>46057</v>
      </c>
      <c r="R43" s="60">
        <v>46064</v>
      </c>
      <c r="S43" s="55" t="s">
        <v>111</v>
      </c>
      <c r="T43" s="55" t="s">
        <v>189</v>
      </c>
      <c r="U43" s="55" t="s">
        <v>113</v>
      </c>
      <c r="V43" s="55" t="s">
        <v>121</v>
      </c>
      <c r="W43" s="55" t="s">
        <v>55</v>
      </c>
      <c r="X43" s="55"/>
      <c r="Y43" s="55"/>
      <c r="Z43" s="55"/>
      <c r="AA43" s="55"/>
      <c r="AB43" s="54" t="str">
        <f>VLOOKUP(T43,'[2]Query result'!$J:$K,2,0)</f>
        <v>Outstanding</v>
      </c>
    </row>
    <row r="44" spans="1:28" hidden="1">
      <c r="A44" s="55" t="s">
        <v>58</v>
      </c>
      <c r="B44" s="55" t="s">
        <v>122</v>
      </c>
      <c r="C44" s="55" t="str">
        <f>VLOOKUP(B44,Validation!A:B,2,0)</f>
        <v>APAC</v>
      </c>
      <c r="D44" s="55" t="str">
        <f>VLOOKUP(B44,Validation!A:D,4,0)</f>
        <v>Hao Nguyen</v>
      </c>
      <c r="E44" s="55" t="str">
        <f>VLOOKUP(B44,Validation!A:E,5,0)</f>
        <v>NA</v>
      </c>
      <c r="F44" s="55" t="s">
        <v>54</v>
      </c>
      <c r="G44" s="55">
        <f t="shared" ref="G44:G45" si="62">YEAR(L44)</f>
        <v>2026</v>
      </c>
      <c r="H44" s="55" t="s">
        <v>53</v>
      </c>
      <c r="I44" s="55" t="s">
        <v>123</v>
      </c>
      <c r="J44" s="66">
        <f>VLOOKUP(I44,'XE rates'!A:D,4,0)*K44</f>
        <v>5080.012699530087</v>
      </c>
      <c r="K44" s="52">
        <v>7093.9</v>
      </c>
      <c r="L44" s="60">
        <v>46023</v>
      </c>
      <c r="M44" s="61" t="str">
        <f t="shared" si="59"/>
        <v>Jan</v>
      </c>
      <c r="N44" s="55">
        <f t="shared" ca="1" si="60"/>
        <v>132</v>
      </c>
      <c r="O44" s="55" t="str">
        <f t="shared" ca="1" si="61"/>
        <v>Over 90+ days</v>
      </c>
      <c r="P44" s="55" t="s">
        <v>110</v>
      </c>
      <c r="Q44" s="60">
        <v>46059</v>
      </c>
      <c r="R44" s="60">
        <v>46066</v>
      </c>
      <c r="S44" s="55" t="s">
        <v>111</v>
      </c>
      <c r="T44" s="55" t="s">
        <v>193</v>
      </c>
      <c r="U44" s="55" t="s">
        <v>113</v>
      </c>
      <c r="V44" s="55" t="s">
        <v>113</v>
      </c>
      <c r="W44" s="55" t="s">
        <v>126</v>
      </c>
      <c r="X44" s="55"/>
      <c r="Y44" s="55"/>
      <c r="Z44" s="55"/>
      <c r="AA44" s="55"/>
      <c r="AB44" s="54" t="str">
        <f>VLOOKUP(T44,'[2]Query result'!$J:$K,2,0)</f>
        <v>Outstanding</v>
      </c>
    </row>
    <row r="45" spans="1:28" hidden="1">
      <c r="A45" s="55" t="s">
        <v>58</v>
      </c>
      <c r="B45" s="55" t="s">
        <v>138</v>
      </c>
      <c r="C45" s="55" t="str">
        <f>VLOOKUP(B45,Validation!A:B,2,0)</f>
        <v>APAC</v>
      </c>
      <c r="D45" s="55" t="str">
        <f>VLOOKUP(B45,Validation!A:D,4,0)</f>
        <v>Hao Nguyen</v>
      </c>
      <c r="E45" s="55" t="str">
        <f>VLOOKUP(B45,Validation!A:E,5,0)</f>
        <v>Vinoth M</v>
      </c>
      <c r="F45" s="55" t="s">
        <v>54</v>
      </c>
      <c r="G45" s="55">
        <f t="shared" si="62"/>
        <v>2026</v>
      </c>
      <c r="H45" s="55" t="s">
        <v>53</v>
      </c>
      <c r="I45" s="55" t="s">
        <v>123</v>
      </c>
      <c r="J45" s="66">
        <f>VLOOKUP(I45,'XE rates'!A:D,4,0)*K45</f>
        <v>39.758426969355433</v>
      </c>
      <c r="K45" s="56">
        <v>55.52</v>
      </c>
      <c r="L45" s="60">
        <v>46023</v>
      </c>
      <c r="M45" s="61" t="str">
        <f t="shared" ref="M45" si="63">TEXT(L45,"mmm")</f>
        <v>Jan</v>
      </c>
      <c r="N45" s="55">
        <f t="shared" ref="N45" ca="1" si="64">$Y$1-R45</f>
        <v>97</v>
      </c>
      <c r="O45" s="55" t="str">
        <f t="shared" ref="O45" ca="1" si="65">IF(N45&lt;=30, "0-30 days", IF(N45&lt;=60, "31-60 days", IF(N45&lt;=90, "61-90 days", "Over 90+ days")))</f>
        <v>Over 90+ days</v>
      </c>
      <c r="P45" s="55" t="s">
        <v>139</v>
      </c>
      <c r="Q45" s="60">
        <v>46073</v>
      </c>
      <c r="R45" s="60">
        <v>46101</v>
      </c>
      <c r="S45" s="55" t="s">
        <v>111</v>
      </c>
      <c r="T45" s="55" t="s">
        <v>194</v>
      </c>
      <c r="U45" s="55" t="s">
        <v>113</v>
      </c>
      <c r="V45" s="55" t="s">
        <v>121</v>
      </c>
      <c r="W45" s="55" t="s">
        <v>55</v>
      </c>
      <c r="X45" s="55"/>
      <c r="Y45" s="55"/>
      <c r="Z45" s="55"/>
      <c r="AA45" s="55"/>
      <c r="AB45" s="54" t="str">
        <f>VLOOKUP(T45,'[2]Query result'!$J:$K,2,0)</f>
        <v>Outstanding</v>
      </c>
    </row>
    <row r="46" spans="1:28" hidden="1">
      <c r="A46" s="55" t="s">
        <v>52</v>
      </c>
      <c r="B46" s="55" t="s">
        <v>196</v>
      </c>
      <c r="C46" s="55" t="str">
        <f>VLOOKUP(B46,Validation!A:B,2,0)</f>
        <v>APAC</v>
      </c>
      <c r="D46" s="55" t="str">
        <f>VLOOKUP(B46,Validation!A:D,4,0)</f>
        <v>Hao Nguyen</v>
      </c>
      <c r="E46" s="55" t="str">
        <f>VLOOKUP(B46,Validation!A:E,5,0)</f>
        <v>Vinoth M</v>
      </c>
      <c r="F46" s="55" t="s">
        <v>54</v>
      </c>
      <c r="G46" s="55">
        <f t="shared" ref="G46:G47" si="66">YEAR(L46)</f>
        <v>2026</v>
      </c>
      <c r="H46" s="55" t="s">
        <v>53</v>
      </c>
      <c r="I46" s="55" t="s">
        <v>123</v>
      </c>
      <c r="J46" s="66">
        <f>VLOOKUP(I46,'XE rates'!A:D,4,0)*K46</f>
        <v>1531.2221986171514</v>
      </c>
      <c r="K46" s="69">
        <v>2138.25</v>
      </c>
      <c r="L46" s="60">
        <v>46054</v>
      </c>
      <c r="M46" s="61" t="str">
        <f t="shared" ref="M46:M62" si="67">TEXT(L46,"mmm")</f>
        <v>Feb</v>
      </c>
      <c r="N46" s="55">
        <f t="shared" ref="N46:N49" ca="1" si="68">$Y$1-R46</f>
        <v>107</v>
      </c>
      <c r="O46" s="55" t="str">
        <f t="shared" ref="O46:O49" ca="1" si="69">IF(N46&lt;=30, "0-30 days", IF(N46&lt;=60, "31-60 days", IF(N46&lt;=90, "61-90 days", "Over 90+ days")))</f>
        <v>Over 90+ days</v>
      </c>
      <c r="P46" s="55" t="s">
        <v>110</v>
      </c>
      <c r="Q46" s="60">
        <v>46084</v>
      </c>
      <c r="R46" s="60">
        <v>46091</v>
      </c>
      <c r="S46" s="55" t="s">
        <v>111</v>
      </c>
      <c r="T46" s="55" t="s">
        <v>197</v>
      </c>
      <c r="U46" s="55" t="s">
        <v>113</v>
      </c>
      <c r="V46" s="55" t="s">
        <v>121</v>
      </c>
      <c r="W46" s="55" t="s">
        <v>55</v>
      </c>
      <c r="X46" s="55"/>
      <c r="Y46" s="55"/>
      <c r="Z46" s="55"/>
      <c r="AA46" s="55"/>
      <c r="AB46" s="54" t="str">
        <f>VLOOKUP(T46,'[2]Query result'!$J:$K,2,0)</f>
        <v>Overdue</v>
      </c>
    </row>
    <row r="47" spans="1:28" hidden="1">
      <c r="A47" s="55" t="s">
        <v>58</v>
      </c>
      <c r="B47" s="55" t="s">
        <v>138</v>
      </c>
      <c r="C47" s="55" t="str">
        <f>VLOOKUP(B47,Validation!A:B,2,0)</f>
        <v>APAC</v>
      </c>
      <c r="D47" s="55" t="str">
        <f>VLOOKUP(B47,Validation!A:D,4,0)</f>
        <v>Hao Nguyen</v>
      </c>
      <c r="E47" s="55" t="str">
        <f>VLOOKUP(B47,Validation!A:E,5,0)</f>
        <v>Vinoth M</v>
      </c>
      <c r="F47" s="55" t="s">
        <v>54</v>
      </c>
      <c r="G47" s="55">
        <f t="shared" si="66"/>
        <v>2026</v>
      </c>
      <c r="H47" s="55" t="s">
        <v>53</v>
      </c>
      <c r="I47" s="55" t="s">
        <v>123</v>
      </c>
      <c r="J47" s="66">
        <f>VLOOKUP(I47,'XE rates'!A:D,4,0)*K47</f>
        <v>2755.5003180449307</v>
      </c>
      <c r="K47" s="69">
        <v>3847.8729999999996</v>
      </c>
      <c r="L47" s="60">
        <v>46054</v>
      </c>
      <c r="M47" s="61" t="str">
        <f t="shared" si="67"/>
        <v>Feb</v>
      </c>
      <c r="N47" s="55">
        <f t="shared" ca="1" si="68"/>
        <v>83</v>
      </c>
      <c r="O47" s="55" t="str">
        <f t="shared" ca="1" si="69"/>
        <v>61-90 days</v>
      </c>
      <c r="P47" s="55" t="s">
        <v>110</v>
      </c>
      <c r="Q47" s="60">
        <v>46085</v>
      </c>
      <c r="R47" s="60">
        <v>46115</v>
      </c>
      <c r="S47" s="55" t="s">
        <v>151</v>
      </c>
      <c r="T47" s="55" t="s">
        <v>217</v>
      </c>
      <c r="U47" s="55" t="s">
        <v>113</v>
      </c>
      <c r="V47" s="55" t="s">
        <v>121</v>
      </c>
      <c r="W47" s="55" t="s">
        <v>55</v>
      </c>
      <c r="X47" s="55"/>
      <c r="Y47" s="55"/>
      <c r="Z47" s="55"/>
      <c r="AA47" s="55"/>
      <c r="AB47" s="54" t="str">
        <f>VLOOKUP(T47,'[2]Query result'!$J:$K,2,0)</f>
        <v>Outstanding</v>
      </c>
    </row>
    <row r="48" spans="1:28" hidden="1">
      <c r="A48" s="55" t="s">
        <v>58</v>
      </c>
      <c r="B48" s="55" t="s">
        <v>182</v>
      </c>
      <c r="C48" s="55" t="str">
        <f>VLOOKUP(B48,Validation!A:B,2,0)</f>
        <v>APAC</v>
      </c>
      <c r="D48" s="55" t="str">
        <f>VLOOKUP(B48,Validation!A:D,4,0)</f>
        <v>NA</v>
      </c>
      <c r="E48" s="55" t="str">
        <f>VLOOKUP(B48,Validation!A:E,5,0)</f>
        <v>Wendy zhai</v>
      </c>
      <c r="F48" s="55" t="s">
        <v>54</v>
      </c>
      <c r="G48" s="55">
        <f t="shared" ref="G48:G63" si="70">YEAR(L48)</f>
        <v>2026</v>
      </c>
      <c r="H48" s="55" t="s">
        <v>53</v>
      </c>
      <c r="I48" s="55" t="s">
        <v>123</v>
      </c>
      <c r="J48" s="66">
        <f>VLOOKUP(I48,'XE rates'!A:D,4,0)*K48</f>
        <v>3550.9817975002243</v>
      </c>
      <c r="K48" s="69">
        <v>4958.71</v>
      </c>
      <c r="L48" s="60">
        <v>46054</v>
      </c>
      <c r="M48" s="61" t="str">
        <f t="shared" si="67"/>
        <v>Feb</v>
      </c>
      <c r="N48" s="55">
        <f t="shared" ca="1" si="68"/>
        <v>107</v>
      </c>
      <c r="O48" s="55" t="str">
        <f t="shared" ca="1" si="69"/>
        <v>Over 90+ days</v>
      </c>
      <c r="P48" s="55" t="s">
        <v>110</v>
      </c>
      <c r="Q48" s="60">
        <v>46084</v>
      </c>
      <c r="R48" s="60">
        <v>46091</v>
      </c>
      <c r="S48" s="55" t="s">
        <v>111</v>
      </c>
      <c r="T48" s="55" t="s">
        <v>222</v>
      </c>
      <c r="U48" s="55" t="s">
        <v>113</v>
      </c>
      <c r="V48" s="55" t="s">
        <v>121</v>
      </c>
      <c r="W48" s="55" t="s">
        <v>55</v>
      </c>
      <c r="X48" s="55"/>
      <c r="Y48" s="55"/>
      <c r="Z48" s="55"/>
      <c r="AA48" s="55"/>
      <c r="AB48" s="54" t="str">
        <f>VLOOKUP(T48,'[2]Query result'!$J:$K,2,0)</f>
        <v>Outstanding</v>
      </c>
    </row>
    <row r="49" spans="1:28" hidden="1">
      <c r="A49" s="55" t="s">
        <v>58</v>
      </c>
      <c r="B49" s="55" t="s">
        <v>163</v>
      </c>
      <c r="C49" s="55" t="str">
        <f>VLOOKUP(B49,Validation!A:B,2,0)</f>
        <v>APAC</v>
      </c>
      <c r="D49" s="55" t="str">
        <f>VLOOKUP(B49,Validation!A:D,4,0)</f>
        <v>NA</v>
      </c>
      <c r="E49" s="55" t="str">
        <f>VLOOKUP(B49,Validation!A:E,5,0)</f>
        <v>Denis Tan</v>
      </c>
      <c r="F49" s="55" t="s">
        <v>54</v>
      </c>
      <c r="G49" s="55">
        <f t="shared" si="70"/>
        <v>2026</v>
      </c>
      <c r="H49" s="55" t="s">
        <v>53</v>
      </c>
      <c r="I49" s="55" t="s">
        <v>109</v>
      </c>
      <c r="J49" s="66">
        <f>VLOOKUP(I49,'XE rates'!A:D,4,0)*K49</f>
        <v>6.88</v>
      </c>
      <c r="K49" s="69">
        <v>6.88</v>
      </c>
      <c r="L49" s="60">
        <v>46054</v>
      </c>
      <c r="M49" s="61" t="str">
        <f t="shared" si="67"/>
        <v>Feb</v>
      </c>
      <c r="N49" s="55">
        <f t="shared" ca="1" si="68"/>
        <v>106</v>
      </c>
      <c r="O49" s="55" t="str">
        <f t="shared" ca="1" si="69"/>
        <v>Over 90+ days</v>
      </c>
      <c r="P49" s="55" t="s">
        <v>110</v>
      </c>
      <c r="Q49" s="60">
        <v>46085</v>
      </c>
      <c r="R49" s="60">
        <v>46092</v>
      </c>
      <c r="S49" s="55" t="s">
        <v>111</v>
      </c>
      <c r="T49" s="55" t="s">
        <v>223</v>
      </c>
      <c r="U49" s="55" t="s">
        <v>113</v>
      </c>
      <c r="V49" s="55" t="s">
        <v>121</v>
      </c>
      <c r="W49" s="55" t="s">
        <v>165</v>
      </c>
      <c r="X49" s="55"/>
      <c r="Y49" s="55"/>
      <c r="Z49" s="55"/>
      <c r="AA49" s="55"/>
      <c r="AB49" s="54" t="str">
        <f>VLOOKUP(T49,'[2]Query result'!$J:$K,2,0)</f>
        <v>Outstanding</v>
      </c>
    </row>
    <row r="50" spans="1:28" hidden="1">
      <c r="A50" s="55" t="s">
        <v>58</v>
      </c>
      <c r="B50" s="55" t="s">
        <v>154</v>
      </c>
      <c r="C50" s="55" t="str">
        <f>VLOOKUP(B50,Validation!A:B,2,0)</f>
        <v>ME</v>
      </c>
      <c r="D50" s="55" t="str">
        <f>VLOOKUP(B50,Validation!A:D,4,0)</f>
        <v>Jerome Coelho</v>
      </c>
      <c r="E50" s="55" t="str">
        <f>VLOOKUP(B50,Validation!A:E,5,0)</f>
        <v>Ashraf Omran</v>
      </c>
      <c r="F50" s="55" t="s">
        <v>54</v>
      </c>
      <c r="G50" s="55">
        <f t="shared" si="70"/>
        <v>2026</v>
      </c>
      <c r="H50" s="55" t="s">
        <v>53</v>
      </c>
      <c r="I50" s="55" t="s">
        <v>109</v>
      </c>
      <c r="J50" s="66">
        <f>VLOOKUP(I50,'XE rates'!A:D,4,0)*K50</f>
        <v>2500</v>
      </c>
      <c r="K50" s="69">
        <v>2500</v>
      </c>
      <c r="L50" s="60">
        <v>46054</v>
      </c>
      <c r="M50" s="61" t="str">
        <f t="shared" si="67"/>
        <v>Feb</v>
      </c>
      <c r="N50" s="55">
        <f t="shared" ref="N50" ca="1" si="71">$Y$1-R50</f>
        <v>108</v>
      </c>
      <c r="O50" s="55" t="str">
        <f t="shared" ref="O50" ca="1" si="72">IF(N50&lt;=30, "0-30 days", IF(N50&lt;=60, "31-60 days", IF(N50&lt;=90, "61-90 days", "Over 90+ days")))</f>
        <v>Over 90+ days</v>
      </c>
      <c r="P50" s="55" t="s">
        <v>110</v>
      </c>
      <c r="Q50" s="60">
        <v>46083</v>
      </c>
      <c r="R50" s="60">
        <v>46090</v>
      </c>
      <c r="S50" s="55" t="s">
        <v>129</v>
      </c>
      <c r="T50" s="55" t="s">
        <v>229</v>
      </c>
      <c r="U50" s="55" t="s">
        <v>113</v>
      </c>
      <c r="V50" s="55" t="s">
        <v>121</v>
      </c>
      <c r="W50" s="55" t="s">
        <v>55</v>
      </c>
      <c r="X50" s="55"/>
      <c r="Y50" s="55"/>
      <c r="Z50" s="55"/>
      <c r="AA50" s="55"/>
      <c r="AB50" s="54" t="str">
        <f>VLOOKUP(T50,'[2]Query result'!$J:$K,2,0)</f>
        <v>Force Settlement</v>
      </c>
    </row>
    <row r="51" spans="1:28" hidden="1">
      <c r="A51" s="55" t="s">
        <v>58</v>
      </c>
      <c r="B51" s="55" t="s">
        <v>141</v>
      </c>
      <c r="C51" s="55" t="str">
        <f>VLOOKUP(B51,Validation!A:B,2,0)</f>
        <v>EU/UK</v>
      </c>
      <c r="D51" s="55" t="str">
        <f>VLOOKUP(B51,Validation!A:D,4,0)</f>
        <v>Sachli Zare</v>
      </c>
      <c r="E51" s="55" t="str">
        <f>VLOOKUP(B51,Validation!A:E,5,0)</f>
        <v>NA</v>
      </c>
      <c r="F51" s="55" t="s">
        <v>54</v>
      </c>
      <c r="G51" s="55">
        <f t="shared" si="70"/>
        <v>2026</v>
      </c>
      <c r="H51" s="55" t="s">
        <v>53</v>
      </c>
      <c r="I51" s="55" t="s">
        <v>109</v>
      </c>
      <c r="J51" s="66">
        <f>VLOOKUP(I51,'XE rates'!A:D,4,0)*K51</f>
        <v>89.8</v>
      </c>
      <c r="K51" s="69">
        <v>89.8</v>
      </c>
      <c r="L51" s="60">
        <v>46054</v>
      </c>
      <c r="M51" s="61" t="str">
        <f t="shared" si="67"/>
        <v>Feb</v>
      </c>
      <c r="N51" s="55">
        <f t="shared" ref="N51:N56" ca="1" si="73">$Y$1-R51</f>
        <v>106</v>
      </c>
      <c r="O51" s="55" t="str">
        <f t="shared" ref="O51:O56" ca="1" si="74">IF(N51&lt;=30, "0-30 days", IF(N51&lt;=60, "31-60 days", IF(N51&lt;=90, "61-90 days", "Over 90+ days")))</f>
        <v>Over 90+ days</v>
      </c>
      <c r="P51" s="55" t="s">
        <v>110</v>
      </c>
      <c r="Q51" s="60">
        <v>46085</v>
      </c>
      <c r="R51" s="60">
        <v>46092</v>
      </c>
      <c r="S51" s="55" t="s">
        <v>111</v>
      </c>
      <c r="T51" s="55" t="s">
        <v>230</v>
      </c>
      <c r="U51" s="55" t="s">
        <v>113</v>
      </c>
      <c r="V51" s="55" t="s">
        <v>121</v>
      </c>
      <c r="W51" s="55" t="s">
        <v>143</v>
      </c>
      <c r="X51" s="55"/>
      <c r="Y51" s="55"/>
      <c r="Z51" s="55"/>
      <c r="AA51" s="55"/>
      <c r="AB51" s="54" t="str">
        <f>VLOOKUP(T51,'[2]Query result'!$J:$K,2,0)</f>
        <v>Partially Paid</v>
      </c>
    </row>
    <row r="52" spans="1:28" hidden="1">
      <c r="A52" s="55" t="s">
        <v>58</v>
      </c>
      <c r="B52" s="55" t="s">
        <v>31</v>
      </c>
      <c r="C52" s="55" t="str">
        <f>VLOOKUP(B52,Validation!A:B,2,0)</f>
        <v>USA</v>
      </c>
      <c r="D52" s="55" t="str">
        <f>VLOOKUP(B52,Validation!A:D,4,0)</f>
        <v>Lia Susin</v>
      </c>
      <c r="E52" s="55" t="str">
        <f>VLOOKUP(B52,Validation!A:E,5,0)</f>
        <v>Christina Hutchinson</v>
      </c>
      <c r="F52" s="55" t="s">
        <v>54</v>
      </c>
      <c r="G52" s="55">
        <f t="shared" si="70"/>
        <v>2026</v>
      </c>
      <c r="H52" s="55" t="s">
        <v>53</v>
      </c>
      <c r="I52" s="55" t="s">
        <v>109</v>
      </c>
      <c r="J52" s="66">
        <f>VLOOKUP(I52,'XE rates'!A:D,4,0)*K52</f>
        <v>608.9699999999998</v>
      </c>
      <c r="K52" s="69">
        <v>608.9699999999998</v>
      </c>
      <c r="L52" s="60">
        <v>46054</v>
      </c>
      <c r="M52" s="61" t="str">
        <f t="shared" si="67"/>
        <v>Feb</v>
      </c>
      <c r="N52" s="55">
        <f t="shared" ca="1" si="73"/>
        <v>107</v>
      </c>
      <c r="O52" s="55" t="str">
        <f t="shared" ca="1" si="74"/>
        <v>Over 90+ days</v>
      </c>
      <c r="P52" s="55" t="s">
        <v>110</v>
      </c>
      <c r="Q52" s="60">
        <v>46084</v>
      </c>
      <c r="R52" s="60">
        <v>46091</v>
      </c>
      <c r="S52" s="55" t="s">
        <v>111</v>
      </c>
      <c r="T52" s="55" t="s">
        <v>232</v>
      </c>
      <c r="U52" s="55" t="s">
        <v>113</v>
      </c>
      <c r="V52" s="55" t="s">
        <v>121</v>
      </c>
      <c r="W52" s="55" t="s">
        <v>62</v>
      </c>
      <c r="X52" s="55"/>
      <c r="Y52" s="55"/>
      <c r="Z52" s="55"/>
      <c r="AA52" s="55"/>
      <c r="AB52" s="54" t="str">
        <f>VLOOKUP(T52,'[2]Query result'!$J:$K,2,0)</f>
        <v>Outstanding</v>
      </c>
    </row>
    <row r="53" spans="1:28" hidden="1">
      <c r="A53" s="55" t="s">
        <v>58</v>
      </c>
      <c r="B53" s="55" t="s">
        <v>145</v>
      </c>
      <c r="C53" s="55" t="str">
        <f>VLOOKUP(B53,Validation!A:B,2,0)</f>
        <v>APAC</v>
      </c>
      <c r="D53" s="55" t="str">
        <f>VLOOKUP(B53,Validation!A:D,4,0)</f>
        <v>Shi Yin</v>
      </c>
      <c r="E53" s="55" t="str">
        <f>VLOOKUP(B53,Validation!A:E,5,0)</f>
        <v>Vinoth M</v>
      </c>
      <c r="F53" s="55" t="s">
        <v>54</v>
      </c>
      <c r="G53" s="55">
        <f t="shared" si="70"/>
        <v>2026</v>
      </c>
      <c r="H53" s="55" t="s">
        <v>53</v>
      </c>
      <c r="I53" s="55" t="s">
        <v>109</v>
      </c>
      <c r="J53" s="66">
        <f>VLOOKUP(I53,'XE rates'!A:D,4,0)*K53</f>
        <v>2963.5</v>
      </c>
      <c r="K53" s="69">
        <v>2963.5</v>
      </c>
      <c r="L53" s="60">
        <v>46054</v>
      </c>
      <c r="M53" s="61" t="str">
        <f t="shared" si="67"/>
        <v>Feb</v>
      </c>
      <c r="N53" s="55">
        <f t="shared" ca="1" si="73"/>
        <v>107</v>
      </c>
      <c r="O53" s="55" t="str">
        <f t="shared" ca="1" si="74"/>
        <v>Over 90+ days</v>
      </c>
      <c r="P53" s="55" t="s">
        <v>110</v>
      </c>
      <c r="Q53" s="60">
        <v>46084</v>
      </c>
      <c r="R53" s="60">
        <v>46091</v>
      </c>
      <c r="S53" s="55" t="s">
        <v>111</v>
      </c>
      <c r="T53" s="55" t="s">
        <v>238</v>
      </c>
      <c r="U53" s="55" t="s">
        <v>113</v>
      </c>
      <c r="V53" s="55" t="s">
        <v>113</v>
      </c>
      <c r="W53" s="55" t="s">
        <v>55</v>
      </c>
      <c r="X53" s="55"/>
      <c r="Y53" s="55"/>
      <c r="Z53" s="55"/>
      <c r="AA53" s="55"/>
      <c r="AB53" s="54" t="str">
        <f>VLOOKUP(T53,'[2]Query result'!$J:$K,2,0)</f>
        <v>Outstanding</v>
      </c>
    </row>
    <row r="54" spans="1:28" hidden="1">
      <c r="A54" s="55" t="s">
        <v>58</v>
      </c>
      <c r="B54" s="55" t="s">
        <v>76</v>
      </c>
      <c r="C54" s="55" t="str">
        <f>VLOOKUP(B54,Validation!A:B,2,0)</f>
        <v>USA</v>
      </c>
      <c r="D54" s="55" t="str">
        <f>VLOOKUP(B54,Validation!A:D,4,0)</f>
        <v>Tanu Arora</v>
      </c>
      <c r="E54" s="55" t="str">
        <f>VLOOKUP(B54,Validation!A:E,5,0)</f>
        <v>Michael Bermingham</v>
      </c>
      <c r="F54" s="55" t="s">
        <v>54</v>
      </c>
      <c r="G54" s="55">
        <f t="shared" si="70"/>
        <v>2026</v>
      </c>
      <c r="H54" s="55" t="s">
        <v>53</v>
      </c>
      <c r="I54" s="55" t="s">
        <v>187</v>
      </c>
      <c r="J54" s="66">
        <f>VLOOKUP(I54,'XE rates'!A:D,4,0)*K54</f>
        <v>1020.4296930153743</v>
      </c>
      <c r="K54" s="69">
        <v>1393.95208</v>
      </c>
      <c r="L54" s="60">
        <v>46054</v>
      </c>
      <c r="M54" s="61" t="str">
        <f t="shared" si="67"/>
        <v>Feb</v>
      </c>
      <c r="N54" s="55">
        <f t="shared" ca="1" si="73"/>
        <v>106</v>
      </c>
      <c r="O54" s="55" t="str">
        <f t="shared" ca="1" si="74"/>
        <v>Over 90+ days</v>
      </c>
      <c r="P54" s="55" t="s">
        <v>110</v>
      </c>
      <c r="Q54" s="60">
        <v>46085</v>
      </c>
      <c r="R54" s="60">
        <v>46092</v>
      </c>
      <c r="S54" s="55" t="s">
        <v>111</v>
      </c>
      <c r="T54" s="55" t="s">
        <v>239</v>
      </c>
      <c r="U54" s="55" t="s">
        <v>113</v>
      </c>
      <c r="V54" s="55" t="s">
        <v>121</v>
      </c>
      <c r="W54" s="55" t="s">
        <v>55</v>
      </c>
      <c r="X54" s="55"/>
      <c r="Y54" s="55"/>
      <c r="Z54" s="55"/>
      <c r="AA54" s="55"/>
      <c r="AB54" s="54" t="str">
        <f>VLOOKUP(T54,'[2]Query result'!$J:$K,2,0)</f>
        <v>Outstanding</v>
      </c>
    </row>
    <row r="55" spans="1:28" hidden="1">
      <c r="A55" s="55" t="s">
        <v>58</v>
      </c>
      <c r="B55" s="55" t="s">
        <v>77</v>
      </c>
      <c r="C55" s="55" t="str">
        <f>VLOOKUP(B55,Validation!A:B,2,0)</f>
        <v>USA</v>
      </c>
      <c r="D55" s="55" t="str">
        <f>VLOOKUP(B55,Validation!A:D,4,0)</f>
        <v>Tanu Arora</v>
      </c>
      <c r="E55" s="55" t="str">
        <f>VLOOKUP(B55,Validation!A:E,5,0)</f>
        <v>Michael Bermingham</v>
      </c>
      <c r="F55" s="55" t="s">
        <v>54</v>
      </c>
      <c r="G55" s="55">
        <f t="shared" si="70"/>
        <v>2026</v>
      </c>
      <c r="H55" s="55" t="s">
        <v>53</v>
      </c>
      <c r="I55" s="55" t="s">
        <v>109</v>
      </c>
      <c r="J55" s="66">
        <f>VLOOKUP(I55,'XE rates'!A:D,4,0)*K55</f>
        <v>43.5</v>
      </c>
      <c r="K55" s="69">
        <v>43.5</v>
      </c>
      <c r="L55" s="60">
        <v>46054</v>
      </c>
      <c r="M55" s="61" t="str">
        <f t="shared" si="67"/>
        <v>Feb</v>
      </c>
      <c r="N55" s="55">
        <f t="shared" ca="1" si="73"/>
        <v>106</v>
      </c>
      <c r="O55" s="55" t="str">
        <f t="shared" ca="1" si="74"/>
        <v>Over 90+ days</v>
      </c>
      <c r="P55" s="55" t="s">
        <v>110</v>
      </c>
      <c r="Q55" s="60">
        <v>46085</v>
      </c>
      <c r="R55" s="60">
        <v>46092</v>
      </c>
      <c r="S55" s="55" t="s">
        <v>111</v>
      </c>
      <c r="T55" s="55" t="s">
        <v>240</v>
      </c>
      <c r="U55" s="55" t="s">
        <v>113</v>
      </c>
      <c r="V55" s="55" t="s">
        <v>121</v>
      </c>
      <c r="W55" s="55" t="s">
        <v>55</v>
      </c>
      <c r="X55" s="55"/>
      <c r="Y55" s="55"/>
      <c r="Z55" s="55"/>
      <c r="AA55" s="55"/>
      <c r="AB55" s="54" t="str">
        <f>VLOOKUP(T55,'[2]Query result'!$J:$K,2,0)</f>
        <v>Outstanding</v>
      </c>
    </row>
    <row r="56" spans="1:28" hidden="1">
      <c r="A56" s="55" t="s">
        <v>58</v>
      </c>
      <c r="B56" s="55" t="s">
        <v>724</v>
      </c>
      <c r="C56" s="55" t="str">
        <f>VLOOKUP(B56,Validation!A:B,2,0)</f>
        <v>APAC</v>
      </c>
      <c r="D56" s="55" t="str">
        <f>VLOOKUP(B56,Validation!A:D,4,0)</f>
        <v>NA</v>
      </c>
      <c r="E56" s="55" t="str">
        <f>VLOOKUP(B56,Validation!A:E,5,0)</f>
        <v>Vinoth M</v>
      </c>
      <c r="F56" s="55" t="s">
        <v>54</v>
      </c>
      <c r="G56" s="55">
        <f t="shared" si="70"/>
        <v>2026</v>
      </c>
      <c r="H56" s="55" t="s">
        <v>53</v>
      </c>
      <c r="I56" s="55" t="s">
        <v>123</v>
      </c>
      <c r="J56" s="66">
        <f>VLOOKUP(I56,'XE rates'!A:D,4,0)*K56</f>
        <v>7774.8062248971883</v>
      </c>
      <c r="K56" s="68">
        <v>10857</v>
      </c>
      <c r="L56" s="60">
        <v>46082</v>
      </c>
      <c r="M56" s="61" t="str">
        <f t="shared" si="67"/>
        <v>Mar</v>
      </c>
      <c r="N56" s="55">
        <f t="shared" ca="1" si="73"/>
        <v>99</v>
      </c>
      <c r="O56" s="55" t="str">
        <f t="shared" ca="1" si="74"/>
        <v>Over 90+ days</v>
      </c>
      <c r="P56" s="55" t="s">
        <v>842</v>
      </c>
      <c r="Q56" s="60">
        <v>46092</v>
      </c>
      <c r="R56" s="60">
        <v>46099</v>
      </c>
      <c r="S56" s="55" t="s">
        <v>111</v>
      </c>
      <c r="T56" s="55" t="s">
        <v>841</v>
      </c>
      <c r="U56" s="55" t="s">
        <v>113</v>
      </c>
      <c r="V56" s="55" t="s">
        <v>121</v>
      </c>
      <c r="W56" s="55" t="s">
        <v>55</v>
      </c>
      <c r="X56" s="55"/>
      <c r="Y56" s="55"/>
      <c r="Z56" s="55"/>
      <c r="AA56" s="55"/>
      <c r="AB56" s="54" t="str">
        <f>VLOOKUP(T56,'[2]Query result'!$J:$K,2,0)</f>
        <v>Outstanding</v>
      </c>
    </row>
    <row r="57" spans="1:28" s="14" customFormat="1" hidden="1">
      <c r="A57" s="55" t="s">
        <v>52</v>
      </c>
      <c r="B57" s="55" t="s">
        <v>196</v>
      </c>
      <c r="C57" s="55" t="str">
        <f>VLOOKUP(B57,Validation!A:B,2,0)</f>
        <v>APAC</v>
      </c>
      <c r="D57" s="55" t="str">
        <f>VLOOKUP(B57,Validation!A:D,4,0)</f>
        <v>Hao Nguyen</v>
      </c>
      <c r="E57" s="55" t="str">
        <f>VLOOKUP(B57,Validation!A:E,5,0)</f>
        <v>Vinoth M</v>
      </c>
      <c r="F57" s="55" t="s">
        <v>54</v>
      </c>
      <c r="G57" s="55">
        <f t="shared" si="70"/>
        <v>2026</v>
      </c>
      <c r="H57" s="55" t="s">
        <v>53</v>
      </c>
      <c r="I57" s="55" t="s">
        <v>123</v>
      </c>
      <c r="J57" s="66">
        <f>VLOOKUP(I57,'XE rates'!A:D,4,0)*K57</f>
        <v>1561.9433174389337</v>
      </c>
      <c r="K57" s="52">
        <v>2181.15</v>
      </c>
      <c r="L57" s="60">
        <v>46082</v>
      </c>
      <c r="M57" s="61" t="str">
        <f t="shared" si="67"/>
        <v>Mar</v>
      </c>
      <c r="N57" s="55">
        <f t="shared" ref="N57:N71" ca="1" si="75">$Y$1-R57</f>
        <v>77</v>
      </c>
      <c r="O57" s="55" t="str">
        <f t="shared" ref="O57:O71" ca="1" si="76">IF(N57&lt;=30, "0-30 days", IF(N57&lt;=60, "31-60 days", IF(N57&lt;=90, "61-90 days", "Over 90+ days")))</f>
        <v>61-90 days</v>
      </c>
      <c r="P57" s="55" t="s">
        <v>110</v>
      </c>
      <c r="Q57" s="60">
        <v>46114</v>
      </c>
      <c r="R57" s="60">
        <v>46121</v>
      </c>
      <c r="S57" s="55" t="s">
        <v>848</v>
      </c>
      <c r="T57" s="55" t="s">
        <v>852</v>
      </c>
      <c r="U57" s="55" t="s">
        <v>113</v>
      </c>
      <c r="V57" s="55" t="s">
        <v>121</v>
      </c>
      <c r="W57" s="55" t="s">
        <v>55</v>
      </c>
      <c r="X57" s="55"/>
      <c r="Y57" s="55"/>
      <c r="Z57" s="55"/>
      <c r="AA57" s="55"/>
      <c r="AB57" s="54" t="str">
        <f>VLOOKUP(T57,'[2]Query result'!$J:$K,2,0)</f>
        <v>Overdue</v>
      </c>
    </row>
    <row r="58" spans="1:28" s="14" customFormat="1" hidden="1">
      <c r="A58" s="55" t="s">
        <v>52</v>
      </c>
      <c r="B58" s="55" t="s">
        <v>757</v>
      </c>
      <c r="C58" s="55" t="str">
        <f>VLOOKUP(B58,Validation!A:B,2,0)</f>
        <v>APAC</v>
      </c>
      <c r="D58" s="55" t="str">
        <f>VLOOKUP(B58,Validation!A:D,4,0)</f>
        <v>NA</v>
      </c>
      <c r="E58" s="55" t="str">
        <f>VLOOKUP(B58,Validation!A:E,5,0)</f>
        <v>Rohit Bammi</v>
      </c>
      <c r="F58" s="55" t="s">
        <v>54</v>
      </c>
      <c r="G58" s="55">
        <f t="shared" si="70"/>
        <v>2026</v>
      </c>
      <c r="H58" s="55" t="s">
        <v>53</v>
      </c>
      <c r="I58" s="55" t="s">
        <v>109</v>
      </c>
      <c r="J58" s="66">
        <f>VLOOKUP(I58,'XE rates'!A:D,4,0)*K58</f>
        <v>42</v>
      </c>
      <c r="K58" s="52">
        <v>42</v>
      </c>
      <c r="L58" s="60">
        <v>46082</v>
      </c>
      <c r="M58" s="61" t="str">
        <f t="shared" si="67"/>
        <v>Mar</v>
      </c>
      <c r="N58" s="55">
        <f t="shared" ca="1" si="75"/>
        <v>77</v>
      </c>
      <c r="O58" s="55" t="str">
        <f t="shared" ca="1" si="76"/>
        <v>61-90 days</v>
      </c>
      <c r="P58" s="55" t="s">
        <v>110</v>
      </c>
      <c r="Q58" s="60">
        <v>46114</v>
      </c>
      <c r="R58" s="60">
        <v>46121</v>
      </c>
      <c r="S58" s="55" t="s">
        <v>848</v>
      </c>
      <c r="T58" s="55" t="s">
        <v>853</v>
      </c>
      <c r="U58" s="55" t="s">
        <v>113</v>
      </c>
      <c r="V58" s="55" t="s">
        <v>121</v>
      </c>
      <c r="W58" s="55" t="s">
        <v>55</v>
      </c>
      <c r="X58" s="55"/>
      <c r="Y58" s="55"/>
      <c r="Z58" s="55"/>
      <c r="AA58" s="55"/>
      <c r="AB58" s="54" t="str">
        <f>VLOOKUP(T58,'[2]Query result'!$J:$K,2,0)</f>
        <v>Overdue</v>
      </c>
    </row>
    <row r="59" spans="1:28" s="14" customFormat="1" hidden="1">
      <c r="A59" s="55" t="s">
        <v>52</v>
      </c>
      <c r="B59" s="55" t="s">
        <v>72</v>
      </c>
      <c r="C59" s="55" t="str">
        <f>VLOOKUP(B59,Validation!A:B,2,0)</f>
        <v>Shared Centre</v>
      </c>
      <c r="D59" s="55" t="str">
        <f>VLOOKUP(B59,Validation!A:D,4,0)</f>
        <v>Bhavani</v>
      </c>
      <c r="E59" s="55" t="str">
        <f>VLOOKUP(B59,Validation!A:E,5,0)</f>
        <v>NA</v>
      </c>
      <c r="F59" s="55" t="s">
        <v>54</v>
      </c>
      <c r="G59" s="55">
        <f t="shared" si="70"/>
        <v>2026</v>
      </c>
      <c r="H59" s="55" t="s">
        <v>53</v>
      </c>
      <c r="I59" s="55" t="s">
        <v>109</v>
      </c>
      <c r="J59" s="66">
        <f>VLOOKUP(I59,'XE rates'!A:D,4,0)*K59</f>
        <v>2125.9</v>
      </c>
      <c r="K59" s="52">
        <v>2125.9</v>
      </c>
      <c r="L59" s="60">
        <v>46082</v>
      </c>
      <c r="M59" s="61" t="str">
        <f t="shared" si="67"/>
        <v>Mar</v>
      </c>
      <c r="N59" s="55">
        <f t="shared" ca="1" si="75"/>
        <v>70</v>
      </c>
      <c r="O59" s="55" t="str">
        <f t="shared" ca="1" si="76"/>
        <v>61-90 days</v>
      </c>
      <c r="P59" s="55" t="s">
        <v>110</v>
      </c>
      <c r="Q59" s="60">
        <v>46113</v>
      </c>
      <c r="R59" s="60">
        <v>46128</v>
      </c>
      <c r="S59" s="55" t="s">
        <v>848</v>
      </c>
      <c r="T59" s="55" t="s">
        <v>854</v>
      </c>
      <c r="U59" s="55" t="s">
        <v>113</v>
      </c>
      <c r="V59" s="55" t="s">
        <v>121</v>
      </c>
      <c r="W59" s="55" t="s">
        <v>55</v>
      </c>
      <c r="X59" s="55"/>
      <c r="Y59" s="55"/>
      <c r="Z59" s="55"/>
      <c r="AA59" s="55"/>
      <c r="AB59" s="54" t="str">
        <f>VLOOKUP(T59,'[2]Query result'!$J:$K,2,0)</f>
        <v>Overdue</v>
      </c>
    </row>
    <row r="60" spans="1:28" s="14" customFormat="1" hidden="1">
      <c r="A60" s="55" t="s">
        <v>52</v>
      </c>
      <c r="B60" s="55" t="s">
        <v>208</v>
      </c>
      <c r="C60" s="55" t="str">
        <f>VLOOKUP(B60,Validation!A:B,2,0)</f>
        <v>ME</v>
      </c>
      <c r="D60" s="55" t="str">
        <f>VLOOKUP(B60,Validation!A:D,4,0)</f>
        <v>Jerome Coelho</v>
      </c>
      <c r="E60" s="55" t="str">
        <f>VLOOKUP(B60,Validation!A:E,5,0)</f>
        <v>Rohit Bammi</v>
      </c>
      <c r="F60" s="55" t="s">
        <v>54</v>
      </c>
      <c r="G60" s="55">
        <f t="shared" si="70"/>
        <v>2026</v>
      </c>
      <c r="H60" s="55" t="s">
        <v>53</v>
      </c>
      <c r="I60" s="55" t="s">
        <v>109</v>
      </c>
      <c r="J60" s="66">
        <f>VLOOKUP(I60,'XE rates'!A:D,4,0)*K60</f>
        <v>2235.75</v>
      </c>
      <c r="K60" s="52">
        <v>2235.75</v>
      </c>
      <c r="L60" s="60">
        <v>46082</v>
      </c>
      <c r="M60" s="61" t="str">
        <f t="shared" si="67"/>
        <v>Mar</v>
      </c>
      <c r="N60" s="55">
        <f t="shared" ca="1" si="75"/>
        <v>77</v>
      </c>
      <c r="O60" s="55" t="str">
        <f t="shared" ca="1" si="76"/>
        <v>61-90 days</v>
      </c>
      <c r="P60" s="55" t="s">
        <v>110</v>
      </c>
      <c r="Q60" s="60">
        <v>46114</v>
      </c>
      <c r="R60" s="60">
        <v>46121</v>
      </c>
      <c r="S60" s="55" t="s">
        <v>848</v>
      </c>
      <c r="T60" s="55" t="s">
        <v>855</v>
      </c>
      <c r="U60" s="55" t="s">
        <v>113</v>
      </c>
      <c r="V60" s="55" t="s">
        <v>121</v>
      </c>
      <c r="W60" s="55" t="s">
        <v>55</v>
      </c>
      <c r="X60" s="55"/>
      <c r="Y60" s="55"/>
      <c r="Z60" s="55"/>
      <c r="AA60" s="55"/>
      <c r="AB60" s="54" t="str">
        <f>VLOOKUP(T60,'[2]Query result'!$J:$K,2,0)</f>
        <v>Overdue</v>
      </c>
    </row>
    <row r="61" spans="1:28" s="14" customFormat="1" hidden="1">
      <c r="A61" s="55" t="s">
        <v>52</v>
      </c>
      <c r="B61" s="55" t="s">
        <v>849</v>
      </c>
      <c r="C61" s="55" t="str">
        <f>VLOOKUP(B61,Validation!A:B,2,0)</f>
        <v>Shared Centre</v>
      </c>
      <c r="D61" s="55" t="str">
        <f>VLOOKUP(B61,Validation!A:D,4,0)</f>
        <v xml:space="preserve">Mrinal </v>
      </c>
      <c r="E61" s="55" t="str">
        <f>VLOOKUP(B61,Validation!A:E,5,0)</f>
        <v>Michael Bermingham</v>
      </c>
      <c r="F61" s="55" t="s">
        <v>54</v>
      </c>
      <c r="G61" s="55">
        <f t="shared" si="70"/>
        <v>2026</v>
      </c>
      <c r="H61" s="55" t="s">
        <v>66</v>
      </c>
      <c r="I61" s="55" t="s">
        <v>109</v>
      </c>
      <c r="J61" s="66">
        <f>VLOOKUP(I61,'XE rates'!A:D,4,0)*K61</f>
        <v>2000</v>
      </c>
      <c r="K61" s="52">
        <v>2000</v>
      </c>
      <c r="L61" s="60">
        <v>46082</v>
      </c>
      <c r="M61" s="61" t="str">
        <f t="shared" si="67"/>
        <v>Mar</v>
      </c>
      <c r="N61" s="55">
        <f t="shared" ca="1" si="75"/>
        <v>79</v>
      </c>
      <c r="O61" s="55" t="str">
        <f t="shared" ca="1" si="76"/>
        <v>61-90 days</v>
      </c>
      <c r="P61" s="55" t="s">
        <v>110</v>
      </c>
      <c r="Q61" s="60">
        <v>46114</v>
      </c>
      <c r="R61" s="60">
        <v>46119</v>
      </c>
      <c r="S61" s="55" t="s">
        <v>129</v>
      </c>
      <c r="T61" s="55" t="s">
        <v>856</v>
      </c>
      <c r="U61" s="55" t="s">
        <v>113</v>
      </c>
      <c r="V61" s="55" t="s">
        <v>121</v>
      </c>
      <c r="W61" s="55" t="s">
        <v>55</v>
      </c>
      <c r="X61" s="55"/>
      <c r="Y61" s="55"/>
      <c r="Z61" s="55"/>
      <c r="AA61" s="55"/>
      <c r="AB61" s="54" t="str">
        <f>VLOOKUP(T61,'[2]Query result'!$J:$K,2,0)</f>
        <v>Force Settlement</v>
      </c>
    </row>
    <row r="62" spans="1:28" s="14" customFormat="1" hidden="1">
      <c r="A62" s="55" t="s">
        <v>52</v>
      </c>
      <c r="B62" s="55" t="s">
        <v>179</v>
      </c>
      <c r="C62" s="55" t="str">
        <f>VLOOKUP(B62,Validation!A:B,2,0)</f>
        <v>APAC</v>
      </c>
      <c r="D62" s="55" t="str">
        <f>VLOOKUP(B62,Validation!A:D,4,0)</f>
        <v>XiaoXiao</v>
      </c>
      <c r="E62" s="55" t="str">
        <f>VLOOKUP(B62,Validation!A:E,5,0)</f>
        <v>NA</v>
      </c>
      <c r="F62" s="55" t="s">
        <v>54</v>
      </c>
      <c r="G62" s="55">
        <f t="shared" si="70"/>
        <v>2026</v>
      </c>
      <c r="H62" s="55" t="s">
        <v>53</v>
      </c>
      <c r="I62" s="55" t="s">
        <v>109</v>
      </c>
      <c r="J62" s="66">
        <f>VLOOKUP(I62,'XE rates'!A:D,4,0)*K62</f>
        <v>60745.5</v>
      </c>
      <c r="K62" s="52">
        <v>60745.5</v>
      </c>
      <c r="L62" s="60">
        <v>46082</v>
      </c>
      <c r="M62" s="61" t="str">
        <f t="shared" si="67"/>
        <v>Mar</v>
      </c>
      <c r="N62" s="55">
        <f t="shared" ca="1" si="75"/>
        <v>72</v>
      </c>
      <c r="O62" s="55" t="str">
        <f t="shared" ca="1" si="76"/>
        <v>61-90 days</v>
      </c>
      <c r="P62" s="55" t="s">
        <v>110</v>
      </c>
      <c r="Q62" s="60">
        <v>46114</v>
      </c>
      <c r="R62" s="60">
        <v>46126</v>
      </c>
      <c r="S62" s="55" t="s">
        <v>848</v>
      </c>
      <c r="T62" s="55" t="s">
        <v>857</v>
      </c>
      <c r="U62" s="55" t="s">
        <v>113</v>
      </c>
      <c r="V62" s="55" t="s">
        <v>121</v>
      </c>
      <c r="W62" s="55" t="s">
        <v>55</v>
      </c>
      <c r="X62" s="55"/>
      <c r="Y62" s="55"/>
      <c r="Z62" s="55"/>
      <c r="AA62" s="55"/>
      <c r="AB62" s="54" t="str">
        <f>VLOOKUP(T62,'[2]Query result'!$J:$K,2,0)</f>
        <v>Overdue</v>
      </c>
    </row>
    <row r="63" spans="1:28" s="14" customFormat="1" hidden="1">
      <c r="A63" s="55" t="s">
        <v>58</v>
      </c>
      <c r="B63" s="55" t="s">
        <v>772</v>
      </c>
      <c r="C63" s="55" t="str">
        <f>VLOOKUP(B63,Validation!A:B,2,0)</f>
        <v>ME</v>
      </c>
      <c r="D63" s="55" t="str">
        <f>VLOOKUP(B63,Validation!A:D,4,0)</f>
        <v>Jerome Coelho</v>
      </c>
      <c r="E63" s="55" t="str">
        <f>VLOOKUP(B63,Validation!A:E,5,0)</f>
        <v>Saikat Roy</v>
      </c>
      <c r="F63" s="55" t="s">
        <v>54</v>
      </c>
      <c r="G63" s="55">
        <f t="shared" si="70"/>
        <v>2026</v>
      </c>
      <c r="H63" s="55" t="s">
        <v>53</v>
      </c>
      <c r="I63" s="55" t="s">
        <v>109</v>
      </c>
      <c r="J63" s="66">
        <f>VLOOKUP(I63,'XE rates'!A:D,4,0)*K63</f>
        <v>3000</v>
      </c>
      <c r="K63" s="52">
        <v>3000</v>
      </c>
      <c r="L63" s="60">
        <v>46082</v>
      </c>
      <c r="M63" s="61" t="str">
        <f t="shared" ref="M63:M75" si="77">TEXT(L63,"mmm")</f>
        <v>Mar</v>
      </c>
      <c r="N63" s="55">
        <f t="shared" ca="1" si="75"/>
        <v>77</v>
      </c>
      <c r="O63" s="55" t="str">
        <f t="shared" ca="1" si="76"/>
        <v>61-90 days</v>
      </c>
      <c r="P63" s="55" t="s">
        <v>110</v>
      </c>
      <c r="Q63" s="60">
        <v>46114</v>
      </c>
      <c r="R63" s="60">
        <v>46121</v>
      </c>
      <c r="S63" s="55" t="s">
        <v>129</v>
      </c>
      <c r="T63" s="55" t="s">
        <v>858</v>
      </c>
      <c r="U63" s="55" t="s">
        <v>113</v>
      </c>
      <c r="V63" s="55" t="s">
        <v>121</v>
      </c>
      <c r="W63" s="55" t="s">
        <v>879</v>
      </c>
      <c r="X63" s="55"/>
      <c r="Y63" s="55"/>
      <c r="Z63" s="55"/>
      <c r="AA63" s="55"/>
      <c r="AB63" s="54" t="str">
        <f>VLOOKUP(T63,'[2]Query result'!$J:$K,2,0)</f>
        <v>Force Settlement</v>
      </c>
    </row>
    <row r="64" spans="1:28" s="14" customFormat="1" hidden="1">
      <c r="A64" s="55" t="s">
        <v>58</v>
      </c>
      <c r="B64" s="55" t="s">
        <v>138</v>
      </c>
      <c r="C64" s="55" t="str">
        <f>VLOOKUP(B64,Validation!A:B,2,0)</f>
        <v>APAC</v>
      </c>
      <c r="D64" s="55" t="str">
        <f>VLOOKUP(B64,Validation!A:D,4,0)</f>
        <v>Hao Nguyen</v>
      </c>
      <c r="E64" s="55" t="str">
        <f>VLOOKUP(B64,Validation!A:E,5,0)</f>
        <v>Vinoth M</v>
      </c>
      <c r="F64" s="55" t="s">
        <v>54</v>
      </c>
      <c r="G64" s="55">
        <f t="shared" ref="G64:G77" si="78">YEAR(L64)</f>
        <v>2026</v>
      </c>
      <c r="H64" s="55" t="s">
        <v>53</v>
      </c>
      <c r="I64" s="55" t="s">
        <v>123</v>
      </c>
      <c r="J64" s="66">
        <f>VLOOKUP(I64,'XE rates'!A:D,4,0)*K64</f>
        <v>1475.2030619721268</v>
      </c>
      <c r="K64" s="52">
        <v>2060.0230000000001</v>
      </c>
      <c r="L64" s="60">
        <v>46082</v>
      </c>
      <c r="M64" s="61" t="str">
        <f t="shared" si="77"/>
        <v>Mar</v>
      </c>
      <c r="N64" s="55">
        <f t="shared" ca="1" si="75"/>
        <v>54</v>
      </c>
      <c r="O64" s="55" t="str">
        <f t="shared" ca="1" si="76"/>
        <v>31-60 days</v>
      </c>
      <c r="P64" s="55" t="s">
        <v>110</v>
      </c>
      <c r="Q64" s="60">
        <v>46115</v>
      </c>
      <c r="R64" s="60">
        <v>46144</v>
      </c>
      <c r="S64" s="55" t="s">
        <v>151</v>
      </c>
      <c r="T64" s="55" t="s">
        <v>859</v>
      </c>
      <c r="U64" s="55" t="s">
        <v>121</v>
      </c>
      <c r="V64" s="55" t="s">
        <v>121</v>
      </c>
      <c r="W64" s="55" t="s">
        <v>55</v>
      </c>
      <c r="X64" s="55"/>
      <c r="Y64" s="55"/>
      <c r="Z64" s="55"/>
      <c r="AA64" s="55"/>
      <c r="AB64" s="54" t="str">
        <f>VLOOKUP(T64,'[2]Query result'!$J:$K,2,0)</f>
        <v>Outstanding</v>
      </c>
    </row>
    <row r="65" spans="1:28" s="14" customFormat="1" hidden="1">
      <c r="A65" s="55" t="s">
        <v>58</v>
      </c>
      <c r="B65" s="55" t="s">
        <v>182</v>
      </c>
      <c r="C65" s="55" t="str">
        <f>VLOOKUP(B65,Validation!A:B,2,0)</f>
        <v>APAC</v>
      </c>
      <c r="D65" s="55" t="str">
        <f>VLOOKUP(B65,Validation!A:D,4,0)</f>
        <v>NA</v>
      </c>
      <c r="E65" s="55" t="str">
        <f>VLOOKUP(B65,Validation!A:E,5,0)</f>
        <v>Wendy zhai</v>
      </c>
      <c r="F65" s="55" t="s">
        <v>54</v>
      </c>
      <c r="G65" s="55">
        <f t="shared" si="78"/>
        <v>2026</v>
      </c>
      <c r="H65" s="55" t="s">
        <v>53</v>
      </c>
      <c r="I65" s="55" t="s">
        <v>123</v>
      </c>
      <c r="J65" s="66">
        <f>VLOOKUP(I65,'XE rates'!A:D,4,0)*K65</f>
        <v>3646.9405369435535</v>
      </c>
      <c r="K65" s="52">
        <v>5092.71</v>
      </c>
      <c r="L65" s="60">
        <v>46082</v>
      </c>
      <c r="M65" s="61" t="str">
        <f t="shared" si="77"/>
        <v>Mar</v>
      </c>
      <c r="N65" s="55">
        <f t="shared" ca="1" si="75"/>
        <v>77</v>
      </c>
      <c r="O65" s="55" t="str">
        <f t="shared" ca="1" si="76"/>
        <v>61-90 days</v>
      </c>
      <c r="P65" s="55" t="s">
        <v>110</v>
      </c>
      <c r="Q65" s="60">
        <v>46114</v>
      </c>
      <c r="R65" s="60">
        <v>46121</v>
      </c>
      <c r="S65" s="55" t="s">
        <v>111</v>
      </c>
      <c r="T65" s="55" t="s">
        <v>860</v>
      </c>
      <c r="U65" s="55" t="s">
        <v>113</v>
      </c>
      <c r="V65" s="55" t="s">
        <v>121</v>
      </c>
      <c r="W65" s="55" t="s">
        <v>55</v>
      </c>
      <c r="X65" s="55"/>
      <c r="Y65" s="55"/>
      <c r="Z65" s="55"/>
      <c r="AA65" s="55"/>
      <c r="AB65" s="54" t="str">
        <f>VLOOKUP(T65,'[2]Query result'!$J:$K,2,0)</f>
        <v>Outstanding</v>
      </c>
    </row>
    <row r="66" spans="1:28" s="14" customFormat="1" hidden="1">
      <c r="A66" s="55" t="s">
        <v>58</v>
      </c>
      <c r="B66" s="55" t="s">
        <v>163</v>
      </c>
      <c r="C66" s="55" t="str">
        <f>VLOOKUP(B66,Validation!A:B,2,0)</f>
        <v>APAC</v>
      </c>
      <c r="D66" s="55" t="str">
        <f>VLOOKUP(B66,Validation!A:D,4,0)</f>
        <v>NA</v>
      </c>
      <c r="E66" s="55" t="str">
        <f>VLOOKUP(B66,Validation!A:E,5,0)</f>
        <v>Denis Tan</v>
      </c>
      <c r="F66" s="55" t="s">
        <v>54</v>
      </c>
      <c r="G66" s="55">
        <f t="shared" si="78"/>
        <v>2026</v>
      </c>
      <c r="H66" s="55" t="s">
        <v>53</v>
      </c>
      <c r="I66" s="55" t="s">
        <v>109</v>
      </c>
      <c r="J66" s="66">
        <f>VLOOKUP(I66,'XE rates'!A:D,4,0)*K66</f>
        <v>11.18</v>
      </c>
      <c r="K66" s="52">
        <v>11.18</v>
      </c>
      <c r="L66" s="60">
        <v>46082</v>
      </c>
      <c r="M66" s="61" t="str">
        <f t="shared" si="77"/>
        <v>Mar</v>
      </c>
      <c r="N66" s="55">
        <f t="shared" ca="1" si="75"/>
        <v>76</v>
      </c>
      <c r="O66" s="55" t="str">
        <f t="shared" ca="1" si="76"/>
        <v>61-90 days</v>
      </c>
      <c r="P66" s="55" t="s">
        <v>110</v>
      </c>
      <c r="Q66" s="60">
        <v>46115</v>
      </c>
      <c r="R66" s="60">
        <v>46122</v>
      </c>
      <c r="S66" s="55" t="s">
        <v>111</v>
      </c>
      <c r="T66" s="55" t="s">
        <v>861</v>
      </c>
      <c r="U66" s="55" t="s">
        <v>113</v>
      </c>
      <c r="V66" s="55" t="s">
        <v>121</v>
      </c>
      <c r="W66" s="55" t="s">
        <v>165</v>
      </c>
      <c r="X66" s="55"/>
      <c r="Y66" s="55"/>
      <c r="Z66" s="55"/>
      <c r="AA66" s="55"/>
      <c r="AB66" s="54" t="str">
        <f>VLOOKUP(T66,'[2]Query result'!$J:$K,2,0)</f>
        <v>Outstanding</v>
      </c>
    </row>
    <row r="67" spans="1:28" s="14" customFormat="1" hidden="1">
      <c r="A67" s="55" t="s">
        <v>58</v>
      </c>
      <c r="B67" s="55" t="s">
        <v>840</v>
      </c>
      <c r="C67" s="55" t="str">
        <f>VLOOKUP(B67,Validation!A:B,2,0)</f>
        <v>ME</v>
      </c>
      <c r="D67" s="55" t="str">
        <f>VLOOKUP(B67,Validation!A:D,4,0)</f>
        <v>NA</v>
      </c>
      <c r="E67" s="55" t="str">
        <f>VLOOKUP(B67,Validation!A:E,5,0)</f>
        <v>Ashraf Omran</v>
      </c>
      <c r="F67" s="55" t="s">
        <v>54</v>
      </c>
      <c r="G67" s="55">
        <f t="shared" si="78"/>
        <v>2026</v>
      </c>
      <c r="H67" s="55" t="s">
        <v>53</v>
      </c>
      <c r="I67" s="55" t="s">
        <v>109</v>
      </c>
      <c r="J67" s="66">
        <f>VLOOKUP(I67,'XE rates'!A:D,4,0)*K67</f>
        <v>5000</v>
      </c>
      <c r="K67" s="52">
        <v>5000</v>
      </c>
      <c r="L67" s="60">
        <v>46113</v>
      </c>
      <c r="M67" s="61" t="str">
        <f t="shared" si="77"/>
        <v>Apr</v>
      </c>
      <c r="N67" s="55">
        <f t="shared" ca="1" si="75"/>
        <v>71</v>
      </c>
      <c r="O67" s="55" t="str">
        <f t="shared" ca="1" si="76"/>
        <v>61-90 days</v>
      </c>
      <c r="P67" s="55" t="s">
        <v>243</v>
      </c>
      <c r="Q67" s="60">
        <v>46120</v>
      </c>
      <c r="R67" s="60">
        <v>46127</v>
      </c>
      <c r="S67" s="55" t="s">
        <v>111</v>
      </c>
      <c r="T67" s="55" t="s">
        <v>862</v>
      </c>
      <c r="U67" s="55" t="s">
        <v>113</v>
      </c>
      <c r="V67" s="55" t="s">
        <v>121</v>
      </c>
      <c r="W67" s="55" t="s">
        <v>55</v>
      </c>
      <c r="X67" s="55"/>
      <c r="Y67" s="55"/>
      <c r="Z67" s="55"/>
      <c r="AA67" s="55"/>
      <c r="AB67" s="54" t="str">
        <f>VLOOKUP(T67,'[2]Query result'!$J:$K,2,0)</f>
        <v>Outstanding</v>
      </c>
    </row>
    <row r="68" spans="1:28" s="14" customFormat="1" hidden="1">
      <c r="A68" s="55" t="s">
        <v>58</v>
      </c>
      <c r="B68" s="55" t="s">
        <v>833</v>
      </c>
      <c r="C68" s="55" t="str">
        <f>VLOOKUP(B68,Validation!A:B,2,0)</f>
        <v>APAC</v>
      </c>
      <c r="D68" s="55" t="str">
        <f>VLOOKUP(B68,Validation!A:D,4,0)</f>
        <v>NA</v>
      </c>
      <c r="E68" s="55" t="str">
        <f>VLOOKUP(B68,Validation!A:E,5,0)</f>
        <v>Edward Li</v>
      </c>
      <c r="F68" s="55" t="s">
        <v>54</v>
      </c>
      <c r="G68" s="55">
        <f t="shared" si="78"/>
        <v>2026</v>
      </c>
      <c r="H68" s="55" t="s">
        <v>53</v>
      </c>
      <c r="I68" s="55" t="s">
        <v>109</v>
      </c>
      <c r="J68" s="66">
        <f>VLOOKUP(I68,'XE rates'!A:D,4,0)*K68</f>
        <v>40</v>
      </c>
      <c r="K68" s="52">
        <v>40</v>
      </c>
      <c r="L68" s="60">
        <v>46082</v>
      </c>
      <c r="M68" s="61" t="str">
        <f t="shared" si="77"/>
        <v>Mar</v>
      </c>
      <c r="N68" s="55">
        <f t="shared" ca="1" si="75"/>
        <v>77</v>
      </c>
      <c r="O68" s="55" t="str">
        <f t="shared" ca="1" si="76"/>
        <v>61-90 days</v>
      </c>
      <c r="P68" s="55" t="s">
        <v>110</v>
      </c>
      <c r="Q68" s="60">
        <v>46114</v>
      </c>
      <c r="R68" s="60">
        <v>46121</v>
      </c>
      <c r="S68" s="55" t="s">
        <v>111</v>
      </c>
      <c r="T68" s="55" t="s">
        <v>863</v>
      </c>
      <c r="U68" s="55" t="s">
        <v>113</v>
      </c>
      <c r="V68" s="55" t="s">
        <v>121</v>
      </c>
      <c r="W68" s="55" t="s">
        <v>55</v>
      </c>
      <c r="X68" s="55"/>
      <c r="Y68" s="55"/>
      <c r="Z68" s="55"/>
      <c r="AA68" s="55"/>
      <c r="AB68" s="54" t="str">
        <f>VLOOKUP(T68,'[2]Query result'!$J:$K,2,0)</f>
        <v>Outstanding</v>
      </c>
    </row>
    <row r="69" spans="1:28" s="14" customFormat="1" hidden="1">
      <c r="A69" s="55" t="s">
        <v>58</v>
      </c>
      <c r="B69" s="55" t="s">
        <v>141</v>
      </c>
      <c r="C69" s="55" t="str">
        <f>VLOOKUP(B69,Validation!A:B,2,0)</f>
        <v>EU/UK</v>
      </c>
      <c r="D69" s="55" t="str">
        <f>VLOOKUP(B69,Validation!A:D,4,0)</f>
        <v>Sachli Zare</v>
      </c>
      <c r="E69" s="55" t="str">
        <f>VLOOKUP(B69,Validation!A:E,5,0)</f>
        <v>NA</v>
      </c>
      <c r="F69" s="55" t="s">
        <v>54</v>
      </c>
      <c r="G69" s="55">
        <f t="shared" si="78"/>
        <v>2026</v>
      </c>
      <c r="H69" s="55" t="s">
        <v>53</v>
      </c>
      <c r="I69" s="55" t="s">
        <v>109</v>
      </c>
      <c r="J69" s="66">
        <f>VLOOKUP(I69,'XE rates'!A:D,4,0)*K69</f>
        <v>21.1</v>
      </c>
      <c r="K69" s="52">
        <v>21.1</v>
      </c>
      <c r="L69" s="60">
        <v>46082</v>
      </c>
      <c r="M69" s="61" t="str">
        <f t="shared" si="77"/>
        <v>Mar</v>
      </c>
      <c r="N69" s="55">
        <f t="shared" ca="1" si="75"/>
        <v>76</v>
      </c>
      <c r="O69" s="55" t="str">
        <f t="shared" ca="1" si="76"/>
        <v>61-90 days</v>
      </c>
      <c r="P69" s="55" t="s">
        <v>110</v>
      </c>
      <c r="Q69" s="60">
        <v>46115</v>
      </c>
      <c r="R69" s="60">
        <v>46122</v>
      </c>
      <c r="S69" s="55" t="s">
        <v>111</v>
      </c>
      <c r="T69" s="55" t="s">
        <v>864</v>
      </c>
      <c r="U69" s="55" t="s">
        <v>113</v>
      </c>
      <c r="V69" s="55" t="s">
        <v>121</v>
      </c>
      <c r="W69" s="55" t="s">
        <v>143</v>
      </c>
      <c r="X69" s="55"/>
      <c r="Y69" s="55"/>
      <c r="Z69" s="55"/>
      <c r="AA69" s="55"/>
      <c r="AB69" s="54" t="str">
        <f>VLOOKUP(T69,'[2]Query result'!$J:$K,2,0)</f>
        <v>Outstanding</v>
      </c>
    </row>
    <row r="70" spans="1:28" s="14" customFormat="1">
      <c r="A70" s="55" t="s">
        <v>58</v>
      </c>
      <c r="B70" s="55" t="s">
        <v>776</v>
      </c>
      <c r="C70" s="55" t="str">
        <f>VLOOKUP(B70,Validation!A:B,2,0)</f>
        <v>ME</v>
      </c>
      <c r="D70" s="55" t="str">
        <f>VLOOKUP(B70,Validation!A:D,4,0)</f>
        <v>Jerome Coelho</v>
      </c>
      <c r="E70" s="55" t="str">
        <f>VLOOKUP(B70,Validation!A:E,5,0)</f>
        <v>Rohit Bammi</v>
      </c>
      <c r="F70" s="55" t="s">
        <v>54</v>
      </c>
      <c r="G70" s="55">
        <f t="shared" si="78"/>
        <v>2026</v>
      </c>
      <c r="H70" s="55" t="s">
        <v>53</v>
      </c>
      <c r="I70" s="55" t="s">
        <v>109</v>
      </c>
      <c r="J70" s="66">
        <f>VLOOKUP(I70,'XE rates'!A:D,4,0)*K70</f>
        <v>1483.54</v>
      </c>
      <c r="K70" s="52">
        <v>1483.54</v>
      </c>
      <c r="L70" s="60">
        <v>46082</v>
      </c>
      <c r="M70" s="61" t="str">
        <f t="shared" si="77"/>
        <v>Mar</v>
      </c>
      <c r="N70" s="55">
        <f t="shared" ca="1" si="75"/>
        <v>76</v>
      </c>
      <c r="O70" s="55" t="str">
        <f t="shared" ca="1" si="76"/>
        <v>61-90 days</v>
      </c>
      <c r="P70" s="55" t="s">
        <v>110</v>
      </c>
      <c r="Q70" s="60">
        <v>46115</v>
      </c>
      <c r="R70" s="60">
        <v>46122</v>
      </c>
      <c r="S70" s="55" t="s">
        <v>111</v>
      </c>
      <c r="T70" s="55" t="s">
        <v>865</v>
      </c>
      <c r="U70" s="55" t="s">
        <v>113</v>
      </c>
      <c r="V70" s="55" t="s">
        <v>121</v>
      </c>
      <c r="W70" s="55" t="s">
        <v>55</v>
      </c>
      <c r="X70" s="55"/>
      <c r="Y70" s="55"/>
      <c r="Z70" s="55"/>
      <c r="AA70" s="55"/>
      <c r="AB70" s="54" t="str">
        <f>VLOOKUP(T70,'[2]Query result'!$J:$K,2,0)</f>
        <v>Outstanding</v>
      </c>
    </row>
    <row r="71" spans="1:28" s="14" customFormat="1" hidden="1">
      <c r="A71" s="55" t="s">
        <v>58</v>
      </c>
      <c r="B71" s="55" t="s">
        <v>145</v>
      </c>
      <c r="C71" s="55" t="str">
        <f>VLOOKUP(B71,Validation!A:B,2,0)</f>
        <v>APAC</v>
      </c>
      <c r="D71" s="55" t="str">
        <f>VLOOKUP(B71,Validation!A:D,4,0)</f>
        <v>Shi Yin</v>
      </c>
      <c r="E71" s="55" t="str">
        <f>VLOOKUP(B71,Validation!A:E,5,0)</f>
        <v>Vinoth M</v>
      </c>
      <c r="F71" s="55" t="s">
        <v>54</v>
      </c>
      <c r="G71" s="55">
        <f t="shared" si="78"/>
        <v>2026</v>
      </c>
      <c r="H71" s="55" t="s">
        <v>53</v>
      </c>
      <c r="I71" s="55" t="s">
        <v>109</v>
      </c>
      <c r="J71" s="66">
        <f>VLOOKUP(I71,'XE rates'!A:D,4,0)*K71</f>
        <v>2952</v>
      </c>
      <c r="K71" s="52">
        <v>2952</v>
      </c>
      <c r="L71" s="60">
        <v>46082</v>
      </c>
      <c r="M71" s="61" t="str">
        <f t="shared" si="77"/>
        <v>Mar</v>
      </c>
      <c r="N71" s="55">
        <f t="shared" ca="1" si="75"/>
        <v>77</v>
      </c>
      <c r="O71" s="55" t="str">
        <f t="shared" ca="1" si="76"/>
        <v>61-90 days</v>
      </c>
      <c r="P71" s="55" t="s">
        <v>110</v>
      </c>
      <c r="Q71" s="60">
        <v>46114</v>
      </c>
      <c r="R71" s="60">
        <v>46121</v>
      </c>
      <c r="S71" s="55" t="s">
        <v>111</v>
      </c>
      <c r="T71" s="55" t="s">
        <v>866</v>
      </c>
      <c r="U71" s="55" t="s">
        <v>113</v>
      </c>
      <c r="V71" s="55" t="s">
        <v>113</v>
      </c>
      <c r="W71" s="55" t="s">
        <v>55</v>
      </c>
      <c r="X71" s="55"/>
      <c r="Y71" s="55"/>
      <c r="Z71" s="55"/>
      <c r="AA71" s="55"/>
      <c r="AB71" s="54" t="str">
        <f>VLOOKUP(T71,'[2]Query result'!$J:$K,2,0)</f>
        <v>Outstanding</v>
      </c>
    </row>
    <row r="72" spans="1:28" s="14" customFormat="1" hidden="1">
      <c r="A72" s="55" t="s">
        <v>58</v>
      </c>
      <c r="B72" s="55" t="s">
        <v>76</v>
      </c>
      <c r="C72" s="55" t="str">
        <f>VLOOKUP(B72,Validation!A:B,2,0)</f>
        <v>USA</v>
      </c>
      <c r="D72" s="55" t="str">
        <f>VLOOKUP(B72,Validation!A:D,4,0)</f>
        <v>Tanu Arora</v>
      </c>
      <c r="E72" s="55" t="str">
        <f>VLOOKUP(B72,Validation!A:E,5,0)</f>
        <v>Michael Bermingham</v>
      </c>
      <c r="F72" s="55" t="s">
        <v>54</v>
      </c>
      <c r="G72" s="55">
        <f t="shared" si="78"/>
        <v>2026</v>
      </c>
      <c r="H72" s="55" t="s">
        <v>53</v>
      </c>
      <c r="I72" s="55" t="s">
        <v>187</v>
      </c>
      <c r="J72" s="66">
        <f>VLOOKUP(I72,'XE rates'!A:D,4,0)*K72</f>
        <v>5219.948165930402</v>
      </c>
      <c r="K72" s="52">
        <v>7130.68</v>
      </c>
      <c r="L72" s="60">
        <v>46082</v>
      </c>
      <c r="M72" s="61" t="str">
        <f t="shared" si="77"/>
        <v>Mar</v>
      </c>
      <c r="N72" s="55">
        <f t="shared" ref="N72:N75" ca="1" si="79">$Y$1-R72</f>
        <v>73</v>
      </c>
      <c r="O72" s="55" t="str">
        <f t="shared" ref="O72:O75" ca="1" si="80">IF(N72&lt;=30, "0-30 days", IF(N72&lt;=60, "31-60 days", IF(N72&lt;=90, "61-90 days", "Over 90+ days")))</f>
        <v>61-90 days</v>
      </c>
      <c r="P72" s="55" t="s">
        <v>110</v>
      </c>
      <c r="Q72" s="60">
        <v>46118</v>
      </c>
      <c r="R72" s="60">
        <v>46125</v>
      </c>
      <c r="S72" s="55" t="s">
        <v>111</v>
      </c>
      <c r="T72" s="55" t="s">
        <v>867</v>
      </c>
      <c r="U72" s="55" t="s">
        <v>113</v>
      </c>
      <c r="V72" s="55" t="s">
        <v>121</v>
      </c>
      <c r="W72" s="55" t="s">
        <v>55</v>
      </c>
      <c r="X72" s="55"/>
      <c r="Y72" s="55"/>
      <c r="Z72" s="55"/>
      <c r="AA72" s="55"/>
      <c r="AB72" s="54" t="str">
        <f>VLOOKUP(T72,'[2]Query result'!$J:$K,2,0)</f>
        <v>Outstanding</v>
      </c>
    </row>
    <row r="73" spans="1:28" s="14" customFormat="1" hidden="1">
      <c r="A73" s="55" t="s">
        <v>58</v>
      </c>
      <c r="B73" s="55" t="s">
        <v>77</v>
      </c>
      <c r="C73" s="55" t="str">
        <f>VLOOKUP(B73,Validation!A:B,2,0)</f>
        <v>USA</v>
      </c>
      <c r="D73" s="55" t="str">
        <f>VLOOKUP(B73,Validation!A:D,4,0)</f>
        <v>Tanu Arora</v>
      </c>
      <c r="E73" s="55" t="str">
        <f>VLOOKUP(B73,Validation!A:E,5,0)</f>
        <v>Michael Bermingham</v>
      </c>
      <c r="F73" s="55" t="s">
        <v>54</v>
      </c>
      <c r="G73" s="55">
        <f t="shared" si="78"/>
        <v>2026</v>
      </c>
      <c r="H73" s="55" t="s">
        <v>53</v>
      </c>
      <c r="I73" s="55" t="s">
        <v>109</v>
      </c>
      <c r="J73" s="66">
        <f>VLOOKUP(I73,'XE rates'!A:D,4,0)*K73</f>
        <v>7.5</v>
      </c>
      <c r="K73" s="52">
        <v>7.5</v>
      </c>
      <c r="L73" s="60">
        <v>46082</v>
      </c>
      <c r="M73" s="61" t="str">
        <f t="shared" si="77"/>
        <v>Mar</v>
      </c>
      <c r="N73" s="55">
        <f t="shared" ca="1" si="79"/>
        <v>78</v>
      </c>
      <c r="O73" s="55" t="str">
        <f t="shared" ca="1" si="80"/>
        <v>61-90 days</v>
      </c>
      <c r="P73" s="55" t="s">
        <v>110</v>
      </c>
      <c r="Q73" s="60">
        <v>46113</v>
      </c>
      <c r="R73" s="60">
        <v>46120</v>
      </c>
      <c r="S73" s="55" t="s">
        <v>111</v>
      </c>
      <c r="T73" s="55" t="s">
        <v>868</v>
      </c>
      <c r="U73" s="55" t="s">
        <v>113</v>
      </c>
      <c r="V73" s="55" t="s">
        <v>121</v>
      </c>
      <c r="W73" s="55" t="s">
        <v>55</v>
      </c>
      <c r="X73" s="55"/>
      <c r="Y73" s="55"/>
      <c r="Z73" s="55"/>
      <c r="AA73" s="55"/>
      <c r="AB73" s="54" t="str">
        <f>VLOOKUP(T73,'[2]Query result'!$J:$K,2,0)</f>
        <v>Outstanding</v>
      </c>
    </row>
    <row r="74" spans="1:28" s="14" customFormat="1" hidden="1">
      <c r="A74" s="55" t="s">
        <v>58</v>
      </c>
      <c r="B74" s="55" t="s">
        <v>760</v>
      </c>
      <c r="C74" s="55" t="str">
        <f>VLOOKUP(B74,Validation!A:B,2,0)</f>
        <v>USA</v>
      </c>
      <c r="D74" s="55" t="str">
        <f>VLOOKUP(B74,Validation!A:D,4,0)</f>
        <v>Tulio Lima</v>
      </c>
      <c r="E74" s="55" t="str">
        <f>VLOOKUP(B74,Validation!A:E,5,0)</f>
        <v>NA</v>
      </c>
      <c r="F74" s="55" t="s">
        <v>54</v>
      </c>
      <c r="G74" s="55">
        <f t="shared" si="78"/>
        <v>2026</v>
      </c>
      <c r="H74" s="55" t="s">
        <v>53</v>
      </c>
      <c r="I74" s="55" t="s">
        <v>109</v>
      </c>
      <c r="J74" s="66">
        <f>VLOOKUP(I74,'XE rates'!A:D,4,0)*K74</f>
        <v>250</v>
      </c>
      <c r="K74" s="52">
        <v>250</v>
      </c>
      <c r="L74" s="60">
        <v>46082</v>
      </c>
      <c r="M74" s="61" t="str">
        <f t="shared" si="77"/>
        <v>Mar</v>
      </c>
      <c r="N74" s="55">
        <f t="shared" ca="1" si="79"/>
        <v>78</v>
      </c>
      <c r="O74" s="55" t="str">
        <f t="shared" ca="1" si="80"/>
        <v>61-90 days</v>
      </c>
      <c r="P74" s="55" t="s">
        <v>110</v>
      </c>
      <c r="Q74" s="60">
        <v>46113</v>
      </c>
      <c r="R74" s="60">
        <v>46120</v>
      </c>
      <c r="S74" s="55" t="s">
        <v>111</v>
      </c>
      <c r="T74" s="55" t="s">
        <v>869</v>
      </c>
      <c r="U74" s="55" t="s">
        <v>113</v>
      </c>
      <c r="V74" s="55" t="s">
        <v>121</v>
      </c>
      <c r="W74" s="55" t="s">
        <v>55</v>
      </c>
      <c r="X74" s="55"/>
      <c r="Y74" s="55"/>
      <c r="Z74" s="55"/>
      <c r="AA74" s="55"/>
      <c r="AB74" s="54" t="str">
        <f>VLOOKUP(T74,'[2]Query result'!$J:$K,2,0)</f>
        <v>Outstanding</v>
      </c>
    </row>
    <row r="75" spans="1:28" s="14" customFormat="1" hidden="1">
      <c r="A75" s="55" t="s">
        <v>58</v>
      </c>
      <c r="B75" s="55" t="s">
        <v>244</v>
      </c>
      <c r="C75" s="55" t="str">
        <f>VLOOKUP(B75,Validation!A:B,2,0)</f>
        <v>EU/UK</v>
      </c>
      <c r="D75" s="55" t="str">
        <f>VLOOKUP(B75,Validation!A:D,4,0)</f>
        <v>Sachli Zare</v>
      </c>
      <c r="E75" s="55" t="str">
        <f>VLOOKUP(B75,Validation!A:E,5,0)</f>
        <v>Danny May</v>
      </c>
      <c r="F75" s="55" t="s">
        <v>54</v>
      </c>
      <c r="G75" s="55">
        <f t="shared" si="78"/>
        <v>2026</v>
      </c>
      <c r="H75" s="55" t="s">
        <v>53</v>
      </c>
      <c r="I75" s="55" t="s">
        <v>137</v>
      </c>
      <c r="J75" s="66">
        <f>VLOOKUP(I75,'XE rates'!A:D,4,0)*K75</f>
        <v>4102.1855725513351</v>
      </c>
      <c r="K75" s="52">
        <v>3037.8</v>
      </c>
      <c r="L75" s="60">
        <v>46082</v>
      </c>
      <c r="M75" s="61" t="str">
        <f t="shared" si="77"/>
        <v>Mar</v>
      </c>
      <c r="N75" s="55">
        <f t="shared" ca="1" si="79"/>
        <v>69</v>
      </c>
      <c r="O75" s="55" t="str">
        <f t="shared" ca="1" si="80"/>
        <v>61-90 days</v>
      </c>
      <c r="P75" s="55" t="s">
        <v>110</v>
      </c>
      <c r="Q75" s="60">
        <v>46115</v>
      </c>
      <c r="R75" s="60">
        <v>46129</v>
      </c>
      <c r="S75" s="55" t="s">
        <v>151</v>
      </c>
      <c r="T75" s="55" t="s">
        <v>870</v>
      </c>
      <c r="U75" s="55" t="s">
        <v>113</v>
      </c>
      <c r="V75" s="55" t="s">
        <v>121</v>
      </c>
      <c r="W75" s="55" t="s">
        <v>55</v>
      </c>
      <c r="X75" s="55"/>
      <c r="Y75" s="55"/>
      <c r="Z75" s="55"/>
      <c r="AA75" s="55"/>
      <c r="AB75" s="54" t="str">
        <f>VLOOKUP(T75,'[2]Query result'!$J:$K,2,0)</f>
        <v>Outstanding</v>
      </c>
    </row>
    <row r="76" spans="1:28" s="14" customFormat="1" hidden="1">
      <c r="A76" s="55" t="s">
        <v>58</v>
      </c>
      <c r="B76" s="55" t="s">
        <v>60</v>
      </c>
      <c r="C76" s="55" t="str">
        <f>VLOOKUP(B76,Validation!A:B,2,0)</f>
        <v>Shared Centre</v>
      </c>
      <c r="D76" s="55" t="str">
        <f>VLOOKUP(B76,Validation!A:D,4,0)</f>
        <v>NA</v>
      </c>
      <c r="E76" s="55" t="str">
        <f>VLOOKUP(B76,Validation!A:E,5,0)</f>
        <v>Tyler Reed</v>
      </c>
      <c r="F76" s="55" t="s">
        <v>54</v>
      </c>
      <c r="G76" s="55">
        <f t="shared" si="78"/>
        <v>2026</v>
      </c>
      <c r="H76" s="55" t="s">
        <v>53</v>
      </c>
      <c r="I76" s="55" t="s">
        <v>109</v>
      </c>
      <c r="J76" s="66">
        <f>VLOOKUP(I76,'XE rates'!A:D,4,0)*K76</f>
        <v>500</v>
      </c>
      <c r="K76" s="52">
        <v>500</v>
      </c>
      <c r="L76" s="60">
        <v>46082</v>
      </c>
      <c r="M76" s="61" t="str">
        <f t="shared" ref="M76:M77" si="81">TEXT(L76,"mmm")</f>
        <v>Mar</v>
      </c>
      <c r="N76" s="55">
        <f t="shared" ref="N76:N77" ca="1" si="82">$Y$1-R76</f>
        <v>77</v>
      </c>
      <c r="O76" s="55" t="str">
        <f t="shared" ref="O76:O77" ca="1" si="83">IF(N76&lt;=30, "0-30 days", IF(N76&lt;=60, "31-60 days", IF(N76&lt;=90, "61-90 days", "Over 90+ days")))</f>
        <v>61-90 days</v>
      </c>
      <c r="P76" s="55" t="s">
        <v>110</v>
      </c>
      <c r="Q76" s="60">
        <v>46114</v>
      </c>
      <c r="R76" s="60">
        <v>46121</v>
      </c>
      <c r="S76" s="55" t="s">
        <v>111</v>
      </c>
      <c r="T76" s="55" t="s">
        <v>871</v>
      </c>
      <c r="U76" s="55" t="s">
        <v>113</v>
      </c>
      <c r="V76" s="55" t="s">
        <v>121</v>
      </c>
      <c r="W76" s="55" t="s">
        <v>55</v>
      </c>
      <c r="X76" s="55"/>
      <c r="Y76" s="55"/>
      <c r="Z76" s="55"/>
      <c r="AA76" s="55"/>
      <c r="AB76" s="54" t="str">
        <f>VLOOKUP(T76,'[2]Query result'!$J:$K,2,0)</f>
        <v>Outstanding</v>
      </c>
    </row>
    <row r="77" spans="1:28" hidden="1">
      <c r="A77" s="55" t="s">
        <v>58</v>
      </c>
      <c r="B77" s="55" t="s">
        <v>195</v>
      </c>
      <c r="C77" s="55" t="str">
        <f>VLOOKUP(B77,Validation!A:B,2,0)</f>
        <v>APAC</v>
      </c>
      <c r="D77" s="55" t="str">
        <f>VLOOKUP(B77,Validation!A:D,4,0)</f>
        <v>Hao Nguyen</v>
      </c>
      <c r="E77" s="55" t="str">
        <f>VLOOKUP(B77,Validation!A:E,5,0)</f>
        <v>Vinoth M</v>
      </c>
      <c r="F77" s="55" t="s">
        <v>54</v>
      </c>
      <c r="G77" s="55">
        <f t="shared" si="78"/>
        <v>2026</v>
      </c>
      <c r="H77" s="55" t="s">
        <v>53</v>
      </c>
      <c r="I77" s="55" t="s">
        <v>123</v>
      </c>
      <c r="J77" s="66">
        <f>VLOOKUP(I77,'XE rates'!A:D,4,0)*K77</f>
        <v>1508.4785451490905</v>
      </c>
      <c r="K77" s="70">
        <v>2106.4899999999998</v>
      </c>
      <c r="L77" s="60">
        <v>46082</v>
      </c>
      <c r="M77" s="61" t="str">
        <f t="shared" si="81"/>
        <v>Mar</v>
      </c>
      <c r="N77" s="55">
        <f t="shared" ca="1" si="82"/>
        <v>32</v>
      </c>
      <c r="O77" s="55" t="str">
        <f t="shared" ca="1" si="83"/>
        <v>31-60 days</v>
      </c>
      <c r="P77" s="55" t="s">
        <v>139</v>
      </c>
      <c r="Q77" s="60">
        <v>46136</v>
      </c>
      <c r="R77" s="60">
        <v>46166</v>
      </c>
      <c r="S77" s="55" t="s">
        <v>151</v>
      </c>
      <c r="T77" s="55" t="s">
        <v>877</v>
      </c>
      <c r="U77" s="55" t="s">
        <v>121</v>
      </c>
      <c r="V77" s="55" t="s">
        <v>121</v>
      </c>
      <c r="W77" s="64" t="s">
        <v>878</v>
      </c>
      <c r="X77" s="55"/>
      <c r="Y77" s="55"/>
      <c r="Z77" s="55"/>
      <c r="AA77" s="55"/>
      <c r="AB77" s="54" t="str">
        <f>VLOOKUP(T77,'[2]Query result'!$J:$K,2,0)</f>
        <v>Outstanding</v>
      </c>
    </row>
    <row r="78" spans="1:28" hidden="1">
      <c r="A78" s="54" t="s">
        <v>52</v>
      </c>
      <c r="B78" s="1" t="s">
        <v>681</v>
      </c>
      <c r="C78" s="55" t="str">
        <f>VLOOKUP(B78,Validation!A:B,2,0)</f>
        <v>USA</v>
      </c>
      <c r="D78" s="55" t="str">
        <f>VLOOKUP(B78,Validation!A:D,4,0)</f>
        <v>Eduardo Avallone</v>
      </c>
      <c r="E78" s="55" t="str">
        <f>VLOOKUP(B78,Validation!A:E,5,0)</f>
        <v>Christina Hutchinson</v>
      </c>
      <c r="F78" s="55" t="s">
        <v>54</v>
      </c>
      <c r="G78" s="55">
        <f t="shared" ref="G78:G105" si="84">YEAR(L78)</f>
        <v>2026</v>
      </c>
      <c r="H78" s="54" t="s">
        <v>53</v>
      </c>
      <c r="I78" s="54" t="s">
        <v>109</v>
      </c>
      <c r="J78" s="66">
        <f>VLOOKUP(I78,'XE rates'!A:D,4,0)*K78</f>
        <v>500</v>
      </c>
      <c r="K78" s="80">
        <v>500</v>
      </c>
      <c r="L78" s="60">
        <v>46113</v>
      </c>
      <c r="M78" s="61" t="str">
        <f t="shared" ref="M78:M98" si="85">TEXT(L78,"mmm")</f>
        <v>Apr</v>
      </c>
      <c r="N78" s="55">
        <f t="shared" ref="N78:N98" ca="1" si="86">$Y$1-R78</f>
        <v>47</v>
      </c>
      <c r="O78" s="55" t="str">
        <f t="shared" ref="O78:O98" ca="1" si="87">IF(N78&lt;=30, "0-30 days", IF(N78&lt;=60, "31-60 days", IF(N78&lt;=90, "61-90 days", "Over 90+ days")))</f>
        <v>31-60 days</v>
      </c>
      <c r="P78" s="54" t="s">
        <v>110</v>
      </c>
      <c r="Q78" s="81">
        <v>46144</v>
      </c>
      <c r="R78" s="82">
        <v>46151</v>
      </c>
      <c r="S78" s="54" t="s">
        <v>848</v>
      </c>
      <c r="T78" s="54" t="s">
        <v>884</v>
      </c>
      <c r="U78" s="55" t="s">
        <v>113</v>
      </c>
      <c r="V78" s="55" t="s">
        <v>121</v>
      </c>
      <c r="W78" s="55" t="s">
        <v>55</v>
      </c>
      <c r="X78" s="54"/>
      <c r="Y78" s="54"/>
      <c r="Z78" s="54"/>
      <c r="AA78" s="54"/>
      <c r="AB78" s="54" t="str">
        <f>VLOOKUP(T78,'[2]Query result'!$J:$K,2,0)</f>
        <v>Overdue</v>
      </c>
    </row>
    <row r="79" spans="1:28" hidden="1">
      <c r="A79" s="54" t="s">
        <v>52</v>
      </c>
      <c r="B79" s="1" t="s">
        <v>196</v>
      </c>
      <c r="C79" s="55" t="str">
        <f>VLOOKUP(B79,Validation!A:B,2,0)</f>
        <v>APAC</v>
      </c>
      <c r="D79" s="55" t="str">
        <f>VLOOKUP(B79,Validation!A:D,4,0)</f>
        <v>Hao Nguyen</v>
      </c>
      <c r="E79" s="55" t="str">
        <f>VLOOKUP(B79,Validation!A:E,5,0)</f>
        <v>Vinoth M</v>
      </c>
      <c r="F79" s="55" t="s">
        <v>54</v>
      </c>
      <c r="G79" s="55">
        <f t="shared" si="84"/>
        <v>2026</v>
      </c>
      <c r="H79" s="54" t="s">
        <v>53</v>
      </c>
      <c r="I79" s="54" t="s">
        <v>123</v>
      </c>
      <c r="J79" s="66">
        <f>VLOOKUP(I79,'XE rates'!A:D,4,0)*K79</f>
        <v>1491.2632608489589</v>
      </c>
      <c r="K79" s="80">
        <v>2082.4499999999998</v>
      </c>
      <c r="L79" s="60">
        <v>46113</v>
      </c>
      <c r="M79" s="61" t="str">
        <f t="shared" si="85"/>
        <v>Apr</v>
      </c>
      <c r="N79" s="55">
        <f t="shared" ca="1" si="86"/>
        <v>47</v>
      </c>
      <c r="O79" s="55" t="str">
        <f t="shared" ca="1" si="87"/>
        <v>31-60 days</v>
      </c>
      <c r="P79" s="54" t="s">
        <v>110</v>
      </c>
      <c r="Q79" s="81">
        <v>46144</v>
      </c>
      <c r="R79" s="82">
        <v>46151</v>
      </c>
      <c r="S79" s="54" t="s">
        <v>848</v>
      </c>
      <c r="T79" s="54" t="s">
        <v>886</v>
      </c>
      <c r="U79" s="55" t="s">
        <v>113</v>
      </c>
      <c r="V79" s="55" t="s">
        <v>121</v>
      </c>
      <c r="W79" s="55" t="s">
        <v>55</v>
      </c>
      <c r="X79" s="54"/>
      <c r="Y79" s="54"/>
      <c r="Z79" s="54"/>
      <c r="AA79" s="54"/>
      <c r="AB79" s="54" t="str">
        <f>VLOOKUP(T79,'[2]Query result'!$J:$K,2,0)</f>
        <v>Overdue</v>
      </c>
    </row>
    <row r="80" spans="1:28" hidden="1">
      <c r="A80" s="54" t="s">
        <v>52</v>
      </c>
      <c r="B80" s="1" t="s">
        <v>175</v>
      </c>
      <c r="C80" s="55" t="str">
        <f>VLOOKUP(B80,Validation!A:B,2,0)</f>
        <v>APAC</v>
      </c>
      <c r="D80" s="55" t="str">
        <f>VLOOKUP(B80,Validation!A:D,4,0)</f>
        <v>NA</v>
      </c>
      <c r="E80" s="55" t="str">
        <f>VLOOKUP(B80,Validation!A:E,5,0)</f>
        <v>Lisa Sung</v>
      </c>
      <c r="F80" s="55" t="s">
        <v>54</v>
      </c>
      <c r="G80" s="55">
        <f t="shared" si="84"/>
        <v>2026</v>
      </c>
      <c r="H80" s="54" t="s">
        <v>53</v>
      </c>
      <c r="I80" s="54" t="s">
        <v>109</v>
      </c>
      <c r="J80" s="66">
        <f>VLOOKUP(I80,'XE rates'!A:D,4,0)*K80</f>
        <v>5000</v>
      </c>
      <c r="K80" s="80">
        <v>5000</v>
      </c>
      <c r="L80" s="60">
        <v>46113</v>
      </c>
      <c r="M80" s="61" t="str">
        <f t="shared" si="85"/>
        <v>Apr</v>
      </c>
      <c r="N80" s="55">
        <f t="shared" ca="1" si="86"/>
        <v>47</v>
      </c>
      <c r="O80" s="55" t="str">
        <f t="shared" ca="1" si="87"/>
        <v>31-60 days</v>
      </c>
      <c r="P80" s="54" t="s">
        <v>110</v>
      </c>
      <c r="Q80" s="81">
        <v>46144</v>
      </c>
      <c r="R80" s="82">
        <v>46151</v>
      </c>
      <c r="S80" s="54" t="s">
        <v>848</v>
      </c>
      <c r="T80" s="54" t="s">
        <v>887</v>
      </c>
      <c r="U80" s="1"/>
      <c r="V80" s="1"/>
      <c r="W80" s="48"/>
      <c r="X80" s="54"/>
      <c r="Y80" s="54"/>
      <c r="Z80" s="54"/>
      <c r="AA80" s="54"/>
      <c r="AB80" s="54" t="str">
        <f>VLOOKUP(T80,'[2]Query result'!$J:$K,2,0)</f>
        <v>Overdue</v>
      </c>
    </row>
    <row r="81" spans="1:28" hidden="1">
      <c r="A81" s="54" t="s">
        <v>52</v>
      </c>
      <c r="B81" s="1" t="s">
        <v>757</v>
      </c>
      <c r="C81" s="55" t="str">
        <f>VLOOKUP(B81,Validation!A:B,2,0)</f>
        <v>APAC</v>
      </c>
      <c r="D81" s="55" t="str">
        <f>VLOOKUP(B81,Validation!A:D,4,0)</f>
        <v>NA</v>
      </c>
      <c r="E81" s="55" t="str">
        <f>VLOOKUP(B81,Validation!A:E,5,0)</f>
        <v>Rohit Bammi</v>
      </c>
      <c r="F81" s="55" t="s">
        <v>54</v>
      </c>
      <c r="G81" s="55">
        <f t="shared" si="84"/>
        <v>2026</v>
      </c>
      <c r="H81" s="54" t="s">
        <v>53</v>
      </c>
      <c r="I81" s="54" t="s">
        <v>109</v>
      </c>
      <c r="J81" s="66">
        <f>VLOOKUP(I81,'XE rates'!A:D,4,0)*K81</f>
        <v>47</v>
      </c>
      <c r="K81" s="80">
        <v>47</v>
      </c>
      <c r="L81" s="60">
        <v>46113</v>
      </c>
      <c r="M81" s="61" t="str">
        <f t="shared" si="85"/>
        <v>Apr</v>
      </c>
      <c r="N81" s="55">
        <f t="shared" ca="1" si="86"/>
        <v>47</v>
      </c>
      <c r="O81" s="55" t="str">
        <f t="shared" ca="1" si="87"/>
        <v>31-60 days</v>
      </c>
      <c r="P81" s="54" t="s">
        <v>110</v>
      </c>
      <c r="Q81" s="81">
        <v>46144</v>
      </c>
      <c r="R81" s="82">
        <v>46151</v>
      </c>
      <c r="S81" s="54" t="s">
        <v>848</v>
      </c>
      <c r="T81" s="54" t="s">
        <v>888</v>
      </c>
      <c r="U81" s="55" t="s">
        <v>113</v>
      </c>
      <c r="V81" s="55" t="s">
        <v>121</v>
      </c>
      <c r="W81" s="55" t="s">
        <v>55</v>
      </c>
      <c r="X81" s="54"/>
      <c r="Y81" s="54"/>
      <c r="Z81" s="54"/>
      <c r="AA81" s="54"/>
      <c r="AB81" s="54" t="str">
        <f>VLOOKUP(T81,'[2]Query result'!$J:$K,2,0)</f>
        <v>Overdue</v>
      </c>
    </row>
    <row r="82" spans="1:28" hidden="1">
      <c r="A82" s="54" t="s">
        <v>52</v>
      </c>
      <c r="B82" s="1" t="s">
        <v>178</v>
      </c>
      <c r="C82" s="55" t="str">
        <f>VLOOKUP(B82,Validation!A:B,2,0)</f>
        <v>APAC</v>
      </c>
      <c r="D82" s="55" t="str">
        <f>VLOOKUP(B82,Validation!A:D,4,0)</f>
        <v>Hao Nguyen</v>
      </c>
      <c r="E82" s="55" t="str">
        <f>VLOOKUP(B82,Validation!A:E,5,0)</f>
        <v>Hari Budiman</v>
      </c>
      <c r="F82" s="55" t="s">
        <v>54</v>
      </c>
      <c r="G82" s="55">
        <f t="shared" si="84"/>
        <v>2026</v>
      </c>
      <c r="H82" s="54" t="s">
        <v>53</v>
      </c>
      <c r="I82" s="54" t="s">
        <v>135</v>
      </c>
      <c r="J82" s="66">
        <f>VLOOKUP(I82,'XE rates'!A:D,4,0)*K82</f>
        <v>370.74141421444534</v>
      </c>
      <c r="K82" s="80">
        <v>6382500</v>
      </c>
      <c r="L82" s="60">
        <v>46113</v>
      </c>
      <c r="M82" s="61" t="str">
        <f t="shared" si="85"/>
        <v>Apr</v>
      </c>
      <c r="N82" s="55">
        <f t="shared" ca="1" si="86"/>
        <v>24</v>
      </c>
      <c r="O82" s="55" t="str">
        <f t="shared" ca="1" si="87"/>
        <v>0-30 days</v>
      </c>
      <c r="P82" s="54" t="s">
        <v>110</v>
      </c>
      <c r="Q82" s="81">
        <v>46143</v>
      </c>
      <c r="R82" s="82">
        <v>46174</v>
      </c>
      <c r="S82" s="54" t="s">
        <v>151</v>
      </c>
      <c r="T82" s="54" t="s">
        <v>889</v>
      </c>
      <c r="U82" s="1" t="s">
        <v>121</v>
      </c>
      <c r="V82" s="1" t="s">
        <v>121</v>
      </c>
      <c r="W82" s="55" t="s">
        <v>55</v>
      </c>
      <c r="X82" s="54"/>
      <c r="Y82" s="54"/>
      <c r="Z82" s="54"/>
      <c r="AA82" s="54"/>
      <c r="AB82" s="54" t="str">
        <f>VLOOKUP(T82,'[2]Query result'!$J:$K,2,0)</f>
        <v>Overdue</v>
      </c>
    </row>
    <row r="83" spans="1:28" hidden="1">
      <c r="A83" s="54" t="s">
        <v>52</v>
      </c>
      <c r="B83" s="1" t="s">
        <v>134</v>
      </c>
      <c r="C83" s="55" t="str">
        <f>VLOOKUP(B83,Validation!A:B,2,0)</f>
        <v>APAC</v>
      </c>
      <c r="D83" s="55" t="str">
        <f>VLOOKUP(B83,Validation!A:D,4,0)</f>
        <v>Luciana</v>
      </c>
      <c r="E83" s="55" t="str">
        <f>VLOOKUP(B83,Validation!A:E,5,0)</f>
        <v>NA</v>
      </c>
      <c r="F83" s="55" t="s">
        <v>54</v>
      </c>
      <c r="G83" s="55">
        <f t="shared" si="84"/>
        <v>2026</v>
      </c>
      <c r="H83" s="54" t="s">
        <v>53</v>
      </c>
      <c r="I83" s="54" t="s">
        <v>135</v>
      </c>
      <c r="J83" s="66">
        <f>VLOOKUP(I83,'XE rates'!A:D,4,0)*K83</f>
        <v>5.5440726264447351</v>
      </c>
      <c r="K83" s="80">
        <v>95444</v>
      </c>
      <c r="L83" s="60">
        <v>46113</v>
      </c>
      <c r="M83" s="61" t="str">
        <f t="shared" si="85"/>
        <v>Apr</v>
      </c>
      <c r="N83" s="55">
        <f t="shared" ca="1" si="86"/>
        <v>34</v>
      </c>
      <c r="O83" s="55" t="str">
        <f t="shared" ca="1" si="87"/>
        <v>31-60 days</v>
      </c>
      <c r="P83" s="54" t="s">
        <v>110</v>
      </c>
      <c r="Q83" s="81">
        <v>46143</v>
      </c>
      <c r="R83" s="82">
        <v>46164</v>
      </c>
      <c r="S83" s="54" t="s">
        <v>151</v>
      </c>
      <c r="T83" s="54" t="s">
        <v>890</v>
      </c>
      <c r="U83" s="1"/>
      <c r="V83" s="1"/>
      <c r="W83" s="48"/>
      <c r="X83" s="54"/>
      <c r="Y83" s="54"/>
      <c r="Z83" s="54"/>
      <c r="AA83" s="54"/>
      <c r="AB83" s="54" t="str">
        <f>VLOOKUP(T83,'[2]Query result'!$J:$K,2,0)</f>
        <v>Overdue</v>
      </c>
    </row>
    <row r="84" spans="1:28" hidden="1">
      <c r="A84" s="54" t="s">
        <v>52</v>
      </c>
      <c r="B84" s="1" t="s">
        <v>208</v>
      </c>
      <c r="C84" s="55" t="str">
        <f>VLOOKUP(B84,Validation!A:B,2,0)</f>
        <v>ME</v>
      </c>
      <c r="D84" s="55" t="str">
        <f>VLOOKUP(B84,Validation!A:D,4,0)</f>
        <v>Jerome Coelho</v>
      </c>
      <c r="E84" s="55" t="str">
        <f>VLOOKUP(B84,Validation!A:E,5,0)</f>
        <v>Rohit Bammi</v>
      </c>
      <c r="F84" s="55" t="s">
        <v>54</v>
      </c>
      <c r="G84" s="55">
        <f t="shared" si="84"/>
        <v>2026</v>
      </c>
      <c r="H84" s="54" t="s">
        <v>53</v>
      </c>
      <c r="I84" s="54" t="s">
        <v>109</v>
      </c>
      <c r="J84" s="66">
        <f>VLOOKUP(I84,'XE rates'!A:D,4,0)*K84</f>
        <v>4029.75</v>
      </c>
      <c r="K84" s="80">
        <v>4029.75</v>
      </c>
      <c r="L84" s="60">
        <v>46113</v>
      </c>
      <c r="M84" s="61" t="str">
        <f t="shared" si="85"/>
        <v>Apr</v>
      </c>
      <c r="N84" s="55">
        <f t="shared" ca="1" si="86"/>
        <v>45</v>
      </c>
      <c r="O84" s="55" t="str">
        <f t="shared" ca="1" si="87"/>
        <v>31-60 days</v>
      </c>
      <c r="P84" s="54" t="s">
        <v>110</v>
      </c>
      <c r="Q84" s="81">
        <v>46146</v>
      </c>
      <c r="R84" s="82">
        <v>46153</v>
      </c>
      <c r="S84" s="54" t="s">
        <v>848</v>
      </c>
      <c r="T84" s="54" t="s">
        <v>891</v>
      </c>
      <c r="U84" s="55" t="s">
        <v>113</v>
      </c>
      <c r="V84" s="55" t="s">
        <v>121</v>
      </c>
      <c r="W84" s="55" t="s">
        <v>55</v>
      </c>
      <c r="X84" s="54"/>
      <c r="Y84" s="54"/>
      <c r="Z84" s="54"/>
      <c r="AA84" s="54"/>
      <c r="AB84" s="54" t="str">
        <f>VLOOKUP(T84,'[2]Query result'!$J:$K,2,0)</f>
        <v>Overdue</v>
      </c>
    </row>
    <row r="85" spans="1:28" hidden="1">
      <c r="A85" s="54" t="s">
        <v>58</v>
      </c>
      <c r="B85" s="1" t="s">
        <v>220</v>
      </c>
      <c r="C85" s="55" t="str">
        <f>VLOOKUP(B85,Validation!A:B,2,0)</f>
        <v>ME</v>
      </c>
      <c r="D85" s="55" t="str">
        <f>VLOOKUP(B85,Validation!A:D,4,0)</f>
        <v>Jerome Coelho</v>
      </c>
      <c r="E85" s="55" t="str">
        <f>VLOOKUP(B85,Validation!A:E,5,0)</f>
        <v>Rohit Bammi</v>
      </c>
      <c r="F85" s="55" t="s">
        <v>54</v>
      </c>
      <c r="G85" s="55">
        <f t="shared" si="84"/>
        <v>2026</v>
      </c>
      <c r="H85" s="54" t="s">
        <v>53</v>
      </c>
      <c r="I85" s="54" t="s">
        <v>109</v>
      </c>
      <c r="J85" s="66">
        <f>VLOOKUP(I85,'XE rates'!A:D,4,0)*K85</f>
        <v>3736.5</v>
      </c>
      <c r="K85" s="80">
        <v>3736.5</v>
      </c>
      <c r="L85" s="60">
        <v>46113</v>
      </c>
      <c r="M85" s="61" t="str">
        <f t="shared" si="85"/>
        <v>Apr</v>
      </c>
      <c r="N85" s="55">
        <f t="shared" ca="1" si="86"/>
        <v>45</v>
      </c>
      <c r="O85" s="55" t="str">
        <f t="shared" ca="1" si="87"/>
        <v>31-60 days</v>
      </c>
      <c r="P85" s="54" t="s">
        <v>110</v>
      </c>
      <c r="Q85" s="81">
        <v>46146</v>
      </c>
      <c r="R85" s="82">
        <v>46153</v>
      </c>
      <c r="S85" s="54" t="s">
        <v>111</v>
      </c>
      <c r="T85" s="54" t="s">
        <v>892</v>
      </c>
      <c r="U85" s="1"/>
      <c r="V85" s="1"/>
      <c r="W85" s="48"/>
      <c r="X85" s="54"/>
      <c r="Y85" s="54"/>
      <c r="Z85" s="54"/>
      <c r="AA85" s="54"/>
      <c r="AB85" s="54" t="str">
        <f>VLOOKUP(T85,'[2]Query result'!$J:$K,2,0)</f>
        <v>Outstanding</v>
      </c>
    </row>
    <row r="86" spans="1:28" hidden="1">
      <c r="A86" s="54" t="s">
        <v>58</v>
      </c>
      <c r="B86" s="1" t="s">
        <v>881</v>
      </c>
      <c r="C86" s="55" t="str">
        <f>VLOOKUP(B86,Validation!A:B,2,0)</f>
        <v>APAC</v>
      </c>
      <c r="D86" s="55" t="str">
        <f>VLOOKUP(B86,Validation!A:D,4,0)</f>
        <v>NA</v>
      </c>
      <c r="E86" s="55" t="str">
        <f>VLOOKUP(B86,Validation!A:E,5,0)</f>
        <v>Lisa Sung</v>
      </c>
      <c r="F86" s="55" t="s">
        <v>54</v>
      </c>
      <c r="G86" s="55">
        <f t="shared" si="84"/>
        <v>2026</v>
      </c>
      <c r="H86" s="54" t="s">
        <v>53</v>
      </c>
      <c r="I86" s="54" t="s">
        <v>109</v>
      </c>
      <c r="J86" s="66">
        <f>VLOOKUP(I86,'XE rates'!A:D,4,0)*K86</f>
        <v>61001.45</v>
      </c>
      <c r="K86" s="80">
        <v>61001.45</v>
      </c>
      <c r="L86" s="82">
        <v>46143</v>
      </c>
      <c r="M86" s="61" t="str">
        <f t="shared" si="85"/>
        <v>May</v>
      </c>
      <c r="N86" s="55">
        <f t="shared" ca="1" si="86"/>
        <v>38</v>
      </c>
      <c r="O86" s="55" t="str">
        <f t="shared" ca="1" si="87"/>
        <v>31-60 days</v>
      </c>
      <c r="P86" s="54" t="s">
        <v>110</v>
      </c>
      <c r="Q86" s="81">
        <v>46153</v>
      </c>
      <c r="R86" s="82">
        <v>46160</v>
      </c>
      <c r="S86" s="54" t="s">
        <v>111</v>
      </c>
      <c r="T86" s="54" t="s">
        <v>893</v>
      </c>
      <c r="U86" s="1"/>
      <c r="V86" s="1"/>
      <c r="W86" s="48"/>
      <c r="X86" s="54"/>
      <c r="Y86" s="54"/>
      <c r="Z86" s="54"/>
      <c r="AA86" s="54"/>
      <c r="AB86" s="54" t="str">
        <f>VLOOKUP(T86,'[2]Query result'!$J:$K,2,0)</f>
        <v>Outstanding</v>
      </c>
    </row>
    <row r="87" spans="1:28" hidden="1">
      <c r="A87" s="54" t="s">
        <v>58</v>
      </c>
      <c r="B87" s="1" t="s">
        <v>182</v>
      </c>
      <c r="C87" s="55" t="str">
        <f>VLOOKUP(B87,Validation!A:B,2,0)</f>
        <v>APAC</v>
      </c>
      <c r="D87" s="55" t="str">
        <f>VLOOKUP(B87,Validation!A:D,4,0)</f>
        <v>NA</v>
      </c>
      <c r="E87" s="55" t="str">
        <f>VLOOKUP(B87,Validation!A:E,5,0)</f>
        <v>Wendy zhai</v>
      </c>
      <c r="F87" s="55" t="s">
        <v>54</v>
      </c>
      <c r="G87" s="55">
        <f t="shared" si="84"/>
        <v>2026</v>
      </c>
      <c r="H87" s="54" t="s">
        <v>53</v>
      </c>
      <c r="I87" s="54" t="s">
        <v>123</v>
      </c>
      <c r="J87" s="66">
        <f>VLOOKUP(I87,'XE rates'!A:D,4,0)*K87</f>
        <v>3501.1047362895688</v>
      </c>
      <c r="K87" s="80">
        <v>4889.0600000000004</v>
      </c>
      <c r="L87" s="60">
        <v>46113</v>
      </c>
      <c r="M87" s="61" t="str">
        <f t="shared" si="85"/>
        <v>Apr</v>
      </c>
      <c r="N87" s="55">
        <f t="shared" ca="1" si="86"/>
        <v>44</v>
      </c>
      <c r="O87" s="55" t="str">
        <f t="shared" ca="1" si="87"/>
        <v>31-60 days</v>
      </c>
      <c r="P87" s="54" t="s">
        <v>110</v>
      </c>
      <c r="Q87" s="81">
        <v>46147</v>
      </c>
      <c r="R87" s="82">
        <v>46154</v>
      </c>
      <c r="S87" s="54" t="s">
        <v>111</v>
      </c>
      <c r="T87" s="54" t="s">
        <v>894</v>
      </c>
      <c r="U87" s="55" t="s">
        <v>113</v>
      </c>
      <c r="V87" s="55" t="s">
        <v>121</v>
      </c>
      <c r="W87" s="55" t="s">
        <v>55</v>
      </c>
      <c r="X87" s="54"/>
      <c r="Y87" s="54"/>
      <c r="Z87" s="54"/>
      <c r="AA87" s="54"/>
      <c r="AB87" s="54" t="str">
        <f>VLOOKUP(T87,'[2]Query result'!$J:$K,2,0)</f>
        <v>Outstanding</v>
      </c>
    </row>
    <row r="88" spans="1:28" hidden="1">
      <c r="A88" s="54" t="s">
        <v>58</v>
      </c>
      <c r="B88" s="1" t="s">
        <v>163</v>
      </c>
      <c r="C88" s="55" t="str">
        <f>VLOOKUP(B88,Validation!A:B,2,0)</f>
        <v>APAC</v>
      </c>
      <c r="D88" s="55" t="str">
        <f>VLOOKUP(B88,Validation!A:D,4,0)</f>
        <v>NA</v>
      </c>
      <c r="E88" s="55" t="str">
        <f>VLOOKUP(B88,Validation!A:E,5,0)</f>
        <v>Denis Tan</v>
      </c>
      <c r="F88" s="55" t="s">
        <v>54</v>
      </c>
      <c r="G88" s="55">
        <f t="shared" si="84"/>
        <v>2026</v>
      </c>
      <c r="H88" s="54" t="s">
        <v>53</v>
      </c>
      <c r="I88" s="54" t="s">
        <v>109</v>
      </c>
      <c r="J88" s="66">
        <f>VLOOKUP(I88,'XE rates'!A:D,4,0)*K88</f>
        <v>37.840000000000003</v>
      </c>
      <c r="K88" s="80">
        <v>37.840000000000003</v>
      </c>
      <c r="L88" s="60">
        <v>46113</v>
      </c>
      <c r="M88" s="61" t="str">
        <f t="shared" si="85"/>
        <v>Apr</v>
      </c>
      <c r="N88" s="55">
        <f t="shared" ca="1" si="86"/>
        <v>45</v>
      </c>
      <c r="O88" s="55" t="str">
        <f t="shared" ca="1" si="87"/>
        <v>31-60 days</v>
      </c>
      <c r="P88" s="54" t="s">
        <v>110</v>
      </c>
      <c r="Q88" s="81">
        <v>46146</v>
      </c>
      <c r="R88" s="82">
        <v>46153</v>
      </c>
      <c r="S88" s="54" t="s">
        <v>111</v>
      </c>
      <c r="T88" s="54" t="s">
        <v>895</v>
      </c>
      <c r="U88" s="55" t="s">
        <v>113</v>
      </c>
      <c r="V88" s="55" t="s">
        <v>121</v>
      </c>
      <c r="W88" s="55" t="s">
        <v>165</v>
      </c>
      <c r="X88" s="54"/>
      <c r="Y88" s="54"/>
      <c r="Z88" s="54"/>
      <c r="AA88" s="54"/>
      <c r="AB88" s="54" t="str">
        <f>VLOOKUP(T88,'[2]Query result'!$J:$K,2,0)</f>
        <v>Outstanding</v>
      </c>
    </row>
    <row r="89" spans="1:28" hidden="1">
      <c r="A89" s="54" t="s">
        <v>58</v>
      </c>
      <c r="B89" s="1" t="s">
        <v>226</v>
      </c>
      <c r="C89" s="55" t="str">
        <f>VLOOKUP(B89,Validation!A:B,2,0)</f>
        <v>APAC</v>
      </c>
      <c r="D89" s="55" t="str">
        <f>VLOOKUP(B89,Validation!A:D,4,0)</f>
        <v>Pat Sarisa</v>
      </c>
      <c r="E89" s="55" t="str">
        <f>VLOOKUP(B89,Validation!A:E,5,0)</f>
        <v>Gitesh Athavale</v>
      </c>
      <c r="F89" s="55" t="s">
        <v>54</v>
      </c>
      <c r="G89" s="55">
        <f t="shared" si="84"/>
        <v>2026</v>
      </c>
      <c r="H89" s="54" t="s">
        <v>53</v>
      </c>
      <c r="I89" s="54" t="s">
        <v>109</v>
      </c>
      <c r="J89" s="66">
        <f>VLOOKUP(I89,'XE rates'!A:D,4,0)*K89</f>
        <v>16152.5</v>
      </c>
      <c r="K89" s="80">
        <v>16152.5</v>
      </c>
      <c r="L89" s="60">
        <v>46113</v>
      </c>
      <c r="M89" s="61" t="str">
        <f t="shared" si="85"/>
        <v>Apr</v>
      </c>
      <c r="N89" s="55">
        <f t="shared" ca="1" si="86"/>
        <v>42</v>
      </c>
      <c r="O89" s="55" t="str">
        <f t="shared" ca="1" si="87"/>
        <v>31-60 days</v>
      </c>
      <c r="P89" s="54" t="s">
        <v>110</v>
      </c>
      <c r="Q89" s="81">
        <v>46149</v>
      </c>
      <c r="R89" s="82">
        <v>46156</v>
      </c>
      <c r="S89" s="54" t="s">
        <v>111</v>
      </c>
      <c r="T89" s="54" t="s">
        <v>896</v>
      </c>
      <c r="U89" s="55" t="s">
        <v>113</v>
      </c>
      <c r="V89" s="55" t="s">
        <v>121</v>
      </c>
      <c r="W89" s="55" t="s">
        <v>55</v>
      </c>
      <c r="X89" s="54"/>
      <c r="Y89" s="54"/>
      <c r="Z89" s="54"/>
      <c r="AA89" s="54"/>
      <c r="AB89" s="54" t="str">
        <f>VLOOKUP(T89,'[2]Query result'!$J:$K,2,0)</f>
        <v>Outstanding</v>
      </c>
    </row>
    <row r="90" spans="1:28" hidden="1">
      <c r="A90" s="54" t="s">
        <v>58</v>
      </c>
      <c r="B90" s="1" t="s">
        <v>840</v>
      </c>
      <c r="C90" s="55" t="str">
        <f>VLOOKUP(B90,Validation!A:B,2,0)</f>
        <v>ME</v>
      </c>
      <c r="D90" s="55" t="str">
        <f>VLOOKUP(B90,Validation!A:D,4,0)</f>
        <v>NA</v>
      </c>
      <c r="E90" s="55" t="str">
        <f>VLOOKUP(B90,Validation!A:E,5,0)</f>
        <v>Ashraf Omran</v>
      </c>
      <c r="F90" s="55" t="s">
        <v>54</v>
      </c>
      <c r="G90" s="55">
        <f t="shared" si="84"/>
        <v>2026</v>
      </c>
      <c r="H90" s="54" t="s">
        <v>53</v>
      </c>
      <c r="I90" s="54" t="s">
        <v>109</v>
      </c>
      <c r="J90" s="66">
        <f>VLOOKUP(I90,'XE rates'!A:D,4,0)*K90</f>
        <v>5000</v>
      </c>
      <c r="K90" s="80">
        <v>5000</v>
      </c>
      <c r="L90" s="82">
        <v>46143</v>
      </c>
      <c r="M90" s="61" t="str">
        <f t="shared" si="85"/>
        <v>May</v>
      </c>
      <c r="N90" s="55">
        <f t="shared" ca="1" si="86"/>
        <v>38</v>
      </c>
      <c r="O90" s="55" t="str">
        <f t="shared" ca="1" si="87"/>
        <v>31-60 days</v>
      </c>
      <c r="P90" s="54" t="s">
        <v>243</v>
      </c>
      <c r="Q90" s="81">
        <v>46153</v>
      </c>
      <c r="R90" s="82">
        <v>46160</v>
      </c>
      <c r="S90" s="54" t="s">
        <v>111</v>
      </c>
      <c r="T90" s="54" t="s">
        <v>897</v>
      </c>
      <c r="U90" s="55" t="s">
        <v>113</v>
      </c>
      <c r="V90" s="55" t="s">
        <v>121</v>
      </c>
      <c r="W90" s="55" t="s">
        <v>55</v>
      </c>
      <c r="X90" s="54"/>
      <c r="Y90" s="54"/>
      <c r="Z90" s="54"/>
      <c r="AA90" s="54"/>
      <c r="AB90" s="54" t="str">
        <f>VLOOKUP(T90,'[2]Query result'!$J:$K,2,0)</f>
        <v>Outstanding</v>
      </c>
    </row>
    <row r="91" spans="1:28" hidden="1">
      <c r="A91" s="54" t="s">
        <v>58</v>
      </c>
      <c r="B91" s="1" t="s">
        <v>141</v>
      </c>
      <c r="C91" s="55" t="str">
        <f>VLOOKUP(B91,Validation!A:B,2,0)</f>
        <v>EU/UK</v>
      </c>
      <c r="D91" s="55" t="str">
        <f>VLOOKUP(B91,Validation!A:D,4,0)</f>
        <v>Sachli Zare</v>
      </c>
      <c r="E91" s="55" t="str">
        <f>VLOOKUP(B91,Validation!A:E,5,0)</f>
        <v>NA</v>
      </c>
      <c r="F91" s="55" t="s">
        <v>54</v>
      </c>
      <c r="G91" s="55">
        <f t="shared" si="84"/>
        <v>2026</v>
      </c>
      <c r="H91" s="54" t="s">
        <v>53</v>
      </c>
      <c r="I91" s="54" t="s">
        <v>109</v>
      </c>
      <c r="J91" s="66">
        <f>VLOOKUP(I91,'XE rates'!A:D,4,0)*K91</f>
        <v>99.6</v>
      </c>
      <c r="K91" s="80">
        <v>99.6</v>
      </c>
      <c r="L91" s="60">
        <v>46113</v>
      </c>
      <c r="M91" s="61" t="str">
        <f t="shared" si="85"/>
        <v>Apr</v>
      </c>
      <c r="N91" s="55">
        <f t="shared" ca="1" si="86"/>
        <v>45</v>
      </c>
      <c r="O91" s="55" t="str">
        <f t="shared" ca="1" si="87"/>
        <v>31-60 days</v>
      </c>
      <c r="P91" s="54" t="s">
        <v>110</v>
      </c>
      <c r="Q91" s="81">
        <v>46146</v>
      </c>
      <c r="R91" s="82">
        <v>46153</v>
      </c>
      <c r="S91" s="54" t="s">
        <v>111</v>
      </c>
      <c r="T91" s="54" t="s">
        <v>898</v>
      </c>
      <c r="U91" s="55" t="s">
        <v>113</v>
      </c>
      <c r="V91" s="55" t="s">
        <v>121</v>
      </c>
      <c r="W91" s="55" t="s">
        <v>143</v>
      </c>
      <c r="X91" s="54"/>
      <c r="Y91" s="54"/>
      <c r="Z91" s="54"/>
      <c r="AA91" s="54"/>
      <c r="AB91" s="54" t="str">
        <f>VLOOKUP(T91,'[2]Query result'!$J:$K,2,0)</f>
        <v>Outstanding</v>
      </c>
    </row>
    <row r="92" spans="1:28" hidden="1">
      <c r="A92" s="54" t="s">
        <v>58</v>
      </c>
      <c r="B92" s="1" t="s">
        <v>882</v>
      </c>
      <c r="C92" s="55" t="str">
        <f>VLOOKUP(B92,Validation!A:B,2,0)</f>
        <v>EU/UK</v>
      </c>
      <c r="D92" s="55" t="str">
        <f>VLOOKUP(B92,Validation!A:D,4,0)</f>
        <v>Sachli Zare</v>
      </c>
      <c r="E92" s="55" t="str">
        <f>VLOOKUP(B92,Validation!A:E,5,0)</f>
        <v>Gitesh Athavale</v>
      </c>
      <c r="F92" s="55" t="s">
        <v>54</v>
      </c>
      <c r="G92" s="55">
        <f t="shared" si="84"/>
        <v>2026</v>
      </c>
      <c r="H92" s="54" t="s">
        <v>53</v>
      </c>
      <c r="I92" s="54" t="s">
        <v>109</v>
      </c>
      <c r="J92" s="66">
        <f>VLOOKUP(I92,'XE rates'!A:D,4,0)*K92</f>
        <v>15540.78</v>
      </c>
      <c r="K92" s="80">
        <v>15540.78</v>
      </c>
      <c r="L92" s="60">
        <v>46113</v>
      </c>
      <c r="M92" s="61" t="str">
        <f t="shared" si="85"/>
        <v>Apr</v>
      </c>
      <c r="N92" s="55">
        <f t="shared" ca="1" si="86"/>
        <v>35</v>
      </c>
      <c r="O92" s="55" t="str">
        <f t="shared" ca="1" si="87"/>
        <v>31-60 days</v>
      </c>
      <c r="P92" s="54" t="s">
        <v>110</v>
      </c>
      <c r="Q92" s="81">
        <v>46148</v>
      </c>
      <c r="R92" s="82">
        <v>46163</v>
      </c>
      <c r="S92" s="54" t="s">
        <v>111</v>
      </c>
      <c r="T92" s="54" t="s">
        <v>899</v>
      </c>
      <c r="U92" s="1"/>
      <c r="V92" s="1"/>
      <c r="W92" s="48"/>
      <c r="X92" s="54"/>
      <c r="Y92" s="54"/>
      <c r="Z92" s="54"/>
      <c r="AA92" s="54"/>
      <c r="AB92" s="54" t="str">
        <f>VLOOKUP(T92,'[2]Query result'!$J:$K,2,0)</f>
        <v>Outstanding</v>
      </c>
    </row>
    <row r="93" spans="1:28">
      <c r="A93" s="54" t="s">
        <v>58</v>
      </c>
      <c r="B93" s="1" t="s">
        <v>776</v>
      </c>
      <c r="C93" s="55" t="str">
        <f>VLOOKUP(B93,Validation!A:B,2,0)</f>
        <v>ME</v>
      </c>
      <c r="D93" s="55" t="str">
        <f>VLOOKUP(B93,Validation!A:D,4,0)</f>
        <v>Jerome Coelho</v>
      </c>
      <c r="E93" s="55" t="str">
        <f>VLOOKUP(B93,Validation!A:E,5,0)</f>
        <v>Rohit Bammi</v>
      </c>
      <c r="F93" s="55" t="s">
        <v>54</v>
      </c>
      <c r="G93" s="55">
        <f t="shared" si="84"/>
        <v>2026</v>
      </c>
      <c r="H93" s="54" t="s">
        <v>53</v>
      </c>
      <c r="I93" s="54" t="s">
        <v>109</v>
      </c>
      <c r="J93" s="66">
        <f>VLOOKUP(I93,'XE rates'!A:D,4,0)*K93</f>
        <v>1185.58</v>
      </c>
      <c r="K93" s="80">
        <v>1185.58</v>
      </c>
      <c r="L93" s="60">
        <v>46113</v>
      </c>
      <c r="M93" s="61" t="str">
        <f t="shared" si="85"/>
        <v>Apr</v>
      </c>
      <c r="N93" s="55">
        <f t="shared" ca="1" si="86"/>
        <v>44</v>
      </c>
      <c r="O93" s="55" t="str">
        <f t="shared" ca="1" si="87"/>
        <v>31-60 days</v>
      </c>
      <c r="P93" s="54" t="s">
        <v>110</v>
      </c>
      <c r="Q93" s="81">
        <v>46147</v>
      </c>
      <c r="R93" s="82">
        <v>46154</v>
      </c>
      <c r="S93" s="54" t="s">
        <v>111</v>
      </c>
      <c r="T93" s="54" t="s">
        <v>900</v>
      </c>
      <c r="U93" s="55" t="s">
        <v>113</v>
      </c>
      <c r="V93" s="55" t="s">
        <v>121</v>
      </c>
      <c r="W93" s="55" t="s">
        <v>55</v>
      </c>
      <c r="X93" s="54"/>
      <c r="Y93" s="54"/>
      <c r="Z93" s="54"/>
      <c r="AA93" s="54"/>
      <c r="AB93" s="54" t="str">
        <f>VLOOKUP(T93,'[2]Query result'!$J:$K,2,0)</f>
        <v>Outstanding</v>
      </c>
    </row>
    <row r="94" spans="1:28" hidden="1">
      <c r="A94" s="54" t="s">
        <v>58</v>
      </c>
      <c r="B94" s="1" t="s">
        <v>145</v>
      </c>
      <c r="C94" s="55" t="str">
        <f>VLOOKUP(B94,Validation!A:B,2,0)</f>
        <v>APAC</v>
      </c>
      <c r="D94" s="55" t="str">
        <f>VLOOKUP(B94,Validation!A:D,4,0)</f>
        <v>Shi Yin</v>
      </c>
      <c r="E94" s="55" t="str">
        <f>VLOOKUP(B94,Validation!A:E,5,0)</f>
        <v>Vinoth M</v>
      </c>
      <c r="F94" s="55" t="s">
        <v>54</v>
      </c>
      <c r="G94" s="55">
        <f t="shared" si="84"/>
        <v>2026</v>
      </c>
      <c r="H94" s="54" t="s">
        <v>53</v>
      </c>
      <c r="I94" s="54" t="s">
        <v>109</v>
      </c>
      <c r="J94" s="66">
        <f>VLOOKUP(I94,'XE rates'!A:D,4,0)*K94</f>
        <v>2954.5</v>
      </c>
      <c r="K94" s="80">
        <v>2954.5</v>
      </c>
      <c r="L94" s="60">
        <v>46113</v>
      </c>
      <c r="M94" s="61" t="str">
        <f t="shared" si="85"/>
        <v>Apr</v>
      </c>
      <c r="N94" s="55">
        <f t="shared" ca="1" si="86"/>
        <v>45</v>
      </c>
      <c r="O94" s="55" t="str">
        <f t="shared" ca="1" si="87"/>
        <v>31-60 days</v>
      </c>
      <c r="P94" s="54" t="s">
        <v>110</v>
      </c>
      <c r="Q94" s="81">
        <v>46146</v>
      </c>
      <c r="R94" s="82">
        <v>46153</v>
      </c>
      <c r="S94" s="54" t="s">
        <v>111</v>
      </c>
      <c r="T94" s="54" t="s">
        <v>901</v>
      </c>
      <c r="U94" s="55" t="s">
        <v>113</v>
      </c>
      <c r="V94" s="55" t="s">
        <v>113</v>
      </c>
      <c r="W94" s="55" t="s">
        <v>55</v>
      </c>
      <c r="X94" s="54"/>
      <c r="Y94" s="54"/>
      <c r="Z94" s="54"/>
      <c r="AA94" s="54"/>
      <c r="AB94" s="54" t="str">
        <f>VLOOKUP(T94,'[2]Query result'!$J:$K,2,0)</f>
        <v>Outstanding</v>
      </c>
    </row>
    <row r="95" spans="1:28" hidden="1">
      <c r="A95" s="54" t="s">
        <v>58</v>
      </c>
      <c r="B95" s="1" t="s">
        <v>76</v>
      </c>
      <c r="C95" s="55" t="str">
        <f>VLOOKUP(B95,Validation!A:B,2,0)</f>
        <v>USA</v>
      </c>
      <c r="D95" s="55" t="str">
        <f>VLOOKUP(B95,Validation!A:D,4,0)</f>
        <v>Tanu Arora</v>
      </c>
      <c r="E95" s="55" t="str">
        <f>VLOOKUP(B95,Validation!A:E,5,0)</f>
        <v>Michael Bermingham</v>
      </c>
      <c r="F95" s="55" t="s">
        <v>54</v>
      </c>
      <c r="G95" s="55">
        <f t="shared" si="84"/>
        <v>2026</v>
      </c>
      <c r="H95" s="54" t="s">
        <v>53</v>
      </c>
      <c r="I95" s="54" t="s">
        <v>187</v>
      </c>
      <c r="J95" s="66">
        <f>VLOOKUP(I95,'XE rates'!A:D,4,0)*K95</f>
        <v>39.566801254373807</v>
      </c>
      <c r="K95" s="80">
        <v>54.05</v>
      </c>
      <c r="L95" s="60">
        <v>46113</v>
      </c>
      <c r="M95" s="61" t="str">
        <f t="shared" si="85"/>
        <v>Apr</v>
      </c>
      <c r="N95" s="55">
        <f t="shared" ca="1" si="86"/>
        <v>44</v>
      </c>
      <c r="O95" s="55" t="str">
        <f t="shared" ca="1" si="87"/>
        <v>31-60 days</v>
      </c>
      <c r="P95" s="54" t="s">
        <v>110</v>
      </c>
      <c r="Q95" s="81">
        <v>46147</v>
      </c>
      <c r="R95" s="82">
        <v>46154</v>
      </c>
      <c r="S95" s="54" t="s">
        <v>111</v>
      </c>
      <c r="T95" s="54" t="s">
        <v>902</v>
      </c>
      <c r="U95" s="55" t="s">
        <v>113</v>
      </c>
      <c r="V95" s="55" t="s">
        <v>121</v>
      </c>
      <c r="W95" s="55" t="s">
        <v>55</v>
      </c>
      <c r="X95" s="54"/>
      <c r="Y95" s="54"/>
      <c r="Z95" s="54"/>
      <c r="AA95" s="54"/>
      <c r="AB95" s="54" t="str">
        <f>VLOOKUP(T95,'[2]Query result'!$J:$K,2,0)</f>
        <v>Outstanding</v>
      </c>
    </row>
    <row r="96" spans="1:28" hidden="1">
      <c r="A96" s="54" t="s">
        <v>58</v>
      </c>
      <c r="B96" s="1" t="s">
        <v>760</v>
      </c>
      <c r="C96" s="55" t="str">
        <f>VLOOKUP(B96,Validation!A:B,2,0)</f>
        <v>USA</v>
      </c>
      <c r="D96" s="55" t="str">
        <f>VLOOKUP(B96,Validation!A:D,4,0)</f>
        <v>Tulio Lima</v>
      </c>
      <c r="E96" s="55" t="str">
        <f>VLOOKUP(B96,Validation!A:E,5,0)</f>
        <v>NA</v>
      </c>
      <c r="F96" s="55" t="s">
        <v>54</v>
      </c>
      <c r="G96" s="55">
        <f t="shared" si="84"/>
        <v>2026</v>
      </c>
      <c r="H96" s="54" t="s">
        <v>53</v>
      </c>
      <c r="I96" s="54" t="s">
        <v>109</v>
      </c>
      <c r="J96" s="66">
        <f>VLOOKUP(I96,'XE rates'!A:D,4,0)*K96</f>
        <v>130</v>
      </c>
      <c r="K96" s="80">
        <v>130</v>
      </c>
      <c r="L96" s="60">
        <v>46113</v>
      </c>
      <c r="M96" s="61" t="str">
        <f t="shared" si="85"/>
        <v>Apr</v>
      </c>
      <c r="N96" s="55">
        <f t="shared" ca="1" si="86"/>
        <v>45</v>
      </c>
      <c r="O96" s="55" t="str">
        <f t="shared" ca="1" si="87"/>
        <v>31-60 days</v>
      </c>
      <c r="P96" s="54" t="s">
        <v>110</v>
      </c>
      <c r="Q96" s="81">
        <v>46146</v>
      </c>
      <c r="R96" s="82">
        <v>46153</v>
      </c>
      <c r="S96" s="54" t="s">
        <v>111</v>
      </c>
      <c r="T96" s="54" t="s">
        <v>903</v>
      </c>
      <c r="U96" s="55" t="s">
        <v>113</v>
      </c>
      <c r="V96" s="55" t="s">
        <v>121</v>
      </c>
      <c r="W96" s="55" t="s">
        <v>55</v>
      </c>
      <c r="X96" s="54"/>
      <c r="Y96" s="54"/>
      <c r="Z96" s="54"/>
      <c r="AA96" s="54"/>
      <c r="AB96" s="54" t="str">
        <f>VLOOKUP(T96,'[2]Query result'!$J:$K,2,0)</f>
        <v>Outstanding</v>
      </c>
    </row>
    <row r="97" spans="1:28" hidden="1">
      <c r="A97" s="54" t="s">
        <v>58</v>
      </c>
      <c r="B97" s="1" t="s">
        <v>244</v>
      </c>
      <c r="C97" s="55" t="str">
        <f>VLOOKUP(B97,Validation!A:B,2,0)</f>
        <v>EU/UK</v>
      </c>
      <c r="D97" s="55" t="str">
        <f>VLOOKUP(B97,Validation!A:D,4,0)</f>
        <v>Sachli Zare</v>
      </c>
      <c r="E97" s="55" t="str">
        <f>VLOOKUP(B97,Validation!A:E,5,0)</f>
        <v>Danny May</v>
      </c>
      <c r="F97" s="55" t="s">
        <v>54</v>
      </c>
      <c r="G97" s="55">
        <f t="shared" si="84"/>
        <v>2026</v>
      </c>
      <c r="H97" s="54" t="s">
        <v>53</v>
      </c>
      <c r="I97" s="54" t="s">
        <v>137</v>
      </c>
      <c r="J97" s="66">
        <f>VLOOKUP(I97,'XE rates'!A:D,4,0)*K97</f>
        <v>4102.455648630902</v>
      </c>
      <c r="K97" s="80">
        <v>3038</v>
      </c>
      <c r="L97" s="60">
        <v>46113</v>
      </c>
      <c r="M97" s="61" t="str">
        <f t="shared" si="85"/>
        <v>Apr</v>
      </c>
      <c r="N97" s="55">
        <f t="shared" ca="1" si="86"/>
        <v>37</v>
      </c>
      <c r="O97" s="55" t="str">
        <f t="shared" ca="1" si="87"/>
        <v>31-60 days</v>
      </c>
      <c r="P97" s="54" t="s">
        <v>110</v>
      </c>
      <c r="Q97" s="81">
        <v>46147</v>
      </c>
      <c r="R97" s="82">
        <v>46161</v>
      </c>
      <c r="S97" s="54" t="s">
        <v>111</v>
      </c>
      <c r="T97" s="54" t="s">
        <v>904</v>
      </c>
      <c r="U97" s="55" t="s">
        <v>113</v>
      </c>
      <c r="V97" s="55" t="s">
        <v>121</v>
      </c>
      <c r="W97" s="55" t="s">
        <v>55</v>
      </c>
      <c r="X97" s="54"/>
      <c r="Y97" s="54"/>
      <c r="Z97" s="54"/>
      <c r="AA97" s="54"/>
      <c r="AB97" s="54" t="str">
        <f>VLOOKUP(T97,'[2]Query result'!$J:$K,2,0)</f>
        <v>Outstanding</v>
      </c>
    </row>
    <row r="98" spans="1:28" hidden="1">
      <c r="A98" s="54" t="s">
        <v>58</v>
      </c>
      <c r="B98" s="1" t="s">
        <v>826</v>
      </c>
      <c r="C98" s="55" t="str">
        <f>VLOOKUP(B98,Validation!A:B,2,0)</f>
        <v>APAC</v>
      </c>
      <c r="D98" s="55" t="str">
        <f>VLOOKUP(B98,Validation!A:D,4,0)</f>
        <v>NA</v>
      </c>
      <c r="E98" s="55" t="str">
        <f>VLOOKUP(B98,Validation!A:E,5,0)</f>
        <v>Lisa Sung</v>
      </c>
      <c r="F98" s="55" t="s">
        <v>54</v>
      </c>
      <c r="G98" s="55">
        <f t="shared" si="84"/>
        <v>2026</v>
      </c>
      <c r="H98" s="54" t="s">
        <v>53</v>
      </c>
      <c r="I98" s="54" t="s">
        <v>109</v>
      </c>
      <c r="J98" s="66">
        <f>VLOOKUP(I98,'XE rates'!A:D,4,0)*K98</f>
        <v>15125</v>
      </c>
      <c r="K98" s="80">
        <v>15125</v>
      </c>
      <c r="L98" s="60">
        <v>46113</v>
      </c>
      <c r="M98" s="61" t="str">
        <f t="shared" si="85"/>
        <v>Apr</v>
      </c>
      <c r="N98" s="55">
        <f t="shared" ca="1" si="86"/>
        <v>43</v>
      </c>
      <c r="O98" s="55" t="str">
        <f t="shared" ca="1" si="87"/>
        <v>31-60 days</v>
      </c>
      <c r="P98" s="54" t="s">
        <v>110</v>
      </c>
      <c r="Q98" s="81">
        <v>46148</v>
      </c>
      <c r="R98" s="82">
        <v>46155</v>
      </c>
      <c r="S98" s="54" t="s">
        <v>111</v>
      </c>
      <c r="T98" s="54" t="s">
        <v>905</v>
      </c>
      <c r="U98" s="1"/>
      <c r="V98" s="1"/>
      <c r="W98" s="48"/>
      <c r="X98" s="54"/>
      <c r="Y98" s="54"/>
      <c r="Z98" s="54"/>
      <c r="AA98" s="54"/>
      <c r="AB98" s="54" t="str">
        <f>VLOOKUP(T98,'[2]Query result'!$J:$K,2,0)</f>
        <v>Outstanding</v>
      </c>
    </row>
    <row r="99" spans="1:28" hidden="1">
      <c r="A99" s="54" t="s">
        <v>58</v>
      </c>
      <c r="B99" s="1" t="s">
        <v>60</v>
      </c>
      <c r="C99" s="55" t="str">
        <f>VLOOKUP(B99,Validation!A:B,2,0)</f>
        <v>Shared Centre</v>
      </c>
      <c r="D99" s="55" t="str">
        <f>VLOOKUP(B99,Validation!A:D,4,0)</f>
        <v>NA</v>
      </c>
      <c r="E99" s="55" t="str">
        <f>VLOOKUP(B99,Validation!A:E,5,0)</f>
        <v>Tyler Reed</v>
      </c>
      <c r="F99" s="55" t="s">
        <v>54</v>
      </c>
      <c r="G99" s="55">
        <f t="shared" si="84"/>
        <v>2026</v>
      </c>
      <c r="H99" s="54" t="s">
        <v>53</v>
      </c>
      <c r="I99" s="54" t="s">
        <v>109</v>
      </c>
      <c r="J99" s="66">
        <f>VLOOKUP(I99,'XE rates'!A:D,4,0)*K99</f>
        <v>503</v>
      </c>
      <c r="K99" s="80">
        <v>503</v>
      </c>
      <c r="L99" s="60">
        <v>46113</v>
      </c>
      <c r="M99" s="61" t="str">
        <f t="shared" ref="M99:M105" si="88">TEXT(L99,"mmm")</f>
        <v>Apr</v>
      </c>
      <c r="N99" s="55">
        <f t="shared" ref="N99:N105" ca="1" si="89">$Y$1-R99</f>
        <v>42</v>
      </c>
      <c r="O99" s="55" t="str">
        <f t="shared" ref="O99:O105" ca="1" si="90">IF(N99&lt;=30, "0-30 days", IF(N99&lt;=60, "31-60 days", IF(N99&lt;=90, "61-90 days", "Over 90+ days")))</f>
        <v>31-60 days</v>
      </c>
      <c r="P99" s="54" t="s">
        <v>110</v>
      </c>
      <c r="Q99" s="81">
        <v>46149</v>
      </c>
      <c r="R99" s="82">
        <v>46156</v>
      </c>
      <c r="S99" s="54" t="s">
        <v>111</v>
      </c>
      <c r="T99" s="54" t="s">
        <v>906</v>
      </c>
      <c r="U99" s="55" t="s">
        <v>113</v>
      </c>
      <c r="V99" s="55" t="s">
        <v>121</v>
      </c>
      <c r="W99" s="55" t="s">
        <v>55</v>
      </c>
      <c r="X99" s="54"/>
      <c r="Y99" s="54"/>
      <c r="Z99" s="54"/>
      <c r="AA99" s="54"/>
      <c r="AB99" s="54" t="str">
        <f>VLOOKUP(T99,'[2]Query result'!$J:$K,2,0)</f>
        <v>Outstanding</v>
      </c>
    </row>
    <row r="100" spans="1:28" hidden="1">
      <c r="A100" s="54" t="s">
        <v>58</v>
      </c>
      <c r="B100" s="54" t="s">
        <v>29</v>
      </c>
      <c r="C100" s="55" t="str">
        <f>VLOOKUP(B100,Validation!A:B,2,0)</f>
        <v>APAC</v>
      </c>
      <c r="D100" s="55" t="str">
        <f>VLOOKUP(B100,Validation!A:D,4,0)</f>
        <v>Shi Yin</v>
      </c>
      <c r="E100" s="55" t="str">
        <f>VLOOKUP(B100,Validation!A:E,5,0)</f>
        <v>Gitesh Athavale</v>
      </c>
      <c r="F100" s="55" t="s">
        <v>54</v>
      </c>
      <c r="G100" s="55">
        <f t="shared" si="84"/>
        <v>2026</v>
      </c>
      <c r="H100" s="54" t="s">
        <v>53</v>
      </c>
      <c r="I100" s="54" t="s">
        <v>191</v>
      </c>
      <c r="J100" s="66">
        <f>VLOOKUP(I100,'XE rates'!A:D,4,0)*K100</f>
        <v>108452.35762375321</v>
      </c>
      <c r="K100" s="80">
        <v>138295.49166</v>
      </c>
      <c r="L100" s="82">
        <v>46143</v>
      </c>
      <c r="M100" s="61" t="str">
        <f t="shared" si="88"/>
        <v>May</v>
      </c>
      <c r="N100" s="55">
        <f t="shared" ca="1" si="89"/>
        <v>-1</v>
      </c>
      <c r="O100" s="55" t="str">
        <f t="shared" ca="1" si="90"/>
        <v>0-30 days</v>
      </c>
      <c r="P100" s="54" t="s">
        <v>917</v>
      </c>
      <c r="Q100" s="81">
        <v>46169</v>
      </c>
      <c r="R100" s="82">
        <v>46199</v>
      </c>
      <c r="S100" s="54" t="s">
        <v>151</v>
      </c>
      <c r="T100" s="54" t="s">
        <v>911</v>
      </c>
      <c r="U100" s="1"/>
      <c r="V100" s="1"/>
      <c r="W100" s="48"/>
      <c r="X100" s="54"/>
      <c r="Y100" s="54"/>
      <c r="Z100" s="54"/>
      <c r="AA100" s="54"/>
      <c r="AB100" s="54" t="str">
        <f>VLOOKUP(T100,'[2]Query result'!$J:$K,2,0)</f>
        <v>Invoice Sent</v>
      </c>
    </row>
    <row r="101" spans="1:28" hidden="1">
      <c r="A101" s="54" t="s">
        <v>58</v>
      </c>
      <c r="B101" s="54" t="s">
        <v>29</v>
      </c>
      <c r="C101" s="55" t="str">
        <f>VLOOKUP(B101,Validation!A:B,2,0)</f>
        <v>APAC</v>
      </c>
      <c r="D101" s="55" t="str">
        <f>VLOOKUP(B101,Validation!A:D,4,0)</f>
        <v>Shi Yin</v>
      </c>
      <c r="E101" s="55" t="str">
        <f>VLOOKUP(B101,Validation!A:E,5,0)</f>
        <v>Gitesh Athavale</v>
      </c>
      <c r="F101" s="55" t="s">
        <v>54</v>
      </c>
      <c r="G101" s="55">
        <f t="shared" si="84"/>
        <v>2026</v>
      </c>
      <c r="H101" s="54" t="s">
        <v>53</v>
      </c>
      <c r="I101" s="54" t="s">
        <v>191</v>
      </c>
      <c r="J101" s="66">
        <f>VLOOKUP(I101,'XE rates'!A:D,4,0)*K101</f>
        <v>2481.0520672854568</v>
      </c>
      <c r="K101" s="80">
        <v>3163.77</v>
      </c>
      <c r="L101" s="60">
        <v>46113</v>
      </c>
      <c r="M101" s="61" t="str">
        <f t="shared" si="88"/>
        <v>Apr</v>
      </c>
      <c r="N101" s="55">
        <f t="shared" ca="1" si="89"/>
        <v>-2</v>
      </c>
      <c r="O101" s="55" t="str">
        <f t="shared" ca="1" si="90"/>
        <v>0-30 days</v>
      </c>
      <c r="P101" s="54" t="s">
        <v>139</v>
      </c>
      <c r="Q101" s="81">
        <v>46169</v>
      </c>
      <c r="R101" s="82">
        <v>46200</v>
      </c>
      <c r="S101" s="54" t="s">
        <v>151</v>
      </c>
      <c r="T101" s="54" t="s">
        <v>912</v>
      </c>
      <c r="U101" s="1"/>
      <c r="V101" s="1"/>
      <c r="W101" s="48"/>
      <c r="X101" s="54"/>
      <c r="Y101" s="54"/>
      <c r="Z101" s="54"/>
      <c r="AA101" s="54"/>
      <c r="AB101" s="54" t="str">
        <f>VLOOKUP(T101,'[2]Query result'!$J:$K,2,0)</f>
        <v>Invoice Sent</v>
      </c>
    </row>
    <row r="102" spans="1:28" hidden="1">
      <c r="A102" s="54" t="s">
        <v>58</v>
      </c>
      <c r="B102" s="54" t="s">
        <v>909</v>
      </c>
      <c r="C102" s="55" t="str">
        <f>VLOOKUP(B102,Validation!A:B,2,0)</f>
        <v>Shared Centre</v>
      </c>
      <c r="D102" s="55" t="str">
        <f>VLOOKUP(B102,Validation!A:D,4,0)</f>
        <v>Sanat Patakar</v>
      </c>
      <c r="E102" s="55" t="str">
        <f>VLOOKUP(B102,Validation!A:E,5,0)</f>
        <v>NA</v>
      </c>
      <c r="F102" s="55" t="s">
        <v>54</v>
      </c>
      <c r="G102" s="55">
        <f t="shared" si="84"/>
        <v>2026</v>
      </c>
      <c r="H102" s="54" t="s">
        <v>53</v>
      </c>
      <c r="I102" s="54" t="s">
        <v>262</v>
      </c>
      <c r="J102" s="66">
        <f>VLOOKUP(I102,'XE rates'!A:D,4,0)*K102</f>
        <v>14996.710242819188</v>
      </c>
      <c r="K102" s="80">
        <v>2391900</v>
      </c>
      <c r="L102" s="82">
        <v>46143</v>
      </c>
      <c r="M102" s="61" t="str">
        <f t="shared" si="88"/>
        <v>May</v>
      </c>
      <c r="N102" s="55">
        <f t="shared" ca="1" si="89"/>
        <v>21</v>
      </c>
      <c r="O102" s="55" t="str">
        <f t="shared" ca="1" si="90"/>
        <v>0-30 days</v>
      </c>
      <c r="P102" s="54" t="s">
        <v>918</v>
      </c>
      <c r="Q102" s="81">
        <v>46170</v>
      </c>
      <c r="R102" s="82">
        <v>46177</v>
      </c>
      <c r="S102" s="54" t="s">
        <v>151</v>
      </c>
      <c r="T102" s="54" t="s">
        <v>913</v>
      </c>
      <c r="U102" s="1"/>
      <c r="V102" s="1"/>
      <c r="W102" s="48"/>
      <c r="X102" s="54"/>
      <c r="Y102" s="54"/>
      <c r="Z102" s="54"/>
      <c r="AA102" s="54"/>
      <c r="AB102" s="54" t="str">
        <f>VLOOKUP(T102,'[2]Query result'!$J:$K,2,0)</f>
        <v>Outstanding</v>
      </c>
    </row>
    <row r="103" spans="1:28" hidden="1">
      <c r="A103" s="54" t="s">
        <v>58</v>
      </c>
      <c r="B103" s="54" t="s">
        <v>138</v>
      </c>
      <c r="C103" s="55" t="str">
        <f>VLOOKUP(B103,Validation!A:B,2,0)</f>
        <v>APAC</v>
      </c>
      <c r="D103" s="55" t="str">
        <f>VLOOKUP(B103,Validation!A:D,4,0)</f>
        <v>Hao Nguyen</v>
      </c>
      <c r="E103" s="55" t="str">
        <f>VLOOKUP(B103,Validation!A:E,5,0)</f>
        <v>Vinoth M</v>
      </c>
      <c r="F103" s="55" t="s">
        <v>54</v>
      </c>
      <c r="G103" s="55">
        <f t="shared" si="84"/>
        <v>2026</v>
      </c>
      <c r="H103" s="54" t="s">
        <v>53</v>
      </c>
      <c r="I103" s="54" t="s">
        <v>123</v>
      </c>
      <c r="J103" s="66">
        <f>VLOOKUP(I103,'XE rates'!A:D,4,0)*K103</f>
        <v>22513.825125993939</v>
      </c>
      <c r="K103" s="80">
        <v>31439.06</v>
      </c>
      <c r="L103" s="60">
        <v>46113</v>
      </c>
      <c r="M103" s="61" t="str">
        <f t="shared" si="88"/>
        <v>Apr</v>
      </c>
      <c r="N103" s="55">
        <f t="shared" ca="1" si="89"/>
        <v>-3</v>
      </c>
      <c r="O103" s="55" t="str">
        <f t="shared" ca="1" si="90"/>
        <v>0-30 days</v>
      </c>
      <c r="P103" s="54" t="s">
        <v>110</v>
      </c>
      <c r="Q103" s="81">
        <v>46171</v>
      </c>
      <c r="R103" s="82">
        <v>46201</v>
      </c>
      <c r="S103" s="54" t="s">
        <v>151</v>
      </c>
      <c r="T103" s="54" t="s">
        <v>914</v>
      </c>
      <c r="U103" s="1"/>
      <c r="V103" s="1"/>
      <c r="W103" s="48"/>
      <c r="X103" s="54"/>
      <c r="Y103" s="54"/>
      <c r="Z103" s="54"/>
      <c r="AA103" s="54"/>
      <c r="AB103" s="54" t="str">
        <f>VLOOKUP(T103,'[2]Query result'!$J:$K,2,0)</f>
        <v>Invoice Sent</v>
      </c>
    </row>
    <row r="104" spans="1:28" hidden="1">
      <c r="A104" s="54" t="s">
        <v>58</v>
      </c>
      <c r="B104" s="54" t="s">
        <v>195</v>
      </c>
      <c r="C104" s="55" t="str">
        <f>VLOOKUP(B104,Validation!A:B,2,0)</f>
        <v>APAC</v>
      </c>
      <c r="D104" s="55" t="str">
        <f>VLOOKUP(B104,Validation!A:D,4,0)</f>
        <v>Hao Nguyen</v>
      </c>
      <c r="E104" s="55" t="str">
        <f>VLOOKUP(B104,Validation!A:E,5,0)</f>
        <v>Vinoth M</v>
      </c>
      <c r="F104" s="55" t="s">
        <v>54</v>
      </c>
      <c r="G104" s="55">
        <f t="shared" si="84"/>
        <v>2026</v>
      </c>
      <c r="H104" s="54" t="s">
        <v>53</v>
      </c>
      <c r="I104" s="54" t="s">
        <v>123</v>
      </c>
      <c r="J104" s="66">
        <f>VLOOKUP(I104,'XE rates'!A:D,4,0)*K104</f>
        <v>154936.98679425809</v>
      </c>
      <c r="K104" s="80">
        <v>216359.20137</v>
      </c>
      <c r="L104" s="82">
        <v>46143</v>
      </c>
      <c r="M104" s="61" t="str">
        <f t="shared" si="88"/>
        <v>May</v>
      </c>
      <c r="N104" s="55">
        <f t="shared" ca="1" si="89"/>
        <v>23</v>
      </c>
      <c r="O104" s="55" t="str">
        <f t="shared" ca="1" si="90"/>
        <v>0-30 days</v>
      </c>
      <c r="P104" s="54" t="s">
        <v>919</v>
      </c>
      <c r="Q104" s="81">
        <v>46168</v>
      </c>
      <c r="R104" s="82">
        <v>46175</v>
      </c>
      <c r="S104" s="54" t="s">
        <v>151</v>
      </c>
      <c r="T104" s="54" t="s">
        <v>915</v>
      </c>
      <c r="U104" s="1"/>
      <c r="V104" s="1"/>
      <c r="W104" s="48"/>
      <c r="X104" s="54"/>
      <c r="Y104" s="54"/>
      <c r="Z104" s="54"/>
      <c r="AA104" s="54"/>
      <c r="AB104" s="54" t="str">
        <f>VLOOKUP(T104,'[2]Query result'!$J:$K,2,0)</f>
        <v>Outstanding</v>
      </c>
    </row>
    <row r="105" spans="1:28" hidden="1">
      <c r="A105" s="54" t="s">
        <v>58</v>
      </c>
      <c r="B105" s="54" t="s">
        <v>195</v>
      </c>
      <c r="C105" s="55" t="str">
        <f>VLOOKUP(B105,Validation!A:B,2,0)</f>
        <v>APAC</v>
      </c>
      <c r="D105" s="55" t="str">
        <f>VLOOKUP(B105,Validation!A:D,4,0)</f>
        <v>Hao Nguyen</v>
      </c>
      <c r="E105" s="55" t="str">
        <f>VLOOKUP(B105,Validation!A:E,5,0)</f>
        <v>Vinoth M</v>
      </c>
      <c r="F105" s="55" t="s">
        <v>54</v>
      </c>
      <c r="G105" s="55">
        <f t="shared" si="84"/>
        <v>2026</v>
      </c>
      <c r="H105" s="54" t="s">
        <v>53</v>
      </c>
      <c r="I105" s="54" t="s">
        <v>123</v>
      </c>
      <c r="J105" s="66">
        <f>VLOOKUP(I105,'XE rates'!A:D,4,0)*K105</f>
        <v>1159.5825940730881</v>
      </c>
      <c r="K105" s="80">
        <v>1619.28</v>
      </c>
      <c r="L105" s="60">
        <v>46113</v>
      </c>
      <c r="M105" s="61" t="str">
        <f t="shared" si="88"/>
        <v>Apr</v>
      </c>
      <c r="N105" s="55">
        <f t="shared" ca="1" si="89"/>
        <v>-2</v>
      </c>
      <c r="O105" s="55" t="str">
        <f t="shared" ca="1" si="90"/>
        <v>0-30 days</v>
      </c>
      <c r="P105" s="54" t="s">
        <v>139</v>
      </c>
      <c r="Q105" s="81">
        <v>46169</v>
      </c>
      <c r="R105" s="82">
        <v>46200</v>
      </c>
      <c r="S105" s="54" t="s">
        <v>151</v>
      </c>
      <c r="T105" s="54" t="s">
        <v>916</v>
      </c>
      <c r="U105" s="1"/>
      <c r="V105" s="1"/>
      <c r="W105" s="48"/>
      <c r="X105" s="54"/>
      <c r="Y105" s="54"/>
      <c r="Z105" s="54"/>
      <c r="AA105" s="54"/>
      <c r="AB105" s="54" t="str">
        <f>VLOOKUP(T105,'[2]Query result'!$J:$K,2,0)</f>
        <v>Invoice Sent</v>
      </c>
    </row>
    <row r="106" spans="1:28" hidden="1">
      <c r="A106" t="s">
        <v>52</v>
      </c>
      <c r="B106" t="s">
        <v>681</v>
      </c>
      <c r="C106" s="55" t="str">
        <f>VLOOKUP(B106,Validation!A:B,2,0)</f>
        <v>USA</v>
      </c>
      <c r="D106" s="55" t="str">
        <f>VLOOKUP(B106,Validation!A:D,4,0)</f>
        <v>Eduardo Avallone</v>
      </c>
      <c r="E106" s="55" t="str">
        <f>VLOOKUP(B106,Validation!A:E,5,0)</f>
        <v>Christina Hutchinson</v>
      </c>
      <c r="F106" s="55" t="s">
        <v>54</v>
      </c>
      <c r="G106" s="55">
        <f t="shared" ref="G106:G152" si="91">YEAR(L106)</f>
        <v>2026</v>
      </c>
      <c r="H106" t="s">
        <v>928</v>
      </c>
      <c r="I106" t="s">
        <v>109</v>
      </c>
      <c r="J106" s="66">
        <f>VLOOKUP(I106,'XE rates'!A:D,4,0)*K106</f>
        <v>500</v>
      </c>
      <c r="K106" s="41">
        <v>500</v>
      </c>
      <c r="L106" s="87">
        <v>46143</v>
      </c>
      <c r="M106" s="61" t="str">
        <f t="shared" ref="M106:M152" si="92">TEXT(L106,"mmm")</f>
        <v>May</v>
      </c>
      <c r="N106" s="55">
        <f t="shared" ref="N106:N152" ca="1" si="93">$Y$1-R106</f>
        <v>17</v>
      </c>
      <c r="O106" s="55" t="str">
        <f t="shared" ref="O106:O152" ca="1" si="94">IF(N106&lt;=30, "0-30 days", IF(N106&lt;=60, "31-60 days", IF(N106&lt;=90, "61-90 days", "Over 90+ days")))</f>
        <v>0-30 days</v>
      </c>
      <c r="P106" t="s">
        <v>110</v>
      </c>
      <c r="Q106" s="87">
        <v>46174</v>
      </c>
      <c r="R106" s="87">
        <v>46181</v>
      </c>
      <c r="S106" t="s">
        <v>848</v>
      </c>
      <c r="T106" t="s">
        <v>930</v>
      </c>
      <c r="AB106" s="54" t="str">
        <f>VLOOKUP(T106,'[2]Query result'!$J:$K,2,0)</f>
        <v>Overdue</v>
      </c>
    </row>
    <row r="107" spans="1:28" hidden="1">
      <c r="A107" t="s">
        <v>52</v>
      </c>
      <c r="B107" t="s">
        <v>920</v>
      </c>
      <c r="C107" s="55" t="str">
        <f>VLOOKUP(B107,Validation!A:B,2,0)</f>
        <v>Shared Centre</v>
      </c>
      <c r="D107" s="55" t="str">
        <f>VLOOKUP(B107,Validation!A:D,4,0)</f>
        <v>Sakshi Shanbhag</v>
      </c>
      <c r="E107" s="55" t="str">
        <f>VLOOKUP(B107,Validation!A:E,5,0)</f>
        <v>NA</v>
      </c>
      <c r="F107" s="55" t="s">
        <v>54</v>
      </c>
      <c r="G107" s="55">
        <f t="shared" si="91"/>
        <v>2026</v>
      </c>
      <c r="H107" t="s">
        <v>66</v>
      </c>
      <c r="I107" t="s">
        <v>109</v>
      </c>
      <c r="J107" s="66">
        <f>VLOOKUP(I107,'XE rates'!A:D,4,0)*K107</f>
        <v>1000</v>
      </c>
      <c r="K107" s="41">
        <v>1000</v>
      </c>
      <c r="L107" s="87">
        <v>46143</v>
      </c>
      <c r="M107" s="61" t="str">
        <f t="shared" si="92"/>
        <v>May</v>
      </c>
      <c r="N107" s="55">
        <f t="shared" ca="1" si="93"/>
        <v>17</v>
      </c>
      <c r="O107" s="55" t="str">
        <f t="shared" ca="1" si="94"/>
        <v>0-30 days</v>
      </c>
      <c r="P107" t="s">
        <v>110</v>
      </c>
      <c r="Q107" s="87">
        <v>46174</v>
      </c>
      <c r="R107" s="87">
        <v>46181</v>
      </c>
      <c r="S107" t="s">
        <v>129</v>
      </c>
      <c r="T107" t="s">
        <v>931</v>
      </c>
      <c r="AB107" s="54" t="str">
        <f>VLOOKUP(T107,'[2]Query result'!$J:$K,2,0)</f>
        <v>Force Settlement</v>
      </c>
    </row>
    <row r="108" spans="1:28" hidden="1">
      <c r="A108" t="s">
        <v>52</v>
      </c>
      <c r="B108" t="s">
        <v>196</v>
      </c>
      <c r="C108" s="55" t="str">
        <f>VLOOKUP(B108,Validation!A:B,2,0)</f>
        <v>APAC</v>
      </c>
      <c r="D108" s="55" t="str">
        <f>VLOOKUP(B108,Validation!A:D,4,0)</f>
        <v>Hao Nguyen</v>
      </c>
      <c r="E108" s="55" t="str">
        <f>VLOOKUP(B108,Validation!A:E,5,0)</f>
        <v>Vinoth M</v>
      </c>
      <c r="F108" s="55" t="s">
        <v>54</v>
      </c>
      <c r="G108" s="55">
        <f t="shared" si="91"/>
        <v>2026</v>
      </c>
      <c r="H108" t="s">
        <v>928</v>
      </c>
      <c r="I108" t="s">
        <v>123</v>
      </c>
      <c r="J108" s="66">
        <f>VLOOKUP(I108,'XE rates'!A:D,4,0)*K108</f>
        <v>1497.4934178128171</v>
      </c>
      <c r="K108" s="41">
        <v>2091.15</v>
      </c>
      <c r="L108" s="87">
        <v>46143</v>
      </c>
      <c r="M108" s="61" t="str">
        <f t="shared" si="92"/>
        <v>May</v>
      </c>
      <c r="N108" s="55">
        <f t="shared" ca="1" si="93"/>
        <v>16</v>
      </c>
      <c r="O108" s="55" t="str">
        <f t="shared" ca="1" si="94"/>
        <v>0-30 days</v>
      </c>
      <c r="P108" t="s">
        <v>110</v>
      </c>
      <c r="Q108" s="87">
        <v>46175</v>
      </c>
      <c r="R108" s="87">
        <v>46182</v>
      </c>
      <c r="S108" t="s">
        <v>848</v>
      </c>
      <c r="T108" t="s">
        <v>932</v>
      </c>
      <c r="AB108" s="54" t="str">
        <f>VLOOKUP(T108,'[2]Query result'!$J:$K,2,0)</f>
        <v>Overdue</v>
      </c>
    </row>
    <row r="109" spans="1:28" hidden="1">
      <c r="A109" t="s">
        <v>52</v>
      </c>
      <c r="B109" t="s">
        <v>175</v>
      </c>
      <c r="C109" s="55" t="str">
        <f>VLOOKUP(B109,Validation!A:B,2,0)</f>
        <v>APAC</v>
      </c>
      <c r="D109" s="55" t="str">
        <f>VLOOKUP(B109,Validation!A:D,4,0)</f>
        <v>NA</v>
      </c>
      <c r="E109" s="55" t="str">
        <f>VLOOKUP(B109,Validation!A:E,5,0)</f>
        <v>Lisa Sung</v>
      </c>
      <c r="F109" s="55" t="s">
        <v>54</v>
      </c>
      <c r="G109" s="55">
        <f t="shared" si="91"/>
        <v>2026</v>
      </c>
      <c r="H109" t="s">
        <v>928</v>
      </c>
      <c r="I109" t="s">
        <v>109</v>
      </c>
      <c r="J109" s="66">
        <f>VLOOKUP(I109,'XE rates'!A:D,4,0)*K109</f>
        <v>5000</v>
      </c>
      <c r="K109" s="41">
        <v>5000</v>
      </c>
      <c r="L109" s="87">
        <v>46143</v>
      </c>
      <c r="M109" s="61" t="str">
        <f t="shared" si="92"/>
        <v>May</v>
      </c>
      <c r="N109" s="55">
        <f t="shared" ca="1" si="93"/>
        <v>16</v>
      </c>
      <c r="O109" s="55" t="str">
        <f t="shared" ca="1" si="94"/>
        <v>0-30 days</v>
      </c>
      <c r="P109" t="s">
        <v>110</v>
      </c>
      <c r="Q109" s="87">
        <v>46175</v>
      </c>
      <c r="R109" s="87">
        <v>46182</v>
      </c>
      <c r="S109" t="s">
        <v>848</v>
      </c>
      <c r="T109" t="s">
        <v>933</v>
      </c>
      <c r="AB109" s="54" t="str">
        <f>VLOOKUP(T109,'[2]Query result'!$J:$K,2,0)</f>
        <v>Overdue</v>
      </c>
    </row>
    <row r="110" spans="1:28" hidden="1">
      <c r="A110" t="s">
        <v>52</v>
      </c>
      <c r="B110" t="s">
        <v>176</v>
      </c>
      <c r="C110" s="55" t="str">
        <f>VLOOKUP(B110,Validation!A:B,2,0)</f>
        <v>Shared Centre</v>
      </c>
      <c r="D110" s="55" t="str">
        <f>VLOOKUP(B110,Validation!A:D,4,0)</f>
        <v>Bhavani/Sanat</v>
      </c>
      <c r="E110" s="55" t="str">
        <f>VLOOKUP(B110,Validation!A:E,5,0)</f>
        <v>NA</v>
      </c>
      <c r="F110" s="55" t="s">
        <v>54</v>
      </c>
      <c r="G110" s="55">
        <f t="shared" si="91"/>
        <v>2026</v>
      </c>
      <c r="H110" t="s">
        <v>929</v>
      </c>
      <c r="I110" t="s">
        <v>177</v>
      </c>
      <c r="J110" s="66">
        <f>VLOOKUP(I110,'XE rates'!A:D,4,0)*K110</f>
        <v>2027.6460088733872</v>
      </c>
      <c r="K110" s="41">
        <v>1730.96</v>
      </c>
      <c r="L110" s="87">
        <v>46143</v>
      </c>
      <c r="M110" s="61" t="str">
        <f t="shared" si="92"/>
        <v>May</v>
      </c>
      <c r="N110" s="55">
        <f t="shared" ca="1" si="93"/>
        <v>17</v>
      </c>
      <c r="O110" s="55" t="str">
        <f t="shared" ca="1" si="94"/>
        <v>0-30 days</v>
      </c>
      <c r="P110" t="s">
        <v>110</v>
      </c>
      <c r="Q110" s="87">
        <v>46175</v>
      </c>
      <c r="R110" s="87">
        <v>46181</v>
      </c>
      <c r="S110" t="s">
        <v>848</v>
      </c>
      <c r="T110" t="s">
        <v>934</v>
      </c>
      <c r="AB110" s="54" t="str">
        <f>VLOOKUP(T110,'[2]Query result'!$J:$K,2,0)</f>
        <v>Overdue</v>
      </c>
    </row>
    <row r="111" spans="1:28" hidden="1">
      <c r="A111" t="s">
        <v>52</v>
      </c>
      <c r="B111" t="s">
        <v>684</v>
      </c>
      <c r="C111" s="55" t="str">
        <f>VLOOKUP(B111,Validation!A:B,2,0)</f>
        <v>APAC</v>
      </c>
      <c r="D111" s="55" t="str">
        <f>VLOOKUP(B111,Validation!A:D,4,0)</f>
        <v>Hao Nguyen</v>
      </c>
      <c r="E111" s="55" t="str">
        <f>VLOOKUP(B111,Validation!A:E,5,0)</f>
        <v>NA</v>
      </c>
      <c r="F111" s="55" t="s">
        <v>54</v>
      </c>
      <c r="G111" s="55">
        <f t="shared" si="91"/>
        <v>2026</v>
      </c>
      <c r="H111" t="s">
        <v>928</v>
      </c>
      <c r="I111" t="s">
        <v>109</v>
      </c>
      <c r="J111" s="66">
        <f>VLOOKUP(I111,'XE rates'!A:D,4,0)*K111</f>
        <v>283.43</v>
      </c>
      <c r="K111" s="41">
        <v>283.43</v>
      </c>
      <c r="L111" s="87">
        <v>46143</v>
      </c>
      <c r="M111" s="61" t="str">
        <f t="shared" si="92"/>
        <v>May</v>
      </c>
      <c r="N111" s="55">
        <f t="shared" ca="1" si="93"/>
        <v>8</v>
      </c>
      <c r="O111" s="55" t="str">
        <f t="shared" ca="1" si="94"/>
        <v>0-30 days</v>
      </c>
      <c r="P111" t="s">
        <v>987</v>
      </c>
      <c r="Q111" s="87">
        <v>46175</v>
      </c>
      <c r="R111" s="87">
        <v>46190</v>
      </c>
      <c r="S111" t="s">
        <v>848</v>
      </c>
      <c r="T111" t="s">
        <v>935</v>
      </c>
      <c r="AB111" s="54" t="str">
        <f>VLOOKUP(T111,'[2]Query result'!$J:$K,2,0)</f>
        <v>Overdue</v>
      </c>
    </row>
    <row r="112" spans="1:28" hidden="1">
      <c r="A112" t="s">
        <v>52</v>
      </c>
      <c r="B112" t="s">
        <v>684</v>
      </c>
      <c r="C112" s="55" t="str">
        <f>VLOOKUP(B112,Validation!A:B,2,0)</f>
        <v>APAC</v>
      </c>
      <c r="D112" s="55" t="str">
        <f>VLOOKUP(B112,Validation!A:D,4,0)</f>
        <v>Hao Nguyen</v>
      </c>
      <c r="E112" s="55" t="str">
        <f>VLOOKUP(B112,Validation!A:E,5,0)</f>
        <v>NA</v>
      </c>
      <c r="F112" s="55" t="s">
        <v>54</v>
      </c>
      <c r="G112" s="55">
        <f t="shared" si="91"/>
        <v>2026</v>
      </c>
      <c r="H112" t="s">
        <v>929</v>
      </c>
      <c r="I112" t="s">
        <v>109</v>
      </c>
      <c r="J112" s="66">
        <f>VLOOKUP(I112,'XE rates'!A:D,4,0)*K112</f>
        <v>980.96</v>
      </c>
      <c r="K112" s="41">
        <v>980.96</v>
      </c>
      <c r="L112" s="87">
        <v>46143</v>
      </c>
      <c r="M112" s="61" t="str">
        <f t="shared" si="92"/>
        <v>May</v>
      </c>
      <c r="N112" s="55">
        <f t="shared" ca="1" si="93"/>
        <v>8</v>
      </c>
      <c r="O112" s="55" t="str">
        <f t="shared" ca="1" si="94"/>
        <v>0-30 days</v>
      </c>
      <c r="P112" t="s">
        <v>110</v>
      </c>
      <c r="Q112" s="87">
        <v>46175</v>
      </c>
      <c r="R112" s="87">
        <v>46190</v>
      </c>
      <c r="S112" t="s">
        <v>848</v>
      </c>
      <c r="T112" t="s">
        <v>936</v>
      </c>
      <c r="AB112" s="54" t="str">
        <f>VLOOKUP(T112,'[2]Query result'!$J:$K,2,0)</f>
        <v>Overdue</v>
      </c>
    </row>
    <row r="113" spans="1:28" hidden="1">
      <c r="A113" t="s">
        <v>52</v>
      </c>
      <c r="B113" t="s">
        <v>178</v>
      </c>
      <c r="C113" s="55" t="str">
        <f>VLOOKUP(B113,Validation!A:B,2,0)</f>
        <v>APAC</v>
      </c>
      <c r="D113" s="55" t="str">
        <f>VLOOKUP(B113,Validation!A:D,4,0)</f>
        <v>Hao Nguyen</v>
      </c>
      <c r="E113" s="55" t="str">
        <f>VLOOKUP(B113,Validation!A:E,5,0)</f>
        <v>Hari Budiman</v>
      </c>
      <c r="F113" s="55" t="s">
        <v>54</v>
      </c>
      <c r="G113" s="55">
        <f t="shared" si="91"/>
        <v>2026</v>
      </c>
      <c r="H113" t="s">
        <v>928</v>
      </c>
      <c r="I113" t="s">
        <v>135</v>
      </c>
      <c r="J113" s="66">
        <f>VLOOKUP(I113,'XE rates'!A:D,4,0)*K113</f>
        <v>248.69607075242058</v>
      </c>
      <c r="K113" s="41">
        <v>4281428</v>
      </c>
      <c r="L113" s="87">
        <v>46143</v>
      </c>
      <c r="M113" s="61" t="str">
        <f t="shared" si="92"/>
        <v>May</v>
      </c>
      <c r="N113" s="55">
        <f t="shared" ca="1" si="93"/>
        <v>-7</v>
      </c>
      <c r="O113" s="55" t="str">
        <f t="shared" ca="1" si="94"/>
        <v>0-30 days</v>
      </c>
      <c r="P113" t="s">
        <v>110</v>
      </c>
      <c r="Q113" s="87">
        <v>46175</v>
      </c>
      <c r="R113" s="87">
        <v>46205</v>
      </c>
      <c r="S113" t="s">
        <v>151</v>
      </c>
      <c r="T113" t="s">
        <v>937</v>
      </c>
      <c r="AB113" s="54" t="str">
        <f>VLOOKUP(T113,'[2]Query result'!$J:$K,2,0)</f>
        <v>Invoice Sent</v>
      </c>
    </row>
    <row r="114" spans="1:28" hidden="1">
      <c r="A114" t="s">
        <v>52</v>
      </c>
      <c r="B114" t="s">
        <v>134</v>
      </c>
      <c r="C114" s="55" t="str">
        <f>VLOOKUP(B114,Validation!A:B,2,0)</f>
        <v>APAC</v>
      </c>
      <c r="D114" s="55" t="str">
        <f>VLOOKUP(B114,Validation!A:D,4,0)</f>
        <v>Luciana</v>
      </c>
      <c r="E114" s="55" t="str">
        <f>VLOOKUP(B114,Validation!A:E,5,0)</f>
        <v>NA</v>
      </c>
      <c r="F114" s="55" t="s">
        <v>54</v>
      </c>
      <c r="G114" s="55">
        <f t="shared" si="91"/>
        <v>2026</v>
      </c>
      <c r="H114" t="s">
        <v>929</v>
      </c>
      <c r="I114" t="s">
        <v>135</v>
      </c>
      <c r="J114" s="66">
        <f>VLOOKUP(I114,'XE rates'!A:D,4,0)*K114</f>
        <v>5.5440726264447351</v>
      </c>
      <c r="K114" s="41">
        <v>95444</v>
      </c>
      <c r="L114" s="87">
        <v>46143</v>
      </c>
      <c r="M114" s="61" t="str">
        <f t="shared" si="92"/>
        <v>May</v>
      </c>
      <c r="N114" s="55">
        <f t="shared" ca="1" si="93"/>
        <v>8</v>
      </c>
      <c r="O114" s="55" t="str">
        <f t="shared" ca="1" si="94"/>
        <v>0-30 days</v>
      </c>
      <c r="P114" t="s">
        <v>110</v>
      </c>
      <c r="Q114" s="87">
        <v>46175</v>
      </c>
      <c r="R114" s="87">
        <v>46190</v>
      </c>
      <c r="S114" t="s">
        <v>848</v>
      </c>
      <c r="T114" t="s">
        <v>938</v>
      </c>
      <c r="AB114" s="54" t="str">
        <f>VLOOKUP(T114,'[2]Query result'!$J:$K,2,0)</f>
        <v>Overdue</v>
      </c>
    </row>
    <row r="115" spans="1:28" hidden="1">
      <c r="A115" t="s">
        <v>52</v>
      </c>
      <c r="B115" t="s">
        <v>208</v>
      </c>
      <c r="C115" s="55" t="str">
        <f>VLOOKUP(B115,Validation!A:B,2,0)</f>
        <v>ME</v>
      </c>
      <c r="D115" s="55" t="str">
        <f>VLOOKUP(B115,Validation!A:D,4,0)</f>
        <v>Jerome Coelho</v>
      </c>
      <c r="E115" s="55" t="str">
        <f>VLOOKUP(B115,Validation!A:E,5,0)</f>
        <v>Rohit Bammi</v>
      </c>
      <c r="F115" s="55" t="s">
        <v>54</v>
      </c>
      <c r="G115" s="55">
        <f t="shared" si="91"/>
        <v>2026</v>
      </c>
      <c r="H115" t="s">
        <v>928</v>
      </c>
      <c r="I115" t="s">
        <v>109</v>
      </c>
      <c r="J115" s="66">
        <f>VLOOKUP(I115,'XE rates'!A:D,4,0)*K115</f>
        <v>4441.75</v>
      </c>
      <c r="K115" s="41">
        <v>4441.75</v>
      </c>
      <c r="L115" s="87">
        <v>46143</v>
      </c>
      <c r="M115" s="61" t="str">
        <f t="shared" si="92"/>
        <v>May</v>
      </c>
      <c r="N115" s="55">
        <f t="shared" ca="1" si="93"/>
        <v>15</v>
      </c>
      <c r="O115" s="55" t="str">
        <f t="shared" ca="1" si="94"/>
        <v>0-30 days</v>
      </c>
      <c r="P115" t="s">
        <v>110</v>
      </c>
      <c r="Q115" s="87">
        <v>46176</v>
      </c>
      <c r="R115" s="87">
        <v>46183</v>
      </c>
      <c r="S115" t="s">
        <v>848</v>
      </c>
      <c r="T115" t="s">
        <v>939</v>
      </c>
      <c r="AB115" s="54" t="str">
        <f>VLOOKUP(T115,'[2]Query result'!$J:$K,2,0)</f>
        <v>Overdue</v>
      </c>
    </row>
    <row r="116" spans="1:28" hidden="1">
      <c r="A116" t="s">
        <v>52</v>
      </c>
      <c r="B116" t="s">
        <v>638</v>
      </c>
      <c r="C116" s="55" t="str">
        <f>VLOOKUP(B116,Validation!A:B,2,0)</f>
        <v>Shared Centre</v>
      </c>
      <c r="D116" s="55" t="str">
        <f>VLOOKUP(B116,Validation!A:D,4,0)</f>
        <v>Sakshi Shanbhag</v>
      </c>
      <c r="E116" s="55" t="str">
        <f>VLOOKUP(B116,Validation!A:E,5,0)</f>
        <v>Kyle Reny</v>
      </c>
      <c r="F116" s="55" t="s">
        <v>54</v>
      </c>
      <c r="G116" s="55">
        <f t="shared" si="91"/>
        <v>2026</v>
      </c>
      <c r="H116" t="s">
        <v>928</v>
      </c>
      <c r="I116" t="s">
        <v>109</v>
      </c>
      <c r="J116" s="66">
        <f>VLOOKUP(I116,'XE rates'!A:D,4,0)*K116</f>
        <v>3500</v>
      </c>
      <c r="K116" s="41">
        <v>3500</v>
      </c>
      <c r="L116" s="87">
        <v>46143</v>
      </c>
      <c r="M116" s="61" t="str">
        <f t="shared" si="92"/>
        <v>May</v>
      </c>
      <c r="N116" s="55">
        <f t="shared" ca="1" si="93"/>
        <v>16</v>
      </c>
      <c r="O116" s="55" t="str">
        <f t="shared" ca="1" si="94"/>
        <v>0-30 days</v>
      </c>
      <c r="P116" t="s">
        <v>110</v>
      </c>
      <c r="Q116" s="87">
        <v>46175</v>
      </c>
      <c r="R116" s="87">
        <v>46182</v>
      </c>
      <c r="S116" t="s">
        <v>848</v>
      </c>
      <c r="T116" t="s">
        <v>940</v>
      </c>
      <c r="AB116" s="54" t="str">
        <f>VLOOKUP(T116,'[2]Query result'!$J:$K,2,0)</f>
        <v>Overdue</v>
      </c>
    </row>
    <row r="117" spans="1:28" hidden="1">
      <c r="A117" t="s">
        <v>52</v>
      </c>
      <c r="B117" t="s">
        <v>849</v>
      </c>
      <c r="C117" s="55" t="str">
        <f>VLOOKUP(B117,Validation!A:B,2,0)</f>
        <v>Shared Centre</v>
      </c>
      <c r="D117" s="55" t="str">
        <f>VLOOKUP(B117,Validation!A:D,4,0)</f>
        <v xml:space="preserve">Mrinal </v>
      </c>
      <c r="E117" s="55" t="str">
        <f>VLOOKUP(B117,Validation!A:E,5,0)</f>
        <v>Michael Bermingham</v>
      </c>
      <c r="F117" s="55" t="s">
        <v>54</v>
      </c>
      <c r="G117" s="55">
        <f t="shared" si="91"/>
        <v>2026</v>
      </c>
      <c r="H117" t="s">
        <v>66</v>
      </c>
      <c r="I117" t="s">
        <v>109</v>
      </c>
      <c r="J117" s="66">
        <f>VLOOKUP(I117,'XE rates'!A:D,4,0)*K117</f>
        <v>4000</v>
      </c>
      <c r="K117" s="41">
        <v>4000</v>
      </c>
      <c r="L117" s="87">
        <v>46143</v>
      </c>
      <c r="M117" s="61" t="str">
        <f t="shared" si="92"/>
        <v>May</v>
      </c>
      <c r="N117" s="55">
        <f t="shared" ca="1" si="93"/>
        <v>17</v>
      </c>
      <c r="O117" s="55" t="str">
        <f t="shared" ca="1" si="94"/>
        <v>0-30 days</v>
      </c>
      <c r="P117" t="s">
        <v>110</v>
      </c>
      <c r="Q117" s="87">
        <v>46175</v>
      </c>
      <c r="R117" s="87">
        <v>46181</v>
      </c>
      <c r="S117" t="s">
        <v>129</v>
      </c>
      <c r="T117" t="s">
        <v>941</v>
      </c>
      <c r="AB117" s="54" t="str">
        <f>VLOOKUP(T117,'[2]Query result'!$J:$K,2,0)</f>
        <v>Force Settlement</v>
      </c>
    </row>
    <row r="118" spans="1:28" hidden="1">
      <c r="A118" t="s">
        <v>52</v>
      </c>
      <c r="B118" t="s">
        <v>73</v>
      </c>
      <c r="C118" s="55" t="str">
        <f>VLOOKUP(B118,Validation!A:B,2,0)</f>
        <v>Shared Centre</v>
      </c>
      <c r="D118" s="55" t="str">
        <f>VLOOKUP(B118,Validation!A:D,4,0)</f>
        <v>Bhavani/Sanat</v>
      </c>
      <c r="E118" s="55" t="str">
        <f>VLOOKUP(B118,Validation!A:E,5,0)</f>
        <v>Michael Bermingham</v>
      </c>
      <c r="F118" s="55" t="s">
        <v>54</v>
      </c>
      <c r="G118" s="55">
        <f t="shared" si="91"/>
        <v>2026</v>
      </c>
      <c r="H118" t="s">
        <v>929</v>
      </c>
      <c r="I118" t="s">
        <v>109</v>
      </c>
      <c r="J118" s="66">
        <f>VLOOKUP(I118,'XE rates'!A:D,4,0)*K118</f>
        <v>2500</v>
      </c>
      <c r="K118" s="41">
        <v>2500</v>
      </c>
      <c r="L118" s="87">
        <v>46143</v>
      </c>
      <c r="M118" s="61" t="str">
        <f t="shared" si="92"/>
        <v>May</v>
      </c>
      <c r="N118" s="55">
        <f t="shared" ca="1" si="93"/>
        <v>17</v>
      </c>
      <c r="O118" s="55" t="str">
        <f t="shared" ca="1" si="94"/>
        <v>0-30 days</v>
      </c>
      <c r="P118" t="s">
        <v>110</v>
      </c>
      <c r="Q118" s="87">
        <v>46175</v>
      </c>
      <c r="R118" s="87">
        <v>46181</v>
      </c>
      <c r="S118" t="s">
        <v>848</v>
      </c>
      <c r="T118" t="s">
        <v>942</v>
      </c>
      <c r="AB118" s="54" t="str">
        <f>VLOOKUP(T118,'[2]Query result'!$J:$K,2,0)</f>
        <v>Overdue</v>
      </c>
    </row>
    <row r="119" spans="1:28" hidden="1">
      <c r="A119" t="s">
        <v>58</v>
      </c>
      <c r="B119" t="s">
        <v>21</v>
      </c>
      <c r="C119" s="55" t="str">
        <f>VLOOKUP(B119,Validation!A:B,2,0)</f>
        <v>ME</v>
      </c>
      <c r="D119" s="55" t="str">
        <f>VLOOKUP(B119,Validation!A:D,4,0)</f>
        <v>Jerome Coelho</v>
      </c>
      <c r="E119" s="55" t="str">
        <f>VLOOKUP(B119,Validation!A:E,5,0)</f>
        <v>Ashraf Omran</v>
      </c>
      <c r="F119" s="55" t="s">
        <v>54</v>
      </c>
      <c r="G119" s="55">
        <f t="shared" si="91"/>
        <v>2025</v>
      </c>
      <c r="H119" t="s">
        <v>928</v>
      </c>
      <c r="I119" t="s">
        <v>109</v>
      </c>
      <c r="J119" s="66">
        <f>VLOOKUP(I119,'XE rates'!A:D,4,0)*K119</f>
        <v>-48</v>
      </c>
      <c r="K119" s="41">
        <v>-48</v>
      </c>
      <c r="L119" s="60">
        <v>45870</v>
      </c>
      <c r="M119" s="61" t="str">
        <f t="shared" si="92"/>
        <v>Aug</v>
      </c>
      <c r="N119" s="55">
        <f t="shared" ca="1" si="93"/>
        <v>288</v>
      </c>
      <c r="O119" s="55" t="str">
        <f t="shared" ca="1" si="94"/>
        <v>Over 90+ days</v>
      </c>
      <c r="P119" t="s">
        <v>213</v>
      </c>
      <c r="Q119" s="87">
        <v>45903</v>
      </c>
      <c r="R119" s="87">
        <v>45910</v>
      </c>
      <c r="S119" t="s">
        <v>124</v>
      </c>
      <c r="T119" t="s">
        <v>214</v>
      </c>
      <c r="AB119" s="54" t="str">
        <f>VLOOKUP(T119,'[2]Query result'!$J:$K,2,0)</f>
        <v>Partially Paid</v>
      </c>
    </row>
    <row r="120" spans="1:28" hidden="1">
      <c r="A120" t="s">
        <v>58</v>
      </c>
      <c r="B120" t="s">
        <v>215</v>
      </c>
      <c r="C120" s="55" t="str">
        <f>VLOOKUP(B120,Validation!A:B,2,0)</f>
        <v>APAC</v>
      </c>
      <c r="D120" s="55" t="str">
        <f>VLOOKUP(B120,Validation!A:D,4,0)</f>
        <v>NA</v>
      </c>
      <c r="E120" s="55" t="str">
        <f>VLOOKUP(B120,Validation!A:E,5,0)</f>
        <v>Febriali Tan</v>
      </c>
      <c r="F120" s="55" t="s">
        <v>54</v>
      </c>
      <c r="G120" s="55">
        <f t="shared" si="91"/>
        <v>2026</v>
      </c>
      <c r="H120" t="s">
        <v>928</v>
      </c>
      <c r="I120" t="s">
        <v>191</v>
      </c>
      <c r="J120" s="66">
        <f>VLOOKUP(I120,'XE rates'!A:D,4,0)*K120</f>
        <v>14.899941929540923</v>
      </c>
      <c r="K120" s="41">
        <v>19</v>
      </c>
      <c r="L120" s="87">
        <v>46174</v>
      </c>
      <c r="M120" s="61" t="str">
        <f t="shared" si="92"/>
        <v>Jun</v>
      </c>
      <c r="N120" s="55">
        <f t="shared" ca="1" si="93"/>
        <v>-10</v>
      </c>
      <c r="O120" s="55" t="str">
        <f t="shared" ca="1" si="94"/>
        <v>0-30 days</v>
      </c>
      <c r="P120" t="s">
        <v>110</v>
      </c>
      <c r="Q120" s="87">
        <v>46178</v>
      </c>
      <c r="R120" s="87">
        <v>46208</v>
      </c>
      <c r="S120" t="s">
        <v>151</v>
      </c>
      <c r="T120" t="s">
        <v>943</v>
      </c>
      <c r="AB120" s="54" t="str">
        <f>VLOOKUP(T120,'[2]Query result'!$J:$K,2,0)</f>
        <v>Invoice Sent</v>
      </c>
    </row>
    <row r="121" spans="1:28" hidden="1">
      <c r="A121" t="s">
        <v>58</v>
      </c>
      <c r="B121" t="s">
        <v>29</v>
      </c>
      <c r="C121" s="55" t="str">
        <f>VLOOKUP(B121,Validation!A:B,2,0)</f>
        <v>APAC</v>
      </c>
      <c r="D121" s="55" t="str">
        <f>VLOOKUP(B121,Validation!A:D,4,0)</f>
        <v>Shi Yin</v>
      </c>
      <c r="E121" s="55" t="str">
        <f>VLOOKUP(B121,Validation!A:E,5,0)</f>
        <v>Gitesh Athavale</v>
      </c>
      <c r="F121" s="55" t="s">
        <v>54</v>
      </c>
      <c r="G121" s="55">
        <f t="shared" si="91"/>
        <v>2026</v>
      </c>
      <c r="H121" t="s">
        <v>928</v>
      </c>
      <c r="I121" t="s">
        <v>191</v>
      </c>
      <c r="J121" s="66">
        <f>VLOOKUP(I121,'XE rates'!A:D,4,0)*K121</f>
        <v>-25787.318267605482</v>
      </c>
      <c r="K121" s="41">
        <v>-32883.285679999972</v>
      </c>
      <c r="L121" s="82">
        <v>46143</v>
      </c>
      <c r="M121" s="61" t="str">
        <f t="shared" si="92"/>
        <v>May</v>
      </c>
      <c r="N121" s="55">
        <f t="shared" ca="1" si="93"/>
        <v>-9</v>
      </c>
      <c r="O121" s="55" t="str">
        <f t="shared" ca="1" si="94"/>
        <v>0-30 days</v>
      </c>
      <c r="P121" t="s">
        <v>110</v>
      </c>
      <c r="Q121" s="87">
        <v>46177</v>
      </c>
      <c r="R121" s="87">
        <v>46207</v>
      </c>
      <c r="S121" t="s">
        <v>151</v>
      </c>
      <c r="T121" t="s">
        <v>944</v>
      </c>
      <c r="AB121" s="54" t="str">
        <f>VLOOKUP(T121,'[2]Query result'!$J:$K,2,0)</f>
        <v>Invoice Sent</v>
      </c>
    </row>
    <row r="122" spans="1:28" hidden="1">
      <c r="A122" t="s">
        <v>58</v>
      </c>
      <c r="B122" t="s">
        <v>921</v>
      </c>
      <c r="C122" s="55" t="str">
        <f>VLOOKUP(B122,Validation!A:B,2,0)</f>
        <v>USA</v>
      </c>
      <c r="D122" s="55" t="str">
        <f>VLOOKUP(B122,Validation!A:D,4,0)</f>
        <v>Tanu Arora</v>
      </c>
      <c r="E122" s="55" t="str">
        <f>VLOOKUP(B122,Validation!A:E,5,0)</f>
        <v>Michael Bermingham</v>
      </c>
      <c r="F122" s="55" t="s">
        <v>54</v>
      </c>
      <c r="G122" s="55">
        <f t="shared" si="91"/>
        <v>2026</v>
      </c>
      <c r="H122" t="s">
        <v>928</v>
      </c>
      <c r="I122" t="s">
        <v>109</v>
      </c>
      <c r="J122" s="66">
        <f>VLOOKUP(I122,'XE rates'!A:D,4,0)*K122</f>
        <v>10004.1</v>
      </c>
      <c r="K122" s="41">
        <v>10004.1</v>
      </c>
      <c r="L122" s="82">
        <v>46143</v>
      </c>
      <c r="M122" s="61" t="str">
        <f t="shared" si="92"/>
        <v>May</v>
      </c>
      <c r="N122" s="55">
        <f t="shared" ca="1" si="93"/>
        <v>12</v>
      </c>
      <c r="O122" s="55" t="str">
        <f t="shared" ca="1" si="94"/>
        <v>0-30 days</v>
      </c>
      <c r="P122" t="s">
        <v>110</v>
      </c>
      <c r="Q122" s="87">
        <v>46179</v>
      </c>
      <c r="R122" s="87">
        <v>46186</v>
      </c>
      <c r="S122" t="s">
        <v>111</v>
      </c>
      <c r="T122" t="s">
        <v>945</v>
      </c>
      <c r="AB122" s="54" t="str">
        <f>VLOOKUP(T122,'[2]Query result'!$J:$K,2,0)</f>
        <v>Outstanding</v>
      </c>
    </row>
    <row r="123" spans="1:28" hidden="1">
      <c r="A123" t="s">
        <v>58</v>
      </c>
      <c r="B123" t="s">
        <v>820</v>
      </c>
      <c r="C123" s="55" t="str">
        <f>VLOOKUP(B123,Validation!A:B,2,0)</f>
        <v>USA</v>
      </c>
      <c r="D123" s="55" t="str">
        <f>VLOOKUP(B123,Validation!A:D,4,0)</f>
        <v>Tulio Lima</v>
      </c>
      <c r="E123" s="55" t="str">
        <f>VLOOKUP(B123,Validation!A:E,5,0)</f>
        <v>Christina Hutchinson</v>
      </c>
      <c r="F123" s="55" t="s">
        <v>54</v>
      </c>
      <c r="G123" s="55">
        <f t="shared" si="91"/>
        <v>2026</v>
      </c>
      <c r="H123" t="s">
        <v>928</v>
      </c>
      <c r="I123" t="s">
        <v>109</v>
      </c>
      <c r="J123" s="66">
        <f>VLOOKUP(I123,'XE rates'!A:D,4,0)*K123</f>
        <v>8000</v>
      </c>
      <c r="K123" s="41">
        <v>8000</v>
      </c>
      <c r="L123" s="82">
        <v>46143</v>
      </c>
      <c r="M123" s="61" t="str">
        <f t="shared" si="92"/>
        <v>May</v>
      </c>
      <c r="N123" s="55">
        <f t="shared" ca="1" si="93"/>
        <v>16</v>
      </c>
      <c r="O123" s="55" t="str">
        <f t="shared" ca="1" si="94"/>
        <v>0-30 days</v>
      </c>
      <c r="P123" t="s">
        <v>110</v>
      </c>
      <c r="Q123" s="87">
        <v>46175</v>
      </c>
      <c r="R123" s="87">
        <v>46182</v>
      </c>
      <c r="S123" t="s">
        <v>111</v>
      </c>
      <c r="T123" t="s">
        <v>946</v>
      </c>
      <c r="AB123" s="54" t="str">
        <f>VLOOKUP(T123,'[2]Query result'!$J:$K,2,0)</f>
        <v>Outstanding</v>
      </c>
    </row>
    <row r="124" spans="1:28" hidden="1">
      <c r="A124" t="s">
        <v>58</v>
      </c>
      <c r="B124" t="s">
        <v>922</v>
      </c>
      <c r="C124" s="55" t="str">
        <f>VLOOKUP(B124,Validation!A:B,2,0)</f>
        <v>EU/UK</v>
      </c>
      <c r="D124" s="55" t="str">
        <f>VLOOKUP(B124,Validation!A:D,4,0)</f>
        <v>NA</v>
      </c>
      <c r="E124" s="55" t="str">
        <f>VLOOKUP(B124,Validation!A:E,5,0)</f>
        <v>Jasper</v>
      </c>
      <c r="F124" s="55" t="s">
        <v>54</v>
      </c>
      <c r="G124" s="55">
        <f t="shared" si="91"/>
        <v>2026</v>
      </c>
      <c r="H124" t="s">
        <v>928</v>
      </c>
      <c r="I124" t="s">
        <v>109</v>
      </c>
      <c r="J124" s="66">
        <f>VLOOKUP(I124,'XE rates'!A:D,4,0)*K124</f>
        <v>2875</v>
      </c>
      <c r="K124" s="41">
        <v>2875</v>
      </c>
      <c r="L124" s="87">
        <v>46174</v>
      </c>
      <c r="M124" s="61" t="str">
        <f t="shared" si="92"/>
        <v>Jun</v>
      </c>
      <c r="N124" s="55">
        <f t="shared" ca="1" si="93"/>
        <v>7</v>
      </c>
      <c r="O124" s="55" t="str">
        <f t="shared" ca="1" si="94"/>
        <v>0-30 days</v>
      </c>
      <c r="P124" t="s">
        <v>243</v>
      </c>
      <c r="Q124" s="87">
        <v>46184</v>
      </c>
      <c r="R124" s="87">
        <v>46191</v>
      </c>
      <c r="S124" t="s">
        <v>111</v>
      </c>
      <c r="T124" t="s">
        <v>947</v>
      </c>
      <c r="AB124" s="54" t="str">
        <f>VLOOKUP(T124,'[2]Query result'!$J:$K,2,0)</f>
        <v>Outstanding</v>
      </c>
    </row>
    <row r="125" spans="1:28" hidden="1">
      <c r="A125" t="s">
        <v>58</v>
      </c>
      <c r="B125" t="s">
        <v>839</v>
      </c>
      <c r="C125" s="55" t="str">
        <f>VLOOKUP(B125,Validation!A:B,2,0)</f>
        <v>Shared Centre</v>
      </c>
      <c r="D125" s="55" t="str">
        <f>VLOOKUP(B125,Validation!A:D,4,0)</f>
        <v>Bhavani</v>
      </c>
      <c r="E125" s="55" t="str">
        <f>VLOOKUP(B125,Validation!A:E,5,0)</f>
        <v>NA</v>
      </c>
      <c r="F125" s="55" t="s">
        <v>54</v>
      </c>
      <c r="G125" s="55">
        <f t="shared" si="91"/>
        <v>2026</v>
      </c>
      <c r="H125" t="s">
        <v>928</v>
      </c>
      <c r="I125" t="s">
        <v>137</v>
      </c>
      <c r="J125" s="66">
        <f>VLOOKUP(I125,'XE rates'!A:D,4,0)*K125</f>
        <v>3510.7459659063834</v>
      </c>
      <c r="K125" s="41">
        <v>2599.8200000000002</v>
      </c>
      <c r="L125" s="82">
        <v>46143</v>
      </c>
      <c r="M125" s="61" t="str">
        <f t="shared" si="92"/>
        <v>May</v>
      </c>
      <c r="N125" s="55">
        <f t="shared" ca="1" si="93"/>
        <v>17</v>
      </c>
      <c r="O125" s="55" t="str">
        <f t="shared" ca="1" si="94"/>
        <v>0-30 days</v>
      </c>
      <c r="P125" t="s">
        <v>110</v>
      </c>
      <c r="Q125" s="87">
        <v>46174</v>
      </c>
      <c r="R125" s="87">
        <v>46181</v>
      </c>
      <c r="S125" t="s">
        <v>111</v>
      </c>
      <c r="T125" t="s">
        <v>948</v>
      </c>
      <c r="AB125" s="54" t="str">
        <f>VLOOKUP(T125,'[2]Query result'!$J:$K,2,0)</f>
        <v>Outstanding</v>
      </c>
    </row>
    <row r="126" spans="1:28" hidden="1">
      <c r="A126" t="s">
        <v>58</v>
      </c>
      <c r="B126" t="s">
        <v>839</v>
      </c>
      <c r="C126" s="55" t="str">
        <f>VLOOKUP(B126,Validation!A:B,2,0)</f>
        <v>Shared Centre</v>
      </c>
      <c r="D126" s="55" t="str">
        <f>VLOOKUP(B126,Validation!A:D,4,0)</f>
        <v>Bhavani</v>
      </c>
      <c r="E126" s="55" t="str">
        <f>VLOOKUP(B126,Validation!A:E,5,0)</f>
        <v>NA</v>
      </c>
      <c r="F126" s="55" t="s">
        <v>54</v>
      </c>
      <c r="G126" s="55">
        <f t="shared" si="91"/>
        <v>2026</v>
      </c>
      <c r="H126" t="s">
        <v>928</v>
      </c>
      <c r="I126" t="s">
        <v>137</v>
      </c>
      <c r="J126" s="66">
        <f>VLOOKUP(I126,'XE rates'!A:D,4,0)*K126</f>
        <v>-3510.7459659063834</v>
      </c>
      <c r="K126" s="41">
        <v>-2599.8200000000002</v>
      </c>
      <c r="L126" s="87">
        <v>46174</v>
      </c>
      <c r="M126" s="61" t="str">
        <f t="shared" si="92"/>
        <v>Jun</v>
      </c>
      <c r="N126" s="55">
        <f t="shared" ca="1" si="93"/>
        <v>14</v>
      </c>
      <c r="O126" s="55" t="str">
        <f t="shared" ca="1" si="94"/>
        <v>0-30 days</v>
      </c>
      <c r="P126" t="s">
        <v>988</v>
      </c>
      <c r="Q126" s="87">
        <v>46177</v>
      </c>
      <c r="R126" s="87">
        <v>46184</v>
      </c>
      <c r="S126" t="s">
        <v>111</v>
      </c>
      <c r="T126" t="s">
        <v>949</v>
      </c>
      <c r="AB126" s="54" t="str">
        <f>VLOOKUP(T126,'[2]Query result'!$J:$K,2,0)</f>
        <v>Outstanding</v>
      </c>
    </row>
    <row r="127" spans="1:28" hidden="1">
      <c r="A127" t="s">
        <v>58</v>
      </c>
      <c r="B127" t="s">
        <v>923</v>
      </c>
      <c r="C127" s="55" t="str">
        <f>VLOOKUP(B127,Validation!A:B,2,0)</f>
        <v>USA</v>
      </c>
      <c r="D127" s="55" t="str">
        <f>VLOOKUP(B127,Validation!A:D,4,0)</f>
        <v>NA</v>
      </c>
      <c r="E127" s="55" t="str">
        <f>VLOOKUP(B127,Validation!A:E,5,0)</f>
        <v>Michael Bermingham</v>
      </c>
      <c r="F127" s="55" t="s">
        <v>54</v>
      </c>
      <c r="G127" s="55">
        <f t="shared" si="91"/>
        <v>2026</v>
      </c>
      <c r="H127" t="s">
        <v>928</v>
      </c>
      <c r="I127" t="s">
        <v>109</v>
      </c>
      <c r="J127" s="66">
        <f>VLOOKUP(I127,'XE rates'!A:D,4,0)*K127</f>
        <v>1000</v>
      </c>
      <c r="K127" s="41">
        <v>1000</v>
      </c>
      <c r="L127" s="87">
        <v>46174</v>
      </c>
      <c r="M127" s="61" t="str">
        <f t="shared" si="92"/>
        <v>Jun</v>
      </c>
      <c r="N127" s="55">
        <f t="shared" ca="1" si="93"/>
        <v>10</v>
      </c>
      <c r="O127" s="55" t="str">
        <f t="shared" ca="1" si="94"/>
        <v>0-30 days</v>
      </c>
      <c r="P127" t="s">
        <v>918</v>
      </c>
      <c r="Q127" s="87">
        <v>46181</v>
      </c>
      <c r="R127" s="87">
        <v>46188</v>
      </c>
      <c r="S127" t="s">
        <v>111</v>
      </c>
      <c r="T127" t="s">
        <v>950</v>
      </c>
      <c r="AB127" s="54" t="str">
        <f>VLOOKUP(T127,'[2]Query result'!$J:$K,2,0)</f>
        <v>Outstanding</v>
      </c>
    </row>
    <row r="128" spans="1:28" hidden="1">
      <c r="A128" t="s">
        <v>58</v>
      </c>
      <c r="B128" t="s">
        <v>800</v>
      </c>
      <c r="C128" s="55" t="str">
        <f>VLOOKUP(B128,Validation!A:B,2,0)</f>
        <v>USA</v>
      </c>
      <c r="D128" s="55" t="str">
        <f>VLOOKUP(B128,Validation!A:D,4,0)</f>
        <v>NA</v>
      </c>
      <c r="E128" s="55" t="str">
        <f>VLOOKUP(B128,Validation!A:E,5,0)</f>
        <v>Michael Bermingham</v>
      </c>
      <c r="F128" s="55" t="s">
        <v>54</v>
      </c>
      <c r="G128" s="55">
        <f t="shared" si="91"/>
        <v>2026</v>
      </c>
      <c r="H128" t="s">
        <v>928</v>
      </c>
      <c r="I128" t="s">
        <v>109</v>
      </c>
      <c r="J128" s="66">
        <f>VLOOKUP(I128,'XE rates'!A:D,4,0)*K128</f>
        <v>1.5</v>
      </c>
      <c r="K128" s="41">
        <v>1.5</v>
      </c>
      <c r="L128" s="82">
        <v>46143</v>
      </c>
      <c r="M128" s="61" t="str">
        <f t="shared" si="92"/>
        <v>May</v>
      </c>
      <c r="N128" s="55">
        <f t="shared" ca="1" si="93"/>
        <v>14</v>
      </c>
      <c r="O128" s="55" t="str">
        <f t="shared" ca="1" si="94"/>
        <v>0-30 days</v>
      </c>
      <c r="P128" t="s">
        <v>110</v>
      </c>
      <c r="Q128" s="87">
        <v>46177</v>
      </c>
      <c r="R128" s="87">
        <v>46184</v>
      </c>
      <c r="S128" t="s">
        <v>111</v>
      </c>
      <c r="T128" t="s">
        <v>951</v>
      </c>
      <c r="AB128" s="54" t="str">
        <f>VLOOKUP(T128,'[2]Query result'!$J:$K,2,0)</f>
        <v>Outstanding</v>
      </c>
    </row>
    <row r="129" spans="1:28" hidden="1">
      <c r="A129" t="s">
        <v>58</v>
      </c>
      <c r="B129" t="s">
        <v>138</v>
      </c>
      <c r="C129" s="55" t="str">
        <f>VLOOKUP(B129,Validation!A:B,2,0)</f>
        <v>APAC</v>
      </c>
      <c r="D129" s="55" t="str">
        <f>VLOOKUP(B129,Validation!A:D,4,0)</f>
        <v>Hao Nguyen</v>
      </c>
      <c r="E129" s="55" t="str">
        <f>VLOOKUP(B129,Validation!A:E,5,0)</f>
        <v>Vinoth M</v>
      </c>
      <c r="F129" s="55" t="s">
        <v>54</v>
      </c>
      <c r="G129" s="55">
        <f t="shared" si="91"/>
        <v>2026</v>
      </c>
      <c r="H129" t="s">
        <v>928</v>
      </c>
      <c r="I129" t="s">
        <v>123</v>
      </c>
      <c r="J129" s="66">
        <f>VLOOKUP(I129,'XE rates'!A:D,4,0)*K129</f>
        <v>7891.9646846575342</v>
      </c>
      <c r="K129" s="41">
        <v>11020.603999999999</v>
      </c>
      <c r="L129" s="87">
        <v>46143</v>
      </c>
      <c r="M129" s="61" t="str">
        <f t="shared" si="92"/>
        <v>May</v>
      </c>
      <c r="N129" s="55">
        <f t="shared" ca="1" si="93"/>
        <v>-8</v>
      </c>
      <c r="O129" s="55" t="str">
        <f t="shared" ca="1" si="94"/>
        <v>0-30 days</v>
      </c>
      <c r="P129" t="s">
        <v>110</v>
      </c>
      <c r="Q129" s="87">
        <v>46176</v>
      </c>
      <c r="R129" s="87">
        <v>46206</v>
      </c>
      <c r="S129" t="s">
        <v>151</v>
      </c>
      <c r="T129" t="s">
        <v>952</v>
      </c>
      <c r="AB129" s="54" t="str">
        <f>VLOOKUP(T129,'[2]Query result'!$J:$K,2,0)</f>
        <v>Invoice Sent</v>
      </c>
    </row>
    <row r="130" spans="1:28" hidden="1">
      <c r="A130" t="s">
        <v>58</v>
      </c>
      <c r="B130" t="s">
        <v>181</v>
      </c>
      <c r="C130" s="55" t="str">
        <f>VLOOKUP(B130,Validation!A:B,2,0)</f>
        <v>APAC</v>
      </c>
      <c r="D130" s="55" t="str">
        <f>VLOOKUP(B130,Validation!A:D,4,0)</f>
        <v>NA</v>
      </c>
      <c r="E130" s="55" t="str">
        <f>VLOOKUP(B130,Validation!A:E,5,0)</f>
        <v>Vinoth M</v>
      </c>
      <c r="F130" s="55" t="s">
        <v>54</v>
      </c>
      <c r="G130" s="55">
        <f t="shared" si="91"/>
        <v>2026</v>
      </c>
      <c r="H130" t="s">
        <v>928</v>
      </c>
      <c r="I130" t="s">
        <v>123</v>
      </c>
      <c r="J130" s="66">
        <f>VLOOKUP(I130,'XE rates'!A:D,4,0)*K130</f>
        <v>2252.165936934849</v>
      </c>
      <c r="K130" s="41">
        <v>3145</v>
      </c>
      <c r="L130" s="82">
        <v>46143</v>
      </c>
      <c r="M130" s="61" t="str">
        <f t="shared" si="92"/>
        <v>May</v>
      </c>
      <c r="N130" s="55">
        <f t="shared" ca="1" si="93"/>
        <v>16</v>
      </c>
      <c r="O130" s="55" t="str">
        <f t="shared" ca="1" si="94"/>
        <v>0-30 days</v>
      </c>
      <c r="P130" t="s">
        <v>110</v>
      </c>
      <c r="Q130" s="87">
        <v>46175</v>
      </c>
      <c r="R130" s="87">
        <v>46182</v>
      </c>
      <c r="S130" t="s">
        <v>111</v>
      </c>
      <c r="T130" t="s">
        <v>953</v>
      </c>
      <c r="AB130" s="54" t="str">
        <f>VLOOKUP(T130,'[2]Query result'!$J:$K,2,0)</f>
        <v>Outstanding</v>
      </c>
    </row>
    <row r="131" spans="1:28" hidden="1">
      <c r="A131" t="s">
        <v>58</v>
      </c>
      <c r="B131" t="s">
        <v>220</v>
      </c>
      <c r="C131" s="55" t="str">
        <f>VLOOKUP(B131,Validation!A:B,2,0)</f>
        <v>ME</v>
      </c>
      <c r="D131" s="55" t="str">
        <f>VLOOKUP(B131,Validation!A:D,4,0)</f>
        <v>Jerome Coelho</v>
      </c>
      <c r="E131" s="55" t="str">
        <f>VLOOKUP(B131,Validation!A:E,5,0)</f>
        <v>Rohit Bammi</v>
      </c>
      <c r="F131" s="55" t="s">
        <v>54</v>
      </c>
      <c r="G131" s="55">
        <f t="shared" si="91"/>
        <v>2026</v>
      </c>
      <c r="H131" t="s">
        <v>928</v>
      </c>
      <c r="I131" t="s">
        <v>109</v>
      </c>
      <c r="J131" s="66">
        <f>VLOOKUP(I131,'XE rates'!A:D,4,0)*K131</f>
        <v>3681</v>
      </c>
      <c r="K131" s="41">
        <v>3681</v>
      </c>
      <c r="L131" s="82">
        <v>46143</v>
      </c>
      <c r="M131" s="61" t="str">
        <f t="shared" si="92"/>
        <v>May</v>
      </c>
      <c r="N131" s="55">
        <f t="shared" ca="1" si="93"/>
        <v>15</v>
      </c>
      <c r="O131" s="55" t="str">
        <f t="shared" ca="1" si="94"/>
        <v>0-30 days</v>
      </c>
      <c r="P131" t="s">
        <v>110</v>
      </c>
      <c r="Q131" s="87">
        <v>46176</v>
      </c>
      <c r="R131" s="87">
        <v>46183</v>
      </c>
      <c r="S131" t="s">
        <v>111</v>
      </c>
      <c r="T131" t="s">
        <v>954</v>
      </c>
      <c r="AB131" s="54" t="str">
        <f>VLOOKUP(T131,'[2]Query result'!$J:$K,2,0)</f>
        <v>Outstanding</v>
      </c>
    </row>
    <row r="132" spans="1:28" hidden="1">
      <c r="A132" t="s">
        <v>58</v>
      </c>
      <c r="B132" t="s">
        <v>221</v>
      </c>
      <c r="C132" s="55" t="str">
        <f>VLOOKUP(B132,Validation!A:B,2,0)</f>
        <v>ME</v>
      </c>
      <c r="D132" s="55" t="str">
        <f>VLOOKUP(B132,Validation!A:D,4,0)</f>
        <v>Jerome Coelho</v>
      </c>
      <c r="E132" s="55" t="str">
        <f>VLOOKUP(B132,Validation!A:E,5,0)</f>
        <v>Rohit Bammi</v>
      </c>
      <c r="F132" s="55" t="s">
        <v>54</v>
      </c>
      <c r="G132" s="55">
        <f t="shared" si="91"/>
        <v>2026</v>
      </c>
      <c r="H132" t="s">
        <v>928</v>
      </c>
      <c r="I132" t="s">
        <v>109</v>
      </c>
      <c r="J132" s="66">
        <f>VLOOKUP(I132,'XE rates'!A:D,4,0)*K132</f>
        <v>44409</v>
      </c>
      <c r="K132" s="41">
        <v>44409</v>
      </c>
      <c r="L132" s="82">
        <v>46143</v>
      </c>
      <c r="M132" s="61" t="str">
        <f t="shared" si="92"/>
        <v>May</v>
      </c>
      <c r="N132" s="55">
        <f t="shared" ca="1" si="93"/>
        <v>15</v>
      </c>
      <c r="O132" s="55" t="str">
        <f t="shared" ca="1" si="94"/>
        <v>0-30 days</v>
      </c>
      <c r="P132" t="s">
        <v>110</v>
      </c>
      <c r="Q132" s="87">
        <v>46176</v>
      </c>
      <c r="R132" s="87">
        <v>46183</v>
      </c>
      <c r="S132" t="s">
        <v>111</v>
      </c>
      <c r="T132" t="s">
        <v>955</v>
      </c>
      <c r="AB132" s="54" t="str">
        <f>VLOOKUP(T132,'[2]Query result'!$J:$K,2,0)</f>
        <v>Outstanding</v>
      </c>
    </row>
    <row r="133" spans="1:28" hidden="1">
      <c r="A133" t="s">
        <v>58</v>
      </c>
      <c r="B133" t="s">
        <v>182</v>
      </c>
      <c r="C133" s="55" t="str">
        <f>VLOOKUP(B133,Validation!A:B,2,0)</f>
        <v>APAC</v>
      </c>
      <c r="D133" s="55" t="str">
        <f>VLOOKUP(B133,Validation!A:D,4,0)</f>
        <v>NA</v>
      </c>
      <c r="E133" s="55" t="str">
        <f>VLOOKUP(B133,Validation!A:E,5,0)</f>
        <v>Wendy zhai</v>
      </c>
      <c r="F133" s="55" t="s">
        <v>54</v>
      </c>
      <c r="G133" s="55">
        <f t="shared" si="91"/>
        <v>2026</v>
      </c>
      <c r="H133" t="s">
        <v>928</v>
      </c>
      <c r="I133" t="s">
        <v>123</v>
      </c>
      <c r="J133" s="66">
        <f>VLOOKUP(I133,'XE rates'!A:D,4,0)*K133</f>
        <v>3437.8507403565141</v>
      </c>
      <c r="K133" s="41">
        <v>4800.7299999999996</v>
      </c>
      <c r="L133" s="82">
        <v>46143</v>
      </c>
      <c r="M133" s="61" t="str">
        <f t="shared" si="92"/>
        <v>May</v>
      </c>
      <c r="N133" s="55">
        <f t="shared" ca="1" si="93"/>
        <v>16</v>
      </c>
      <c r="O133" s="55" t="str">
        <f t="shared" ca="1" si="94"/>
        <v>0-30 days</v>
      </c>
      <c r="P133" t="s">
        <v>110</v>
      </c>
      <c r="Q133" s="87">
        <v>46175</v>
      </c>
      <c r="R133" s="87">
        <v>46182</v>
      </c>
      <c r="S133" t="s">
        <v>111</v>
      </c>
      <c r="T133" t="s">
        <v>956</v>
      </c>
      <c r="AB133" s="54" t="str">
        <f>VLOOKUP(T133,'[2]Query result'!$J:$K,2,0)</f>
        <v>Outstanding</v>
      </c>
    </row>
    <row r="134" spans="1:28" hidden="1">
      <c r="A134" t="s">
        <v>58</v>
      </c>
      <c r="B134" t="s">
        <v>166</v>
      </c>
      <c r="C134" s="55" t="str">
        <f>VLOOKUP(B134,Validation!A:B,2,0)</f>
        <v>APAC</v>
      </c>
      <c r="D134" s="55" t="str">
        <f>VLOOKUP(B134,Validation!A:D,4,0)</f>
        <v>NA</v>
      </c>
      <c r="E134" s="55" t="str">
        <f>VLOOKUP(B134,Validation!A:E,5,0)</f>
        <v>Edward Li</v>
      </c>
      <c r="F134" s="55" t="s">
        <v>54</v>
      </c>
      <c r="G134" s="55">
        <f t="shared" si="91"/>
        <v>2026</v>
      </c>
      <c r="H134" t="s">
        <v>928</v>
      </c>
      <c r="I134" t="s">
        <v>109</v>
      </c>
      <c r="J134" s="66">
        <f>VLOOKUP(I134,'XE rates'!A:D,4,0)*K134</f>
        <v>1356.08</v>
      </c>
      <c r="K134" s="41">
        <v>1356.08</v>
      </c>
      <c r="L134" s="82">
        <v>46143</v>
      </c>
      <c r="M134" s="61" t="str">
        <f t="shared" si="92"/>
        <v>May</v>
      </c>
      <c r="N134" s="55">
        <f t="shared" ca="1" si="93"/>
        <v>17</v>
      </c>
      <c r="O134" s="55" t="str">
        <f t="shared" ca="1" si="94"/>
        <v>0-30 days</v>
      </c>
      <c r="P134" t="s">
        <v>110</v>
      </c>
      <c r="Q134" s="87">
        <v>46174</v>
      </c>
      <c r="R134" s="87">
        <v>46181</v>
      </c>
      <c r="S134" t="s">
        <v>111</v>
      </c>
      <c r="T134" t="s">
        <v>957</v>
      </c>
      <c r="AB134" s="54" t="str">
        <f>VLOOKUP(T134,'[2]Query result'!$J:$K,2,0)</f>
        <v>Outstanding</v>
      </c>
    </row>
    <row r="135" spans="1:28" hidden="1">
      <c r="A135" t="s">
        <v>58</v>
      </c>
      <c r="B135" t="s">
        <v>225</v>
      </c>
      <c r="C135" s="55" t="str">
        <f>VLOOKUP(B135,Validation!A:B,2,0)</f>
        <v>APAC</v>
      </c>
      <c r="D135" s="55" t="str">
        <f>VLOOKUP(B135,Validation!A:D,4,0)</f>
        <v>NA</v>
      </c>
      <c r="E135" s="55" t="str">
        <f>VLOOKUP(B135,Validation!A:E,5,0)</f>
        <v>Vinoth M</v>
      </c>
      <c r="F135" s="55" t="s">
        <v>54</v>
      </c>
      <c r="G135" s="55">
        <f t="shared" si="91"/>
        <v>2026</v>
      </c>
      <c r="H135" t="s">
        <v>928</v>
      </c>
      <c r="I135" t="s">
        <v>123</v>
      </c>
      <c r="J135" s="66">
        <f>VLOOKUP(I135,'XE rates'!A:D,4,0)*K135</f>
        <v>4985.2427026798632</v>
      </c>
      <c r="K135" s="41">
        <v>6961.56</v>
      </c>
      <c r="L135" s="82">
        <v>46143</v>
      </c>
      <c r="M135" s="61" t="str">
        <f t="shared" si="92"/>
        <v>May</v>
      </c>
      <c r="N135" s="55">
        <f t="shared" ca="1" si="93"/>
        <v>16</v>
      </c>
      <c r="O135" s="55" t="str">
        <f t="shared" ca="1" si="94"/>
        <v>0-30 days</v>
      </c>
      <c r="P135" t="s">
        <v>110</v>
      </c>
      <c r="Q135" s="87">
        <v>46175</v>
      </c>
      <c r="R135" s="87">
        <v>46182</v>
      </c>
      <c r="S135" t="s">
        <v>111</v>
      </c>
      <c r="T135" t="s">
        <v>958</v>
      </c>
      <c r="AB135" s="54" t="str">
        <f>VLOOKUP(T135,'[2]Query result'!$J:$K,2,0)</f>
        <v>Outstanding</v>
      </c>
    </row>
    <row r="136" spans="1:28" hidden="1">
      <c r="A136" t="s">
        <v>58</v>
      </c>
      <c r="B136" t="s">
        <v>226</v>
      </c>
      <c r="C136" s="55" t="str">
        <f>VLOOKUP(B136,Validation!A:B,2,0)</f>
        <v>APAC</v>
      </c>
      <c r="D136" s="55" t="str">
        <f>VLOOKUP(B136,Validation!A:D,4,0)</f>
        <v>Pat Sarisa</v>
      </c>
      <c r="E136" s="55" t="str">
        <f>VLOOKUP(B136,Validation!A:E,5,0)</f>
        <v>Gitesh Athavale</v>
      </c>
      <c r="F136" s="55" t="s">
        <v>54</v>
      </c>
      <c r="G136" s="55">
        <f t="shared" si="91"/>
        <v>2026</v>
      </c>
      <c r="H136" t="s">
        <v>928</v>
      </c>
      <c r="I136" t="s">
        <v>109</v>
      </c>
      <c r="J136" s="66">
        <f>VLOOKUP(I136,'XE rates'!A:D,4,0)*K136</f>
        <v>12125.1</v>
      </c>
      <c r="K136" s="41">
        <v>12125.1</v>
      </c>
      <c r="L136" s="82">
        <v>46143</v>
      </c>
      <c r="M136" s="61" t="str">
        <f t="shared" si="92"/>
        <v>May</v>
      </c>
      <c r="N136" s="55">
        <f t="shared" ca="1" si="93"/>
        <v>15</v>
      </c>
      <c r="O136" s="55" t="str">
        <f t="shared" ca="1" si="94"/>
        <v>0-30 days</v>
      </c>
      <c r="P136" t="s">
        <v>110</v>
      </c>
      <c r="Q136" s="87">
        <v>46176</v>
      </c>
      <c r="R136" s="87">
        <v>46183</v>
      </c>
      <c r="S136" t="s">
        <v>111</v>
      </c>
      <c r="T136" t="s">
        <v>959</v>
      </c>
      <c r="AB136" s="54" t="str">
        <f>VLOOKUP(T136,'[2]Query result'!$J:$K,2,0)</f>
        <v>Outstanding</v>
      </c>
    </row>
    <row r="137" spans="1:28" hidden="1">
      <c r="A137" t="s">
        <v>58</v>
      </c>
      <c r="B137" t="s">
        <v>227</v>
      </c>
      <c r="C137" s="55" t="str">
        <f>VLOOKUP(B137,Validation!A:B,2,0)</f>
        <v>APAC</v>
      </c>
      <c r="D137" s="55" t="str">
        <f>VLOOKUP(B137,Validation!A:D,4,0)</f>
        <v>Pat Sarisa</v>
      </c>
      <c r="E137" s="55" t="str">
        <f>VLOOKUP(B137,Validation!A:E,5,0)</f>
        <v>NA</v>
      </c>
      <c r="F137" s="55" t="s">
        <v>54</v>
      </c>
      <c r="G137" s="55">
        <f t="shared" si="91"/>
        <v>2026</v>
      </c>
      <c r="H137" t="s">
        <v>928</v>
      </c>
      <c r="I137" t="s">
        <v>109</v>
      </c>
      <c r="J137" s="66">
        <f>VLOOKUP(I137,'XE rates'!A:D,4,0)*K137</f>
        <v>10020</v>
      </c>
      <c r="K137" s="41">
        <v>10020</v>
      </c>
      <c r="L137" s="82">
        <v>46143</v>
      </c>
      <c r="M137" s="61" t="str">
        <f t="shared" si="92"/>
        <v>May</v>
      </c>
      <c r="N137" s="55">
        <f t="shared" ca="1" si="93"/>
        <v>13</v>
      </c>
      <c r="O137" s="55" t="str">
        <f t="shared" ca="1" si="94"/>
        <v>0-30 days</v>
      </c>
      <c r="P137" t="s">
        <v>110</v>
      </c>
      <c r="Q137" s="87">
        <v>46178</v>
      </c>
      <c r="R137" s="87">
        <v>46185</v>
      </c>
      <c r="S137" t="s">
        <v>111</v>
      </c>
      <c r="T137" t="s">
        <v>960</v>
      </c>
      <c r="AB137" s="54" t="str">
        <f>VLOOKUP(T137,'[2]Query result'!$J:$K,2,0)</f>
        <v>Outstanding</v>
      </c>
    </row>
    <row r="138" spans="1:28" hidden="1">
      <c r="A138" t="s">
        <v>58</v>
      </c>
      <c r="B138" t="s">
        <v>840</v>
      </c>
      <c r="C138" s="55" t="str">
        <f>VLOOKUP(B138,Validation!A:B,2,0)</f>
        <v>ME</v>
      </c>
      <c r="D138" s="55" t="str">
        <f>VLOOKUP(B138,Validation!A:D,4,0)</f>
        <v>NA</v>
      </c>
      <c r="E138" s="55" t="str">
        <f>VLOOKUP(B138,Validation!A:E,5,0)</f>
        <v>Ashraf Omran</v>
      </c>
      <c r="F138" s="55" t="s">
        <v>54</v>
      </c>
      <c r="G138" s="55">
        <f t="shared" si="91"/>
        <v>2026</v>
      </c>
      <c r="H138" t="s">
        <v>928</v>
      </c>
      <c r="I138" t="s">
        <v>109</v>
      </c>
      <c r="J138" s="66">
        <f>VLOOKUP(I138,'XE rates'!A:D,4,0)*K138</f>
        <v>5000</v>
      </c>
      <c r="K138" s="41">
        <v>5000</v>
      </c>
      <c r="L138" s="87">
        <v>46174</v>
      </c>
      <c r="M138" s="61" t="str">
        <f t="shared" si="92"/>
        <v>Jun</v>
      </c>
      <c r="N138" s="55">
        <f t="shared" ca="1" si="93"/>
        <v>13</v>
      </c>
      <c r="O138" s="55" t="str">
        <f t="shared" ca="1" si="94"/>
        <v>0-30 days</v>
      </c>
      <c r="P138" t="s">
        <v>243</v>
      </c>
      <c r="Q138" s="87">
        <v>46178</v>
      </c>
      <c r="R138" s="87">
        <v>46185</v>
      </c>
      <c r="S138" t="s">
        <v>111</v>
      </c>
      <c r="T138" t="s">
        <v>961</v>
      </c>
      <c r="AB138" s="54" t="str">
        <f>VLOOKUP(T138,'[2]Query result'!$J:$K,2,0)</f>
        <v>Outstanding</v>
      </c>
    </row>
    <row r="139" spans="1:28" hidden="1">
      <c r="A139" t="s">
        <v>58</v>
      </c>
      <c r="B139" t="s">
        <v>833</v>
      </c>
      <c r="C139" s="55" t="str">
        <f>VLOOKUP(B139,Validation!A:B,2,0)</f>
        <v>APAC</v>
      </c>
      <c r="D139" s="55" t="str">
        <f>VLOOKUP(B139,Validation!A:D,4,0)</f>
        <v>NA</v>
      </c>
      <c r="E139" s="55" t="str">
        <f>VLOOKUP(B139,Validation!A:E,5,0)</f>
        <v>Edward Li</v>
      </c>
      <c r="F139" s="55" t="s">
        <v>54</v>
      </c>
      <c r="G139" s="55">
        <f t="shared" si="91"/>
        <v>2026</v>
      </c>
      <c r="H139" t="s">
        <v>928</v>
      </c>
      <c r="I139" t="s">
        <v>109</v>
      </c>
      <c r="J139" s="66">
        <f>VLOOKUP(I139,'XE rates'!A:D,4,0)*K139</f>
        <v>1420</v>
      </c>
      <c r="K139" s="41">
        <v>1420</v>
      </c>
      <c r="L139" s="82">
        <v>46143</v>
      </c>
      <c r="M139" s="61" t="str">
        <f t="shared" si="92"/>
        <v>May</v>
      </c>
      <c r="N139" s="55">
        <f t="shared" ca="1" si="93"/>
        <v>16</v>
      </c>
      <c r="O139" s="55" t="str">
        <f t="shared" ca="1" si="94"/>
        <v>0-30 days</v>
      </c>
      <c r="P139" t="s">
        <v>110</v>
      </c>
      <c r="Q139" s="87">
        <v>46175</v>
      </c>
      <c r="R139" s="87">
        <v>46182</v>
      </c>
      <c r="S139" t="s">
        <v>111</v>
      </c>
      <c r="T139" t="s">
        <v>962</v>
      </c>
      <c r="AB139" s="54" t="str">
        <f>VLOOKUP(T139,'[2]Query result'!$J:$K,2,0)</f>
        <v>Outstanding</v>
      </c>
    </row>
    <row r="140" spans="1:28" hidden="1">
      <c r="A140" t="s">
        <v>58</v>
      </c>
      <c r="B140" t="s">
        <v>924</v>
      </c>
      <c r="C140" s="55" t="str">
        <f>VLOOKUP(B140,Validation!A:B,2,0)</f>
        <v>ME</v>
      </c>
      <c r="D140" s="55" t="str">
        <f>VLOOKUP(B140,Validation!A:D,4,0)</f>
        <v>NA</v>
      </c>
      <c r="E140" s="55" t="str">
        <f>VLOOKUP(B140,Validation!A:E,5,0)</f>
        <v>Ashraf Omran</v>
      </c>
      <c r="F140" s="55" t="s">
        <v>54</v>
      </c>
      <c r="G140" s="55">
        <f t="shared" si="91"/>
        <v>2026</v>
      </c>
      <c r="H140" t="s">
        <v>928</v>
      </c>
      <c r="I140" t="s">
        <v>109</v>
      </c>
      <c r="J140" s="66">
        <f>VLOOKUP(I140,'XE rates'!A:D,4,0)*K140</f>
        <v>15000</v>
      </c>
      <c r="K140" s="41">
        <v>15000</v>
      </c>
      <c r="L140" s="87">
        <v>46174</v>
      </c>
      <c r="M140" s="61" t="str">
        <f t="shared" si="92"/>
        <v>Jun</v>
      </c>
      <c r="N140" s="55">
        <f t="shared" ca="1" si="93"/>
        <v>10</v>
      </c>
      <c r="O140" s="55" t="str">
        <f t="shared" ca="1" si="94"/>
        <v>0-30 days</v>
      </c>
      <c r="P140" t="s">
        <v>918</v>
      </c>
      <c r="Q140" s="87">
        <v>46181</v>
      </c>
      <c r="R140" s="87">
        <v>46188</v>
      </c>
      <c r="S140" t="s">
        <v>111</v>
      </c>
      <c r="T140" t="s">
        <v>963</v>
      </c>
      <c r="AB140" s="54" t="str">
        <f>VLOOKUP(T140,'[2]Query result'!$J:$K,2,0)</f>
        <v>Outstanding</v>
      </c>
    </row>
    <row r="141" spans="1:28" hidden="1">
      <c r="A141" t="s">
        <v>58</v>
      </c>
      <c r="B141" t="s">
        <v>141</v>
      </c>
      <c r="C141" s="55" t="str">
        <f>VLOOKUP(B141,Validation!A:B,2,0)</f>
        <v>EU/UK</v>
      </c>
      <c r="D141" s="55" t="str">
        <f>VLOOKUP(B141,Validation!A:D,4,0)</f>
        <v>Sachli Zare</v>
      </c>
      <c r="E141" s="55" t="str">
        <f>VLOOKUP(B141,Validation!A:E,5,0)</f>
        <v>NA</v>
      </c>
      <c r="F141" s="55" t="s">
        <v>54</v>
      </c>
      <c r="G141" s="55">
        <f t="shared" si="91"/>
        <v>2026</v>
      </c>
      <c r="H141" t="s">
        <v>928</v>
      </c>
      <c r="I141" t="s">
        <v>109</v>
      </c>
      <c r="J141" s="66">
        <f>VLOOKUP(I141,'XE rates'!A:D,4,0)*K141</f>
        <v>33.9</v>
      </c>
      <c r="K141" s="41">
        <v>33.9</v>
      </c>
      <c r="L141" s="82">
        <v>46143</v>
      </c>
      <c r="M141" s="61" t="str">
        <f t="shared" si="92"/>
        <v>May</v>
      </c>
      <c r="N141" s="55">
        <f t="shared" ca="1" si="93"/>
        <v>14</v>
      </c>
      <c r="O141" s="55" t="str">
        <f t="shared" ca="1" si="94"/>
        <v>0-30 days</v>
      </c>
      <c r="P141" t="s">
        <v>110</v>
      </c>
      <c r="Q141" s="87">
        <v>46177</v>
      </c>
      <c r="R141" s="87">
        <v>46184</v>
      </c>
      <c r="S141" t="s">
        <v>111</v>
      </c>
      <c r="T141" t="s">
        <v>964</v>
      </c>
      <c r="AB141" s="54" t="str">
        <f>VLOOKUP(T141,'[2]Query result'!$J:$K,2,0)</f>
        <v>Outstanding</v>
      </c>
    </row>
    <row r="142" spans="1:28" hidden="1">
      <c r="A142" t="s">
        <v>58</v>
      </c>
      <c r="B142" t="s">
        <v>31</v>
      </c>
      <c r="C142" s="55" t="str">
        <f>VLOOKUP(B142,Validation!A:B,2,0)</f>
        <v>USA</v>
      </c>
      <c r="D142" s="55" t="str">
        <f>VLOOKUP(B142,Validation!A:D,4,0)</f>
        <v>Lia Susin</v>
      </c>
      <c r="E142" s="55" t="str">
        <f>VLOOKUP(B142,Validation!A:E,5,0)</f>
        <v>Christina Hutchinson</v>
      </c>
      <c r="F142" s="55" t="s">
        <v>54</v>
      </c>
      <c r="G142" s="55">
        <f t="shared" si="91"/>
        <v>2026</v>
      </c>
      <c r="H142" t="s">
        <v>928</v>
      </c>
      <c r="I142" t="s">
        <v>109</v>
      </c>
      <c r="J142" s="66">
        <f>VLOOKUP(I142,'XE rates'!A:D,4,0)*K142</f>
        <v>-152.90999999999985</v>
      </c>
      <c r="K142" s="41">
        <v>-152.90999999999985</v>
      </c>
      <c r="L142" s="60">
        <v>46023</v>
      </c>
      <c r="M142" s="61" t="str">
        <f t="shared" si="92"/>
        <v>Jan</v>
      </c>
      <c r="N142" s="55">
        <f t="shared" ca="1" si="93"/>
        <v>135</v>
      </c>
      <c r="O142" s="55" t="str">
        <f t="shared" ca="1" si="94"/>
        <v>Over 90+ days</v>
      </c>
      <c r="P142" t="s">
        <v>110</v>
      </c>
      <c r="Q142" s="87">
        <v>46056</v>
      </c>
      <c r="R142" s="87">
        <v>46063</v>
      </c>
      <c r="S142" t="s">
        <v>111</v>
      </c>
      <c r="T142" t="s">
        <v>231</v>
      </c>
      <c r="AB142" s="54" t="str">
        <f>VLOOKUP(T142,'[2]Query result'!$J:$K,2,0)</f>
        <v>Outstanding</v>
      </c>
    </row>
    <row r="143" spans="1:28" hidden="1">
      <c r="A143" t="s">
        <v>58</v>
      </c>
      <c r="B143" t="s">
        <v>31</v>
      </c>
      <c r="C143" s="55" t="str">
        <f>VLOOKUP(B143,Validation!A:B,2,0)</f>
        <v>USA</v>
      </c>
      <c r="D143" s="55" t="str">
        <f>VLOOKUP(B143,Validation!A:D,4,0)</f>
        <v>Lia Susin</v>
      </c>
      <c r="E143" s="55" t="str">
        <f>VLOOKUP(B143,Validation!A:E,5,0)</f>
        <v>Christina Hutchinson</v>
      </c>
      <c r="F143" s="55" t="s">
        <v>54</v>
      </c>
      <c r="G143" s="55">
        <f t="shared" si="91"/>
        <v>2026</v>
      </c>
      <c r="H143" t="s">
        <v>928</v>
      </c>
      <c r="I143" t="s">
        <v>109</v>
      </c>
      <c r="J143" s="66">
        <f>VLOOKUP(I143,'XE rates'!A:D,4,0)*K143</f>
        <v>7821.2098000000005</v>
      </c>
      <c r="K143" s="41">
        <v>7821.2098000000005</v>
      </c>
      <c r="L143" s="82">
        <v>46143</v>
      </c>
      <c r="M143" s="61" t="str">
        <f t="shared" si="92"/>
        <v>May</v>
      </c>
      <c r="N143" s="55">
        <f t="shared" ca="1" si="93"/>
        <v>15</v>
      </c>
      <c r="O143" s="55" t="str">
        <f t="shared" ca="1" si="94"/>
        <v>0-30 days</v>
      </c>
      <c r="P143" t="s">
        <v>110</v>
      </c>
      <c r="Q143" s="87">
        <v>46176</v>
      </c>
      <c r="R143" s="87">
        <v>46183</v>
      </c>
      <c r="S143" t="s">
        <v>111</v>
      </c>
      <c r="T143" t="s">
        <v>965</v>
      </c>
      <c r="AB143" s="54" t="str">
        <f>VLOOKUP(T143,'[2]Query result'!$J:$K,2,0)</f>
        <v>Outstanding</v>
      </c>
    </row>
    <row r="144" spans="1:28" hidden="1">
      <c r="A144" t="s">
        <v>58</v>
      </c>
      <c r="B144" t="s">
        <v>882</v>
      </c>
      <c r="C144" s="55" t="str">
        <f>VLOOKUP(B144,Validation!A:B,2,0)</f>
        <v>EU/UK</v>
      </c>
      <c r="D144" s="55" t="str">
        <f>VLOOKUP(B144,Validation!A:D,4,0)</f>
        <v>Sachli Zare</v>
      </c>
      <c r="E144" s="55" t="str">
        <f>VLOOKUP(B144,Validation!A:E,5,0)</f>
        <v>Gitesh Athavale</v>
      </c>
      <c r="F144" s="55" t="s">
        <v>54</v>
      </c>
      <c r="G144" s="55">
        <f t="shared" si="91"/>
        <v>2026</v>
      </c>
      <c r="H144" t="s">
        <v>928</v>
      </c>
      <c r="I144" t="s">
        <v>109</v>
      </c>
      <c r="J144" s="66">
        <f>VLOOKUP(I144,'XE rates'!A:D,4,0)*K144</f>
        <v>3927.1500000000005</v>
      </c>
      <c r="K144" s="41">
        <v>3927.1500000000005</v>
      </c>
      <c r="L144" s="87">
        <v>46143</v>
      </c>
      <c r="M144" s="61" t="str">
        <f t="shared" si="92"/>
        <v>May</v>
      </c>
      <c r="N144" s="55">
        <f t="shared" ca="1" si="93"/>
        <v>7</v>
      </c>
      <c r="O144" s="55" t="str">
        <f t="shared" ca="1" si="94"/>
        <v>0-30 days</v>
      </c>
      <c r="P144" t="s">
        <v>110</v>
      </c>
      <c r="Q144" s="87">
        <v>46176</v>
      </c>
      <c r="R144" s="87">
        <v>46191</v>
      </c>
      <c r="S144" t="s">
        <v>111</v>
      </c>
      <c r="T144" t="s">
        <v>966</v>
      </c>
      <c r="AB144" s="54" t="str">
        <f>VLOOKUP(T144,'[2]Query result'!$J:$K,2,0)</f>
        <v>Outstanding</v>
      </c>
    </row>
    <row r="145" spans="1:28">
      <c r="A145" t="s">
        <v>58</v>
      </c>
      <c r="B145" t="s">
        <v>776</v>
      </c>
      <c r="C145" s="55" t="str">
        <f>VLOOKUP(B145,Validation!A:B,2,0)</f>
        <v>ME</v>
      </c>
      <c r="D145" s="55" t="str">
        <f>VLOOKUP(B145,Validation!A:D,4,0)</f>
        <v>Jerome Coelho</v>
      </c>
      <c r="E145" s="55" t="str">
        <f>VLOOKUP(B145,Validation!A:E,5,0)</f>
        <v>Rohit Bammi</v>
      </c>
      <c r="F145" s="55" t="s">
        <v>54</v>
      </c>
      <c r="G145" s="55">
        <f t="shared" si="91"/>
        <v>2026</v>
      </c>
      <c r="H145" t="s">
        <v>928</v>
      </c>
      <c r="I145" t="s">
        <v>109</v>
      </c>
      <c r="J145" s="66">
        <f>VLOOKUP(I145,'XE rates'!A:D,4,0)*K145</f>
        <v>-2954.5</v>
      </c>
      <c r="K145" s="41">
        <v>-2954.5</v>
      </c>
      <c r="L145" s="87">
        <v>46143</v>
      </c>
      <c r="M145" s="61" t="str">
        <f t="shared" si="92"/>
        <v>May</v>
      </c>
      <c r="N145" s="55">
        <f t="shared" ca="1" si="93"/>
        <v>14</v>
      </c>
      <c r="O145" s="55" t="str">
        <f t="shared" ca="1" si="94"/>
        <v>0-30 days</v>
      </c>
      <c r="P145" t="s">
        <v>989</v>
      </c>
      <c r="Q145" s="87">
        <v>46177</v>
      </c>
      <c r="R145" s="87">
        <v>46184</v>
      </c>
      <c r="S145" t="s">
        <v>111</v>
      </c>
      <c r="T145" t="s">
        <v>967</v>
      </c>
      <c r="AB145" s="54" t="str">
        <f>VLOOKUP(T145,'[2]Query result'!$J:$K,2,0)</f>
        <v>Outstanding</v>
      </c>
    </row>
    <row r="146" spans="1:28">
      <c r="A146" t="s">
        <v>58</v>
      </c>
      <c r="B146" t="s">
        <v>776</v>
      </c>
      <c r="C146" s="55" t="str">
        <f>VLOOKUP(B146,Validation!A:B,2,0)</f>
        <v>ME</v>
      </c>
      <c r="D146" s="55" t="str">
        <f>VLOOKUP(B146,Validation!A:D,4,0)</f>
        <v>Jerome Coelho</v>
      </c>
      <c r="E146" s="55" t="str">
        <f>VLOOKUP(B146,Validation!A:E,5,0)</f>
        <v>Rohit Bammi</v>
      </c>
      <c r="F146" s="55" t="s">
        <v>54</v>
      </c>
      <c r="G146" s="55">
        <f t="shared" si="91"/>
        <v>2026</v>
      </c>
      <c r="H146" t="s">
        <v>928</v>
      </c>
      <c r="I146" t="s">
        <v>109</v>
      </c>
      <c r="J146" s="66">
        <f>VLOOKUP(I146,'XE rates'!A:D,4,0)*K146</f>
        <v>-232.06000000000006</v>
      </c>
      <c r="K146" s="41">
        <v>-232.06000000000006</v>
      </c>
      <c r="L146" s="87">
        <v>46143</v>
      </c>
      <c r="M146" s="61" t="str">
        <f t="shared" si="92"/>
        <v>May</v>
      </c>
      <c r="N146" s="55">
        <f t="shared" ca="1" si="93"/>
        <v>14</v>
      </c>
      <c r="O146" s="55" t="str">
        <f t="shared" ca="1" si="94"/>
        <v>0-30 days</v>
      </c>
      <c r="P146" t="s">
        <v>110</v>
      </c>
      <c r="Q146" s="87">
        <v>46177</v>
      </c>
      <c r="R146" s="87">
        <v>46184</v>
      </c>
      <c r="S146" t="s">
        <v>111</v>
      </c>
      <c r="T146" t="s">
        <v>968</v>
      </c>
      <c r="AB146" s="54" t="str">
        <f>VLOOKUP(T146,'[2]Query result'!$J:$K,2,0)</f>
        <v>Outstanding</v>
      </c>
    </row>
    <row r="147" spans="1:28" hidden="1">
      <c r="A147" t="s">
        <v>58</v>
      </c>
      <c r="B147" t="s">
        <v>823</v>
      </c>
      <c r="C147" s="55" t="str">
        <f>VLOOKUP(B147,Validation!A:B,2,0)</f>
        <v>USA</v>
      </c>
      <c r="D147" s="55" t="str">
        <f>VLOOKUP(B147,Validation!A:D,4,0)</f>
        <v>Tulio Lima</v>
      </c>
      <c r="E147" s="55" t="str">
        <f>VLOOKUP(B147,Validation!A:E,5,0)</f>
        <v>Michael Bermingham</v>
      </c>
      <c r="F147" s="55" t="s">
        <v>54</v>
      </c>
      <c r="G147" s="55">
        <f t="shared" si="91"/>
        <v>2026</v>
      </c>
      <c r="H147" t="s">
        <v>928</v>
      </c>
      <c r="I147" t="s">
        <v>109</v>
      </c>
      <c r="J147" s="66">
        <f>VLOOKUP(I147,'XE rates'!A:D,4,0)*K147</f>
        <v>-2132.65</v>
      </c>
      <c r="K147" s="41">
        <v>-2132.65</v>
      </c>
      <c r="L147" s="87">
        <v>46174</v>
      </c>
      <c r="M147" s="61" t="str">
        <f t="shared" si="92"/>
        <v>Jun</v>
      </c>
      <c r="N147" s="55">
        <f t="shared" ca="1" si="93"/>
        <v>1</v>
      </c>
      <c r="O147" s="55" t="str">
        <f t="shared" ca="1" si="94"/>
        <v>0-30 days</v>
      </c>
      <c r="P147" t="s">
        <v>990</v>
      </c>
      <c r="Q147" s="87">
        <v>46190</v>
      </c>
      <c r="R147" s="87">
        <v>46197</v>
      </c>
      <c r="S147" t="s">
        <v>151</v>
      </c>
      <c r="T147" t="s">
        <v>969</v>
      </c>
      <c r="AB147" s="54" t="str">
        <f>VLOOKUP(T147,'[2]Query result'!$J:$K,2,0)</f>
        <v>Outstanding</v>
      </c>
    </row>
    <row r="148" spans="1:28" hidden="1">
      <c r="A148" t="s">
        <v>58</v>
      </c>
      <c r="B148" t="s">
        <v>145</v>
      </c>
      <c r="C148" s="55" t="str">
        <f>VLOOKUP(B148,Validation!A:B,2,0)</f>
        <v>APAC</v>
      </c>
      <c r="D148" s="55" t="str">
        <f>VLOOKUP(B148,Validation!A:D,4,0)</f>
        <v>Shi Yin</v>
      </c>
      <c r="E148" s="55" t="str">
        <f>VLOOKUP(B148,Validation!A:E,5,0)</f>
        <v>Vinoth M</v>
      </c>
      <c r="F148" s="55" t="s">
        <v>54</v>
      </c>
      <c r="G148" s="55">
        <f t="shared" si="91"/>
        <v>2026</v>
      </c>
      <c r="H148" t="s">
        <v>928</v>
      </c>
      <c r="I148" t="s">
        <v>109</v>
      </c>
      <c r="J148" s="66">
        <f>VLOOKUP(I148,'XE rates'!A:D,4,0)*K148</f>
        <v>2956.5</v>
      </c>
      <c r="K148" s="41">
        <v>2956.5</v>
      </c>
      <c r="L148" s="82">
        <v>46143</v>
      </c>
      <c r="M148" s="61" t="str">
        <f t="shared" si="92"/>
        <v>May</v>
      </c>
      <c r="N148" s="55">
        <f t="shared" ca="1" si="93"/>
        <v>8</v>
      </c>
      <c r="O148" s="55" t="str">
        <f t="shared" ca="1" si="94"/>
        <v>0-30 days</v>
      </c>
      <c r="P148" t="s">
        <v>110</v>
      </c>
      <c r="Q148" s="87">
        <v>46175</v>
      </c>
      <c r="R148" s="87">
        <v>46190</v>
      </c>
      <c r="S148" t="s">
        <v>111</v>
      </c>
      <c r="T148" t="s">
        <v>970</v>
      </c>
      <c r="AB148" s="54" t="str">
        <f>VLOOKUP(T148,'[2]Query result'!$J:$K,2,0)</f>
        <v>Outstanding</v>
      </c>
    </row>
    <row r="149" spans="1:28" hidden="1">
      <c r="A149" t="s">
        <v>58</v>
      </c>
      <c r="B149" t="s">
        <v>76</v>
      </c>
      <c r="C149" s="55" t="str">
        <f>VLOOKUP(B149,Validation!A:B,2,0)</f>
        <v>USA</v>
      </c>
      <c r="D149" s="55" t="str">
        <f>VLOOKUP(B149,Validation!A:D,4,0)</f>
        <v>Tanu Arora</v>
      </c>
      <c r="E149" s="55" t="str">
        <f>VLOOKUP(B149,Validation!A:E,5,0)</f>
        <v>Michael Bermingham</v>
      </c>
      <c r="F149" s="55" t="s">
        <v>54</v>
      </c>
      <c r="G149" s="55">
        <f t="shared" si="91"/>
        <v>2026</v>
      </c>
      <c r="H149" t="s">
        <v>928</v>
      </c>
      <c r="I149" t="s">
        <v>187</v>
      </c>
      <c r="J149" s="66">
        <f>VLOOKUP(I149,'XE rates'!A:D,4,0)*K149</f>
        <v>2193.395854145158</v>
      </c>
      <c r="K149" s="41">
        <v>2996.2757200000001</v>
      </c>
      <c r="L149" s="82">
        <v>46143</v>
      </c>
      <c r="M149" s="61" t="str">
        <f t="shared" si="92"/>
        <v>May</v>
      </c>
      <c r="N149" s="55">
        <f t="shared" ca="1" si="93"/>
        <v>14</v>
      </c>
      <c r="O149" s="55" t="str">
        <f t="shared" ca="1" si="94"/>
        <v>0-30 days</v>
      </c>
      <c r="P149" t="s">
        <v>110</v>
      </c>
      <c r="Q149" s="87">
        <v>46177</v>
      </c>
      <c r="R149" s="87">
        <v>46184</v>
      </c>
      <c r="S149" t="s">
        <v>111</v>
      </c>
      <c r="T149" t="s">
        <v>971</v>
      </c>
      <c r="AB149" s="54" t="str">
        <f>VLOOKUP(T149,'[2]Query result'!$J:$K,2,0)</f>
        <v>Outstanding</v>
      </c>
    </row>
    <row r="150" spans="1:28" hidden="1">
      <c r="A150" t="s">
        <v>58</v>
      </c>
      <c r="B150" t="s">
        <v>77</v>
      </c>
      <c r="C150" s="55" t="str">
        <f>VLOOKUP(B150,Validation!A:B,2,0)</f>
        <v>USA</v>
      </c>
      <c r="D150" s="55" t="str">
        <f>VLOOKUP(B150,Validation!A:D,4,0)</f>
        <v>Tanu Arora</v>
      </c>
      <c r="E150" s="55" t="str">
        <f>VLOOKUP(B150,Validation!A:E,5,0)</f>
        <v>Michael Bermingham</v>
      </c>
      <c r="F150" s="55" t="s">
        <v>54</v>
      </c>
      <c r="G150" s="55">
        <f t="shared" si="91"/>
        <v>2026</v>
      </c>
      <c r="H150" t="s">
        <v>928</v>
      </c>
      <c r="I150" t="s">
        <v>109</v>
      </c>
      <c r="J150" s="66">
        <f>VLOOKUP(I150,'XE rates'!A:D,4,0)*K150</f>
        <v>342.54048</v>
      </c>
      <c r="K150" s="41">
        <v>342.54048</v>
      </c>
      <c r="L150" s="82">
        <v>46143</v>
      </c>
      <c r="M150" s="61" t="str">
        <f t="shared" si="92"/>
        <v>May</v>
      </c>
      <c r="N150" s="55">
        <f t="shared" ca="1" si="93"/>
        <v>16</v>
      </c>
      <c r="O150" s="55" t="str">
        <f t="shared" ca="1" si="94"/>
        <v>0-30 days</v>
      </c>
      <c r="P150" t="s">
        <v>110</v>
      </c>
      <c r="Q150" s="87">
        <v>46175</v>
      </c>
      <c r="R150" s="87">
        <v>46182</v>
      </c>
      <c r="S150" t="s">
        <v>111</v>
      </c>
      <c r="T150" t="s">
        <v>972</v>
      </c>
      <c r="AB150" s="54" t="str">
        <f>VLOOKUP(T150,'[2]Query result'!$J:$K,2,0)</f>
        <v>Outstanding</v>
      </c>
    </row>
    <row r="151" spans="1:28" hidden="1">
      <c r="A151" t="s">
        <v>58</v>
      </c>
      <c r="B151" t="s">
        <v>925</v>
      </c>
      <c r="C151" s="55" t="str">
        <f>VLOOKUP(B151,Validation!A:B,2,0)</f>
        <v>ME</v>
      </c>
      <c r="D151" s="55" t="str">
        <f>VLOOKUP(B151,Validation!A:D,4,0)</f>
        <v>NA</v>
      </c>
      <c r="E151" s="55" t="str">
        <f>VLOOKUP(B151,Validation!A:E,5,0)</f>
        <v>Ashraf Omran</v>
      </c>
      <c r="F151" s="55" t="s">
        <v>54</v>
      </c>
      <c r="G151" s="55">
        <f t="shared" si="91"/>
        <v>2026</v>
      </c>
      <c r="H151" t="s">
        <v>928</v>
      </c>
      <c r="I151" t="s">
        <v>109</v>
      </c>
      <c r="J151" s="66">
        <f>VLOOKUP(I151,'XE rates'!A:D,4,0)*K151</f>
        <v>70000</v>
      </c>
      <c r="K151" s="41">
        <v>70000</v>
      </c>
      <c r="L151" s="87">
        <v>46174</v>
      </c>
      <c r="M151" s="61" t="str">
        <f t="shared" si="92"/>
        <v>Jun</v>
      </c>
      <c r="N151" s="55">
        <f t="shared" ca="1" si="93"/>
        <v>3</v>
      </c>
      <c r="O151" s="55" t="str">
        <f t="shared" ca="1" si="94"/>
        <v>0-30 days</v>
      </c>
      <c r="P151" t="s">
        <v>918</v>
      </c>
      <c r="Q151" s="87">
        <v>46188</v>
      </c>
      <c r="R151" s="87">
        <v>46195</v>
      </c>
      <c r="S151" t="s">
        <v>151</v>
      </c>
      <c r="T151" t="s">
        <v>973</v>
      </c>
      <c r="AB151" s="54" t="str">
        <f>VLOOKUP(T151,'[2]Query result'!$J:$K,2,0)</f>
        <v>Outstanding</v>
      </c>
    </row>
    <row r="152" spans="1:28" hidden="1">
      <c r="A152" t="s">
        <v>58</v>
      </c>
      <c r="B152" t="s">
        <v>760</v>
      </c>
      <c r="C152" s="55" t="str">
        <f>VLOOKUP(B152,Validation!A:B,2,0)</f>
        <v>USA</v>
      </c>
      <c r="D152" s="55" t="str">
        <f>VLOOKUP(B152,Validation!A:D,4,0)</f>
        <v>Tulio Lima</v>
      </c>
      <c r="E152" s="55" t="str">
        <f>VLOOKUP(B152,Validation!A:E,5,0)</f>
        <v>NA</v>
      </c>
      <c r="F152" s="55" t="s">
        <v>54</v>
      </c>
      <c r="G152" s="55">
        <f t="shared" si="91"/>
        <v>2026</v>
      </c>
      <c r="H152" t="s">
        <v>928</v>
      </c>
      <c r="I152" t="s">
        <v>109</v>
      </c>
      <c r="J152" s="66">
        <f>VLOOKUP(I152,'XE rates'!A:D,4,0)*K152</f>
        <v>210</v>
      </c>
      <c r="K152" s="41">
        <v>210</v>
      </c>
      <c r="L152" s="82">
        <v>46143</v>
      </c>
      <c r="M152" s="61" t="str">
        <f t="shared" si="92"/>
        <v>May</v>
      </c>
      <c r="N152" s="55">
        <f t="shared" ca="1" si="93"/>
        <v>17</v>
      </c>
      <c r="O152" s="55" t="str">
        <f t="shared" ca="1" si="94"/>
        <v>0-30 days</v>
      </c>
      <c r="P152" t="s">
        <v>110</v>
      </c>
      <c r="Q152" s="87">
        <v>46174</v>
      </c>
      <c r="R152" s="87">
        <v>46181</v>
      </c>
      <c r="S152" t="s">
        <v>111</v>
      </c>
      <c r="T152" t="s">
        <v>974</v>
      </c>
      <c r="AB152" s="54" t="str">
        <f>VLOOKUP(T152,'[2]Query result'!$J:$K,2,0)</f>
        <v>Outstanding</v>
      </c>
    </row>
    <row r="153" spans="1:28" hidden="1">
      <c r="A153" t="s">
        <v>58</v>
      </c>
      <c r="B153" t="s">
        <v>74</v>
      </c>
      <c r="C153" s="55" t="str">
        <f>VLOOKUP(B153,Validation!A:B,2,0)</f>
        <v>USA</v>
      </c>
      <c r="D153" s="55" t="str">
        <f>VLOOKUP(B153,Validation!A:D,4,0)</f>
        <v>Tulio Lima</v>
      </c>
      <c r="E153" s="55" t="str">
        <f>VLOOKUP(B153,Validation!A:E,5,0)</f>
        <v>Michael Bermingham</v>
      </c>
      <c r="F153" s="55" t="s">
        <v>54</v>
      </c>
      <c r="G153" s="55">
        <f t="shared" ref="G153:G164" si="95">YEAR(L153)</f>
        <v>2026</v>
      </c>
      <c r="H153" t="s">
        <v>928</v>
      </c>
      <c r="I153" t="s">
        <v>109</v>
      </c>
      <c r="J153" s="66">
        <f>VLOOKUP(I153,'XE rates'!A:D,4,0)*K153</f>
        <v>6729.4300000000076</v>
      </c>
      <c r="K153" s="41">
        <v>6729.4300000000076</v>
      </c>
      <c r="L153" s="82">
        <v>46143</v>
      </c>
      <c r="M153" s="61" t="str">
        <f t="shared" ref="M153:M164" si="96">TEXT(L153,"mmm")</f>
        <v>May</v>
      </c>
      <c r="N153" s="55">
        <f t="shared" ref="N153:N164" ca="1" si="97">$Y$1-R153</f>
        <v>14</v>
      </c>
      <c r="O153" s="55" t="str">
        <f t="shared" ref="O153:O164" ca="1" si="98">IF(N153&lt;=30, "0-30 days", IF(N153&lt;=60, "31-60 days", IF(N153&lt;=90, "61-90 days", "Over 90+ days")))</f>
        <v>0-30 days</v>
      </c>
      <c r="P153" t="s">
        <v>110</v>
      </c>
      <c r="Q153" s="87">
        <v>46177</v>
      </c>
      <c r="R153" s="87">
        <v>46184</v>
      </c>
      <c r="S153" t="s">
        <v>111</v>
      </c>
      <c r="T153" t="s">
        <v>975</v>
      </c>
      <c r="AB153" s="54" t="str">
        <f>VLOOKUP(T153,'[2]Query result'!$J:$K,2,0)</f>
        <v>Outstanding</v>
      </c>
    </row>
    <row r="154" spans="1:28" hidden="1">
      <c r="A154" t="s">
        <v>58</v>
      </c>
      <c r="B154" t="s">
        <v>74</v>
      </c>
      <c r="C154" s="55" t="str">
        <f>VLOOKUP(B154,Validation!A:B,2,0)</f>
        <v>USA</v>
      </c>
      <c r="D154" s="55" t="str">
        <f>VLOOKUP(B154,Validation!A:D,4,0)</f>
        <v>Tulio Lima</v>
      </c>
      <c r="E154" s="55" t="str">
        <f>VLOOKUP(B154,Validation!A:E,5,0)</f>
        <v>Michael Bermingham</v>
      </c>
      <c r="F154" s="55" t="s">
        <v>54</v>
      </c>
      <c r="G154" s="55">
        <f t="shared" si="95"/>
        <v>2026</v>
      </c>
      <c r="H154" t="s">
        <v>928</v>
      </c>
      <c r="I154" t="s">
        <v>109</v>
      </c>
      <c r="J154" s="66">
        <f>VLOOKUP(I154,'XE rates'!A:D,4,0)*K154</f>
        <v>2500</v>
      </c>
      <c r="K154" s="41">
        <v>2500</v>
      </c>
      <c r="L154" s="87">
        <v>46174</v>
      </c>
      <c r="M154" s="61" t="str">
        <f t="shared" si="96"/>
        <v>Jun</v>
      </c>
      <c r="N154" s="55">
        <f t="shared" ca="1" si="97"/>
        <v>0</v>
      </c>
      <c r="O154" s="55" t="str">
        <f t="shared" ca="1" si="98"/>
        <v>0-30 days</v>
      </c>
      <c r="P154" t="s">
        <v>991</v>
      </c>
      <c r="Q154" s="87">
        <v>46191</v>
      </c>
      <c r="R154" s="87">
        <v>46198</v>
      </c>
      <c r="S154" t="s">
        <v>151</v>
      </c>
      <c r="T154" t="s">
        <v>976</v>
      </c>
      <c r="AB154" s="54" t="str">
        <f>VLOOKUP(T154,'[2]Query result'!$J:$K,2,0)</f>
        <v>Outstanding</v>
      </c>
    </row>
    <row r="155" spans="1:28" hidden="1">
      <c r="A155" t="s">
        <v>58</v>
      </c>
      <c r="B155" t="s">
        <v>926</v>
      </c>
      <c r="C155" s="55" t="str">
        <f>VLOOKUP(B155,Validation!A:B,2,0)</f>
        <v>APAC</v>
      </c>
      <c r="D155" s="55" t="str">
        <f>VLOOKUP(B155,Validation!A:D,4,0)</f>
        <v>NA</v>
      </c>
      <c r="E155" s="55" t="str">
        <f>VLOOKUP(B155,Validation!A:E,5,0)</f>
        <v>Edward Li</v>
      </c>
      <c r="F155" s="55" t="s">
        <v>54</v>
      </c>
      <c r="G155" s="55">
        <f t="shared" si="95"/>
        <v>2026</v>
      </c>
      <c r="H155" t="s">
        <v>928</v>
      </c>
      <c r="I155" t="s">
        <v>109</v>
      </c>
      <c r="J155" s="66">
        <f>VLOOKUP(I155,'XE rates'!A:D,4,0)*K155</f>
        <v>304.5</v>
      </c>
      <c r="K155" s="41">
        <v>304.5</v>
      </c>
      <c r="L155" s="82">
        <v>46143</v>
      </c>
      <c r="M155" s="61" t="str">
        <f t="shared" si="96"/>
        <v>May</v>
      </c>
      <c r="N155" s="55">
        <f t="shared" ca="1" si="97"/>
        <v>13</v>
      </c>
      <c r="O155" s="55" t="str">
        <f t="shared" ca="1" si="98"/>
        <v>0-30 days</v>
      </c>
      <c r="P155" t="s">
        <v>110</v>
      </c>
      <c r="Q155" s="87">
        <v>46178</v>
      </c>
      <c r="R155" s="87">
        <v>46185</v>
      </c>
      <c r="S155" t="s">
        <v>111</v>
      </c>
      <c r="T155" t="s">
        <v>977</v>
      </c>
      <c r="AB155" s="54" t="str">
        <f>VLOOKUP(T155,'[2]Query result'!$J:$K,2,0)</f>
        <v>Outstanding</v>
      </c>
    </row>
    <row r="156" spans="1:28" hidden="1">
      <c r="A156" t="s">
        <v>58</v>
      </c>
      <c r="B156" t="s">
        <v>927</v>
      </c>
      <c r="C156" s="55" t="str">
        <f>VLOOKUP(B156,Validation!A:B,2,0)</f>
        <v>USA</v>
      </c>
      <c r="D156" s="55" t="str">
        <f>VLOOKUP(B156,Validation!A:D,4,0)</f>
        <v>NA</v>
      </c>
      <c r="E156" s="55" t="str">
        <f>VLOOKUP(B156,Validation!A:E,5,0)</f>
        <v>Michael Bermingham</v>
      </c>
      <c r="F156" s="55" t="s">
        <v>54</v>
      </c>
      <c r="G156" s="55">
        <f t="shared" si="95"/>
        <v>2026</v>
      </c>
      <c r="H156" t="s">
        <v>928</v>
      </c>
      <c r="I156" t="s">
        <v>109</v>
      </c>
      <c r="J156" s="66">
        <f>VLOOKUP(I156,'XE rates'!A:D,4,0)*K156</f>
        <v>1500</v>
      </c>
      <c r="K156" s="41">
        <v>1500</v>
      </c>
      <c r="L156" s="87">
        <v>46174</v>
      </c>
      <c r="M156" s="61" t="str">
        <f t="shared" si="96"/>
        <v>Jun</v>
      </c>
      <c r="N156" s="55">
        <f t="shared" ca="1" si="97"/>
        <v>10</v>
      </c>
      <c r="O156" s="55" t="str">
        <f t="shared" ca="1" si="98"/>
        <v>0-30 days</v>
      </c>
      <c r="P156" t="s">
        <v>918</v>
      </c>
      <c r="Q156" s="87">
        <v>46181</v>
      </c>
      <c r="R156" s="87">
        <v>46188</v>
      </c>
      <c r="S156" t="s">
        <v>111</v>
      </c>
      <c r="T156" t="s">
        <v>978</v>
      </c>
      <c r="AB156" s="54" t="str">
        <f>VLOOKUP(T156,'[2]Query result'!$J:$K,2,0)</f>
        <v>Outstanding</v>
      </c>
    </row>
    <row r="157" spans="1:28" hidden="1">
      <c r="A157" t="s">
        <v>58</v>
      </c>
      <c r="B157" t="s">
        <v>244</v>
      </c>
      <c r="C157" s="55" t="str">
        <f>VLOOKUP(B157,Validation!A:B,2,0)</f>
        <v>EU/UK</v>
      </c>
      <c r="D157" s="55" t="str">
        <f>VLOOKUP(B157,Validation!A:D,4,0)</f>
        <v>Sachli Zare</v>
      </c>
      <c r="E157" s="55" t="str">
        <f>VLOOKUP(B157,Validation!A:E,5,0)</f>
        <v>Danny May</v>
      </c>
      <c r="F157" s="55" t="s">
        <v>54</v>
      </c>
      <c r="G157" s="55">
        <f t="shared" si="95"/>
        <v>2026</v>
      </c>
      <c r="H157" t="s">
        <v>928</v>
      </c>
      <c r="I157" t="s">
        <v>137</v>
      </c>
      <c r="J157" s="66">
        <f>VLOOKUP(I157,'XE rates'!A:D,4,0)*K157</f>
        <v>4102.0505345115507</v>
      </c>
      <c r="K157" s="41">
        <v>3037.7</v>
      </c>
      <c r="L157" s="82">
        <v>46143</v>
      </c>
      <c r="M157" s="61" t="str">
        <f t="shared" si="96"/>
        <v>May</v>
      </c>
      <c r="N157" s="55">
        <f t="shared" ca="1" si="97"/>
        <v>9</v>
      </c>
      <c r="O157" s="55" t="str">
        <f t="shared" ca="1" si="98"/>
        <v>0-30 days</v>
      </c>
      <c r="P157" t="s">
        <v>110</v>
      </c>
      <c r="Q157" s="87">
        <v>46175</v>
      </c>
      <c r="R157" s="87">
        <v>46189</v>
      </c>
      <c r="S157" t="s">
        <v>111</v>
      </c>
      <c r="T157" t="s">
        <v>979</v>
      </c>
      <c r="AB157" s="54" t="str">
        <f>VLOOKUP(T157,'[2]Query result'!$J:$K,2,0)</f>
        <v>Outstanding</v>
      </c>
    </row>
    <row r="158" spans="1:28" hidden="1">
      <c r="A158" t="s">
        <v>58</v>
      </c>
      <c r="B158" t="s">
        <v>824</v>
      </c>
      <c r="C158" s="55" t="str">
        <f>VLOOKUP(B158,Validation!A:B,2,0)</f>
        <v>Shared Centre</v>
      </c>
      <c r="D158" s="55" t="str">
        <f>VLOOKUP(B158,Validation!A:D,4,0)</f>
        <v>Sakshi Shanbhag</v>
      </c>
      <c r="E158" s="55" t="str">
        <f>VLOOKUP(B158,Validation!A:E,5,0)</f>
        <v>Michael Bermingham</v>
      </c>
      <c r="F158" s="55" t="s">
        <v>54</v>
      </c>
      <c r="G158" s="55">
        <f t="shared" si="95"/>
        <v>2026</v>
      </c>
      <c r="H158" t="s">
        <v>928</v>
      </c>
      <c r="I158" t="s">
        <v>109</v>
      </c>
      <c r="J158" s="66">
        <f>VLOOKUP(I158,'XE rates'!A:D,4,0)*K158</f>
        <v>1505.67</v>
      </c>
      <c r="K158" s="41">
        <v>1505.67</v>
      </c>
      <c r="L158" s="82">
        <v>46143</v>
      </c>
      <c r="M158" s="61" t="str">
        <f t="shared" si="96"/>
        <v>May</v>
      </c>
      <c r="N158" s="55">
        <f t="shared" ca="1" si="97"/>
        <v>16</v>
      </c>
      <c r="O158" s="55" t="str">
        <f t="shared" ca="1" si="98"/>
        <v>0-30 days</v>
      </c>
      <c r="P158" t="s">
        <v>110</v>
      </c>
      <c r="Q158" s="87">
        <v>46175</v>
      </c>
      <c r="R158" s="87">
        <v>46182</v>
      </c>
      <c r="S158" t="s">
        <v>111</v>
      </c>
      <c r="T158" t="s">
        <v>980</v>
      </c>
      <c r="AB158" s="54" t="str">
        <f>VLOOKUP(T158,'[2]Query result'!$J:$K,2,0)</f>
        <v>Outstanding</v>
      </c>
    </row>
    <row r="159" spans="1:28" hidden="1">
      <c r="A159" t="s">
        <v>58</v>
      </c>
      <c r="B159" t="s">
        <v>802</v>
      </c>
      <c r="C159" s="55" t="str">
        <f>VLOOKUP(B159,Validation!A:B,2,0)</f>
        <v>APAC</v>
      </c>
      <c r="D159" s="55" t="str">
        <f>VLOOKUP(B159,Validation!A:D,4,0)</f>
        <v>XiaoXiao</v>
      </c>
      <c r="E159" s="55" t="str">
        <f>VLOOKUP(B159,Validation!A:E,5,0)</f>
        <v>Gitesh Athavale</v>
      </c>
      <c r="F159" s="55" t="s">
        <v>54</v>
      </c>
      <c r="G159" s="55">
        <f t="shared" si="95"/>
        <v>2026</v>
      </c>
      <c r="H159" t="s">
        <v>928</v>
      </c>
      <c r="I159" t="s">
        <v>109</v>
      </c>
      <c r="J159" s="66">
        <f>VLOOKUP(I159,'XE rates'!A:D,4,0)*K159</f>
        <v>7924.32809</v>
      </c>
      <c r="K159" s="41">
        <v>7924.32809</v>
      </c>
      <c r="L159" s="87">
        <v>46174</v>
      </c>
      <c r="M159" s="61" t="str">
        <f t="shared" si="96"/>
        <v>Jun</v>
      </c>
      <c r="N159" s="55">
        <f t="shared" ca="1" si="97"/>
        <v>7</v>
      </c>
      <c r="O159" s="55" t="str">
        <f t="shared" ca="1" si="98"/>
        <v>0-30 days</v>
      </c>
      <c r="P159" t="s">
        <v>992</v>
      </c>
      <c r="Q159" s="87">
        <v>46177</v>
      </c>
      <c r="R159" s="87">
        <v>46191</v>
      </c>
      <c r="S159" t="s">
        <v>111</v>
      </c>
      <c r="T159" t="s">
        <v>981</v>
      </c>
      <c r="AB159" s="54" t="str">
        <f>VLOOKUP(T159,'[2]Query result'!$J:$K,2,0)</f>
        <v>Outstanding</v>
      </c>
    </row>
    <row r="160" spans="1:28" hidden="1">
      <c r="A160" t="s">
        <v>58</v>
      </c>
      <c r="B160" t="s">
        <v>802</v>
      </c>
      <c r="C160" s="55" t="str">
        <f>VLOOKUP(B160,Validation!A:B,2,0)</f>
        <v>APAC</v>
      </c>
      <c r="D160" s="55" t="str">
        <f>VLOOKUP(B160,Validation!A:D,4,0)</f>
        <v>XiaoXiao</v>
      </c>
      <c r="E160" s="55" t="str">
        <f>VLOOKUP(B160,Validation!A:E,5,0)</f>
        <v>Gitesh Athavale</v>
      </c>
      <c r="F160" s="55" t="s">
        <v>54</v>
      </c>
      <c r="G160" s="55">
        <f t="shared" si="95"/>
        <v>2026</v>
      </c>
      <c r="H160" t="s">
        <v>928</v>
      </c>
      <c r="I160" t="s">
        <v>109</v>
      </c>
      <c r="J160" s="66">
        <f>VLOOKUP(I160,'XE rates'!A:D,4,0)*K160</f>
        <v>26670.12384</v>
      </c>
      <c r="K160" s="41">
        <v>26670.12384</v>
      </c>
      <c r="L160" s="87">
        <v>46174</v>
      </c>
      <c r="M160" s="61" t="str">
        <f t="shared" si="96"/>
        <v>Jun</v>
      </c>
      <c r="N160" s="55">
        <f t="shared" ca="1" si="97"/>
        <v>7</v>
      </c>
      <c r="O160" s="55" t="str">
        <f t="shared" ca="1" si="98"/>
        <v>0-30 days</v>
      </c>
      <c r="P160" t="s">
        <v>992</v>
      </c>
      <c r="Q160" s="87">
        <v>46184</v>
      </c>
      <c r="R160" s="87">
        <v>46191</v>
      </c>
      <c r="S160" t="s">
        <v>111</v>
      </c>
      <c r="T160" t="s">
        <v>982</v>
      </c>
      <c r="AB160" s="54" t="str">
        <f>VLOOKUP(T160,'[2]Query result'!$J:$K,2,0)</f>
        <v>Outstanding</v>
      </c>
    </row>
    <row r="161" spans="1:28" hidden="1">
      <c r="A161" t="s">
        <v>58</v>
      </c>
      <c r="B161" t="s">
        <v>26</v>
      </c>
      <c r="C161" s="55" t="str">
        <f>VLOOKUP(B161,Validation!A:B,2,0)</f>
        <v>APAC</v>
      </c>
      <c r="D161" s="55" t="str">
        <f>VLOOKUP(B161,Validation!A:D,4,0)</f>
        <v>XiaoXiao</v>
      </c>
      <c r="E161" s="55" t="str">
        <f>VLOOKUP(B161,Validation!A:E,5,0)</f>
        <v>Gitesh Athavale</v>
      </c>
      <c r="F161" s="55" t="s">
        <v>54</v>
      </c>
      <c r="G161" s="55">
        <f t="shared" si="95"/>
        <v>2026</v>
      </c>
      <c r="H161" t="s">
        <v>928</v>
      </c>
      <c r="I161" t="s">
        <v>109</v>
      </c>
      <c r="J161" s="66">
        <f>VLOOKUP(I161,'XE rates'!A:D,4,0)*K161</f>
        <v>-3325.1822000000029</v>
      </c>
      <c r="K161" s="41">
        <v>-3325.1822000000029</v>
      </c>
      <c r="L161" s="82">
        <v>46143</v>
      </c>
      <c r="M161" s="61" t="str">
        <f t="shared" si="96"/>
        <v>May</v>
      </c>
      <c r="N161" s="55">
        <f t="shared" ca="1" si="97"/>
        <v>14</v>
      </c>
      <c r="O161" s="55" t="str">
        <f t="shared" ca="1" si="98"/>
        <v>0-30 days</v>
      </c>
      <c r="P161" t="s">
        <v>110</v>
      </c>
      <c r="Q161" s="87">
        <v>46177</v>
      </c>
      <c r="R161" s="87">
        <v>46184</v>
      </c>
      <c r="S161" t="s">
        <v>111</v>
      </c>
      <c r="T161" t="s">
        <v>983</v>
      </c>
      <c r="AB161" s="54" t="str">
        <f>VLOOKUP(T161,'[2]Query result'!$J:$K,2,0)</f>
        <v>Outstanding</v>
      </c>
    </row>
    <row r="162" spans="1:28" hidden="1">
      <c r="A162" t="s">
        <v>58</v>
      </c>
      <c r="B162" t="s">
        <v>195</v>
      </c>
      <c r="C162" s="55" t="str">
        <f>VLOOKUP(B162,Validation!A:B,2,0)</f>
        <v>APAC</v>
      </c>
      <c r="D162" s="55" t="str">
        <f>VLOOKUP(B162,Validation!A:D,4,0)</f>
        <v>Hao Nguyen</v>
      </c>
      <c r="E162" s="55" t="str">
        <f>VLOOKUP(B162,Validation!A:E,5,0)</f>
        <v>Vinoth M</v>
      </c>
      <c r="F162" s="55" t="s">
        <v>54</v>
      </c>
      <c r="G162" s="55">
        <f t="shared" si="95"/>
        <v>2026</v>
      </c>
      <c r="H162" t="s">
        <v>928</v>
      </c>
      <c r="I162" t="s">
        <v>123</v>
      </c>
      <c r="J162" s="66">
        <f>VLOOKUP(I162,'XE rates'!A:D,4,0)*K162</f>
        <v>5553.4330177837055</v>
      </c>
      <c r="K162" s="41">
        <v>7755</v>
      </c>
      <c r="L162" s="87">
        <v>46174</v>
      </c>
      <c r="M162" s="61" t="str">
        <f t="shared" si="96"/>
        <v>Jun</v>
      </c>
      <c r="N162" s="55">
        <f t="shared" ca="1" si="97"/>
        <v>1</v>
      </c>
      <c r="O162" s="55" t="str">
        <f t="shared" ca="1" si="98"/>
        <v>0-30 days</v>
      </c>
      <c r="P162" t="s">
        <v>918</v>
      </c>
      <c r="Q162" s="87">
        <v>46190</v>
      </c>
      <c r="R162" s="87">
        <v>46197</v>
      </c>
      <c r="S162" t="s">
        <v>151</v>
      </c>
      <c r="T162" t="s">
        <v>984</v>
      </c>
      <c r="AB162" s="54" t="str">
        <f>VLOOKUP(T162,'[2]Query result'!$J:$K,2,0)</f>
        <v>Outstanding</v>
      </c>
    </row>
    <row r="163" spans="1:28" hidden="1">
      <c r="A163" t="s">
        <v>58</v>
      </c>
      <c r="B163" t="s">
        <v>57</v>
      </c>
      <c r="C163" s="55" t="str">
        <f>VLOOKUP(B163,Validation!A:B,2,0)</f>
        <v>Shared Centre</v>
      </c>
      <c r="D163" s="55" t="str">
        <f>VLOOKUP(B163,Validation!A:D,4,0)</f>
        <v>Bhavani/Sanat</v>
      </c>
      <c r="E163" s="55" t="str">
        <f>VLOOKUP(B163,Validation!A:E,5,0)</f>
        <v>Andrew Gyenis</v>
      </c>
      <c r="F163" s="55" t="s">
        <v>54</v>
      </c>
      <c r="G163" s="55">
        <f t="shared" si="95"/>
        <v>2026</v>
      </c>
      <c r="H163" t="s">
        <v>928</v>
      </c>
      <c r="I163" t="s">
        <v>109</v>
      </c>
      <c r="J163" s="66">
        <f>VLOOKUP(I163,'XE rates'!A:D,4,0)*K163</f>
        <v>2500.31</v>
      </c>
      <c r="K163" s="41">
        <v>2500.31</v>
      </c>
      <c r="L163" s="82">
        <v>46143</v>
      </c>
      <c r="M163" s="61" t="str">
        <f t="shared" si="96"/>
        <v>May</v>
      </c>
      <c r="N163" s="55">
        <f t="shared" ca="1" si="97"/>
        <v>-5</v>
      </c>
      <c r="O163" s="55" t="str">
        <f t="shared" ca="1" si="98"/>
        <v>0-30 days</v>
      </c>
      <c r="P163" t="s">
        <v>110</v>
      </c>
      <c r="Q163" s="87">
        <v>46174</v>
      </c>
      <c r="R163" s="87">
        <v>46203</v>
      </c>
      <c r="S163" t="s">
        <v>151</v>
      </c>
      <c r="T163" t="s">
        <v>985</v>
      </c>
      <c r="AB163" s="54" t="str">
        <f>VLOOKUP(T163,'[2]Query result'!$J:$K,2,0)</f>
        <v>Invoice Sent</v>
      </c>
    </row>
    <row r="164" spans="1:28" hidden="1">
      <c r="A164" t="s">
        <v>58</v>
      </c>
      <c r="B164" t="s">
        <v>60</v>
      </c>
      <c r="C164" s="55" t="str">
        <f>VLOOKUP(B164,Validation!A:B,2,0)</f>
        <v>Shared Centre</v>
      </c>
      <c r="D164" s="55" t="str">
        <f>VLOOKUP(B164,Validation!A:D,4,0)</f>
        <v>NA</v>
      </c>
      <c r="E164" s="55" t="str">
        <f>VLOOKUP(B164,Validation!A:E,5,0)</f>
        <v>Tyler Reed</v>
      </c>
      <c r="F164" s="55" t="s">
        <v>54</v>
      </c>
      <c r="G164" s="55">
        <f t="shared" si="95"/>
        <v>2026</v>
      </c>
      <c r="H164" t="s">
        <v>928</v>
      </c>
      <c r="I164" t="s">
        <v>109</v>
      </c>
      <c r="J164" s="66">
        <f>VLOOKUP(I164,'XE rates'!A:D,4,0)*K164</f>
        <v>503.5</v>
      </c>
      <c r="K164" s="41">
        <v>503.5</v>
      </c>
      <c r="L164" s="82">
        <v>46143</v>
      </c>
      <c r="M164" s="61" t="str">
        <f t="shared" si="96"/>
        <v>May</v>
      </c>
      <c r="N164" s="55">
        <f t="shared" ca="1" si="97"/>
        <v>14</v>
      </c>
      <c r="O164" s="55" t="str">
        <f t="shared" ca="1" si="98"/>
        <v>0-30 days</v>
      </c>
      <c r="P164" t="s">
        <v>110</v>
      </c>
      <c r="Q164" s="87">
        <v>46177</v>
      </c>
      <c r="R164" s="87">
        <v>46184</v>
      </c>
      <c r="S164" t="s">
        <v>111</v>
      </c>
      <c r="T164" t="s">
        <v>986</v>
      </c>
      <c r="AB164" s="54" t="str">
        <f>VLOOKUP(T164,'[2]Query result'!$J:$K,2,0)</f>
        <v>Outstanding</v>
      </c>
    </row>
  </sheetData>
  <autoFilter ref="A1:AB164" xr:uid="{D6B92A82-F0E8-4346-B54C-8E5D5C11883E}">
    <filterColumn colId="1">
      <filters>
        <filter val="Mizzen Digital DMCC"/>
      </filters>
    </filterColumn>
  </autoFilter>
  <conditionalFormatting sqref="T1:T1048576">
    <cfRule type="duplicateValues" dxfId="3"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6"/>
  <sheetViews>
    <sheetView zoomScale="85" zoomScaleNormal="85" workbookViewId="0">
      <selection activeCell="J3" sqref="J3:J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57" t="s">
        <v>42</v>
      </c>
      <c r="B1" s="57" t="s">
        <v>17</v>
      </c>
      <c r="C1" s="57" t="s">
        <v>14</v>
      </c>
      <c r="D1" s="57" t="s">
        <v>18</v>
      </c>
      <c r="E1" s="57" t="s">
        <v>19</v>
      </c>
      <c r="F1" s="57" t="s">
        <v>44</v>
      </c>
      <c r="G1" s="57" t="s">
        <v>46</v>
      </c>
      <c r="H1" s="57" t="s">
        <v>43</v>
      </c>
      <c r="I1" s="57" t="s">
        <v>94</v>
      </c>
      <c r="J1" s="83" t="s">
        <v>95</v>
      </c>
      <c r="K1" s="83" t="s">
        <v>96</v>
      </c>
      <c r="L1" s="58" t="s">
        <v>97</v>
      </c>
      <c r="M1" s="59" t="s">
        <v>41</v>
      </c>
      <c r="N1" s="57" t="s">
        <v>98</v>
      </c>
      <c r="O1" s="57" t="s">
        <v>99</v>
      </c>
      <c r="P1" s="57" t="s">
        <v>100</v>
      </c>
      <c r="Q1" s="58" t="s">
        <v>101</v>
      </c>
      <c r="R1" s="58" t="s">
        <v>102</v>
      </c>
      <c r="S1" s="57" t="s">
        <v>103</v>
      </c>
      <c r="T1" s="58" t="s">
        <v>104</v>
      </c>
      <c r="U1" s="58" t="s">
        <v>105</v>
      </c>
      <c r="V1" s="58" t="s">
        <v>106</v>
      </c>
      <c r="W1" s="58" t="s">
        <v>45</v>
      </c>
      <c r="X1" s="58" t="s">
        <v>107</v>
      </c>
      <c r="Y1" s="1"/>
    </row>
    <row r="2" spans="1:25">
      <c r="A2" s="55" t="s">
        <v>58</v>
      </c>
      <c r="B2" s="55" t="s">
        <v>21</v>
      </c>
      <c r="C2" s="55" t="s">
        <v>11</v>
      </c>
      <c r="D2" s="55" t="s">
        <v>22</v>
      </c>
      <c r="E2" s="55" t="s">
        <v>23</v>
      </c>
      <c r="F2" s="55" t="s">
        <v>54</v>
      </c>
      <c r="G2" s="55">
        <v>2025</v>
      </c>
      <c r="H2" s="55" t="s">
        <v>53</v>
      </c>
      <c r="I2" s="55" t="s">
        <v>109</v>
      </c>
      <c r="J2" s="84">
        <v>-48</v>
      </c>
      <c r="K2" s="85">
        <v>-48</v>
      </c>
      <c r="L2" s="60">
        <v>45870</v>
      </c>
      <c r="M2" s="61" t="s">
        <v>50</v>
      </c>
      <c r="N2" s="55">
        <v>261</v>
      </c>
      <c r="O2" s="55" t="s">
        <v>7</v>
      </c>
      <c r="P2" s="55" t="s">
        <v>213</v>
      </c>
      <c r="Q2" s="60">
        <v>45903</v>
      </c>
      <c r="R2" s="60">
        <v>45910</v>
      </c>
      <c r="S2" s="55" t="s">
        <v>124</v>
      </c>
      <c r="T2" s="55" t="s">
        <v>214</v>
      </c>
      <c r="U2" s="55" t="s">
        <v>113</v>
      </c>
      <c r="V2" s="55" t="s">
        <v>121</v>
      </c>
      <c r="W2" s="55" t="s">
        <v>161</v>
      </c>
      <c r="X2" s="55"/>
      <c r="Y2" s="34">
        <v>0</v>
      </c>
    </row>
    <row r="3" spans="1:25">
      <c r="A3" s="55" t="s">
        <v>58</v>
      </c>
      <c r="B3" s="55" t="s">
        <v>31</v>
      </c>
      <c r="C3" s="55" t="s">
        <v>10</v>
      </c>
      <c r="D3" s="55" t="s">
        <v>32</v>
      </c>
      <c r="E3" s="55" t="s">
        <v>33</v>
      </c>
      <c r="F3" s="55" t="s">
        <v>54</v>
      </c>
      <c r="G3" s="55">
        <v>2026</v>
      </c>
      <c r="H3" s="55" t="s">
        <v>53</v>
      </c>
      <c r="I3" s="55" t="s">
        <v>109</v>
      </c>
      <c r="J3" s="84">
        <v>-152.90999999999985</v>
      </c>
      <c r="K3" s="85">
        <v>-152.90999999999985</v>
      </c>
      <c r="L3" s="60">
        <v>46023</v>
      </c>
      <c r="M3" s="61" t="s">
        <v>47</v>
      </c>
      <c r="N3" s="55">
        <v>108</v>
      </c>
      <c r="O3" s="55" t="s">
        <v>7</v>
      </c>
      <c r="P3" s="55" t="s">
        <v>110</v>
      </c>
      <c r="Q3" s="60">
        <v>46056</v>
      </c>
      <c r="R3" s="60">
        <v>46063</v>
      </c>
      <c r="S3" s="55" t="s">
        <v>111</v>
      </c>
      <c r="T3" s="55" t="s">
        <v>231</v>
      </c>
      <c r="U3" s="55" t="s">
        <v>113</v>
      </c>
      <c r="V3" s="55" t="s">
        <v>121</v>
      </c>
      <c r="W3" s="55" t="s">
        <v>62</v>
      </c>
      <c r="X3" s="55"/>
      <c r="Y3" s="34">
        <v>40</v>
      </c>
    </row>
    <row r="4" spans="1:25">
      <c r="A4" s="1" t="s">
        <v>52</v>
      </c>
      <c r="B4" s="1" t="s">
        <v>34</v>
      </c>
      <c r="C4" s="55" t="s">
        <v>10</v>
      </c>
      <c r="D4" s="55" t="s">
        <v>35</v>
      </c>
      <c r="E4" s="55" t="s">
        <v>36</v>
      </c>
      <c r="F4" s="55" t="s">
        <v>54</v>
      </c>
      <c r="G4" s="55">
        <v>2026</v>
      </c>
      <c r="H4" s="1" t="s">
        <v>53</v>
      </c>
      <c r="I4" s="1" t="s">
        <v>109</v>
      </c>
      <c r="J4" s="84">
        <v>-3310.7</v>
      </c>
      <c r="K4" s="85">
        <v>-3310.7</v>
      </c>
      <c r="L4" s="60">
        <v>46113</v>
      </c>
      <c r="M4" s="61" t="s">
        <v>874</v>
      </c>
      <c r="N4" s="55">
        <v>-9</v>
      </c>
      <c r="O4" s="55" t="s">
        <v>4</v>
      </c>
      <c r="P4" s="1" t="s">
        <v>907</v>
      </c>
      <c r="Q4" s="81">
        <v>46149</v>
      </c>
      <c r="R4" s="81">
        <v>46180</v>
      </c>
      <c r="S4" s="1" t="s">
        <v>151</v>
      </c>
      <c r="T4" s="1" t="s">
        <v>885</v>
      </c>
      <c r="U4" s="1"/>
      <c r="V4" s="1"/>
      <c r="W4" s="28"/>
      <c r="X4" s="1"/>
      <c r="Y4" s="34">
        <v>0</v>
      </c>
    </row>
    <row r="5" spans="1:25">
      <c r="A5" s="1" t="s">
        <v>58</v>
      </c>
      <c r="B5" s="1" t="s">
        <v>29</v>
      </c>
      <c r="C5" s="55" t="s">
        <v>12</v>
      </c>
      <c r="D5" s="55" t="s">
        <v>30</v>
      </c>
      <c r="E5" s="55" t="s">
        <v>28</v>
      </c>
      <c r="F5" s="55" t="s">
        <v>54</v>
      </c>
      <c r="G5" s="55">
        <v>2026</v>
      </c>
      <c r="H5" s="1" t="s">
        <v>53</v>
      </c>
      <c r="I5" s="1" t="s">
        <v>191</v>
      </c>
      <c r="J5" s="84">
        <v>-1826.2714293601748</v>
      </c>
      <c r="K5" s="85">
        <v>-2328.8115700000199</v>
      </c>
      <c r="L5" s="60">
        <v>46113</v>
      </c>
      <c r="M5" s="61" t="s">
        <v>874</v>
      </c>
      <c r="N5" s="55">
        <v>-23</v>
      </c>
      <c r="O5" s="55" t="s">
        <v>4</v>
      </c>
      <c r="P5" s="1" t="s">
        <v>110</v>
      </c>
      <c r="Q5" s="81">
        <v>46164</v>
      </c>
      <c r="R5" s="81">
        <v>46194</v>
      </c>
      <c r="S5" s="1" t="s">
        <v>151</v>
      </c>
      <c r="T5" s="1" t="s">
        <v>910</v>
      </c>
      <c r="U5" s="1"/>
      <c r="V5" s="1"/>
      <c r="W5" s="28"/>
      <c r="X5" s="1"/>
      <c r="Y5" s="1"/>
    </row>
    <row r="6" spans="1:25">
      <c r="I6" s="79" t="s">
        <v>40</v>
      </c>
      <c r="J6" s="86">
        <f>SUM(J2:J5)</f>
        <v>-5337.8814293601745</v>
      </c>
    </row>
  </sheetData>
  <autoFilter ref="A1:Y5" xr:uid="{7E3643C1-7E3B-42D8-98D4-D10A6523B3D9}"/>
  <conditionalFormatting sqref="T1">
    <cfRule type="duplicateValues" dxfId="2" priority="4"/>
  </conditionalFormatting>
  <conditionalFormatting sqref="T2:T3">
    <cfRule type="duplicateValues" dxfId="1" priority="2"/>
  </conditionalFormatting>
  <conditionalFormatting sqref="T4:T5">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94</v>
      </c>
      <c r="B1" s="23" t="s">
        <v>247</v>
      </c>
      <c r="C1" s="23" t="s">
        <v>248</v>
      </c>
      <c r="D1" s="24" t="s">
        <v>249</v>
      </c>
    </row>
    <row r="2" spans="1:4" ht="15" thickBot="1">
      <c r="A2" s="16" t="s">
        <v>109</v>
      </c>
      <c r="B2" s="25" t="s">
        <v>250</v>
      </c>
      <c r="C2" s="25">
        <v>1</v>
      </c>
      <c r="D2" s="26">
        <v>1</v>
      </c>
    </row>
    <row r="3" spans="1:4" ht="15" thickBot="1">
      <c r="A3" s="16" t="s">
        <v>177</v>
      </c>
      <c r="B3" s="25" t="s">
        <v>251</v>
      </c>
      <c r="C3" s="25">
        <v>0.85367958333208105</v>
      </c>
      <c r="D3" s="26">
        <v>1.1713996908498101</v>
      </c>
    </row>
    <row r="4" spans="1:4" ht="15" thickBot="1">
      <c r="A4" s="16" t="s">
        <v>137</v>
      </c>
      <c r="B4" s="25" t="s">
        <v>252</v>
      </c>
      <c r="C4" s="25">
        <v>0.740532076443984</v>
      </c>
      <c r="D4" s="26">
        <v>1.35038039783769</v>
      </c>
    </row>
    <row r="5" spans="1:4" ht="15" thickBot="1">
      <c r="A5" s="16" t="s">
        <v>253</v>
      </c>
      <c r="B5" s="25" t="s">
        <v>254</v>
      </c>
      <c r="C5" s="25">
        <v>93.7949257044002</v>
      </c>
      <c r="D5" s="26">
        <v>1.06615575681732E-2</v>
      </c>
    </row>
    <row r="6" spans="1:4" ht="15" thickBot="1">
      <c r="A6" s="16" t="s">
        <v>123</v>
      </c>
      <c r="B6" s="25" t="s">
        <v>255</v>
      </c>
      <c r="C6" s="25">
        <v>1.39643351691939</v>
      </c>
      <c r="D6" s="26">
        <v>0.71610999584573898</v>
      </c>
    </row>
    <row r="7" spans="1:4" ht="15" thickBot="1">
      <c r="A7" s="16" t="s">
        <v>187</v>
      </c>
      <c r="B7" s="25" t="s">
        <v>256</v>
      </c>
      <c r="C7" s="25">
        <v>1.36604421602125</v>
      </c>
      <c r="D7" s="26">
        <v>0.73204072626038497</v>
      </c>
    </row>
    <row r="8" spans="1:4" ht="15" thickBot="1">
      <c r="A8" s="16" t="s">
        <v>191</v>
      </c>
      <c r="B8" s="25" t="s">
        <v>257</v>
      </c>
      <c r="C8" s="25">
        <v>1.2751727550246501</v>
      </c>
      <c r="D8" s="26">
        <v>0.78420746997583801</v>
      </c>
    </row>
    <row r="9" spans="1:4" ht="15" thickBot="1">
      <c r="A9" s="16" t="s">
        <v>258</v>
      </c>
      <c r="B9" s="25" t="s">
        <v>259</v>
      </c>
      <c r="C9" s="25">
        <v>0.78346997223432302</v>
      </c>
      <c r="D9" s="26">
        <v>1.2763731035513299</v>
      </c>
    </row>
    <row r="10" spans="1:4" ht="15" thickBot="1">
      <c r="A10" s="16" t="s">
        <v>260</v>
      </c>
      <c r="B10" s="25" t="s">
        <v>261</v>
      </c>
      <c r="C10" s="25">
        <v>3.9522849356108001</v>
      </c>
      <c r="D10" s="26">
        <v>0.25301819486490401</v>
      </c>
    </row>
    <row r="11" spans="1:4" ht="15" thickBot="1">
      <c r="A11" s="16" t="s">
        <v>262</v>
      </c>
      <c r="B11" s="25" t="s">
        <v>263</v>
      </c>
      <c r="C11" s="25">
        <v>159.49497998371299</v>
      </c>
      <c r="D11" s="26">
        <v>6.2697898084448297E-3</v>
      </c>
    </row>
    <row r="12" spans="1:4" ht="15" thickBot="1">
      <c r="A12" s="16" t="s">
        <v>264</v>
      </c>
      <c r="B12" s="25" t="s">
        <v>265</v>
      </c>
      <c r="C12" s="25">
        <v>6.8273111385963103</v>
      </c>
      <c r="D12" s="26">
        <v>0.146470547438035</v>
      </c>
    </row>
    <row r="13" spans="1:4" ht="15" thickBot="1">
      <c r="A13" s="16" t="s">
        <v>266</v>
      </c>
      <c r="B13" s="25" t="s">
        <v>267</v>
      </c>
      <c r="C13" s="25">
        <v>1.69232337325065</v>
      </c>
      <c r="D13" s="26">
        <v>0.59090361558924398</v>
      </c>
    </row>
    <row r="14" spans="1:4" ht="15" thickBot="1">
      <c r="A14" s="16" t="s">
        <v>268</v>
      </c>
      <c r="B14" s="25" t="s">
        <v>269</v>
      </c>
      <c r="C14" s="25">
        <v>32.265226423403298</v>
      </c>
      <c r="D14" s="26">
        <v>3.0993118934837399E-2</v>
      </c>
    </row>
    <row r="15" spans="1:4" ht="15" thickBot="1">
      <c r="A15" s="16" t="s">
        <v>270</v>
      </c>
      <c r="B15" s="25" t="s">
        <v>271</v>
      </c>
      <c r="C15" s="25">
        <v>311.53020055116701</v>
      </c>
      <c r="D15" s="26">
        <v>3.2099616609586202E-3</v>
      </c>
    </row>
    <row r="16" spans="1:4" ht="15" thickBot="1">
      <c r="A16" s="16" t="s">
        <v>272</v>
      </c>
      <c r="B16" s="25" t="s">
        <v>273</v>
      </c>
      <c r="C16" s="25">
        <v>3.6724999999999999</v>
      </c>
      <c r="D16" s="26">
        <v>0.27229407760381202</v>
      </c>
    </row>
    <row r="17" spans="1:4" ht="15" thickBot="1">
      <c r="A17" s="16" t="s">
        <v>274</v>
      </c>
      <c r="B17" s="25" t="s">
        <v>275</v>
      </c>
      <c r="C17" s="25">
        <v>7.8330344519885102</v>
      </c>
      <c r="D17" s="26">
        <v>0.127664445513339</v>
      </c>
    </row>
    <row r="18" spans="1:4" ht="15" thickBot="1">
      <c r="A18" s="16" t="s">
        <v>276</v>
      </c>
      <c r="B18" s="25" t="s">
        <v>277</v>
      </c>
      <c r="C18" s="25">
        <v>17.330155723074999</v>
      </c>
      <c r="D18" s="26">
        <v>5.7702885997065897E-2</v>
      </c>
    </row>
    <row r="19" spans="1:4" ht="15" thickBot="1">
      <c r="A19" s="16" t="s">
        <v>278</v>
      </c>
      <c r="B19" s="25" t="s">
        <v>279</v>
      </c>
      <c r="C19" s="25">
        <v>16.476702374365601</v>
      </c>
      <c r="D19" s="26">
        <v>6.0691755988491497E-2</v>
      </c>
    </row>
    <row r="20" spans="1:4" ht="15" thickBot="1">
      <c r="A20" s="16" t="s">
        <v>280</v>
      </c>
      <c r="B20" s="25" t="s">
        <v>281</v>
      </c>
      <c r="C20" s="25">
        <v>60.178034152970397</v>
      </c>
      <c r="D20" s="26">
        <v>1.6617359042637302E-2</v>
      </c>
    </row>
    <row r="21" spans="1:4" ht="15" thickBot="1">
      <c r="A21" s="16" t="s">
        <v>282</v>
      </c>
      <c r="B21" s="25" t="s">
        <v>283</v>
      </c>
      <c r="C21" s="25">
        <v>9.1998717788733106</v>
      </c>
      <c r="D21" s="26">
        <v>0.108697167094916</v>
      </c>
    </row>
    <row r="22" spans="1:4" ht="15" thickBot="1">
      <c r="A22" s="16" t="s">
        <v>135</v>
      </c>
      <c r="B22" s="25" t="s">
        <v>284</v>
      </c>
      <c r="C22" s="25">
        <v>17215.503192497901</v>
      </c>
      <c r="D22" s="26">
        <v>5.8087178098620502E-5</v>
      </c>
    </row>
    <row r="23" spans="1:4" ht="15" thickBot="1">
      <c r="A23" s="16" t="s">
        <v>285</v>
      </c>
      <c r="B23" s="25" t="s">
        <v>286</v>
      </c>
      <c r="C23" s="25">
        <v>4.97020407455285</v>
      </c>
      <c r="D23" s="26">
        <v>0.20119898197338401</v>
      </c>
    </row>
    <row r="24" spans="1:4" ht="15" thickBot="1">
      <c r="A24" s="16" t="s">
        <v>287</v>
      </c>
      <c r="B24" s="25" t="s">
        <v>288</v>
      </c>
      <c r="C24" s="25">
        <v>3.75</v>
      </c>
      <c r="D24" s="26">
        <v>0.266666666666666</v>
      </c>
    </row>
    <row r="25" spans="1:4" ht="15" thickBot="1">
      <c r="A25" s="16" t="s">
        <v>289</v>
      </c>
      <c r="B25" s="25" t="s">
        <v>290</v>
      </c>
      <c r="C25" s="25">
        <v>44.9253238761369</v>
      </c>
      <c r="D25" s="26">
        <v>2.22591606185653E-2</v>
      </c>
    </row>
    <row r="26" spans="1:4" ht="15" thickBot="1">
      <c r="A26" s="16" t="s">
        <v>291</v>
      </c>
      <c r="B26" s="25" t="s">
        <v>292</v>
      </c>
      <c r="C26" s="25">
        <v>129.13910276610599</v>
      </c>
      <c r="D26" s="26">
        <v>7.7435879495862201E-3</v>
      </c>
    </row>
    <row r="27" spans="1:4" ht="15" thickBot="1">
      <c r="A27" s="16" t="s">
        <v>293</v>
      </c>
      <c r="B27" s="25" t="s">
        <v>294</v>
      </c>
      <c r="C27" s="25">
        <v>1480.72809590319</v>
      </c>
      <c r="D27" s="26">
        <v>6.7534343595339796E-4</v>
      </c>
    </row>
    <row r="28" spans="1:4" ht="15" thickBot="1">
      <c r="A28" s="16" t="s">
        <v>295</v>
      </c>
      <c r="B28" s="25" t="s">
        <v>296</v>
      </c>
      <c r="C28" s="25">
        <v>52.0104929406168</v>
      </c>
      <c r="D28" s="26">
        <v>1.9226889488276E-2</v>
      </c>
    </row>
    <row r="29" spans="1:4" ht="15" thickBot="1">
      <c r="A29" s="16" t="s">
        <v>297</v>
      </c>
      <c r="B29" s="25" t="s">
        <v>298</v>
      </c>
      <c r="C29" s="25">
        <v>1310.17741760638</v>
      </c>
      <c r="D29" s="26">
        <v>7.6325540843692502E-4</v>
      </c>
    </row>
    <row r="30" spans="1:4" ht="15" thickBot="1">
      <c r="A30" s="16" t="s">
        <v>299</v>
      </c>
      <c r="B30" s="25" t="s">
        <v>300</v>
      </c>
      <c r="C30" s="25">
        <v>9.3014683613889293</v>
      </c>
      <c r="D30" s="26">
        <v>0.107509907161655</v>
      </c>
    </row>
    <row r="31" spans="1:4" ht="15" thickBot="1">
      <c r="A31" s="16" t="s">
        <v>301</v>
      </c>
      <c r="B31" s="25" t="s">
        <v>302</v>
      </c>
      <c r="C31" s="25">
        <v>0.307922101236066</v>
      </c>
      <c r="D31" s="26">
        <v>3.2475746170404101</v>
      </c>
    </row>
    <row r="32" spans="1:4" ht="15" thickBot="1">
      <c r="A32" s="16" t="s">
        <v>303</v>
      </c>
      <c r="B32" s="25" t="s">
        <v>304</v>
      </c>
      <c r="C32" s="25">
        <v>75.091307200459497</v>
      </c>
      <c r="D32" s="26">
        <v>1.33171206799004E-2</v>
      </c>
    </row>
    <row r="33" spans="1:4" ht="15" thickBot="1">
      <c r="A33" s="16" t="s">
        <v>305</v>
      </c>
      <c r="B33" s="25" t="s">
        <v>306</v>
      </c>
      <c r="C33" s="25">
        <v>6.3796695383127799</v>
      </c>
      <c r="D33" s="26">
        <v>0.15674793090685099</v>
      </c>
    </row>
    <row r="34" spans="1:4" ht="15" thickBot="1">
      <c r="A34" s="16" t="s">
        <v>307</v>
      </c>
      <c r="B34" s="25" t="s">
        <v>308</v>
      </c>
      <c r="C34" s="25">
        <v>278.86154843315398</v>
      </c>
      <c r="D34" s="26">
        <v>3.5860089195470699E-3</v>
      </c>
    </row>
    <row r="35" spans="1:4" ht="15" thickBot="1">
      <c r="A35" s="16" t="s">
        <v>309</v>
      </c>
      <c r="B35" s="25" t="s">
        <v>310</v>
      </c>
      <c r="C35" s="25">
        <v>2.9995918014437501</v>
      </c>
      <c r="D35" s="26">
        <v>0.33337869490064698</v>
      </c>
    </row>
    <row r="36" spans="1:4" ht="15" thickBot="1">
      <c r="A36" s="16" t="s">
        <v>311</v>
      </c>
      <c r="B36" s="25" t="s">
        <v>312</v>
      </c>
      <c r="C36" s="25">
        <v>3.6239180937673798</v>
      </c>
      <c r="D36" s="26">
        <v>0.27594442648134199</v>
      </c>
    </row>
    <row r="37" spans="1:4" ht="15" thickBot="1">
      <c r="A37" s="16" t="s">
        <v>313</v>
      </c>
      <c r="B37" s="25" t="s">
        <v>314</v>
      </c>
      <c r="C37" s="25">
        <v>3.64</v>
      </c>
      <c r="D37" s="26">
        <v>0.27472527472527403</v>
      </c>
    </row>
    <row r="38" spans="1:4" ht="15" thickBot="1">
      <c r="A38" s="16" t="s">
        <v>315</v>
      </c>
      <c r="B38" s="25" t="s">
        <v>316</v>
      </c>
      <c r="C38" s="25">
        <v>2.1147805311129601E-4</v>
      </c>
      <c r="D38" s="26">
        <v>4728.6230664971999</v>
      </c>
    </row>
    <row r="39" spans="1:4" ht="15" thickBot="1">
      <c r="A39" s="16" t="s">
        <v>317</v>
      </c>
      <c r="B39" s="25" t="s">
        <v>318</v>
      </c>
      <c r="C39" s="25">
        <v>0.38493762504587897</v>
      </c>
      <c r="D39" s="26">
        <v>2.59782347823446</v>
      </c>
    </row>
    <row r="40" spans="1:4" ht="15" thickBot="1">
      <c r="A40" s="16" t="s">
        <v>319</v>
      </c>
      <c r="B40" s="25" t="s">
        <v>320</v>
      </c>
      <c r="C40" s="25">
        <v>3570.1302364517401</v>
      </c>
      <c r="D40" s="26">
        <v>2.8010182647954902E-4</v>
      </c>
    </row>
    <row r="41" spans="1:4" ht="15" thickBot="1">
      <c r="A41" s="16" t="s">
        <v>321</v>
      </c>
      <c r="B41" s="25" t="s">
        <v>322</v>
      </c>
      <c r="C41" s="25">
        <v>890.58291684946801</v>
      </c>
      <c r="D41" s="26">
        <v>1.1228600740935E-3</v>
      </c>
    </row>
    <row r="42" spans="1:4" ht="15" thickBot="1">
      <c r="A42" s="16" t="s">
        <v>323</v>
      </c>
      <c r="B42" s="25" t="s">
        <v>324</v>
      </c>
      <c r="C42" s="25">
        <v>31.504709179472201</v>
      </c>
      <c r="D42" s="26">
        <v>3.1741286494768803E-2</v>
      </c>
    </row>
    <row r="43" spans="1:4" ht="15" thickBot="1">
      <c r="A43" s="16" t="s">
        <v>325</v>
      </c>
      <c r="B43" s="25" t="s">
        <v>326</v>
      </c>
      <c r="C43" s="25">
        <v>1376.36886320503</v>
      </c>
      <c r="D43" s="26">
        <v>7.2654942053206701E-4</v>
      </c>
    </row>
    <row r="44" spans="1:4" ht="15" thickBot="1">
      <c r="A44" s="16" t="s">
        <v>327</v>
      </c>
      <c r="B44" s="25" t="s">
        <v>328</v>
      </c>
      <c r="C44" s="25">
        <v>20.795531659720801</v>
      </c>
      <c r="D44" s="26">
        <v>4.8087253375537098E-2</v>
      </c>
    </row>
    <row r="45" spans="1:4" ht="15" thickBot="1">
      <c r="A45" s="16" t="s">
        <v>329</v>
      </c>
      <c r="B45" s="25" t="s">
        <v>330</v>
      </c>
      <c r="C45" s="25">
        <v>26321.4970215504</v>
      </c>
      <c r="D45" s="26">
        <v>3.7991760088009401E-5</v>
      </c>
    </row>
    <row r="46" spans="1:4" ht="15" thickBot="1">
      <c r="A46" s="16" t="s">
        <v>331</v>
      </c>
      <c r="B46" s="25" t="s">
        <v>332</v>
      </c>
      <c r="C46" s="25">
        <v>9.2616174688853103</v>
      </c>
      <c r="D46" s="26">
        <v>0.10797250084658799</v>
      </c>
    </row>
    <row r="47" spans="1:4" ht="15" thickBot="1">
      <c r="A47" s="16" t="s">
        <v>333</v>
      </c>
      <c r="B47" s="25" t="s">
        <v>334</v>
      </c>
      <c r="C47" s="25">
        <v>0.70899999999999996</v>
      </c>
      <c r="D47" s="26">
        <v>1.4104372355430099</v>
      </c>
    </row>
    <row r="48" spans="1:4" ht="15" thickBot="1">
      <c r="A48" s="16" t="s">
        <v>335</v>
      </c>
      <c r="B48" s="25" t="s">
        <v>336</v>
      </c>
      <c r="C48" s="25">
        <v>0.376</v>
      </c>
      <c r="D48" s="26">
        <v>2.6595744680851001</v>
      </c>
    </row>
    <row r="49" spans="1:4" ht="15" thickBot="1">
      <c r="A49" s="16" t="s">
        <v>337</v>
      </c>
      <c r="B49" s="25" t="s">
        <v>338</v>
      </c>
      <c r="C49" s="25">
        <v>559.97709844376197</v>
      </c>
      <c r="D49" s="26">
        <v>1.7857873166225999E-3</v>
      </c>
    </row>
    <row r="50" spans="1:4" ht="15" thickBot="1">
      <c r="A50" s="16" t="s">
        <v>339</v>
      </c>
      <c r="B50" s="25" t="s">
        <v>340</v>
      </c>
      <c r="C50" s="25">
        <v>317.62380092503798</v>
      </c>
      <c r="D50" s="26">
        <v>3.1483786702622002E-3</v>
      </c>
    </row>
    <row r="51" spans="1:4" ht="15" thickBot="1">
      <c r="A51" s="16" t="s">
        <v>341</v>
      </c>
      <c r="B51" s="25" t="s">
        <v>342</v>
      </c>
      <c r="C51" s="25">
        <v>44.073574950263001</v>
      </c>
      <c r="D51" s="26">
        <v>2.26893325791814E-2</v>
      </c>
    </row>
    <row r="52" spans="1:4" ht="15" thickBot="1">
      <c r="A52" s="16" t="s">
        <v>343</v>
      </c>
      <c r="B52" s="25" t="s">
        <v>344</v>
      </c>
      <c r="C52" s="25">
        <v>1348.51029817007</v>
      </c>
      <c r="D52" s="26">
        <v>7.4155903841223501E-4</v>
      </c>
    </row>
    <row r="53" spans="1:4" ht="15" thickBot="1">
      <c r="A53" s="16" t="s">
        <v>345</v>
      </c>
      <c r="B53" s="25" t="s">
        <v>346</v>
      </c>
      <c r="C53" s="25">
        <v>2.88567848921421</v>
      </c>
      <c r="D53" s="26">
        <v>0.346538952186701</v>
      </c>
    </row>
    <row r="54" spans="1:4" ht="15" thickBot="1">
      <c r="A54" s="16" t="s">
        <v>347</v>
      </c>
      <c r="B54" s="25" t="s">
        <v>348</v>
      </c>
      <c r="C54" s="25">
        <v>3707.4947416137202</v>
      </c>
      <c r="D54" s="26">
        <v>2.6972391593055599E-4</v>
      </c>
    </row>
    <row r="55" spans="1:4" ht="15" thickBot="1">
      <c r="A55" s="16" t="s">
        <v>349</v>
      </c>
      <c r="B55" s="25" t="s">
        <v>350</v>
      </c>
      <c r="C55" s="25">
        <v>4.3484265758598202</v>
      </c>
      <c r="D55" s="26">
        <v>0.22996823852366999</v>
      </c>
    </row>
    <row r="56" spans="1:4" ht="15" thickBot="1">
      <c r="A56" s="16" t="s">
        <v>351</v>
      </c>
      <c r="B56" s="25" t="s">
        <v>352</v>
      </c>
      <c r="C56" s="25">
        <v>122.736891647579</v>
      </c>
      <c r="D56" s="26">
        <v>8.1475095757789703E-3</v>
      </c>
    </row>
    <row r="57" spans="1:4" ht="15" thickBot="1">
      <c r="A57" s="16" t="s">
        <v>353</v>
      </c>
      <c r="B57" s="25" t="s">
        <v>354</v>
      </c>
      <c r="C57" s="25">
        <v>3.4390064381910399</v>
      </c>
      <c r="D57" s="26">
        <v>0.29078165975345199</v>
      </c>
    </row>
    <row r="58" spans="1:4" ht="15" thickBot="1">
      <c r="A58" s="16" t="s">
        <v>355</v>
      </c>
      <c r="B58" s="25" t="s">
        <v>356</v>
      </c>
      <c r="C58" s="25">
        <v>2.6851894815350801</v>
      </c>
      <c r="D58" s="26">
        <v>0.37241319723489802</v>
      </c>
    </row>
    <row r="59" spans="1:4" ht="15" thickBot="1">
      <c r="A59" s="16" t="s">
        <v>357</v>
      </c>
      <c r="B59" s="25" t="s">
        <v>358</v>
      </c>
      <c r="C59" s="25">
        <v>559.97709844376197</v>
      </c>
      <c r="D59" s="26">
        <v>1.7857873166225999E-3</v>
      </c>
    </row>
    <row r="60" spans="1:4" ht="15" thickBot="1">
      <c r="A60" s="16" t="s">
        <v>359</v>
      </c>
      <c r="B60" s="25" t="s">
        <v>360</v>
      </c>
      <c r="C60" s="25">
        <v>2.1954011389932702</v>
      </c>
      <c r="D60" s="26">
        <v>0.45549762284379602</v>
      </c>
    </row>
    <row r="61" spans="1:4" ht="15" thickBot="1">
      <c r="A61" s="16" t="s">
        <v>361</v>
      </c>
      <c r="B61" s="25" t="s">
        <v>362</v>
      </c>
      <c r="C61" s="25">
        <v>481.62581268543801</v>
      </c>
      <c r="D61" s="26">
        <v>2.0763006750494101E-3</v>
      </c>
    </row>
    <row r="62" spans="1:4" ht="15" thickBot="1">
      <c r="A62" s="16" t="s">
        <v>363</v>
      </c>
      <c r="B62" s="25" t="s">
        <v>364</v>
      </c>
      <c r="C62" s="25">
        <v>2.8098052442388699</v>
      </c>
      <c r="D62" s="26">
        <v>0.35589655263487202</v>
      </c>
    </row>
    <row r="63" spans="1:4" ht="15" thickBot="1">
      <c r="A63" s="16" t="s">
        <v>365</v>
      </c>
      <c r="B63" s="25" t="s">
        <v>366</v>
      </c>
      <c r="C63" s="25">
        <v>12089.461662916399</v>
      </c>
      <c r="D63" s="26">
        <v>8.2716669102597302E-5</v>
      </c>
    </row>
    <row r="64" spans="1:4" ht="15" thickBot="1">
      <c r="A64" s="16" t="s">
        <v>367</v>
      </c>
      <c r="B64" s="25" t="s">
        <v>368</v>
      </c>
      <c r="C64" s="25">
        <v>132.518584819898</v>
      </c>
      <c r="D64" s="26">
        <v>7.5461113726732398E-3</v>
      </c>
    </row>
    <row r="65" spans="1:4" ht="15" thickBot="1">
      <c r="A65" s="16" t="s">
        <v>369</v>
      </c>
      <c r="B65" s="25" t="s">
        <v>370</v>
      </c>
      <c r="C65" s="25">
        <v>1317181.5240017199</v>
      </c>
      <c r="D65" s="40">
        <v>7.5919680148709097E-7</v>
      </c>
    </row>
    <row r="66" spans="1:4" ht="15" thickBot="1">
      <c r="A66" s="16" t="s">
        <v>371</v>
      </c>
      <c r="B66" s="25" t="s">
        <v>372</v>
      </c>
      <c r="C66" s="25">
        <v>59.893805947249497</v>
      </c>
      <c r="D66" s="26">
        <v>1.6696217316373701E-2</v>
      </c>
    </row>
    <row r="67" spans="1:4" ht="15" thickBot="1">
      <c r="A67" s="16" t="s">
        <v>373</v>
      </c>
      <c r="B67" s="25" t="s">
        <v>374</v>
      </c>
      <c r="C67" s="25">
        <v>122.7608617069</v>
      </c>
      <c r="D67" s="26">
        <v>8.14591870809416E-3</v>
      </c>
    </row>
    <row r="68" spans="1:4" ht="15" thickBot="1">
      <c r="A68" s="16" t="s">
        <v>375</v>
      </c>
      <c r="B68" s="25" t="s">
        <v>376</v>
      </c>
      <c r="C68" s="25">
        <v>456.37316072561202</v>
      </c>
      <c r="D68" s="26">
        <v>2.1911893293857202E-3</v>
      </c>
    </row>
    <row r="69" spans="1:4" ht="15" thickBot="1">
      <c r="A69" s="16" t="s">
        <v>377</v>
      </c>
      <c r="B69" s="25" t="s">
        <v>378</v>
      </c>
      <c r="C69" s="25">
        <v>1.28469202714247E-2</v>
      </c>
      <c r="D69" s="26">
        <v>77.839667318889298</v>
      </c>
    </row>
    <row r="70" spans="1:4" ht="15" thickBot="1">
      <c r="A70" s="16" t="s">
        <v>379</v>
      </c>
      <c r="B70" s="25" t="s">
        <v>380</v>
      </c>
      <c r="C70" s="25">
        <v>110.63244102623401</v>
      </c>
      <c r="D70" s="26">
        <v>9.0389400317296593E-3</v>
      </c>
    </row>
    <row r="71" spans="1:4" ht="15" thickBot="1">
      <c r="A71" s="16" t="s">
        <v>381</v>
      </c>
      <c r="B71" s="25" t="s">
        <v>382</v>
      </c>
      <c r="C71" s="25">
        <v>158.217218083159</v>
      </c>
      <c r="D71" s="26">
        <v>6.3204246169616899E-3</v>
      </c>
    </row>
    <row r="72" spans="1:4" ht="15" thickBot="1">
      <c r="A72" s="16" t="s">
        <v>383</v>
      </c>
      <c r="B72" s="25" t="s">
        <v>384</v>
      </c>
      <c r="C72" s="25">
        <v>6.3395959288291603</v>
      </c>
      <c r="D72" s="26">
        <v>0.157738759887286</v>
      </c>
    </row>
    <row r="73" spans="1:4" ht="15" thickBot="1">
      <c r="A73" s="16" t="s">
        <v>385</v>
      </c>
      <c r="B73" s="25" t="s">
        <v>386</v>
      </c>
      <c r="C73" s="25">
        <v>11.076420320351801</v>
      </c>
      <c r="D73" s="26">
        <v>9.0281875468611397E-2</v>
      </c>
    </row>
    <row r="74" spans="1:4" ht="15" thickBot="1">
      <c r="A74" s="16" t="s">
        <v>387</v>
      </c>
      <c r="B74" s="25" t="s">
        <v>388</v>
      </c>
      <c r="C74" s="25">
        <v>46.530661225141301</v>
      </c>
      <c r="D74" s="26">
        <v>2.14912054475529E-2</v>
      </c>
    </row>
    <row r="75" spans="1:4" ht="15" thickBot="1">
      <c r="A75" s="16" t="s">
        <v>389</v>
      </c>
      <c r="B75" s="25" t="s">
        <v>390</v>
      </c>
      <c r="C75" s="25">
        <v>916.41099603219595</v>
      </c>
      <c r="D75" s="26">
        <v>1.09121344498235E-3</v>
      </c>
    </row>
    <row r="76" spans="1:4" ht="15" thickBot="1">
      <c r="A76" s="16" t="s">
        <v>391</v>
      </c>
      <c r="B76" s="25" t="s">
        <v>392</v>
      </c>
      <c r="C76" s="25">
        <v>39.558027351428002</v>
      </c>
      <c r="D76" s="26">
        <v>2.5279319191428201E-2</v>
      </c>
    </row>
    <row r="77" spans="1:4" ht="15" thickBot="1">
      <c r="A77" s="16" t="s">
        <v>393</v>
      </c>
      <c r="B77" s="25" t="s">
        <v>394</v>
      </c>
      <c r="C77" s="25">
        <v>63.725401094352399</v>
      </c>
      <c r="D77" s="26">
        <v>1.5692329633506499E-2</v>
      </c>
    </row>
    <row r="78" spans="1:4" ht="15" thickBot="1">
      <c r="A78" s="16" t="s">
        <v>395</v>
      </c>
      <c r="B78" s="25" t="s">
        <v>396</v>
      </c>
      <c r="C78" s="25">
        <v>89879.387399924701</v>
      </c>
      <c r="D78" s="26">
        <v>1.1126021537623799E-5</v>
      </c>
    </row>
    <row r="79" spans="1:4" ht="15" thickBot="1">
      <c r="A79" s="16" t="s">
        <v>397</v>
      </c>
      <c r="B79" s="25" t="s">
        <v>398</v>
      </c>
      <c r="C79" s="25">
        <v>101.871071996295</v>
      </c>
      <c r="D79" s="26">
        <v>9.81632940935738E-3</v>
      </c>
    </row>
    <row r="80" spans="1:4" ht="15" thickBot="1">
      <c r="A80" s="16" t="s">
        <v>399</v>
      </c>
      <c r="B80" s="25" t="s">
        <v>400</v>
      </c>
      <c r="C80" s="25">
        <v>6.7661166066758103</v>
      </c>
      <c r="D80" s="26">
        <v>0.147795265457492</v>
      </c>
    </row>
    <row r="81" spans="1:4" ht="15" thickBot="1">
      <c r="A81" s="16" t="s">
        <v>401</v>
      </c>
      <c r="B81" s="25" t="s">
        <v>402</v>
      </c>
      <c r="C81" s="25">
        <v>2600.3250485562799</v>
      </c>
      <c r="D81" s="26">
        <v>3.8456730652008399E-4</v>
      </c>
    </row>
    <row r="82" spans="1:4" ht="15" thickBot="1">
      <c r="A82" s="16" t="s">
        <v>403</v>
      </c>
      <c r="B82" s="25" t="s">
        <v>404</v>
      </c>
      <c r="C82" s="25">
        <v>81.499146958967899</v>
      </c>
      <c r="D82" s="26">
        <v>1.2270067078167799E-2</v>
      </c>
    </row>
    <row r="83" spans="1:4" ht="15" thickBot="1">
      <c r="A83" s="16" t="s">
        <v>405</v>
      </c>
      <c r="B83" s="25" t="s">
        <v>406</v>
      </c>
      <c r="C83" s="25">
        <v>2.7058415988475901</v>
      </c>
      <c r="D83" s="26">
        <v>0.36957078360606799</v>
      </c>
    </row>
    <row r="84" spans="1:4" ht="15" thickBot="1">
      <c r="A84" s="16" t="s">
        <v>407</v>
      </c>
      <c r="B84" s="25" t="s">
        <v>408</v>
      </c>
      <c r="C84" s="25">
        <v>7.64500124657987</v>
      </c>
      <c r="D84" s="26">
        <v>0.13080442602247599</v>
      </c>
    </row>
    <row r="85" spans="1:4" ht="15" thickBot="1">
      <c r="A85" s="16" t="s">
        <v>409</v>
      </c>
      <c r="B85" s="25" t="s">
        <v>410</v>
      </c>
      <c r="C85" s="25">
        <v>150.14222732131799</v>
      </c>
      <c r="D85" s="26">
        <v>6.6603514403706298E-3</v>
      </c>
    </row>
    <row r="86" spans="1:4" ht="15" thickBot="1">
      <c r="A86" s="16" t="s">
        <v>411</v>
      </c>
      <c r="B86" s="25" t="s">
        <v>412</v>
      </c>
      <c r="C86" s="25">
        <v>6.91829704807982</v>
      </c>
      <c r="D86" s="26">
        <v>0.14454424160314799</v>
      </c>
    </row>
    <row r="87" spans="1:4" ht="15" thickBot="1">
      <c r="A87" s="16" t="s">
        <v>413</v>
      </c>
      <c r="B87" s="25" t="s">
        <v>414</v>
      </c>
      <c r="C87" s="25">
        <v>2</v>
      </c>
      <c r="D87" s="26">
        <v>0.5</v>
      </c>
    </row>
    <row r="88" spans="1:4" ht="15" thickBot="1">
      <c r="A88" s="16" t="s">
        <v>415</v>
      </c>
      <c r="B88" s="25" t="s">
        <v>416</v>
      </c>
      <c r="C88" s="25">
        <v>1</v>
      </c>
      <c r="D88" s="26">
        <v>1</v>
      </c>
    </row>
    <row r="89" spans="1:4" ht="15" thickBot="1">
      <c r="A89" s="16" t="s">
        <v>417</v>
      </c>
      <c r="B89" s="25" t="s">
        <v>418</v>
      </c>
      <c r="C89" s="25">
        <v>21970.027950985099</v>
      </c>
      <c r="D89" s="26">
        <v>4.5516555656232502E-5</v>
      </c>
    </row>
    <row r="90" spans="1:4" ht="15" thickBot="1">
      <c r="A90" s="16" t="s">
        <v>419</v>
      </c>
      <c r="B90" s="25" t="s">
        <v>420</v>
      </c>
      <c r="C90" s="25">
        <v>1.2751727550246501</v>
      </c>
      <c r="D90" s="26">
        <v>0.78420746997583801</v>
      </c>
    </row>
    <row r="91" spans="1:4" ht="15" thickBot="1">
      <c r="A91" s="16" t="s">
        <v>421</v>
      </c>
      <c r="B91" s="25" t="s">
        <v>422</v>
      </c>
      <c r="C91" s="25">
        <v>13.4357051643301</v>
      </c>
      <c r="D91" s="26">
        <v>7.4428546009989702E-2</v>
      </c>
    </row>
    <row r="92" spans="1:4" ht="15" thickBot="1">
      <c r="A92" s="16" t="s">
        <v>423</v>
      </c>
      <c r="B92" s="25" t="s">
        <v>424</v>
      </c>
      <c r="C92" s="25">
        <v>26.577280045237401</v>
      </c>
      <c r="D92" s="26">
        <v>3.7626122699459398E-2</v>
      </c>
    </row>
    <row r="93" spans="1:4" ht="15" thickBot="1">
      <c r="A93" s="16" t="s">
        <v>425</v>
      </c>
      <c r="B93" s="25" t="s">
        <v>426</v>
      </c>
      <c r="C93" s="25">
        <v>6366.2798429915601</v>
      </c>
      <c r="D93" s="26">
        <v>1.5707760649272501E-4</v>
      </c>
    </row>
    <row r="94" spans="1:4" ht="15" thickBot="1">
      <c r="A94" s="16" t="s">
        <v>427</v>
      </c>
      <c r="B94" s="25" t="s">
        <v>428</v>
      </c>
      <c r="C94" s="25">
        <v>157.53551827884101</v>
      </c>
      <c r="D94" s="26">
        <v>6.3477748442099203E-3</v>
      </c>
    </row>
    <row r="95" spans="1:4" ht="15" thickBot="1">
      <c r="A95" s="16" t="s">
        <v>429</v>
      </c>
      <c r="B95" s="25" t="s">
        <v>430</v>
      </c>
      <c r="C95" s="25">
        <v>16.476702374365601</v>
      </c>
      <c r="D95" s="26">
        <v>6.0691755988491497E-2</v>
      </c>
    </row>
    <row r="96" spans="1:4" ht="15" thickBot="1">
      <c r="A96" s="16" t="s">
        <v>431</v>
      </c>
      <c r="B96" s="25" t="s">
        <v>432</v>
      </c>
      <c r="C96" s="25">
        <v>4.3995992714727796</v>
      </c>
      <c r="D96" s="26">
        <v>0.22729342794559701</v>
      </c>
    </row>
    <row r="97" spans="1:4" ht="15" thickBot="1">
      <c r="A97" s="16" t="s">
        <v>433</v>
      </c>
      <c r="B97" s="25" t="s">
        <v>434</v>
      </c>
      <c r="C97" s="25">
        <v>600.18249723075405</v>
      </c>
      <c r="D97" s="26">
        <v>1.6661598840585999E-3</v>
      </c>
    </row>
    <row r="98" spans="1:4" ht="15" thickBot="1">
      <c r="A98" s="16" t="s">
        <v>435</v>
      </c>
      <c r="B98" s="25" t="s">
        <v>436</v>
      </c>
      <c r="C98" s="25">
        <v>8.0680254855481692</v>
      </c>
      <c r="D98" s="26">
        <v>0.123946063605184</v>
      </c>
    </row>
    <row r="99" spans="1:4" ht="15" thickBot="1">
      <c r="A99" s="16" t="s">
        <v>437</v>
      </c>
      <c r="B99" s="25" t="s">
        <v>438</v>
      </c>
      <c r="C99" s="25">
        <v>1</v>
      </c>
      <c r="D99" s="26">
        <v>1</v>
      </c>
    </row>
    <row r="100" spans="1:4" ht="15" thickBot="1">
      <c r="A100" s="16" t="s">
        <v>439</v>
      </c>
      <c r="B100" s="25" t="s">
        <v>440</v>
      </c>
      <c r="C100" s="25">
        <v>36.809271572446697</v>
      </c>
      <c r="D100" s="26">
        <v>2.7167068439043499E-2</v>
      </c>
    </row>
    <row r="101" spans="1:4" ht="15" thickBot="1">
      <c r="A101" s="16" t="s">
        <v>441</v>
      </c>
      <c r="B101" s="25" t="s">
        <v>442</v>
      </c>
      <c r="C101" s="25">
        <v>1.6696521394683801</v>
      </c>
      <c r="D101" s="26">
        <v>0.59892715156727006</v>
      </c>
    </row>
    <row r="102" spans="1:4" ht="15" thickBot="1">
      <c r="A102" s="16" t="s">
        <v>443</v>
      </c>
      <c r="B102" s="25" t="s">
        <v>444</v>
      </c>
      <c r="C102" s="25">
        <v>463.57615957621499</v>
      </c>
      <c r="D102" s="26">
        <v>2.1571428541842198E-3</v>
      </c>
    </row>
    <row r="103" spans="1:4" ht="15" thickBot="1">
      <c r="A103" s="16" t="s">
        <v>445</v>
      </c>
      <c r="B103" s="25" t="s">
        <v>446</v>
      </c>
      <c r="C103" s="25">
        <v>1</v>
      </c>
      <c r="D103" s="26">
        <v>1</v>
      </c>
    </row>
    <row r="104" spans="1:4" ht="15" thickBot="1">
      <c r="A104" s="16" t="s">
        <v>447</v>
      </c>
      <c r="B104" s="25" t="s">
        <v>448</v>
      </c>
      <c r="C104" s="25">
        <v>209.17726496617399</v>
      </c>
      <c r="D104" s="26">
        <v>4.7806342632967704E-3</v>
      </c>
    </row>
    <row r="105" spans="1:4" ht="15" thickBot="1">
      <c r="A105" s="16" t="s">
        <v>449</v>
      </c>
      <c r="B105" s="25" t="s">
        <v>450</v>
      </c>
      <c r="C105" s="25">
        <v>238.628434234678</v>
      </c>
      <c r="D105" s="26">
        <v>4.19061543611585E-3</v>
      </c>
    </row>
    <row r="106" spans="1:4" ht="15" thickBot="1">
      <c r="A106" s="16" t="s">
        <v>451</v>
      </c>
      <c r="B106" s="25" t="s">
        <v>452</v>
      </c>
      <c r="C106" s="25">
        <v>4149.6383779774796</v>
      </c>
      <c r="D106" s="26">
        <v>2.4098485432058099E-4</v>
      </c>
    </row>
    <row r="107" spans="1:4" ht="15" thickBot="1">
      <c r="A107" s="16" t="s">
        <v>453</v>
      </c>
      <c r="B107" s="25" t="s">
        <v>454</v>
      </c>
      <c r="C107" s="25">
        <v>0.82950811196195295</v>
      </c>
      <c r="D107" s="26">
        <v>1.2055337200196801</v>
      </c>
    </row>
    <row r="108" spans="1:4" ht="15" thickBot="1">
      <c r="A108" s="16" t="s">
        <v>455</v>
      </c>
      <c r="B108" s="25" t="s">
        <v>456</v>
      </c>
      <c r="C108" s="25">
        <v>63.788627213581698</v>
      </c>
      <c r="D108" s="26">
        <v>1.56767756837237E-2</v>
      </c>
    </row>
    <row r="109" spans="1:4" ht="15" thickBot="1">
      <c r="A109" s="16" t="s">
        <v>457</v>
      </c>
      <c r="B109" s="25" t="s">
        <v>458</v>
      </c>
      <c r="C109" s="25">
        <v>100.162473213027</v>
      </c>
      <c r="D109" s="26">
        <v>9.9837790334228807E-3</v>
      </c>
    </row>
    <row r="110" spans="1:4" ht="15" thickBot="1">
      <c r="A110" s="16" t="s">
        <v>459</v>
      </c>
      <c r="B110" s="25" t="s">
        <v>460</v>
      </c>
      <c r="C110" s="25">
        <v>14.684565345518401</v>
      </c>
      <c r="D110" s="26">
        <v>6.8098712932295802E-2</v>
      </c>
    </row>
    <row r="111" spans="1:4" ht="15" thickBot="1">
      <c r="A111" s="16" t="s">
        <v>461</v>
      </c>
      <c r="B111" s="25" t="s">
        <v>462</v>
      </c>
      <c r="C111" s="25">
        <v>372.38387798464203</v>
      </c>
      <c r="D111" s="26">
        <v>2.6854008970851298E-3</v>
      </c>
    </row>
    <row r="112" spans="1:4" ht="15" thickBot="1">
      <c r="A112" s="16" t="s">
        <v>463</v>
      </c>
      <c r="B112" s="25" t="s">
        <v>464</v>
      </c>
      <c r="C112" s="25">
        <v>1.70000008523406</v>
      </c>
      <c r="D112" s="26">
        <v>0.58823526462489095</v>
      </c>
    </row>
    <row r="113" spans="1:4" ht="15" thickBot="1">
      <c r="A113" s="16" t="s">
        <v>465</v>
      </c>
      <c r="B113" s="25" t="s">
        <v>466</v>
      </c>
      <c r="C113" s="25">
        <v>8.0462875288774498</v>
      </c>
      <c r="D113" s="26">
        <v>0.124280917927812</v>
      </c>
    </row>
    <row r="114" spans="1:4" ht="15" thickBot="1">
      <c r="A114" s="16" t="s">
        <v>467</v>
      </c>
      <c r="B114" s="25" t="s">
        <v>880</v>
      </c>
      <c r="C114" s="25">
        <v>2.4045612448952198</v>
      </c>
      <c r="D114" s="26">
        <v>0.41587628600558801</v>
      </c>
    </row>
    <row r="115" spans="1:4" ht="15" thickBot="1">
      <c r="A115" s="16" t="s">
        <v>468</v>
      </c>
      <c r="B115" s="25" t="s">
        <v>469</v>
      </c>
      <c r="C115" s="25">
        <v>2.0145614028280598</v>
      </c>
      <c r="D115" s="26">
        <v>0.49638596202438301</v>
      </c>
    </row>
    <row r="116" spans="1:4" ht="15" thickBot="1">
      <c r="A116" s="16" t="s">
        <v>470</v>
      </c>
      <c r="B116" s="25" t="s">
        <v>471</v>
      </c>
      <c r="C116" s="25">
        <v>73.982605447264902</v>
      </c>
      <c r="D116" s="26">
        <v>1.35166907674372E-2</v>
      </c>
    </row>
    <row r="117" spans="1:4" ht="15" thickBot="1">
      <c r="A117" s="16" t="s">
        <v>472</v>
      </c>
      <c r="B117" s="25" t="s">
        <v>473</v>
      </c>
      <c r="C117" s="25">
        <v>1734.7990861680801</v>
      </c>
      <c r="D117" s="26">
        <v>5.76435627602762E-4</v>
      </c>
    </row>
    <row r="118" spans="1:4" ht="15" thickBot="1">
      <c r="A118" s="16" t="s">
        <v>474</v>
      </c>
      <c r="B118" s="25" t="s">
        <v>475</v>
      </c>
      <c r="C118" s="25">
        <v>2974.7078117357601</v>
      </c>
      <c r="D118" s="26">
        <v>3.3616747031584601E-4</v>
      </c>
    </row>
    <row r="119" spans="1:4" ht="15" thickBot="1">
      <c r="A119" s="16" t="s">
        <v>476</v>
      </c>
      <c r="B119" s="25" t="s">
        <v>477</v>
      </c>
      <c r="C119" s="25">
        <v>131.49740824257</v>
      </c>
      <c r="D119" s="26">
        <v>7.60471262030745E-3</v>
      </c>
    </row>
    <row r="120" spans="1:4" ht="15" thickBot="1">
      <c r="A120" s="16" t="s">
        <v>478</v>
      </c>
      <c r="B120" s="25" t="s">
        <v>479</v>
      </c>
      <c r="C120" s="25">
        <v>570.86222599495898</v>
      </c>
      <c r="D120" s="26">
        <v>1.7517361536000899E-3</v>
      </c>
    </row>
    <row r="121" spans="1:4" ht="15" thickBot="1">
      <c r="A121" s="16" t="s">
        <v>480</v>
      </c>
      <c r="B121" s="25" t="s">
        <v>481</v>
      </c>
      <c r="C121" s="25">
        <v>8780.4966600868902</v>
      </c>
      <c r="D121" s="26">
        <v>1.1388877403093299E-4</v>
      </c>
    </row>
    <row r="122" spans="1:4" ht="15" thickBot="1">
      <c r="A122" s="16" t="s">
        <v>482</v>
      </c>
      <c r="B122" s="25" t="s">
        <v>483</v>
      </c>
      <c r="C122" s="25">
        <v>3579.0969559477999</v>
      </c>
      <c r="D122" s="26">
        <v>2.7940008675601298E-4</v>
      </c>
    </row>
    <row r="123" spans="1:4" ht="15" thickBot="1">
      <c r="A123" s="16" t="s">
        <v>484</v>
      </c>
      <c r="B123" s="25" t="s">
        <v>485</v>
      </c>
      <c r="C123" s="25">
        <v>15.4587852385433</v>
      </c>
      <c r="D123" s="26">
        <v>6.4688135876724603E-2</v>
      </c>
    </row>
    <row r="124" spans="1:4" ht="15" thickBot="1">
      <c r="A124" s="16" t="s">
        <v>486</v>
      </c>
      <c r="B124" s="25" t="s">
        <v>487</v>
      </c>
      <c r="C124" s="25">
        <v>2321.1321962118</v>
      </c>
      <c r="D124" s="26">
        <v>4.3082423380798698E-4</v>
      </c>
    </row>
    <row r="125" spans="1:4" ht="15" thickBot="1">
      <c r="A125" s="16" t="s">
        <v>488</v>
      </c>
      <c r="B125" s="25" t="s">
        <v>489</v>
      </c>
      <c r="C125" s="25">
        <v>21.059360070626902</v>
      </c>
      <c r="D125" s="26">
        <v>4.7484823691047097E-2</v>
      </c>
    </row>
    <row r="126" spans="1:4" ht="15" thickBot="1">
      <c r="A126" s="16" t="s">
        <v>490</v>
      </c>
      <c r="B126" s="25" t="s">
        <v>491</v>
      </c>
      <c r="C126" s="25">
        <v>9.4201119733349792</v>
      </c>
      <c r="D126" s="26">
        <v>0.10615585067679099</v>
      </c>
    </row>
    <row r="127" spans="1:4" ht="15" thickBot="1">
      <c r="A127" s="16" t="s">
        <v>492</v>
      </c>
      <c r="B127" s="25" t="s">
        <v>493</v>
      </c>
      <c r="C127" s="25">
        <v>899.950019541129</v>
      </c>
      <c r="D127" s="26">
        <v>1.11117281880818E-3</v>
      </c>
    </row>
    <row r="128" spans="1:4" ht="15" thickBot="1">
      <c r="A128" s="16" t="s">
        <v>494</v>
      </c>
      <c r="B128" s="25" t="s">
        <v>495</v>
      </c>
      <c r="C128" s="25">
        <v>87.531315381859898</v>
      </c>
      <c r="D128" s="26">
        <v>1.14244827195552E-2</v>
      </c>
    </row>
    <row r="129" spans="1:4" ht="15" thickBot="1">
      <c r="A129" s="16" t="s">
        <v>496</v>
      </c>
      <c r="B129" s="25" t="s">
        <v>497</v>
      </c>
      <c r="C129" s="25">
        <v>184.211815094337</v>
      </c>
      <c r="D129" s="26">
        <v>5.4285334493223703E-3</v>
      </c>
    </row>
    <row r="130" spans="1:4" ht="15" thickBot="1">
      <c r="A130" s="16" t="s">
        <v>498</v>
      </c>
      <c r="B130" s="25" t="s">
        <v>499</v>
      </c>
      <c r="C130" s="25">
        <v>16.476702374365601</v>
      </c>
      <c r="D130" s="26">
        <v>6.0691755988491497E-2</v>
      </c>
    </row>
    <row r="131" spans="1:4" ht="15" thickBot="1">
      <c r="A131" s="16" t="s">
        <v>500</v>
      </c>
      <c r="B131" s="25" t="s">
        <v>501</v>
      </c>
      <c r="C131" s="25">
        <v>2099.76102765827</v>
      </c>
      <c r="D131" s="26">
        <v>4.76244671097279E-4</v>
      </c>
    </row>
    <row r="132" spans="1:4" ht="15" thickBot="1">
      <c r="A132" s="16" t="s">
        <v>502</v>
      </c>
      <c r="B132" s="25" t="s">
        <v>503</v>
      </c>
      <c r="C132" s="25">
        <v>0.740532076443984</v>
      </c>
      <c r="D132" s="26">
        <v>1.35038039783769</v>
      </c>
    </row>
    <row r="133" spans="1:4" ht="15" thickBot="1">
      <c r="A133" s="16" t="s">
        <v>504</v>
      </c>
      <c r="B133" s="25" t="s">
        <v>505</v>
      </c>
      <c r="C133" s="25">
        <v>4.8140923140435599E-4</v>
      </c>
      <c r="D133" s="26">
        <v>2077.2347823136301</v>
      </c>
    </row>
    <row r="134" spans="1:4" ht="15" thickBot="1">
      <c r="A134" s="16" t="s">
        <v>506</v>
      </c>
      <c r="B134" s="25" t="s">
        <v>507</v>
      </c>
      <c r="C134" s="25">
        <v>17.1534221642654</v>
      </c>
      <c r="D134" s="26">
        <v>5.8297405055606398E-2</v>
      </c>
    </row>
    <row r="135" spans="1:4" ht="15" thickBot="1">
      <c r="A135" s="16" t="s">
        <v>508</v>
      </c>
      <c r="B135" s="25" t="s">
        <v>509</v>
      </c>
      <c r="C135" s="25">
        <v>23.988322936458999</v>
      </c>
      <c r="D135" s="26">
        <v>4.1686949214783699E-2</v>
      </c>
    </row>
    <row r="136" spans="1:4" ht="15" thickBot="1">
      <c r="A136" s="16" t="s">
        <v>510</v>
      </c>
      <c r="B136" s="25" t="s">
        <v>511</v>
      </c>
      <c r="C136" s="25">
        <v>4007.3470195219402</v>
      </c>
      <c r="D136" s="26">
        <v>2.4954165315069102E-4</v>
      </c>
    </row>
    <row r="137" spans="1:4" ht="15" thickBot="1">
      <c r="A137" s="16" t="s">
        <v>512</v>
      </c>
      <c r="B137" s="25" t="s">
        <v>513</v>
      </c>
      <c r="C137" s="25">
        <v>52.492885961388602</v>
      </c>
      <c r="D137" s="26">
        <v>1.9050200454506401E-2</v>
      </c>
    </row>
    <row r="138" spans="1:4" ht="15" thickBot="1">
      <c r="A138" s="16" t="s">
        <v>514</v>
      </c>
      <c r="B138" s="25" t="s">
        <v>515</v>
      </c>
      <c r="C138" s="25">
        <v>118.032475676888</v>
      </c>
      <c r="D138" s="26">
        <v>8.4722445603655997E-3</v>
      </c>
    </row>
    <row r="139" spans="1:4" ht="15" thickBot="1">
      <c r="A139" s="16" t="s">
        <v>516</v>
      </c>
      <c r="B139" s="25" t="s">
        <v>517</v>
      </c>
      <c r="C139" s="25">
        <v>39.943200436656703</v>
      </c>
      <c r="D139" s="26">
        <v>2.5035550207996801E-2</v>
      </c>
    </row>
    <row r="140" spans="1:4" ht="15" thickBot="1">
      <c r="A140" s="16" t="s">
        <v>518</v>
      </c>
      <c r="B140" s="25" t="s">
        <v>519</v>
      </c>
      <c r="C140" s="25">
        <v>16.476702374365601</v>
      </c>
      <c r="D140" s="26">
        <v>6.0691755988491497E-2</v>
      </c>
    </row>
    <row r="141" spans="1:4" ht="15" thickBot="1">
      <c r="A141" s="16" t="s">
        <v>520</v>
      </c>
      <c r="B141" s="25" t="s">
        <v>521</v>
      </c>
      <c r="C141" s="25">
        <v>94.135247654028603</v>
      </c>
      <c r="D141" s="26">
        <v>1.0623013429308201E-2</v>
      </c>
    </row>
    <row r="142" spans="1:4" ht="15" thickBot="1">
      <c r="A142" s="16" t="s">
        <v>522</v>
      </c>
      <c r="B142" s="25" t="s">
        <v>523</v>
      </c>
      <c r="C142" s="25">
        <v>37.493946309611403</v>
      </c>
      <c r="D142" s="26">
        <v>2.6670972208216199E-2</v>
      </c>
    </row>
    <row r="143" spans="1:4" ht="15" thickBot="1">
      <c r="A143" s="16" t="s">
        <v>524</v>
      </c>
      <c r="B143" s="25" t="s">
        <v>525</v>
      </c>
      <c r="C143" s="25">
        <v>8.75</v>
      </c>
      <c r="D143" s="26">
        <v>0.114285714285714</v>
      </c>
    </row>
    <row r="144" spans="1:4" ht="15" thickBot="1">
      <c r="A144" s="16" t="s">
        <v>526</v>
      </c>
      <c r="B144" s="25" t="s">
        <v>527</v>
      </c>
      <c r="C144" s="25">
        <v>6.4226313704976803E-4</v>
      </c>
      <c r="D144" s="26">
        <v>1556.9942322915999</v>
      </c>
    </row>
    <row r="145" spans="1:4" ht="15" thickBot="1">
      <c r="A145" s="16" t="s">
        <v>528</v>
      </c>
      <c r="B145" s="25" t="s">
        <v>529</v>
      </c>
      <c r="C145" s="25">
        <v>1</v>
      </c>
      <c r="D145" s="26">
        <v>1</v>
      </c>
    </row>
    <row r="146" spans="1:4" ht="15" thickBot="1">
      <c r="A146" s="16" t="s">
        <v>530</v>
      </c>
      <c r="B146" s="25" t="s">
        <v>531</v>
      </c>
      <c r="C146" s="25">
        <v>0.728458938042435</v>
      </c>
      <c r="D146" s="26">
        <v>1.37276097220698</v>
      </c>
    </row>
    <row r="147" spans="1:4" ht="15" thickBot="1">
      <c r="A147" s="16" t="s">
        <v>532</v>
      </c>
      <c r="B147" s="25" t="s">
        <v>533</v>
      </c>
      <c r="C147" s="25">
        <v>1460.9539955108</v>
      </c>
      <c r="D147" s="26">
        <v>6.8448425006727295E-4</v>
      </c>
    </row>
    <row r="148" spans="1:4" ht="15" thickBot="1">
      <c r="A148" s="16" t="s">
        <v>534</v>
      </c>
      <c r="B148" s="25" t="s">
        <v>535</v>
      </c>
      <c r="C148" s="25">
        <v>1.79</v>
      </c>
      <c r="D148" s="26">
        <v>0.55865921787709405</v>
      </c>
    </row>
    <row r="149" spans="1:4" ht="15" thickBot="1">
      <c r="A149" s="16" t="s">
        <v>536</v>
      </c>
      <c r="B149" s="25" t="s">
        <v>537</v>
      </c>
      <c r="C149" s="25">
        <v>93.7949257044002</v>
      </c>
      <c r="D149" s="26">
        <v>1.06615575681732E-2</v>
      </c>
    </row>
    <row r="150" spans="1:4" ht="15" thickBot="1">
      <c r="A150" s="16" t="s">
        <v>538</v>
      </c>
      <c r="B150" s="25" t="s">
        <v>539</v>
      </c>
      <c r="C150" s="25">
        <v>177.81523149216099</v>
      </c>
      <c r="D150" s="26">
        <v>5.6238151906805598E-3</v>
      </c>
    </row>
    <row r="151" spans="1:4" ht="15" thickBot="1">
      <c r="A151" s="16" t="s">
        <v>540</v>
      </c>
      <c r="B151" s="25" t="s">
        <v>541</v>
      </c>
      <c r="C151" s="25">
        <v>419.982823832821</v>
      </c>
      <c r="D151" s="26">
        <v>2.3810497554968002E-3</v>
      </c>
    </row>
    <row r="152" spans="1:4" ht="15" thickBot="1">
      <c r="A152" s="16" t="s">
        <v>542</v>
      </c>
      <c r="B152" s="25" t="s">
        <v>543</v>
      </c>
      <c r="C152" s="25">
        <v>15</v>
      </c>
      <c r="D152" s="26">
        <v>6.6666666666666596E-2</v>
      </c>
    </row>
    <row r="153" spans="1:4" ht="15" thickBot="1">
      <c r="A153" s="16" t="s">
        <v>544</v>
      </c>
      <c r="B153" s="25" t="s">
        <v>545</v>
      </c>
      <c r="C153" s="25">
        <v>0.740532076443984</v>
      </c>
      <c r="D153" s="26">
        <v>1.35038039783769</v>
      </c>
    </row>
    <row r="154" spans="1:4" ht="15" thickBot="1">
      <c r="A154" s="16" t="s">
        <v>546</v>
      </c>
      <c r="B154" s="25" t="s">
        <v>547</v>
      </c>
      <c r="C154" s="25">
        <v>0.740532076443984</v>
      </c>
      <c r="D154" s="26">
        <v>1.35038039783769</v>
      </c>
    </row>
    <row r="155" spans="1:4" ht="15" thickBot="1">
      <c r="A155" s="16" t="s">
        <v>548</v>
      </c>
      <c r="B155" s="25" t="s">
        <v>549</v>
      </c>
      <c r="C155" s="25">
        <v>0.16666666599999999</v>
      </c>
      <c r="D155" s="26">
        <v>6.0000000240000002</v>
      </c>
    </row>
    <row r="156" spans="1:4" ht="15" thickBot="1">
      <c r="A156" s="16" t="s">
        <v>550</v>
      </c>
      <c r="B156" s="25" t="s">
        <v>551</v>
      </c>
      <c r="C156" s="25">
        <v>2.7253989256596598</v>
      </c>
      <c r="D156" s="26">
        <v>0.36691876208836399</v>
      </c>
    </row>
    <row r="157" spans="1:4" ht="15" thickBot="1">
      <c r="A157" s="16" t="s">
        <v>552</v>
      </c>
      <c r="B157" s="25" t="s">
        <v>553</v>
      </c>
      <c r="C157" s="25">
        <v>0.740532076443984</v>
      </c>
      <c r="D157" s="26">
        <v>1.35038039783769</v>
      </c>
    </row>
    <row r="158" spans="1:4" ht="15" thickBot="1">
      <c r="A158" s="16" t="s">
        <v>554</v>
      </c>
      <c r="B158" s="25" t="s">
        <v>555</v>
      </c>
      <c r="C158" s="25">
        <v>3.5011188863417502</v>
      </c>
      <c r="D158" s="26">
        <v>0.28562297724339197</v>
      </c>
    </row>
    <row r="159" spans="1:4" ht="15" thickBot="1">
      <c r="A159" s="16" t="s">
        <v>556</v>
      </c>
      <c r="B159" s="25" t="s">
        <v>557</v>
      </c>
      <c r="C159" s="25">
        <v>0.740532076443984</v>
      </c>
      <c r="D159" s="26">
        <v>1.35038039783769</v>
      </c>
    </row>
    <row r="160" spans="1:4" ht="15" thickBot="1">
      <c r="A160" s="16" t="s">
        <v>558</v>
      </c>
      <c r="B160" s="25" t="s">
        <v>559</v>
      </c>
      <c r="C160" s="25">
        <v>0.740532076443984</v>
      </c>
      <c r="D160" s="26">
        <v>1.35038039783769</v>
      </c>
    </row>
    <row r="161" spans="1:4" ht="15" thickBot="1">
      <c r="A161" s="16" t="s">
        <v>560</v>
      </c>
      <c r="B161" s="25" t="s">
        <v>561</v>
      </c>
      <c r="C161" s="25">
        <v>1.39643351691939</v>
      </c>
      <c r="D161" s="26">
        <v>0.71610999584573898</v>
      </c>
    </row>
    <row r="162" spans="1:4" ht="15" thickBot="1">
      <c r="A162" s="16" t="s">
        <v>562</v>
      </c>
      <c r="B162" s="25" t="s">
        <v>563</v>
      </c>
      <c r="C162" s="25">
        <v>19.0987740082535</v>
      </c>
      <c r="D162" s="26">
        <v>5.2359381789001097E-2</v>
      </c>
    </row>
    <row r="163" spans="1:4" ht="15" thickBot="1">
      <c r="A163" s="16" t="s">
        <v>564</v>
      </c>
      <c r="B163" s="25" t="s">
        <v>565</v>
      </c>
      <c r="C163" s="25">
        <v>3.9136493962266101</v>
      </c>
      <c r="D163" s="26">
        <v>0.25551599000261999</v>
      </c>
    </row>
    <row r="164" spans="1:4" ht="15" thickBot="1">
      <c r="A164" s="16" t="s">
        <v>843</v>
      </c>
      <c r="B164" s="25" t="s">
        <v>843</v>
      </c>
      <c r="C164" s="25">
        <v>7.8400085157283996</v>
      </c>
      <c r="D164" s="26">
        <v>0.12755088186369001</v>
      </c>
    </row>
    <row r="165" spans="1:4" ht="15" thickBot="1">
      <c r="A165" s="16" t="s">
        <v>844</v>
      </c>
      <c r="B165" s="25" t="s">
        <v>844</v>
      </c>
      <c r="C165" s="25">
        <v>0.104428117740481</v>
      </c>
      <c r="D165" s="26">
        <v>9.5759649952241794</v>
      </c>
    </row>
    <row r="166" spans="1:4" ht="15" thickBot="1">
      <c r="A166" s="16" t="s">
        <v>566</v>
      </c>
      <c r="B166" s="25" t="s">
        <v>567</v>
      </c>
      <c r="C166" s="25">
        <v>2.1493747279550798E-3</v>
      </c>
      <c r="D166" s="26">
        <v>465.251585493145</v>
      </c>
    </row>
    <row r="167" spans="1:4" ht="15" thickBot="1">
      <c r="A167" s="27" t="s">
        <v>568</v>
      </c>
      <c r="B167" s="25" t="s">
        <v>568</v>
      </c>
      <c r="C167" s="25">
        <v>1.53892802689692E-3</v>
      </c>
      <c r="D167" s="26">
        <v>649.80296837948003</v>
      </c>
    </row>
    <row r="168" spans="1:4" ht="15" thickBot="1">
      <c r="A168" s="27" t="s">
        <v>569</v>
      </c>
      <c r="B168" s="25" t="s">
        <v>570</v>
      </c>
      <c r="C168" s="25">
        <v>1.25983615589311E-5</v>
      </c>
      <c r="D168" s="26">
        <v>79375.400945775196</v>
      </c>
    </row>
    <row r="169" spans="1:4" ht="15" thickBot="1">
      <c r="A169" s="16" t="s">
        <v>571</v>
      </c>
      <c r="B169" s="25" t="s">
        <v>571</v>
      </c>
      <c r="C169" s="25">
        <v>2.241039203323E-2</v>
      </c>
      <c r="D169" s="26">
        <v>44.622155583766698</v>
      </c>
    </row>
    <row r="170" spans="1:4" ht="15" thickBot="1">
      <c r="A170" s="16" t="s">
        <v>572</v>
      </c>
      <c r="B170" s="25" t="s">
        <v>573</v>
      </c>
      <c r="C170" s="25">
        <v>6.8307226583664704</v>
      </c>
      <c r="D170" s="26">
        <v>0.146397394538507</v>
      </c>
    </row>
    <row r="171" spans="1:4" ht="15" thickBot="1">
      <c r="A171" s="16" t="s">
        <v>845</v>
      </c>
      <c r="B171" s="25" t="s">
        <v>845</v>
      </c>
      <c r="C171" s="25">
        <v>1.00015025035162</v>
      </c>
      <c r="D171" s="26">
        <v>0.99984977222015003</v>
      </c>
    </row>
    <row r="172" spans="1:4" ht="15" thickBot="1">
      <c r="A172" s="27" t="s">
        <v>574</v>
      </c>
      <c r="B172" s="25" t="s">
        <v>575</v>
      </c>
      <c r="C172" s="25">
        <v>10.1952542301108</v>
      </c>
      <c r="D172" s="26">
        <v>9.8084851778054094E-2</v>
      </c>
    </row>
    <row r="173" spans="1:4" ht="15" thickBot="1">
      <c r="A173" s="16" t="s">
        <v>576</v>
      </c>
      <c r="B173" s="25" t="s">
        <v>577</v>
      </c>
      <c r="C173" s="25">
        <v>0.76836450385777</v>
      </c>
      <c r="D173" s="26">
        <v>1.30146563900238</v>
      </c>
    </row>
    <row r="174" spans="1:4" ht="15" thickBot="1">
      <c r="A174" s="16" t="s">
        <v>578</v>
      </c>
      <c r="B174" s="25" t="s">
        <v>579</v>
      </c>
      <c r="C174" s="25">
        <v>4.1531327068981702E-4</v>
      </c>
      <c r="D174" s="26">
        <v>2407.8209644951698</v>
      </c>
    </row>
    <row r="175" spans="1:4" ht="15" thickBot="1">
      <c r="A175" s="16" t="s">
        <v>580</v>
      </c>
      <c r="B175" s="25" t="s">
        <v>580</v>
      </c>
      <c r="C175" s="25">
        <v>0.85197570979206705</v>
      </c>
      <c r="D175" s="26">
        <v>1.1737423831532201</v>
      </c>
    </row>
    <row r="176" spans="1:4" ht="15" thickBot="1">
      <c r="A176" s="27" t="s">
        <v>581</v>
      </c>
      <c r="B176" s="25" t="s">
        <v>582</v>
      </c>
      <c r="C176" s="25">
        <v>0.105286339720727</v>
      </c>
      <c r="D176" s="26">
        <v>9.4979083008536502</v>
      </c>
    </row>
    <row r="177" spans="1:4" ht="15" thickBot="1">
      <c r="A177" s="16" t="s">
        <v>583</v>
      </c>
      <c r="B177" s="25" t="s">
        <v>584</v>
      </c>
      <c r="C177" s="25">
        <v>1.7696364541058201E-2</v>
      </c>
      <c r="D177" s="26">
        <v>56.508781658506699</v>
      </c>
    </row>
    <row r="178" spans="1:4" ht="15" thickBot="1">
      <c r="A178" s="27" t="s">
        <v>585</v>
      </c>
      <c r="B178" s="25" t="s">
        <v>586</v>
      </c>
      <c r="C178" s="25">
        <v>18.196932199151099</v>
      </c>
      <c r="D178" s="26">
        <v>5.49543180716279E-2</v>
      </c>
    </row>
    <row r="179" spans="1:4" ht="15" thickBot="1">
      <c r="A179" s="16" t="s">
        <v>587</v>
      </c>
      <c r="B179" s="25" t="s">
        <v>587</v>
      </c>
      <c r="C179" s="25">
        <v>1.9618662590170499</v>
      </c>
      <c r="D179" s="26">
        <v>0.509718741226032</v>
      </c>
    </row>
    <row r="180" spans="1:4" ht="15" thickBot="1">
      <c r="A180" s="27" t="s">
        <v>846</v>
      </c>
      <c r="B180" s="25" t="s">
        <v>846</v>
      </c>
      <c r="C180" s="25">
        <v>10.558312517019001</v>
      </c>
      <c r="D180" s="26">
        <v>9.4712104646276593E-2</v>
      </c>
    </row>
    <row r="181" spans="1:4" ht="15" thickBot="1">
      <c r="A181" s="27" t="s">
        <v>588</v>
      </c>
      <c r="B181" s="25" t="s">
        <v>589</v>
      </c>
      <c r="C181" s="25">
        <v>23.7631731308173</v>
      </c>
      <c r="D181" s="26">
        <v>4.20819220772813E-2</v>
      </c>
    </row>
    <row r="182" spans="1:4" ht="15" thickBot="1">
      <c r="A182" s="27" t="s">
        <v>590</v>
      </c>
      <c r="B182" s="25" t="s">
        <v>590</v>
      </c>
      <c r="C182" s="25">
        <v>1.13209290007905E-2</v>
      </c>
      <c r="D182" s="26">
        <v>88.331973456433701</v>
      </c>
    </row>
    <row r="183" spans="1:4" ht="15" thickBot="1">
      <c r="A183" s="27" t="s">
        <v>591</v>
      </c>
      <c r="B183" s="25" t="s">
        <v>591</v>
      </c>
      <c r="C183" s="25">
        <v>4623.4252277902096</v>
      </c>
      <c r="D183" s="26">
        <v>2.16289861029709E-4</v>
      </c>
    </row>
    <row r="184" spans="1:4" ht="15" thickBot="1">
      <c r="A184" s="16" t="s">
        <v>847</v>
      </c>
      <c r="B184" s="25" t="s">
        <v>847</v>
      </c>
      <c r="C184" s="25">
        <v>3.0154996682950101</v>
      </c>
      <c r="D184" s="26">
        <v>0.33162000000000202</v>
      </c>
    </row>
    <row r="185" spans="1:4" ht="15" thickBot="1">
      <c r="A185" s="16" t="s">
        <v>592</v>
      </c>
      <c r="B185" s="25" t="s">
        <v>593</v>
      </c>
      <c r="C185" s="25">
        <v>0.29248399048073398</v>
      </c>
      <c r="D185" s="26">
        <v>3.41899055177814</v>
      </c>
    </row>
    <row r="186" spans="1:4" ht="15" thickBot="1">
      <c r="A186" s="16" t="s">
        <v>594</v>
      </c>
      <c r="B186" s="25" t="s">
        <v>594</v>
      </c>
      <c r="C186" s="25">
        <v>1.0000550101944901</v>
      </c>
      <c r="D186" s="26">
        <v>0.99994499283145899</v>
      </c>
    </row>
    <row r="187" spans="1:4" ht="15" thickBot="1">
      <c r="A187" s="16" t="s">
        <v>595</v>
      </c>
      <c r="B187" s="25" t="s">
        <v>595</v>
      </c>
      <c r="C187" s="25">
        <v>0.99770100368444303</v>
      </c>
      <c r="D187" s="26">
        <v>1.0023042938786899</v>
      </c>
    </row>
    <row r="188" spans="1:4">
      <c r="A188" t="s">
        <v>596</v>
      </c>
      <c r="B188" t="s">
        <v>596</v>
      </c>
      <c r="C188">
        <v>0.99971060608045403</v>
      </c>
      <c r="D188">
        <v>1.0002894776926201</v>
      </c>
    </row>
    <row r="189" spans="1:4">
      <c r="A189" t="s">
        <v>597</v>
      </c>
      <c r="B189" t="s">
        <v>597</v>
      </c>
      <c r="C189">
        <v>481.62581268543801</v>
      </c>
      <c r="D189">
        <v>2.0763006750494101E-3</v>
      </c>
    </row>
    <row r="190" spans="1:4">
      <c r="A190" t="s">
        <v>598</v>
      </c>
      <c r="B190" t="s">
        <v>598</v>
      </c>
      <c r="C190">
        <v>1.25983615589311E-5</v>
      </c>
      <c r="D190">
        <v>79375.400945775196</v>
      </c>
    </row>
    <row r="191" spans="1:4">
      <c r="A191" t="s">
        <v>599</v>
      </c>
      <c r="B191" t="s">
        <v>600</v>
      </c>
      <c r="C191">
        <v>1.80163427835181</v>
      </c>
      <c r="D191">
        <v>0.55505160620879601</v>
      </c>
    </row>
    <row r="192" spans="1:4">
      <c r="A192" t="s">
        <v>601</v>
      </c>
      <c r="B192" t="s">
        <v>602</v>
      </c>
      <c r="C192">
        <v>5.5240243329343004</v>
      </c>
      <c r="D192">
        <v>0.18102744298897899</v>
      </c>
    </row>
    <row r="193" spans="1:4">
      <c r="A193" t="s">
        <v>603</v>
      </c>
      <c r="B193" t="s">
        <v>604</v>
      </c>
      <c r="C193">
        <v>0.68570580711712503</v>
      </c>
      <c r="D193">
        <v>1.4583513652950399</v>
      </c>
    </row>
    <row r="194" spans="1:4">
      <c r="A194" t="s">
        <v>605</v>
      </c>
      <c r="B194" t="s">
        <v>606</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0"/>
  <sheetViews>
    <sheetView topLeftCell="A273" workbookViewId="0">
      <selection activeCell="A278" sqref="A278"/>
    </sheetView>
  </sheetViews>
  <sheetFormatPr defaultRowHeight="14.5"/>
  <cols>
    <col min="1" max="1" width="37" style="4" customWidth="1"/>
    <col min="4" max="4" width="27.26953125" customWidth="1"/>
    <col min="5" max="5" width="9.1796875" customWidth="1"/>
  </cols>
  <sheetData>
    <row r="2" spans="1:5">
      <c r="A2" s="42" t="s">
        <v>17</v>
      </c>
      <c r="B2" s="18" t="s">
        <v>14</v>
      </c>
      <c r="C2" s="18" t="s">
        <v>607</v>
      </c>
      <c r="D2" s="18" t="s">
        <v>18</v>
      </c>
      <c r="E2" s="18" t="s">
        <v>19</v>
      </c>
    </row>
    <row r="3" spans="1:5">
      <c r="A3" s="43" t="s">
        <v>608</v>
      </c>
      <c r="B3" s="5" t="s">
        <v>12</v>
      </c>
      <c r="C3" s="5" t="s">
        <v>12</v>
      </c>
      <c r="D3" s="11" t="s">
        <v>27</v>
      </c>
      <c r="E3" s="11" t="s">
        <v>36</v>
      </c>
    </row>
    <row r="4" spans="1:5">
      <c r="A4" s="43" t="s">
        <v>609</v>
      </c>
      <c r="B4" s="5" t="s">
        <v>10</v>
      </c>
      <c r="C4" s="5" t="s">
        <v>10</v>
      </c>
      <c r="D4" s="11" t="s">
        <v>32</v>
      </c>
      <c r="E4" s="11" t="s">
        <v>610</v>
      </c>
    </row>
    <row r="5" spans="1:5">
      <c r="A5" s="43" t="s">
        <v>611</v>
      </c>
      <c r="B5" s="5" t="s">
        <v>12</v>
      </c>
      <c r="C5" s="5" t="s">
        <v>12</v>
      </c>
      <c r="D5" s="11" t="s">
        <v>22</v>
      </c>
      <c r="E5" s="11" t="s">
        <v>28</v>
      </c>
    </row>
    <row r="6" spans="1:5">
      <c r="A6" s="43" t="s">
        <v>612</v>
      </c>
      <c r="B6" s="5" t="s">
        <v>12</v>
      </c>
      <c r="C6" s="5" t="s">
        <v>12</v>
      </c>
      <c r="D6" s="11" t="s">
        <v>22</v>
      </c>
      <c r="E6" s="11" t="s">
        <v>28</v>
      </c>
    </row>
    <row r="7" spans="1:5">
      <c r="A7" s="43" t="s">
        <v>613</v>
      </c>
      <c r="B7" s="5" t="s">
        <v>10</v>
      </c>
      <c r="C7" s="5" t="s">
        <v>10</v>
      </c>
      <c r="D7" s="11" t="s">
        <v>56</v>
      </c>
      <c r="E7" s="11" t="s">
        <v>36</v>
      </c>
    </row>
    <row r="8" spans="1:5">
      <c r="A8" s="43" t="s">
        <v>51</v>
      </c>
      <c r="B8" s="5" t="s">
        <v>10</v>
      </c>
      <c r="C8" s="5" t="s">
        <v>10</v>
      </c>
      <c r="D8" s="11" t="s">
        <v>56</v>
      </c>
      <c r="E8" s="11" t="s">
        <v>36</v>
      </c>
    </row>
    <row r="9" spans="1:5">
      <c r="A9" s="43" t="s">
        <v>93</v>
      </c>
      <c r="B9" s="5" t="s">
        <v>12</v>
      </c>
      <c r="C9" s="5" t="s">
        <v>12</v>
      </c>
      <c r="D9" s="11" t="s">
        <v>22</v>
      </c>
      <c r="E9" s="11" t="s">
        <v>28</v>
      </c>
    </row>
    <row r="10" spans="1:5">
      <c r="A10" s="43" t="s">
        <v>614</v>
      </c>
      <c r="B10" s="5" t="s">
        <v>12</v>
      </c>
      <c r="C10" s="5" t="s">
        <v>12</v>
      </c>
      <c r="D10" s="11" t="s">
        <v>36</v>
      </c>
      <c r="E10" s="11" t="s">
        <v>71</v>
      </c>
    </row>
    <row r="11" spans="1:5">
      <c r="A11" s="43" t="s">
        <v>615</v>
      </c>
      <c r="B11" s="5" t="s">
        <v>9</v>
      </c>
      <c r="C11" s="5" t="s">
        <v>616</v>
      </c>
      <c r="D11" t="s">
        <v>617</v>
      </c>
      <c r="E11" s="11" t="s">
        <v>28</v>
      </c>
    </row>
    <row r="12" spans="1:5">
      <c r="A12" s="43" t="s">
        <v>618</v>
      </c>
      <c r="B12" s="5" t="s">
        <v>9</v>
      </c>
      <c r="C12" s="5" t="s">
        <v>616</v>
      </c>
      <c r="D12" t="s">
        <v>617</v>
      </c>
      <c r="E12" s="11" t="s">
        <v>28</v>
      </c>
    </row>
    <row r="13" spans="1:5">
      <c r="A13" s="43" t="s">
        <v>619</v>
      </c>
      <c r="B13" s="5" t="s">
        <v>12</v>
      </c>
      <c r="C13" s="5" t="s">
        <v>12</v>
      </c>
      <c r="D13" s="11" t="s">
        <v>30</v>
      </c>
      <c r="E13" s="11" t="s">
        <v>28</v>
      </c>
    </row>
    <row r="14" spans="1:5">
      <c r="A14" s="43" t="s">
        <v>195</v>
      </c>
      <c r="B14" s="5" t="s">
        <v>12</v>
      </c>
      <c r="C14" s="5" t="s">
        <v>12</v>
      </c>
      <c r="D14" s="11" t="s">
        <v>620</v>
      </c>
      <c r="E14" s="11" t="s">
        <v>71</v>
      </c>
    </row>
    <row r="15" spans="1:5">
      <c r="A15" s="43" t="s">
        <v>621</v>
      </c>
      <c r="B15" s="5" t="s">
        <v>622</v>
      </c>
      <c r="C15" s="5" t="s">
        <v>622</v>
      </c>
      <c r="D15" s="11" t="s">
        <v>623</v>
      </c>
      <c r="E15" s="11" t="s">
        <v>36</v>
      </c>
    </row>
    <row r="16" spans="1:5">
      <c r="A16" s="43" t="s">
        <v>624</v>
      </c>
      <c r="B16" s="5" t="s">
        <v>11</v>
      </c>
      <c r="C16" s="5" t="s">
        <v>11</v>
      </c>
      <c r="D16" s="11" t="s">
        <v>22</v>
      </c>
      <c r="E16" s="11" t="s">
        <v>25</v>
      </c>
    </row>
    <row r="17" spans="1:5">
      <c r="A17" s="43" t="s">
        <v>625</v>
      </c>
      <c r="B17" s="5" t="s">
        <v>622</v>
      </c>
      <c r="C17" s="5" t="s">
        <v>622</v>
      </c>
      <c r="D17" s="11" t="s">
        <v>626</v>
      </c>
      <c r="E17" s="11" t="s">
        <v>36</v>
      </c>
    </row>
    <row r="18" spans="1:5">
      <c r="A18" s="43" t="s">
        <v>627</v>
      </c>
      <c r="B18" s="5" t="s">
        <v>12</v>
      </c>
      <c r="C18" s="5" t="s">
        <v>12</v>
      </c>
      <c r="D18" s="11" t="s">
        <v>22</v>
      </c>
      <c r="E18" s="11" t="s">
        <v>28</v>
      </c>
    </row>
    <row r="19" spans="1:5" ht="29">
      <c r="A19" s="43" t="s">
        <v>628</v>
      </c>
      <c r="B19" s="5" t="s">
        <v>9</v>
      </c>
      <c r="C19" s="5" t="s">
        <v>629</v>
      </c>
      <c r="D19" s="11" t="s">
        <v>630</v>
      </c>
      <c r="E19" s="11" t="s">
        <v>36</v>
      </c>
    </row>
    <row r="20" spans="1:5" ht="29">
      <c r="A20" s="43" t="s">
        <v>631</v>
      </c>
      <c r="B20" s="5" t="s">
        <v>9</v>
      </c>
      <c r="C20" s="5" t="s">
        <v>629</v>
      </c>
      <c r="D20" s="11" t="s">
        <v>630</v>
      </c>
      <c r="E20" s="11" t="s">
        <v>36</v>
      </c>
    </row>
    <row r="21" spans="1:5" ht="29">
      <c r="A21" s="43" t="s">
        <v>632</v>
      </c>
      <c r="B21" s="5" t="s">
        <v>9</v>
      </c>
      <c r="C21" s="5" t="s">
        <v>629</v>
      </c>
      <c r="D21" s="11" t="s">
        <v>630</v>
      </c>
      <c r="E21" s="11" t="s">
        <v>36</v>
      </c>
    </row>
    <row r="22" spans="1:5" ht="29">
      <c r="A22" s="43" t="s">
        <v>633</v>
      </c>
      <c r="B22" s="5" t="s">
        <v>9</v>
      </c>
      <c r="C22" s="5" t="s">
        <v>629</v>
      </c>
      <c r="D22" s="11" t="s">
        <v>630</v>
      </c>
      <c r="E22" s="11" t="s">
        <v>36</v>
      </c>
    </row>
    <row r="23" spans="1:5">
      <c r="A23" s="43" t="s">
        <v>235</v>
      </c>
      <c r="B23" s="5" t="s">
        <v>9</v>
      </c>
      <c r="C23" s="5" t="s">
        <v>629</v>
      </c>
      <c r="D23" t="s">
        <v>617</v>
      </c>
      <c r="E23" s="11" t="s">
        <v>28</v>
      </c>
    </row>
    <row r="24" spans="1:5">
      <c r="A24" s="43" t="s">
        <v>634</v>
      </c>
      <c r="B24" s="5" t="s">
        <v>9</v>
      </c>
      <c r="C24" s="5" t="s">
        <v>629</v>
      </c>
      <c r="D24" t="s">
        <v>617</v>
      </c>
      <c r="E24" s="11" t="s">
        <v>36</v>
      </c>
    </row>
    <row r="25" spans="1:5">
      <c r="A25" s="43" t="s">
        <v>635</v>
      </c>
      <c r="B25" s="5" t="s">
        <v>12</v>
      </c>
      <c r="C25" s="5" t="s">
        <v>12</v>
      </c>
      <c r="D25" s="11" t="s">
        <v>36</v>
      </c>
      <c r="E25" s="11" t="s">
        <v>28</v>
      </c>
    </row>
    <row r="26" spans="1:5">
      <c r="A26" s="43" t="s">
        <v>636</v>
      </c>
      <c r="B26" s="5" t="s">
        <v>12</v>
      </c>
      <c r="C26" s="5" t="s">
        <v>12</v>
      </c>
      <c r="D26" s="11" t="s">
        <v>22</v>
      </c>
      <c r="E26" s="11" t="s">
        <v>28</v>
      </c>
    </row>
    <row r="27" spans="1:5">
      <c r="A27" s="43" t="s">
        <v>122</v>
      </c>
      <c r="B27" s="5" t="s">
        <v>12</v>
      </c>
      <c r="C27" s="5" t="s">
        <v>12</v>
      </c>
      <c r="D27" s="11" t="s">
        <v>620</v>
      </c>
      <c r="E27" s="11" t="s">
        <v>36</v>
      </c>
    </row>
    <row r="28" spans="1:5">
      <c r="A28" s="43" t="s">
        <v>210</v>
      </c>
      <c r="B28" s="5" t="s">
        <v>9</v>
      </c>
      <c r="C28" s="5" t="s">
        <v>629</v>
      </c>
      <c r="D28" s="11" t="s">
        <v>872</v>
      </c>
      <c r="E28" s="11" t="s">
        <v>36</v>
      </c>
    </row>
    <row r="29" spans="1:5">
      <c r="A29" s="43" t="s">
        <v>202</v>
      </c>
      <c r="B29" s="5" t="s">
        <v>9</v>
      </c>
      <c r="C29" s="5" t="s">
        <v>629</v>
      </c>
      <c r="D29" s="11" t="s">
        <v>872</v>
      </c>
      <c r="E29" s="11" t="s">
        <v>36</v>
      </c>
    </row>
    <row r="30" spans="1:5">
      <c r="A30" s="43" t="s">
        <v>637</v>
      </c>
      <c r="B30" s="5" t="s">
        <v>11</v>
      </c>
      <c r="C30" s="5" t="s">
        <v>11</v>
      </c>
      <c r="D30" s="11" t="s">
        <v>22</v>
      </c>
      <c r="E30" s="11" t="s">
        <v>25</v>
      </c>
    </row>
    <row r="31" spans="1:5">
      <c r="A31" s="43" t="s">
        <v>638</v>
      </c>
      <c r="B31" s="5" t="s">
        <v>713</v>
      </c>
      <c r="C31" s="5" t="s">
        <v>713</v>
      </c>
      <c r="D31" s="11" t="s">
        <v>994</v>
      </c>
      <c r="E31" s="6" t="s">
        <v>610</v>
      </c>
    </row>
    <row r="32" spans="1:5">
      <c r="A32" s="44" t="s">
        <v>136</v>
      </c>
      <c r="B32" s="5" t="s">
        <v>9</v>
      </c>
      <c r="C32" s="5" t="s">
        <v>616</v>
      </c>
      <c r="D32" t="s">
        <v>617</v>
      </c>
      <c r="E32" s="11" t="s">
        <v>28</v>
      </c>
    </row>
    <row r="33" spans="1:5">
      <c r="A33" s="44" t="s">
        <v>68</v>
      </c>
      <c r="B33" s="5" t="s">
        <v>713</v>
      </c>
      <c r="C33" s="5" t="s">
        <v>713</v>
      </c>
      <c r="D33" s="11" t="s">
        <v>36</v>
      </c>
      <c r="E33" s="11" t="s">
        <v>69</v>
      </c>
    </row>
    <row r="34" spans="1:5">
      <c r="A34" s="44" t="s">
        <v>639</v>
      </c>
      <c r="B34" s="5" t="s">
        <v>12</v>
      </c>
      <c r="C34" s="5" t="s">
        <v>12</v>
      </c>
      <c r="D34" s="11" t="s">
        <v>36</v>
      </c>
      <c r="E34" s="11" t="s">
        <v>28</v>
      </c>
    </row>
    <row r="35" spans="1:5">
      <c r="A35" s="44" t="s">
        <v>640</v>
      </c>
      <c r="B35" s="5" t="s">
        <v>12</v>
      </c>
      <c r="C35" s="5" t="s">
        <v>12</v>
      </c>
      <c r="D35" s="11" t="s">
        <v>620</v>
      </c>
      <c r="E35" s="11" t="s">
        <v>28</v>
      </c>
    </row>
    <row r="36" spans="1:5">
      <c r="A36" s="44" t="s">
        <v>641</v>
      </c>
      <c r="B36" s="5" t="s">
        <v>12</v>
      </c>
      <c r="C36" s="5" t="s">
        <v>12</v>
      </c>
      <c r="D36" s="11" t="s">
        <v>36</v>
      </c>
      <c r="E36" s="11" t="s">
        <v>642</v>
      </c>
    </row>
    <row r="37" spans="1:5">
      <c r="A37" s="4" t="s">
        <v>26</v>
      </c>
      <c r="B37" s="5" t="s">
        <v>12</v>
      </c>
      <c r="C37" s="5" t="s">
        <v>12</v>
      </c>
      <c r="D37" s="11" t="s">
        <v>27</v>
      </c>
      <c r="E37" s="11" t="s">
        <v>28</v>
      </c>
    </row>
    <row r="38" spans="1:5">
      <c r="A38" s="44" t="s">
        <v>643</v>
      </c>
      <c r="B38" s="5" t="s">
        <v>12</v>
      </c>
      <c r="C38" s="5" t="s">
        <v>12</v>
      </c>
      <c r="D38" s="11" t="s">
        <v>620</v>
      </c>
      <c r="E38" s="11" t="s">
        <v>71</v>
      </c>
    </row>
    <row r="39" spans="1:5">
      <c r="A39" s="44" t="s">
        <v>644</v>
      </c>
      <c r="B39" s="5" t="s">
        <v>12</v>
      </c>
      <c r="C39" s="5" t="s">
        <v>12</v>
      </c>
      <c r="D39" s="11" t="s">
        <v>30</v>
      </c>
      <c r="E39" s="11" t="s">
        <v>28</v>
      </c>
    </row>
    <row r="40" spans="1:5">
      <c r="A40" s="44" t="s">
        <v>29</v>
      </c>
      <c r="B40" s="5" t="s">
        <v>12</v>
      </c>
      <c r="C40" s="5" t="s">
        <v>12</v>
      </c>
      <c r="D40" s="11" t="s">
        <v>30</v>
      </c>
      <c r="E40" s="11" t="s">
        <v>28</v>
      </c>
    </row>
    <row r="41" spans="1:5">
      <c r="A41" s="44" t="s">
        <v>138</v>
      </c>
      <c r="B41" s="5" t="s">
        <v>12</v>
      </c>
      <c r="C41" s="5" t="s">
        <v>12</v>
      </c>
      <c r="D41" s="11" t="s">
        <v>620</v>
      </c>
      <c r="E41" s="11" t="s">
        <v>71</v>
      </c>
    </row>
    <row r="42" spans="1:5">
      <c r="A42" s="44" t="s">
        <v>645</v>
      </c>
      <c r="B42" s="5" t="s">
        <v>12</v>
      </c>
      <c r="C42" s="5" t="s">
        <v>12</v>
      </c>
      <c r="D42" s="11" t="s">
        <v>36</v>
      </c>
      <c r="E42" s="11" t="s">
        <v>35</v>
      </c>
    </row>
    <row r="43" spans="1:5">
      <c r="A43" s="44" t="s">
        <v>646</v>
      </c>
      <c r="B43" s="5" t="s">
        <v>11</v>
      </c>
      <c r="C43" s="5" t="s">
        <v>11</v>
      </c>
      <c r="D43" s="11" t="s">
        <v>22</v>
      </c>
      <c r="E43" s="11" t="s">
        <v>23</v>
      </c>
    </row>
    <row r="44" spans="1:5">
      <c r="A44" s="44" t="s">
        <v>647</v>
      </c>
      <c r="B44" s="5" t="s">
        <v>10</v>
      </c>
      <c r="C44" s="5" t="s">
        <v>10</v>
      </c>
      <c r="D44" s="19" t="s">
        <v>35</v>
      </c>
      <c r="E44" s="11" t="s">
        <v>28</v>
      </c>
    </row>
    <row r="45" spans="1:5">
      <c r="A45" s="44" t="s">
        <v>648</v>
      </c>
      <c r="B45" s="5" t="s">
        <v>12</v>
      </c>
      <c r="C45" s="5" t="s">
        <v>12</v>
      </c>
      <c r="D45" s="15" t="s">
        <v>27</v>
      </c>
      <c r="E45" s="11" t="s">
        <v>28</v>
      </c>
    </row>
    <row r="46" spans="1:5">
      <c r="A46" s="44" t="s">
        <v>219</v>
      </c>
      <c r="B46" s="5" t="s">
        <v>12</v>
      </c>
      <c r="C46" s="5" t="s">
        <v>12</v>
      </c>
      <c r="D46" s="11" t="s">
        <v>36</v>
      </c>
      <c r="E46" s="11" t="s">
        <v>649</v>
      </c>
    </row>
    <row r="47" spans="1:5">
      <c r="A47" s="44" t="s">
        <v>224</v>
      </c>
      <c r="B47" s="5" t="s">
        <v>9</v>
      </c>
      <c r="C47" s="5" t="s">
        <v>629</v>
      </c>
      <c r="D47" t="s">
        <v>617</v>
      </c>
      <c r="E47" s="11" t="s">
        <v>650</v>
      </c>
    </row>
    <row r="48" spans="1:5">
      <c r="A48" s="44" t="s">
        <v>639</v>
      </c>
      <c r="B48" s="5" t="s">
        <v>12</v>
      </c>
      <c r="C48" s="5" t="s">
        <v>12</v>
      </c>
      <c r="D48" s="11" t="s">
        <v>651</v>
      </c>
      <c r="E48" s="11" t="s">
        <v>28</v>
      </c>
    </row>
    <row r="49" spans="1:5">
      <c r="A49" s="44" t="s">
        <v>226</v>
      </c>
      <c r="B49" s="5" t="s">
        <v>12</v>
      </c>
      <c r="C49" s="5" t="s">
        <v>12</v>
      </c>
      <c r="D49" s="11" t="s">
        <v>651</v>
      </c>
      <c r="E49" s="11" t="s">
        <v>28</v>
      </c>
    </row>
    <row r="50" spans="1:5">
      <c r="A50" s="44" t="s">
        <v>91</v>
      </c>
      <c r="B50" s="5" t="s">
        <v>12</v>
      </c>
      <c r="C50" s="5" t="s">
        <v>12</v>
      </c>
      <c r="D50" s="11" t="s">
        <v>36</v>
      </c>
      <c r="E50" s="11" t="s">
        <v>28</v>
      </c>
    </row>
    <row r="51" spans="1:5">
      <c r="A51" s="44" t="s">
        <v>652</v>
      </c>
      <c r="B51" s="5" t="s">
        <v>12</v>
      </c>
      <c r="C51" s="5" t="s">
        <v>12</v>
      </c>
      <c r="D51" s="11" t="s">
        <v>30</v>
      </c>
      <c r="E51" s="11" t="s">
        <v>28</v>
      </c>
    </row>
    <row r="52" spans="1:5">
      <c r="A52" s="44" t="s">
        <v>92</v>
      </c>
      <c r="B52" s="5" t="s">
        <v>12</v>
      </c>
      <c r="C52" s="5" t="s">
        <v>12</v>
      </c>
      <c r="D52" s="15" t="s">
        <v>651</v>
      </c>
      <c r="E52" s="11" t="s">
        <v>28</v>
      </c>
    </row>
    <row r="53" spans="1:5" ht="29">
      <c r="A53" s="44" t="s">
        <v>653</v>
      </c>
      <c r="B53" s="5" t="s">
        <v>11</v>
      </c>
      <c r="C53" s="5" t="s">
        <v>11</v>
      </c>
      <c r="D53" s="11" t="s">
        <v>22</v>
      </c>
      <c r="E53" s="11" t="s">
        <v>23</v>
      </c>
    </row>
    <row r="54" spans="1:5">
      <c r="A54" s="44" t="s">
        <v>654</v>
      </c>
      <c r="B54" s="5" t="s">
        <v>9</v>
      </c>
      <c r="C54" s="5" t="s">
        <v>616</v>
      </c>
      <c r="D54" s="11" t="s">
        <v>617</v>
      </c>
      <c r="E54" s="11" t="s">
        <v>81</v>
      </c>
    </row>
    <row r="55" spans="1:5">
      <c r="A55" s="44" t="s">
        <v>655</v>
      </c>
      <c r="B55" s="5" t="s">
        <v>12</v>
      </c>
      <c r="C55" s="5" t="s">
        <v>12</v>
      </c>
      <c r="D55" s="11" t="s">
        <v>651</v>
      </c>
      <c r="E55" s="11" t="s">
        <v>28</v>
      </c>
    </row>
    <row r="56" spans="1:5" ht="29">
      <c r="A56" s="44" t="s">
        <v>75</v>
      </c>
      <c r="B56" s="5" t="s">
        <v>10</v>
      </c>
      <c r="C56" s="5" t="s">
        <v>10</v>
      </c>
      <c r="D56" s="11" t="s">
        <v>56</v>
      </c>
      <c r="E56" s="11" t="s">
        <v>69</v>
      </c>
    </row>
    <row r="57" spans="1:5">
      <c r="A57" s="44" t="s">
        <v>234</v>
      </c>
      <c r="B57" s="5" t="s">
        <v>9</v>
      </c>
      <c r="C57" s="5" t="s">
        <v>629</v>
      </c>
      <c r="D57" t="s">
        <v>617</v>
      </c>
      <c r="E57" s="11" t="s">
        <v>28</v>
      </c>
    </row>
    <row r="58" spans="1:5">
      <c r="A58" s="44" t="s">
        <v>235</v>
      </c>
      <c r="B58" s="5" t="s">
        <v>9</v>
      </c>
      <c r="C58" s="5" t="s">
        <v>629</v>
      </c>
      <c r="D58" t="s">
        <v>617</v>
      </c>
      <c r="E58" s="11" t="s">
        <v>28</v>
      </c>
    </row>
    <row r="59" spans="1:5">
      <c r="A59" s="44" t="s">
        <v>236</v>
      </c>
      <c r="B59" s="5" t="s">
        <v>9</v>
      </c>
      <c r="C59" s="5" t="s">
        <v>629</v>
      </c>
      <c r="D59" t="s">
        <v>617</v>
      </c>
      <c r="E59" s="11" t="s">
        <v>28</v>
      </c>
    </row>
    <row r="60" spans="1:5">
      <c r="A60" s="44" t="s">
        <v>237</v>
      </c>
      <c r="B60" s="5" t="s">
        <v>9</v>
      </c>
      <c r="C60" s="5" t="s">
        <v>616</v>
      </c>
      <c r="D60" t="s">
        <v>617</v>
      </c>
      <c r="E60" s="11" t="s">
        <v>28</v>
      </c>
    </row>
    <row r="61" spans="1:5">
      <c r="A61" s="44" t="s">
        <v>656</v>
      </c>
      <c r="B61" s="5" t="s">
        <v>12</v>
      </c>
      <c r="C61" s="5" t="s">
        <v>12</v>
      </c>
      <c r="D61" s="11" t="s">
        <v>22</v>
      </c>
      <c r="E61" s="11" t="s">
        <v>25</v>
      </c>
    </row>
    <row r="62" spans="1:5">
      <c r="A62" s="44" t="s">
        <v>241</v>
      </c>
      <c r="B62" s="5" t="s">
        <v>12</v>
      </c>
      <c r="C62" s="5" t="s">
        <v>12</v>
      </c>
      <c r="D62" s="11" t="s">
        <v>620</v>
      </c>
      <c r="E62" s="11" t="s">
        <v>28</v>
      </c>
    </row>
    <row r="63" spans="1:5">
      <c r="A63" s="44" t="s">
        <v>640</v>
      </c>
      <c r="B63" s="5" t="s">
        <v>12</v>
      </c>
      <c r="C63" s="5" t="s">
        <v>12</v>
      </c>
      <c r="D63" s="11" t="s">
        <v>620</v>
      </c>
      <c r="E63" s="11" t="s">
        <v>28</v>
      </c>
    </row>
    <row r="64" spans="1:5">
      <c r="A64" s="44" t="s">
        <v>657</v>
      </c>
      <c r="B64" s="5" t="s">
        <v>9</v>
      </c>
      <c r="C64" s="5" t="s">
        <v>616</v>
      </c>
      <c r="D64" s="11" t="s">
        <v>872</v>
      </c>
      <c r="E64" s="11" t="s">
        <v>658</v>
      </c>
    </row>
    <row r="65" spans="1:5">
      <c r="A65" s="44" t="s">
        <v>641</v>
      </c>
      <c r="B65" s="5" t="s">
        <v>12</v>
      </c>
      <c r="C65" s="5" t="s">
        <v>12</v>
      </c>
      <c r="D65" s="11" t="s">
        <v>36</v>
      </c>
      <c r="E65" s="11" t="s">
        <v>642</v>
      </c>
    </row>
    <row r="66" spans="1:5">
      <c r="A66" s="44" t="s">
        <v>635</v>
      </c>
      <c r="B66" s="5" t="s">
        <v>12</v>
      </c>
      <c r="C66" s="5" t="s">
        <v>12</v>
      </c>
      <c r="D66" s="11" t="s">
        <v>36</v>
      </c>
      <c r="E66" s="11" t="s">
        <v>28</v>
      </c>
    </row>
    <row r="67" spans="1:5">
      <c r="A67" s="44" t="s">
        <v>659</v>
      </c>
      <c r="B67" s="5" t="s">
        <v>12</v>
      </c>
      <c r="C67" s="5" t="s">
        <v>12</v>
      </c>
      <c r="D67" s="11" t="s">
        <v>651</v>
      </c>
      <c r="E67" s="11" t="s">
        <v>28</v>
      </c>
    </row>
    <row r="68" spans="1:5">
      <c r="A68" s="44" t="s">
        <v>80</v>
      </c>
      <c r="B68" s="5" t="s">
        <v>10</v>
      </c>
      <c r="C68" s="5" t="s">
        <v>10</v>
      </c>
      <c r="D68" s="11" t="s">
        <v>35</v>
      </c>
      <c r="E68" s="11" t="s">
        <v>81</v>
      </c>
    </row>
    <row r="69" spans="1:5" ht="29">
      <c r="A69" s="44" t="s">
        <v>660</v>
      </c>
      <c r="B69" s="5" t="s">
        <v>11</v>
      </c>
      <c r="C69" s="5" t="s">
        <v>11</v>
      </c>
      <c r="D69" s="11" t="s">
        <v>22</v>
      </c>
      <c r="E69" s="11" t="s">
        <v>23</v>
      </c>
    </row>
    <row r="70" spans="1:5">
      <c r="A70" s="44" t="s">
        <v>661</v>
      </c>
      <c r="B70" s="5" t="s">
        <v>12</v>
      </c>
      <c r="C70" s="5" t="s">
        <v>12</v>
      </c>
      <c r="D70" s="11" t="s">
        <v>30</v>
      </c>
      <c r="E70" s="11" t="s">
        <v>28</v>
      </c>
    </row>
    <row r="71" spans="1:5">
      <c r="A71" s="44" t="s">
        <v>662</v>
      </c>
      <c r="B71" s="5" t="s">
        <v>12</v>
      </c>
      <c r="C71" s="5" t="s">
        <v>12</v>
      </c>
      <c r="D71" s="11" t="s">
        <v>651</v>
      </c>
      <c r="E71" s="11" t="s">
        <v>28</v>
      </c>
    </row>
    <row r="72" spans="1:5">
      <c r="A72" s="44" t="s">
        <v>619</v>
      </c>
      <c r="B72" s="5" t="s">
        <v>12</v>
      </c>
      <c r="C72" s="5" t="s">
        <v>12</v>
      </c>
      <c r="D72" s="11" t="s">
        <v>620</v>
      </c>
      <c r="E72" s="11" t="s">
        <v>28</v>
      </c>
    </row>
    <row r="73" spans="1:5">
      <c r="A73" s="44" t="s">
        <v>108</v>
      </c>
      <c r="B73" s="5" t="s">
        <v>12</v>
      </c>
      <c r="C73" s="5" t="s">
        <v>12</v>
      </c>
      <c r="D73" s="11" t="s">
        <v>36</v>
      </c>
      <c r="E73" s="11" t="s">
        <v>71</v>
      </c>
    </row>
    <row r="74" spans="1:5" ht="29">
      <c r="A74" s="44" t="s">
        <v>663</v>
      </c>
      <c r="B74" s="5" t="s">
        <v>10</v>
      </c>
      <c r="C74" s="5" t="s">
        <v>10</v>
      </c>
      <c r="D74" s="11" t="s">
        <v>36</v>
      </c>
      <c r="E74" s="11" t="s">
        <v>664</v>
      </c>
    </row>
    <row r="75" spans="1:5">
      <c r="A75" s="44" t="s">
        <v>244</v>
      </c>
      <c r="B75" s="5" t="s">
        <v>9</v>
      </c>
      <c r="C75" s="5" t="s">
        <v>616</v>
      </c>
      <c r="D75" s="11" t="s">
        <v>617</v>
      </c>
      <c r="E75" s="11" t="s">
        <v>81</v>
      </c>
    </row>
    <row r="76" spans="1:5">
      <c r="A76" s="44" t="s">
        <v>665</v>
      </c>
      <c r="B76" s="5" t="s">
        <v>12</v>
      </c>
      <c r="C76" s="5" t="s">
        <v>12</v>
      </c>
      <c r="D76" s="11" t="s">
        <v>27</v>
      </c>
      <c r="E76" s="11" t="s">
        <v>28</v>
      </c>
    </row>
    <row r="77" spans="1:5">
      <c r="A77" s="44" t="s">
        <v>195</v>
      </c>
      <c r="B77" s="5" t="s">
        <v>12</v>
      </c>
      <c r="C77" s="5" t="s">
        <v>12</v>
      </c>
      <c r="D77" s="11" t="s">
        <v>620</v>
      </c>
      <c r="E77" s="11" t="s">
        <v>36</v>
      </c>
    </row>
    <row r="78" spans="1:5">
      <c r="A78" s="44" t="s">
        <v>122</v>
      </c>
      <c r="B78" s="5" t="s">
        <v>12</v>
      </c>
      <c r="C78" s="5" t="s">
        <v>12</v>
      </c>
      <c r="D78" s="11" t="s">
        <v>620</v>
      </c>
      <c r="E78" s="11" t="s">
        <v>36</v>
      </c>
    </row>
    <row r="79" spans="1:5">
      <c r="A79" s="44" t="s">
        <v>57</v>
      </c>
      <c r="B79" s="5" t="s">
        <v>713</v>
      </c>
      <c r="C79" s="5" t="s">
        <v>713</v>
      </c>
      <c r="D79" s="11" t="s">
        <v>875</v>
      </c>
      <c r="E79" s="6" t="s">
        <v>59</v>
      </c>
    </row>
    <row r="80" spans="1:5">
      <c r="A80" s="43" t="s">
        <v>199</v>
      </c>
      <c r="B80" s="5" t="s">
        <v>9</v>
      </c>
      <c r="C80" s="5" t="s">
        <v>616</v>
      </c>
      <c r="D80" s="11" t="s">
        <v>872</v>
      </c>
      <c r="E80" s="11" t="s">
        <v>36</v>
      </c>
    </row>
    <row r="81" spans="1:5">
      <c r="A81" s="43" t="s">
        <v>666</v>
      </c>
      <c r="B81" s="5" t="s">
        <v>10</v>
      </c>
      <c r="C81" s="5" t="s">
        <v>10</v>
      </c>
      <c r="D81" s="11" t="s">
        <v>32</v>
      </c>
      <c r="E81" s="11" t="s">
        <v>69</v>
      </c>
    </row>
    <row r="82" spans="1:5">
      <c r="A82" s="43" t="s">
        <v>211</v>
      </c>
      <c r="B82" s="5" t="s">
        <v>12</v>
      </c>
      <c r="C82" s="5" t="s">
        <v>12</v>
      </c>
      <c r="D82" s="11" t="s">
        <v>27</v>
      </c>
      <c r="E82" s="11" t="s">
        <v>36</v>
      </c>
    </row>
    <row r="83" spans="1:5">
      <c r="A83" s="43" t="s">
        <v>176</v>
      </c>
      <c r="B83" s="5" t="s">
        <v>713</v>
      </c>
      <c r="C83" s="5" t="s">
        <v>629</v>
      </c>
      <c r="D83" s="11" t="s">
        <v>875</v>
      </c>
      <c r="E83" s="11" t="s">
        <v>36</v>
      </c>
    </row>
    <row r="84" spans="1:5">
      <c r="A84" s="43" t="s">
        <v>203</v>
      </c>
      <c r="B84" s="5" t="s">
        <v>9</v>
      </c>
      <c r="C84" s="5" t="s">
        <v>629</v>
      </c>
      <c r="D84" s="11" t="s">
        <v>872</v>
      </c>
      <c r="E84" s="11" t="s">
        <v>36</v>
      </c>
    </row>
    <row r="85" spans="1:5">
      <c r="A85" s="43" t="s">
        <v>204</v>
      </c>
      <c r="B85" s="5" t="s">
        <v>9</v>
      </c>
      <c r="C85" s="5" t="s">
        <v>629</v>
      </c>
      <c r="D85" s="11" t="s">
        <v>872</v>
      </c>
      <c r="E85" s="11" t="s">
        <v>36</v>
      </c>
    </row>
    <row r="86" spans="1:5">
      <c r="A86" s="43" t="s">
        <v>210</v>
      </c>
      <c r="B86" s="5" t="s">
        <v>9</v>
      </c>
      <c r="C86" s="5" t="s">
        <v>629</v>
      </c>
      <c r="D86" s="11" t="s">
        <v>872</v>
      </c>
      <c r="E86" s="11" t="s">
        <v>36</v>
      </c>
    </row>
    <row r="87" spans="1:5">
      <c r="A87" s="43" t="s">
        <v>73</v>
      </c>
      <c r="B87" s="5" t="s">
        <v>713</v>
      </c>
      <c r="C87" s="5" t="s">
        <v>713</v>
      </c>
      <c r="D87" s="11" t="s">
        <v>875</v>
      </c>
      <c r="E87" s="11" t="s">
        <v>69</v>
      </c>
    </row>
    <row r="88" spans="1:5">
      <c r="A88" t="s">
        <v>849</v>
      </c>
      <c r="B88" s="5" t="s">
        <v>713</v>
      </c>
      <c r="C88" s="5" t="s">
        <v>713</v>
      </c>
      <c r="D88" s="11" t="s">
        <v>996</v>
      </c>
      <c r="E88" s="11" t="s">
        <v>69</v>
      </c>
    </row>
    <row r="89" spans="1:5">
      <c r="A89" s="43" t="s">
        <v>667</v>
      </c>
      <c r="B89" s="11" t="s">
        <v>622</v>
      </c>
      <c r="C89" s="5" t="s">
        <v>622</v>
      </c>
      <c r="D89" s="11" t="s">
        <v>668</v>
      </c>
      <c r="E89" s="11" t="s">
        <v>668</v>
      </c>
    </row>
    <row r="90" spans="1:5">
      <c r="A90" s="43" t="s">
        <v>669</v>
      </c>
      <c r="B90" s="5" t="s">
        <v>10</v>
      </c>
      <c r="C90" s="5" t="s">
        <v>10</v>
      </c>
      <c r="D90" s="11" t="s">
        <v>56</v>
      </c>
      <c r="E90" s="6" t="s">
        <v>670</v>
      </c>
    </row>
    <row r="91" spans="1:5">
      <c r="A91" s="43" t="s">
        <v>202</v>
      </c>
      <c r="B91" s="5" t="s">
        <v>9</v>
      </c>
      <c r="C91" s="5" t="s">
        <v>629</v>
      </c>
      <c r="D91" s="11" t="s">
        <v>872</v>
      </c>
      <c r="E91" s="11" t="s">
        <v>36</v>
      </c>
    </row>
    <row r="92" spans="1:5">
      <c r="A92" s="43" t="s">
        <v>671</v>
      </c>
      <c r="B92" s="5" t="s">
        <v>12</v>
      </c>
      <c r="C92" s="5" t="s">
        <v>12</v>
      </c>
      <c r="D92" s="11" t="s">
        <v>22</v>
      </c>
      <c r="E92" s="11" t="s">
        <v>36</v>
      </c>
    </row>
    <row r="93" spans="1:5">
      <c r="A93" s="43" t="s">
        <v>672</v>
      </c>
      <c r="B93" s="5" t="s">
        <v>12</v>
      </c>
      <c r="C93" s="5" t="s">
        <v>12</v>
      </c>
      <c r="D93" s="11" t="s">
        <v>673</v>
      </c>
      <c r="E93" s="11" t="s">
        <v>673</v>
      </c>
    </row>
    <row r="94" spans="1:5">
      <c r="A94" s="43" t="s">
        <v>209</v>
      </c>
      <c r="B94" s="5" t="s">
        <v>9</v>
      </c>
      <c r="C94" s="5" t="s">
        <v>629</v>
      </c>
      <c r="D94" s="11" t="s">
        <v>872</v>
      </c>
      <c r="E94" s="11" t="s">
        <v>610</v>
      </c>
    </row>
    <row r="95" spans="1:5">
      <c r="A95" s="43" t="s">
        <v>637</v>
      </c>
      <c r="B95" s="5" t="s">
        <v>11</v>
      </c>
      <c r="C95" s="5" t="s">
        <v>11</v>
      </c>
      <c r="D95" s="11" t="s">
        <v>22</v>
      </c>
      <c r="E95" s="11" t="s">
        <v>25</v>
      </c>
    </row>
    <row r="96" spans="1:5">
      <c r="A96" s="43" t="s">
        <v>624</v>
      </c>
      <c r="B96" s="5" t="s">
        <v>11</v>
      </c>
      <c r="C96" s="5" t="s">
        <v>11</v>
      </c>
      <c r="D96" s="11" t="s">
        <v>22</v>
      </c>
      <c r="E96" s="11" t="s">
        <v>25</v>
      </c>
    </row>
    <row r="97" spans="1:5">
      <c r="A97" s="43" t="s">
        <v>196</v>
      </c>
      <c r="B97" s="5" t="s">
        <v>12</v>
      </c>
      <c r="C97" s="5" t="s">
        <v>12</v>
      </c>
      <c r="D97" s="11" t="s">
        <v>620</v>
      </c>
      <c r="E97" s="11" t="s">
        <v>71</v>
      </c>
    </row>
    <row r="98" spans="1:5">
      <c r="A98" s="43" t="s">
        <v>674</v>
      </c>
      <c r="B98" s="11" t="s">
        <v>10</v>
      </c>
      <c r="C98" s="5" t="s">
        <v>10</v>
      </c>
      <c r="D98" s="11" t="s">
        <v>32</v>
      </c>
      <c r="E98" s="6" t="s">
        <v>33</v>
      </c>
    </row>
    <row r="99" spans="1:5">
      <c r="A99" s="43" t="s">
        <v>675</v>
      </c>
      <c r="B99" s="5" t="s">
        <v>12</v>
      </c>
      <c r="C99" s="5" t="s">
        <v>12</v>
      </c>
      <c r="D99" s="11" t="s">
        <v>22</v>
      </c>
      <c r="E99" s="11" t="s">
        <v>28</v>
      </c>
    </row>
    <row r="100" spans="1:5">
      <c r="A100" s="43" t="s">
        <v>676</v>
      </c>
      <c r="B100" s="5" t="s">
        <v>10</v>
      </c>
      <c r="C100" s="5" t="s">
        <v>10</v>
      </c>
      <c r="D100" s="11" t="s">
        <v>32</v>
      </c>
      <c r="E100" s="6" t="s">
        <v>610</v>
      </c>
    </row>
    <row r="101" spans="1:5">
      <c r="A101" s="43" t="s">
        <v>614</v>
      </c>
      <c r="B101" s="5" t="s">
        <v>12</v>
      </c>
      <c r="C101" s="5" t="s">
        <v>12</v>
      </c>
      <c r="D101" s="11" t="s">
        <v>36</v>
      </c>
      <c r="E101" s="11" t="s">
        <v>71</v>
      </c>
    </row>
    <row r="102" spans="1:5">
      <c r="A102" s="43" t="s">
        <v>677</v>
      </c>
      <c r="B102" s="5" t="s">
        <v>10</v>
      </c>
      <c r="C102" s="5" t="s">
        <v>10</v>
      </c>
      <c r="D102" s="11" t="s">
        <v>56</v>
      </c>
      <c r="E102" s="6" t="s">
        <v>670</v>
      </c>
    </row>
    <row r="103" spans="1:5">
      <c r="A103" s="43" t="s">
        <v>678</v>
      </c>
      <c r="B103" s="5" t="s">
        <v>12</v>
      </c>
      <c r="C103" s="5" t="s">
        <v>12</v>
      </c>
      <c r="D103" s="11" t="s">
        <v>22</v>
      </c>
      <c r="E103" s="11" t="s">
        <v>28</v>
      </c>
    </row>
    <row r="104" spans="1:5">
      <c r="A104" s="43" t="s">
        <v>679</v>
      </c>
      <c r="B104" s="5" t="s">
        <v>10</v>
      </c>
      <c r="C104" s="5" t="s">
        <v>10</v>
      </c>
      <c r="D104" s="11" t="s">
        <v>56</v>
      </c>
      <c r="E104" s="6" t="s">
        <v>670</v>
      </c>
    </row>
    <row r="105" spans="1:5">
      <c r="A105" s="43" t="s">
        <v>201</v>
      </c>
      <c r="B105" s="5" t="s">
        <v>12</v>
      </c>
      <c r="C105" s="5" t="s">
        <v>12</v>
      </c>
      <c r="D105" s="11" t="s">
        <v>27</v>
      </c>
      <c r="E105" s="11" t="s">
        <v>25</v>
      </c>
    </row>
    <row r="106" spans="1:5">
      <c r="A106" s="43" t="s">
        <v>680</v>
      </c>
      <c r="B106" s="5" t="s">
        <v>9</v>
      </c>
      <c r="C106" s="5" t="s">
        <v>629</v>
      </c>
      <c r="D106" s="11" t="s">
        <v>630</v>
      </c>
      <c r="E106" s="11" t="s">
        <v>36</v>
      </c>
    </row>
    <row r="107" spans="1:5">
      <c r="A107" s="43" t="s">
        <v>681</v>
      </c>
      <c r="B107" s="5" t="s">
        <v>10</v>
      </c>
      <c r="C107" s="5" t="s">
        <v>10</v>
      </c>
      <c r="D107" s="11" t="s">
        <v>32</v>
      </c>
      <c r="E107" s="6" t="s">
        <v>33</v>
      </c>
    </row>
    <row r="108" spans="1:5">
      <c r="A108" s="43" t="s">
        <v>682</v>
      </c>
      <c r="B108" s="5" t="s">
        <v>11</v>
      </c>
      <c r="C108" s="5" t="s">
        <v>11</v>
      </c>
      <c r="D108" s="11" t="s">
        <v>22</v>
      </c>
      <c r="E108" s="11" t="s">
        <v>25</v>
      </c>
    </row>
    <row r="109" spans="1:5">
      <c r="A109" s="43" t="s">
        <v>683</v>
      </c>
      <c r="B109" s="5" t="s">
        <v>12</v>
      </c>
      <c r="C109" s="5" t="s">
        <v>12</v>
      </c>
      <c r="D109" s="11" t="s">
        <v>22</v>
      </c>
      <c r="E109" s="11" t="s">
        <v>36</v>
      </c>
    </row>
    <row r="110" spans="1:5">
      <c r="A110" s="43" t="s">
        <v>684</v>
      </c>
      <c r="B110" s="5" t="s">
        <v>12</v>
      </c>
      <c r="C110" s="5" t="s">
        <v>12</v>
      </c>
      <c r="D110" s="11" t="s">
        <v>620</v>
      </c>
      <c r="E110" s="11" t="s">
        <v>36</v>
      </c>
    </row>
    <row r="111" spans="1:5">
      <c r="A111" s="43" t="s">
        <v>685</v>
      </c>
      <c r="B111" s="5" t="s">
        <v>11</v>
      </c>
      <c r="C111" s="5" t="s">
        <v>11</v>
      </c>
      <c r="D111" s="11" t="s">
        <v>22</v>
      </c>
      <c r="E111" s="11" t="s">
        <v>25</v>
      </c>
    </row>
    <row r="112" spans="1:5">
      <c r="A112" s="43" t="s">
        <v>686</v>
      </c>
      <c r="B112" s="11" t="s">
        <v>10</v>
      </c>
      <c r="C112" s="5" t="s">
        <v>10</v>
      </c>
      <c r="D112" s="11" t="s">
        <v>56</v>
      </c>
      <c r="E112" s="11" t="s">
        <v>36</v>
      </c>
    </row>
    <row r="113" spans="1:5">
      <c r="A113" s="43" t="s">
        <v>687</v>
      </c>
      <c r="B113" s="11" t="s">
        <v>10</v>
      </c>
      <c r="C113" s="5" t="s">
        <v>10</v>
      </c>
      <c r="D113" s="11" t="s">
        <v>35</v>
      </c>
      <c r="E113" s="11" t="s">
        <v>36</v>
      </c>
    </row>
    <row r="114" spans="1:5">
      <c r="A114" s="43" t="s">
        <v>688</v>
      </c>
      <c r="B114" s="5" t="s">
        <v>12</v>
      </c>
      <c r="C114" s="5" t="s">
        <v>12</v>
      </c>
      <c r="D114" s="11" t="s">
        <v>36</v>
      </c>
      <c r="E114" s="11" t="s">
        <v>642</v>
      </c>
    </row>
    <row r="115" spans="1:5">
      <c r="A115" s="43" t="s">
        <v>689</v>
      </c>
      <c r="B115" s="11" t="s">
        <v>10</v>
      </c>
      <c r="C115" s="5" t="s">
        <v>10</v>
      </c>
      <c r="D115" s="11" t="s">
        <v>56</v>
      </c>
      <c r="E115" s="11" t="s">
        <v>69</v>
      </c>
    </row>
    <row r="116" spans="1:5">
      <c r="A116" s="43" t="s">
        <v>690</v>
      </c>
      <c r="B116" s="11" t="s">
        <v>10</v>
      </c>
      <c r="C116" s="5" t="s">
        <v>10</v>
      </c>
      <c r="D116" s="20" t="s">
        <v>56</v>
      </c>
      <c r="E116" s="11" t="s">
        <v>69</v>
      </c>
    </row>
    <row r="117" spans="1:5">
      <c r="A117" s="44" t="s">
        <v>691</v>
      </c>
      <c r="B117" s="11" t="s">
        <v>10</v>
      </c>
      <c r="C117" s="5" t="s">
        <v>10</v>
      </c>
      <c r="D117" s="11" t="s">
        <v>32</v>
      </c>
      <c r="E117" s="11" t="s">
        <v>33</v>
      </c>
    </row>
    <row r="118" spans="1:5">
      <c r="A118" s="44" t="s">
        <v>692</v>
      </c>
      <c r="B118" s="11" t="s">
        <v>10</v>
      </c>
      <c r="C118" s="5" t="s">
        <v>10</v>
      </c>
      <c r="D118" s="11" t="s">
        <v>56</v>
      </c>
      <c r="E118" s="11" t="s">
        <v>36</v>
      </c>
    </row>
    <row r="119" spans="1:5">
      <c r="A119" s="44" t="s">
        <v>693</v>
      </c>
      <c r="B119" s="11" t="s">
        <v>10</v>
      </c>
      <c r="C119" s="5" t="s">
        <v>10</v>
      </c>
      <c r="D119" s="11" t="s">
        <v>56</v>
      </c>
      <c r="E119" s="11" t="s">
        <v>36</v>
      </c>
    </row>
    <row r="120" spans="1:5">
      <c r="A120" s="44" t="s">
        <v>694</v>
      </c>
      <c r="B120" s="5" t="s">
        <v>9</v>
      </c>
      <c r="C120" s="5" t="s">
        <v>629</v>
      </c>
      <c r="D120" s="11" t="s">
        <v>617</v>
      </c>
      <c r="E120" s="11" t="s">
        <v>36</v>
      </c>
    </row>
    <row r="121" spans="1:5">
      <c r="A121" s="44" t="s">
        <v>82</v>
      </c>
      <c r="B121" s="11" t="s">
        <v>10</v>
      </c>
      <c r="C121" s="5" t="s">
        <v>10</v>
      </c>
      <c r="D121" s="11" t="s">
        <v>56</v>
      </c>
      <c r="E121" s="11" t="s">
        <v>36</v>
      </c>
    </row>
    <row r="122" spans="1:5">
      <c r="A122" s="43" t="s">
        <v>198</v>
      </c>
      <c r="B122" s="5" t="s">
        <v>9</v>
      </c>
      <c r="C122" s="5" t="s">
        <v>629</v>
      </c>
      <c r="D122" s="11" t="s">
        <v>872</v>
      </c>
      <c r="E122" s="11" t="s">
        <v>36</v>
      </c>
    </row>
    <row r="123" spans="1:5">
      <c r="A123" s="43" t="s">
        <v>34</v>
      </c>
      <c r="B123" s="11" t="s">
        <v>10</v>
      </c>
      <c r="C123" s="5" t="s">
        <v>10</v>
      </c>
      <c r="D123" s="11" t="s">
        <v>35</v>
      </c>
      <c r="E123" s="11" t="s">
        <v>36</v>
      </c>
    </row>
    <row r="124" spans="1:5">
      <c r="A124" s="43" t="s">
        <v>34</v>
      </c>
      <c r="B124" s="11" t="s">
        <v>10</v>
      </c>
      <c r="C124" s="5" t="s">
        <v>10</v>
      </c>
      <c r="D124" s="11" t="s">
        <v>35</v>
      </c>
      <c r="E124" s="11" t="s">
        <v>36</v>
      </c>
    </row>
    <row r="125" spans="1:5">
      <c r="A125" s="43" t="s">
        <v>695</v>
      </c>
      <c r="B125" s="5" t="s">
        <v>12</v>
      </c>
      <c r="C125" s="5" t="s">
        <v>12</v>
      </c>
      <c r="D125" s="11" t="s">
        <v>36</v>
      </c>
      <c r="E125" s="11" t="s">
        <v>71</v>
      </c>
    </row>
    <row r="126" spans="1:5">
      <c r="A126" s="43" t="s">
        <v>696</v>
      </c>
      <c r="B126" s="5" t="s">
        <v>12</v>
      </c>
      <c r="C126" s="5" t="s">
        <v>12</v>
      </c>
      <c r="D126" s="11" t="s">
        <v>620</v>
      </c>
      <c r="E126" s="11" t="s">
        <v>71</v>
      </c>
    </row>
    <row r="127" spans="1:5">
      <c r="A127" s="44" t="s">
        <v>697</v>
      </c>
      <c r="B127" s="11" t="s">
        <v>10</v>
      </c>
      <c r="C127" s="5" t="s">
        <v>10</v>
      </c>
      <c r="D127" s="11" t="s">
        <v>56</v>
      </c>
      <c r="E127" s="11" t="s">
        <v>36</v>
      </c>
    </row>
    <row r="128" spans="1:5">
      <c r="A128" s="44" t="s">
        <v>698</v>
      </c>
      <c r="B128" s="11" t="s">
        <v>10</v>
      </c>
      <c r="C128" s="5" t="s">
        <v>10</v>
      </c>
      <c r="D128" s="11" t="s">
        <v>36</v>
      </c>
      <c r="E128" s="11" t="s">
        <v>649</v>
      </c>
    </row>
    <row r="129" spans="1:5">
      <c r="A129" s="44" t="s">
        <v>699</v>
      </c>
      <c r="B129" s="5" t="s">
        <v>12</v>
      </c>
      <c r="C129" s="5" t="s">
        <v>12</v>
      </c>
      <c r="D129" s="15" t="s">
        <v>651</v>
      </c>
      <c r="E129" s="11" t="s">
        <v>36</v>
      </c>
    </row>
    <row r="130" spans="1:5">
      <c r="A130" s="44" t="s">
        <v>700</v>
      </c>
      <c r="B130" s="5" t="s">
        <v>9</v>
      </c>
      <c r="C130" s="5" t="s">
        <v>629</v>
      </c>
      <c r="D130" s="11" t="s">
        <v>36</v>
      </c>
      <c r="E130" s="11" t="s">
        <v>650</v>
      </c>
    </row>
    <row r="131" spans="1:5">
      <c r="A131" s="44" t="s">
        <v>701</v>
      </c>
      <c r="B131" s="5" t="s">
        <v>12</v>
      </c>
      <c r="C131" s="5" t="s">
        <v>12</v>
      </c>
      <c r="D131" s="15" t="s">
        <v>651</v>
      </c>
      <c r="E131" s="11" t="s">
        <v>36</v>
      </c>
    </row>
    <row r="132" spans="1:5">
      <c r="A132" s="44" t="s">
        <v>702</v>
      </c>
      <c r="B132" s="5" t="s">
        <v>12</v>
      </c>
      <c r="C132" s="5" t="s">
        <v>12</v>
      </c>
      <c r="D132" s="11" t="s">
        <v>36</v>
      </c>
      <c r="E132" s="11" t="s">
        <v>71</v>
      </c>
    </row>
    <row r="133" spans="1:5">
      <c r="A133" s="44" t="s">
        <v>703</v>
      </c>
      <c r="B133" s="5" t="s">
        <v>12</v>
      </c>
      <c r="C133" s="5" t="s">
        <v>12</v>
      </c>
      <c r="D133" s="11" t="s">
        <v>620</v>
      </c>
      <c r="E133" s="11" t="s">
        <v>36</v>
      </c>
    </row>
    <row r="134" spans="1:5">
      <c r="A134" s="44" t="s">
        <v>704</v>
      </c>
      <c r="B134" s="5" t="s">
        <v>12</v>
      </c>
      <c r="C134" s="5" t="s">
        <v>12</v>
      </c>
      <c r="D134" s="11" t="s">
        <v>651</v>
      </c>
      <c r="E134" s="11" t="s">
        <v>36</v>
      </c>
    </row>
    <row r="135" spans="1:5">
      <c r="A135" s="44" t="s">
        <v>705</v>
      </c>
      <c r="B135" s="11" t="s">
        <v>10</v>
      </c>
      <c r="C135" s="5" t="s">
        <v>10</v>
      </c>
      <c r="D135" s="11" t="s">
        <v>32</v>
      </c>
      <c r="E135" s="11" t="s">
        <v>33</v>
      </c>
    </row>
    <row r="136" spans="1:5">
      <c r="A136" s="44" t="s">
        <v>706</v>
      </c>
      <c r="B136" s="5" t="s">
        <v>12</v>
      </c>
      <c r="C136" s="5" t="s">
        <v>12</v>
      </c>
      <c r="D136" s="15" t="s">
        <v>27</v>
      </c>
      <c r="E136" s="11" t="s">
        <v>36</v>
      </c>
    </row>
    <row r="137" spans="1:5">
      <c r="A137" s="44" t="s">
        <v>707</v>
      </c>
      <c r="B137" s="5" t="s">
        <v>12</v>
      </c>
      <c r="C137" s="5" t="s">
        <v>12</v>
      </c>
      <c r="D137" s="11" t="s">
        <v>36</v>
      </c>
      <c r="E137" s="11" t="s">
        <v>708</v>
      </c>
    </row>
    <row r="138" spans="1:5">
      <c r="A138" s="43" t="s">
        <v>709</v>
      </c>
      <c r="B138" s="5" t="s">
        <v>12</v>
      </c>
      <c r="C138" s="5" t="s">
        <v>12</v>
      </c>
      <c r="D138" s="21" t="s">
        <v>620</v>
      </c>
      <c r="E138" s="11" t="s">
        <v>36</v>
      </c>
    </row>
    <row r="139" spans="1:5">
      <c r="A139" s="43" t="s">
        <v>207</v>
      </c>
      <c r="B139" s="5" t="s">
        <v>12</v>
      </c>
      <c r="C139" s="5" t="s">
        <v>12</v>
      </c>
      <c r="D139" s="21" t="s">
        <v>710</v>
      </c>
      <c r="E139" s="11" t="s">
        <v>36</v>
      </c>
    </row>
    <row r="140" spans="1:5">
      <c r="A140" s="43" t="s">
        <v>206</v>
      </c>
      <c r="B140" s="5" t="s">
        <v>12</v>
      </c>
      <c r="C140" s="5" t="s">
        <v>12</v>
      </c>
      <c r="D140" s="21" t="s">
        <v>36</v>
      </c>
      <c r="E140" s="11" t="s">
        <v>710</v>
      </c>
    </row>
    <row r="141" spans="1:5">
      <c r="A141" s="44" t="s">
        <v>711</v>
      </c>
      <c r="B141" s="5" t="s">
        <v>12</v>
      </c>
      <c r="C141" s="5" t="s">
        <v>12</v>
      </c>
      <c r="D141" s="5" t="s">
        <v>36</v>
      </c>
      <c r="E141" s="5" t="s">
        <v>712</v>
      </c>
    </row>
    <row r="142" spans="1:5">
      <c r="A142" s="44" t="s">
        <v>218</v>
      </c>
      <c r="B142" s="5" t="s">
        <v>713</v>
      </c>
      <c r="C142" s="5" t="str">
        <f>B142</f>
        <v>Shared Centre</v>
      </c>
      <c r="D142" s="5" t="s">
        <v>714</v>
      </c>
      <c r="E142" s="5" t="s">
        <v>28</v>
      </c>
    </row>
    <row r="143" spans="1:5">
      <c r="A143" s="44" t="s">
        <v>715</v>
      </c>
      <c r="B143" s="5" t="s">
        <v>12</v>
      </c>
      <c r="C143" s="5" t="s">
        <v>12</v>
      </c>
      <c r="D143" s="11" t="s">
        <v>620</v>
      </c>
      <c r="E143" s="11" t="s">
        <v>71</v>
      </c>
    </row>
    <row r="144" spans="1:5">
      <c r="A144" s="43" t="s">
        <v>134</v>
      </c>
      <c r="B144" s="5" t="s">
        <v>12</v>
      </c>
      <c r="C144" s="5" t="s">
        <v>12</v>
      </c>
      <c r="D144" s="11" t="s">
        <v>716</v>
      </c>
      <c r="E144" s="11" t="s">
        <v>36</v>
      </c>
    </row>
    <row r="145" spans="1:5">
      <c r="A145" s="43" t="s">
        <v>717</v>
      </c>
      <c r="B145" s="14" t="s">
        <v>10</v>
      </c>
      <c r="C145" s="5" t="s">
        <v>10</v>
      </c>
      <c r="D145" s="11" t="s">
        <v>32</v>
      </c>
      <c r="E145" s="11" t="s">
        <v>36</v>
      </c>
    </row>
    <row r="146" spans="1:5">
      <c r="A146" s="43" t="s">
        <v>718</v>
      </c>
      <c r="B146" s="5" t="s">
        <v>12</v>
      </c>
      <c r="C146" s="5" t="s">
        <v>12</v>
      </c>
      <c r="D146" s="11" t="s">
        <v>710</v>
      </c>
      <c r="E146" s="11" t="s">
        <v>710</v>
      </c>
    </row>
    <row r="147" spans="1:5">
      <c r="A147" s="45" t="s">
        <v>719</v>
      </c>
      <c r="B147" s="14" t="s">
        <v>10</v>
      </c>
      <c r="C147" s="5" t="s">
        <v>10</v>
      </c>
      <c r="D147" s="21" t="s">
        <v>56</v>
      </c>
      <c r="E147" s="21" t="s">
        <v>36</v>
      </c>
    </row>
    <row r="148" spans="1:5">
      <c r="A148" s="45" t="s">
        <v>720</v>
      </c>
      <c r="B148" s="14" t="s">
        <v>10</v>
      </c>
      <c r="C148" s="5" t="s">
        <v>10</v>
      </c>
      <c r="D148" s="14" t="s">
        <v>36</v>
      </c>
      <c r="E148" s="14" t="s">
        <v>721</v>
      </c>
    </row>
    <row r="149" spans="1:5">
      <c r="A149" s="45" t="s">
        <v>722</v>
      </c>
      <c r="B149" s="14" t="s">
        <v>10</v>
      </c>
      <c r="C149" s="5" t="s">
        <v>10</v>
      </c>
      <c r="D149" s="14" t="s">
        <v>36</v>
      </c>
      <c r="E149" s="14" t="s">
        <v>69</v>
      </c>
    </row>
    <row r="150" spans="1:5">
      <c r="A150" s="45" t="s">
        <v>723</v>
      </c>
      <c r="B150" s="14" t="s">
        <v>10</v>
      </c>
      <c r="C150" s="5" t="s">
        <v>10</v>
      </c>
      <c r="D150" s="14" t="s">
        <v>36</v>
      </c>
      <c r="E150" s="14" t="s">
        <v>69</v>
      </c>
    </row>
    <row r="151" spans="1:5">
      <c r="A151" s="45" t="s">
        <v>724</v>
      </c>
      <c r="B151" s="5" t="s">
        <v>12</v>
      </c>
      <c r="C151" s="5" t="s">
        <v>12</v>
      </c>
      <c r="D151" s="14" t="s">
        <v>36</v>
      </c>
      <c r="E151" s="14" t="s">
        <v>71</v>
      </c>
    </row>
    <row r="152" spans="1:5">
      <c r="A152" s="45" t="s">
        <v>725</v>
      </c>
      <c r="B152" s="14" t="s">
        <v>10</v>
      </c>
      <c r="C152" s="5" t="s">
        <v>10</v>
      </c>
      <c r="D152" s="14" t="s">
        <v>36</v>
      </c>
      <c r="E152" s="14" t="s">
        <v>721</v>
      </c>
    </row>
    <row r="153" spans="1:5" ht="29">
      <c r="A153" s="46" t="s">
        <v>726</v>
      </c>
      <c r="B153" s="5" t="s">
        <v>12</v>
      </c>
      <c r="C153" s="5" t="s">
        <v>12</v>
      </c>
      <c r="D153" s="14" t="s">
        <v>651</v>
      </c>
      <c r="E153" s="14" t="s">
        <v>36</v>
      </c>
    </row>
    <row r="154" spans="1:5">
      <c r="A154" s="46" t="s">
        <v>727</v>
      </c>
      <c r="B154" s="14" t="s">
        <v>10</v>
      </c>
      <c r="C154" s="5" t="s">
        <v>10</v>
      </c>
      <c r="D154" s="14" t="s">
        <v>36</v>
      </c>
      <c r="E154" s="14" t="s">
        <v>36</v>
      </c>
    </row>
    <row r="155" spans="1:5">
      <c r="A155" s="46" t="s">
        <v>728</v>
      </c>
      <c r="B155" s="14" t="s">
        <v>10</v>
      </c>
      <c r="C155" s="5" t="s">
        <v>10</v>
      </c>
      <c r="D155" s="14" t="s">
        <v>995</v>
      </c>
      <c r="E155" s="14" t="s">
        <v>69</v>
      </c>
    </row>
    <row r="156" spans="1:5">
      <c r="A156" s="46" t="s">
        <v>729</v>
      </c>
      <c r="B156" s="5" t="s">
        <v>12</v>
      </c>
      <c r="C156" s="5" t="s">
        <v>12</v>
      </c>
      <c r="D156" s="14" t="s">
        <v>36</v>
      </c>
      <c r="E156" s="14" t="s">
        <v>25</v>
      </c>
    </row>
    <row r="157" spans="1:5">
      <c r="A157" s="46" t="s">
        <v>84</v>
      </c>
      <c r="B157" s="14" t="s">
        <v>10</v>
      </c>
      <c r="C157" s="5" t="s">
        <v>10</v>
      </c>
      <c r="D157" s="14" t="s">
        <v>995</v>
      </c>
      <c r="E157" s="14" t="s">
        <v>69</v>
      </c>
    </row>
    <row r="158" spans="1:5">
      <c r="A158" s="46" t="s">
        <v>730</v>
      </c>
      <c r="B158" s="5" t="s">
        <v>12</v>
      </c>
      <c r="C158" s="5" t="s">
        <v>12</v>
      </c>
      <c r="D158" s="14" t="s">
        <v>673</v>
      </c>
      <c r="E158" s="14" t="s">
        <v>673</v>
      </c>
    </row>
    <row r="159" spans="1:5">
      <c r="A159" s="46" t="s">
        <v>731</v>
      </c>
      <c r="B159" s="5" t="s">
        <v>12</v>
      </c>
      <c r="C159" s="5" t="s">
        <v>12</v>
      </c>
      <c r="D159" s="21" t="s">
        <v>710</v>
      </c>
      <c r="E159" s="14" t="s">
        <v>36</v>
      </c>
    </row>
    <row r="160" spans="1:5">
      <c r="A160" s="46" t="s">
        <v>205</v>
      </c>
      <c r="B160" s="5" t="s">
        <v>713</v>
      </c>
      <c r="C160" s="5" t="str">
        <f>B160</f>
        <v>Shared Centre</v>
      </c>
      <c r="D160" s="21" t="s">
        <v>714</v>
      </c>
      <c r="E160" s="14" t="s">
        <v>710</v>
      </c>
    </row>
    <row r="161" spans="1:5">
      <c r="A161" s="46" t="s">
        <v>732</v>
      </c>
      <c r="B161" s="14" t="s">
        <v>10</v>
      </c>
      <c r="C161" s="5" t="s">
        <v>10</v>
      </c>
      <c r="D161" s="14" t="s">
        <v>36</v>
      </c>
      <c r="E161" s="14" t="s">
        <v>64</v>
      </c>
    </row>
    <row r="162" spans="1:5">
      <c r="A162" s="46" t="s">
        <v>178</v>
      </c>
      <c r="B162" s="5" t="s">
        <v>12</v>
      </c>
      <c r="C162" s="5" t="s">
        <v>12</v>
      </c>
      <c r="D162" s="21" t="s">
        <v>620</v>
      </c>
      <c r="E162" s="14" t="s">
        <v>710</v>
      </c>
    </row>
    <row r="163" spans="1:5">
      <c r="A163" s="47" t="s">
        <v>733</v>
      </c>
      <c r="B163" s="14" t="s">
        <v>10</v>
      </c>
      <c r="C163" s="5" t="s">
        <v>10</v>
      </c>
      <c r="D163" s="14" t="s">
        <v>36</v>
      </c>
      <c r="E163" s="14" t="s">
        <v>721</v>
      </c>
    </row>
    <row r="164" spans="1:5">
      <c r="A164" s="47" t="s">
        <v>734</v>
      </c>
      <c r="B164" s="14" t="s">
        <v>10</v>
      </c>
      <c r="C164" s="5" t="s">
        <v>10</v>
      </c>
      <c r="D164" s="14" t="s">
        <v>36</v>
      </c>
      <c r="E164" s="14" t="s">
        <v>64</v>
      </c>
    </row>
    <row r="165" spans="1:5">
      <c r="A165" s="47" t="s">
        <v>735</v>
      </c>
      <c r="B165" s="14" t="s">
        <v>10</v>
      </c>
      <c r="C165" s="5" t="s">
        <v>10</v>
      </c>
      <c r="D165" s="14" t="s">
        <v>36</v>
      </c>
      <c r="E165" s="14" t="s">
        <v>721</v>
      </c>
    </row>
    <row r="166" spans="1:5">
      <c r="A166" s="47" t="s">
        <v>88</v>
      </c>
      <c r="B166" s="14" t="s">
        <v>10</v>
      </c>
      <c r="C166" s="5" t="s">
        <v>10</v>
      </c>
      <c r="D166" s="14" t="s">
        <v>995</v>
      </c>
      <c r="E166" s="14" t="s">
        <v>61</v>
      </c>
    </row>
    <row r="167" spans="1:5">
      <c r="A167" s="47" t="s">
        <v>736</v>
      </c>
      <c r="B167" s="5" t="s">
        <v>12</v>
      </c>
      <c r="C167" s="5" t="s">
        <v>12</v>
      </c>
      <c r="D167" s="14" t="s">
        <v>36</v>
      </c>
      <c r="E167" s="14" t="s">
        <v>23</v>
      </c>
    </row>
    <row r="168" spans="1:5">
      <c r="A168" s="47" t="s">
        <v>63</v>
      </c>
      <c r="B168" s="14" t="s">
        <v>713</v>
      </c>
      <c r="C168" s="5" t="s">
        <v>713</v>
      </c>
      <c r="D168" s="14" t="s">
        <v>994</v>
      </c>
      <c r="E168" s="14" t="s">
        <v>64</v>
      </c>
    </row>
    <row r="169" spans="1:5">
      <c r="A169" s="47" t="s">
        <v>737</v>
      </c>
      <c r="B169" s="5" t="s">
        <v>12</v>
      </c>
      <c r="C169" s="5" t="s">
        <v>12</v>
      </c>
      <c r="D169" s="14" t="s">
        <v>30</v>
      </c>
      <c r="E169" s="14" t="s">
        <v>36</v>
      </c>
    </row>
    <row r="170" spans="1:5">
      <c r="A170" s="47" t="s">
        <v>738</v>
      </c>
      <c r="B170" s="14" t="s">
        <v>10</v>
      </c>
      <c r="C170" s="5" t="s">
        <v>10</v>
      </c>
      <c r="D170" s="14" t="s">
        <v>36</v>
      </c>
      <c r="E170" s="14" t="s">
        <v>69</v>
      </c>
    </row>
    <row r="171" spans="1:5">
      <c r="A171" s="43" t="s">
        <v>739</v>
      </c>
      <c r="B171" s="5" t="s">
        <v>12</v>
      </c>
      <c r="C171" s="5" t="s">
        <v>12</v>
      </c>
      <c r="D171" s="14" t="s">
        <v>36</v>
      </c>
      <c r="E171" s="14" t="s">
        <v>28</v>
      </c>
    </row>
    <row r="172" spans="1:5">
      <c r="A172" s="45" t="s">
        <v>740</v>
      </c>
      <c r="B172" s="14" t="s">
        <v>10</v>
      </c>
      <c r="C172" s="5" t="s">
        <v>10</v>
      </c>
      <c r="D172" s="14" t="s">
        <v>36</v>
      </c>
      <c r="E172" s="14" t="s">
        <v>649</v>
      </c>
    </row>
    <row r="173" spans="1:5">
      <c r="A173" s="45" t="s">
        <v>190</v>
      </c>
      <c r="B173" s="5" t="s">
        <v>12</v>
      </c>
      <c r="C173" s="5" t="s">
        <v>12</v>
      </c>
      <c r="D173" s="11" t="s">
        <v>30</v>
      </c>
      <c r="E173" s="14" t="s">
        <v>28</v>
      </c>
    </row>
    <row r="174" spans="1:5">
      <c r="A174" s="45" t="s">
        <v>72</v>
      </c>
      <c r="B174" s="14" t="s">
        <v>713</v>
      </c>
      <c r="C174" s="5" t="s">
        <v>713</v>
      </c>
      <c r="D174" s="14" t="s">
        <v>766</v>
      </c>
      <c r="E174" s="14" t="s">
        <v>36</v>
      </c>
    </row>
    <row r="175" spans="1:5">
      <c r="A175" s="45" t="s">
        <v>741</v>
      </c>
      <c r="B175" s="14" t="s">
        <v>10</v>
      </c>
      <c r="C175" s="5" t="s">
        <v>10</v>
      </c>
      <c r="D175" s="11" t="s">
        <v>32</v>
      </c>
      <c r="E175" s="14" t="s">
        <v>36</v>
      </c>
    </row>
    <row r="176" spans="1:5">
      <c r="A176" s="45" t="s">
        <v>742</v>
      </c>
      <c r="B176" s="14" t="s">
        <v>9</v>
      </c>
      <c r="C176" s="5" t="s">
        <v>629</v>
      </c>
      <c r="D176" s="14" t="s">
        <v>36</v>
      </c>
      <c r="E176" s="14" t="s">
        <v>36</v>
      </c>
    </row>
    <row r="177" spans="1:5">
      <c r="A177" s="45" t="s">
        <v>743</v>
      </c>
      <c r="B177" s="14" t="s">
        <v>9</v>
      </c>
      <c r="C177" s="5" t="s">
        <v>629</v>
      </c>
      <c r="D177" t="s">
        <v>617</v>
      </c>
      <c r="E177" s="14" t="s">
        <v>36</v>
      </c>
    </row>
    <row r="178" spans="1:5">
      <c r="A178" s="45" t="s">
        <v>744</v>
      </c>
      <c r="B178" s="5" t="s">
        <v>12</v>
      </c>
      <c r="C178" s="5" t="s">
        <v>12</v>
      </c>
      <c r="D178" s="14" t="s">
        <v>36</v>
      </c>
      <c r="E178" s="14" t="s">
        <v>36</v>
      </c>
    </row>
    <row r="179" spans="1:5">
      <c r="A179" s="46" t="s">
        <v>745</v>
      </c>
      <c r="B179" s="14" t="s">
        <v>713</v>
      </c>
      <c r="C179" s="5" t="s">
        <v>713</v>
      </c>
      <c r="D179" s="14" t="s">
        <v>994</v>
      </c>
      <c r="E179" s="14" t="s">
        <v>36</v>
      </c>
    </row>
    <row r="180" spans="1:5">
      <c r="A180" s="46" t="s">
        <v>746</v>
      </c>
      <c r="B180" s="14" t="s">
        <v>9</v>
      </c>
      <c r="C180" s="5" t="s">
        <v>629</v>
      </c>
      <c r="D180" s="14" t="s">
        <v>36</v>
      </c>
      <c r="E180" s="14" t="s">
        <v>36</v>
      </c>
    </row>
    <row r="181" spans="1:5">
      <c r="A181" s="46" t="s">
        <v>175</v>
      </c>
      <c r="B181" s="5" t="s">
        <v>12</v>
      </c>
      <c r="C181" s="5" t="s">
        <v>12</v>
      </c>
      <c r="D181" s="14" t="s">
        <v>36</v>
      </c>
      <c r="E181" s="14" t="s">
        <v>642</v>
      </c>
    </row>
    <row r="182" spans="1:5">
      <c r="A182" s="45" t="s">
        <v>216</v>
      </c>
      <c r="B182" s="14" t="s">
        <v>11</v>
      </c>
      <c r="C182" s="14" t="s">
        <v>11</v>
      </c>
      <c r="D182" s="11" t="s">
        <v>22</v>
      </c>
      <c r="E182" s="14" t="s">
        <v>747</v>
      </c>
    </row>
    <row r="183" spans="1:5">
      <c r="A183" s="45" t="s">
        <v>748</v>
      </c>
      <c r="B183" s="14" t="s">
        <v>10</v>
      </c>
      <c r="C183" s="5" t="s">
        <v>10</v>
      </c>
      <c r="D183" s="14" t="s">
        <v>36</v>
      </c>
      <c r="E183" s="14" t="s">
        <v>69</v>
      </c>
    </row>
    <row r="184" spans="1:5">
      <c r="A184" s="45" t="s">
        <v>749</v>
      </c>
      <c r="B184" s="5" t="s">
        <v>12</v>
      </c>
      <c r="C184" s="5" t="s">
        <v>12</v>
      </c>
      <c r="D184" s="14" t="s">
        <v>36</v>
      </c>
      <c r="E184" s="14" t="s">
        <v>23</v>
      </c>
    </row>
    <row r="185" spans="1:5">
      <c r="A185" s="45" t="s">
        <v>166</v>
      </c>
      <c r="B185" s="5" t="s">
        <v>12</v>
      </c>
      <c r="C185" s="5" t="s">
        <v>12</v>
      </c>
      <c r="D185" s="14" t="s">
        <v>36</v>
      </c>
      <c r="E185" s="14" t="s">
        <v>712</v>
      </c>
    </row>
    <row r="186" spans="1:5">
      <c r="A186" s="45" t="s">
        <v>750</v>
      </c>
      <c r="B186" s="5" t="s">
        <v>12</v>
      </c>
      <c r="C186" s="5" t="s">
        <v>12</v>
      </c>
      <c r="D186" s="14" t="s">
        <v>36</v>
      </c>
      <c r="E186" s="14" t="s">
        <v>712</v>
      </c>
    </row>
    <row r="187" spans="1:5">
      <c r="A187" s="45" t="s">
        <v>154</v>
      </c>
      <c r="B187" s="5" t="s">
        <v>11</v>
      </c>
      <c r="C187" s="5" t="s">
        <v>11</v>
      </c>
      <c r="D187" s="11" t="s">
        <v>22</v>
      </c>
      <c r="E187" s="14" t="s">
        <v>23</v>
      </c>
    </row>
    <row r="188" spans="1:5">
      <c r="A188" s="45" t="s">
        <v>87</v>
      </c>
      <c r="B188" s="14" t="s">
        <v>10</v>
      </c>
      <c r="C188" s="5" t="s">
        <v>10</v>
      </c>
      <c r="D188" s="14" t="s">
        <v>56</v>
      </c>
      <c r="E188" s="14" t="s">
        <v>71</v>
      </c>
    </row>
    <row r="189" spans="1:5">
      <c r="A189" s="45" t="s">
        <v>31</v>
      </c>
      <c r="B189" s="14" t="s">
        <v>10</v>
      </c>
      <c r="C189" s="5" t="s">
        <v>10</v>
      </c>
      <c r="D189" s="14" t="s">
        <v>35</v>
      </c>
      <c r="E189" s="14" t="s">
        <v>33</v>
      </c>
    </row>
    <row r="190" spans="1:5">
      <c r="A190" s="45" t="s">
        <v>78</v>
      </c>
      <c r="B190" s="10" t="s">
        <v>10</v>
      </c>
      <c r="C190" s="5" t="s">
        <v>10</v>
      </c>
      <c r="D190" s="14" t="s">
        <v>56</v>
      </c>
      <c r="E190" s="14" t="s">
        <v>25</v>
      </c>
    </row>
    <row r="191" spans="1:5">
      <c r="A191" s="45" t="s">
        <v>751</v>
      </c>
      <c r="B191" s="10" t="s">
        <v>10</v>
      </c>
      <c r="C191" s="5" t="s">
        <v>10</v>
      </c>
      <c r="D191" s="14" t="s">
        <v>56</v>
      </c>
      <c r="E191" s="14" t="s">
        <v>64</v>
      </c>
    </row>
    <row r="192" spans="1:5">
      <c r="A192" s="45" t="s">
        <v>752</v>
      </c>
      <c r="B192" s="10" t="s">
        <v>10</v>
      </c>
      <c r="C192" s="5" t="s">
        <v>10</v>
      </c>
      <c r="D192" s="14" t="s">
        <v>56</v>
      </c>
      <c r="E192" s="14" t="s">
        <v>64</v>
      </c>
    </row>
    <row r="193" spans="1:5">
      <c r="A193" s="45" t="s">
        <v>753</v>
      </c>
      <c r="B193" s="10" t="s">
        <v>10</v>
      </c>
      <c r="C193" s="5" t="s">
        <v>10</v>
      </c>
      <c r="D193" s="14" t="s">
        <v>56</v>
      </c>
      <c r="E193" s="14" t="s">
        <v>64</v>
      </c>
    </row>
    <row r="194" spans="1:5">
      <c r="A194" s="45" t="s">
        <v>754</v>
      </c>
      <c r="B194" s="10" t="s">
        <v>10</v>
      </c>
      <c r="C194" s="5" t="s">
        <v>10</v>
      </c>
      <c r="D194" s="14" t="s">
        <v>36</v>
      </c>
      <c r="E194" s="14" t="s">
        <v>755</v>
      </c>
    </row>
    <row r="195" spans="1:5">
      <c r="A195" s="46" t="s">
        <v>200</v>
      </c>
      <c r="B195" s="5" t="s">
        <v>12</v>
      </c>
      <c r="C195" s="5" t="s">
        <v>12</v>
      </c>
      <c r="D195" s="14" t="s">
        <v>651</v>
      </c>
      <c r="E195" s="14" t="s">
        <v>36</v>
      </c>
    </row>
    <row r="196" spans="1:5">
      <c r="A196" s="46" t="s">
        <v>756</v>
      </c>
      <c r="B196" s="10" t="s">
        <v>9</v>
      </c>
      <c r="C196" s="5" t="s">
        <v>629</v>
      </c>
      <c r="D196" s="11" t="s">
        <v>872</v>
      </c>
      <c r="E196" s="14" t="s">
        <v>36</v>
      </c>
    </row>
    <row r="197" spans="1:5">
      <c r="A197" s="46" t="s">
        <v>179</v>
      </c>
      <c r="B197" s="5" t="s">
        <v>12</v>
      </c>
      <c r="C197" s="5" t="s">
        <v>12</v>
      </c>
      <c r="D197" s="14" t="s">
        <v>27</v>
      </c>
      <c r="E197" s="14" t="s">
        <v>36</v>
      </c>
    </row>
    <row r="198" spans="1:5" ht="29">
      <c r="A198" s="46" t="s">
        <v>150</v>
      </c>
      <c r="B198" s="5" t="s">
        <v>12</v>
      </c>
      <c r="C198" s="5" t="s">
        <v>12</v>
      </c>
      <c r="D198" s="14" t="s">
        <v>27</v>
      </c>
      <c r="E198" s="14" t="s">
        <v>36</v>
      </c>
    </row>
    <row r="199" spans="1:5">
      <c r="A199" s="46" t="s">
        <v>757</v>
      </c>
      <c r="B199" s="5" t="s">
        <v>12</v>
      </c>
      <c r="C199" s="5" t="s">
        <v>12</v>
      </c>
      <c r="D199" s="14" t="s">
        <v>36</v>
      </c>
      <c r="E199" s="14" t="s">
        <v>25</v>
      </c>
    </row>
    <row r="200" spans="1:5">
      <c r="A200" s="44" t="s">
        <v>758</v>
      </c>
      <c r="B200" s="10" t="s">
        <v>10</v>
      </c>
      <c r="C200" s="5" t="s">
        <v>10</v>
      </c>
      <c r="D200" s="14" t="s">
        <v>56</v>
      </c>
      <c r="E200" s="14" t="s">
        <v>61</v>
      </c>
    </row>
    <row r="201" spans="1:5">
      <c r="A201" s="44" t="s">
        <v>759</v>
      </c>
      <c r="B201" s="10" t="s">
        <v>10</v>
      </c>
      <c r="C201" s="5" t="s">
        <v>10</v>
      </c>
      <c r="D201" s="14" t="s">
        <v>36</v>
      </c>
      <c r="E201" s="14" t="s">
        <v>64</v>
      </c>
    </row>
    <row r="202" spans="1:5">
      <c r="A202" s="44" t="s">
        <v>760</v>
      </c>
      <c r="B202" s="10" t="s">
        <v>10</v>
      </c>
      <c r="C202" s="5" t="s">
        <v>10</v>
      </c>
      <c r="D202" s="14" t="s">
        <v>995</v>
      </c>
      <c r="E202" s="14" t="s">
        <v>36</v>
      </c>
    </row>
    <row r="203" spans="1:5">
      <c r="A203" s="44" t="s">
        <v>761</v>
      </c>
      <c r="B203" s="10" t="s">
        <v>10</v>
      </c>
      <c r="C203" s="5" t="s">
        <v>10</v>
      </c>
      <c r="D203" s="14" t="s">
        <v>36</v>
      </c>
      <c r="E203" s="14" t="s">
        <v>712</v>
      </c>
    </row>
    <row r="204" spans="1:5">
      <c r="A204" s="45" t="s">
        <v>83</v>
      </c>
      <c r="B204" s="10" t="s">
        <v>10</v>
      </c>
      <c r="C204" s="5" t="s">
        <v>10</v>
      </c>
      <c r="D204" s="11" t="s">
        <v>995</v>
      </c>
      <c r="E204" s="14" t="s">
        <v>36</v>
      </c>
    </row>
    <row r="205" spans="1:5">
      <c r="A205" s="45" t="s">
        <v>181</v>
      </c>
      <c r="B205" s="5" t="s">
        <v>12</v>
      </c>
      <c r="C205" s="5" t="s">
        <v>12</v>
      </c>
      <c r="D205" s="14" t="s">
        <v>36</v>
      </c>
      <c r="E205" s="14" t="s">
        <v>71</v>
      </c>
    </row>
    <row r="206" spans="1:5">
      <c r="A206" s="45" t="s">
        <v>245</v>
      </c>
      <c r="B206" s="10" t="s">
        <v>9</v>
      </c>
      <c r="C206" s="5" t="s">
        <v>629</v>
      </c>
      <c r="D206" t="s">
        <v>617</v>
      </c>
      <c r="E206" s="14" t="s">
        <v>650</v>
      </c>
    </row>
    <row r="207" spans="1:5">
      <c r="A207" s="45" t="s">
        <v>762</v>
      </c>
      <c r="B207" s="5" t="s">
        <v>12</v>
      </c>
      <c r="C207" s="5" t="s">
        <v>12</v>
      </c>
      <c r="D207" s="14" t="s">
        <v>673</v>
      </c>
      <c r="E207" s="14" t="s">
        <v>36</v>
      </c>
    </row>
    <row r="208" spans="1:5">
      <c r="A208" s="45" t="s">
        <v>763</v>
      </c>
      <c r="B208" s="10" t="s">
        <v>10</v>
      </c>
      <c r="C208" s="5" t="s">
        <v>10</v>
      </c>
      <c r="D208" s="14" t="s">
        <v>35</v>
      </c>
      <c r="E208" s="14" t="s">
        <v>36</v>
      </c>
    </row>
    <row r="209" spans="1:5">
      <c r="A209" s="45" t="s">
        <v>764</v>
      </c>
      <c r="B209" s="10" t="s">
        <v>10</v>
      </c>
      <c r="C209" s="5" t="s">
        <v>10</v>
      </c>
      <c r="D209" s="14" t="s">
        <v>32</v>
      </c>
      <c r="E209" s="14" t="s">
        <v>69</v>
      </c>
    </row>
    <row r="210" spans="1:5">
      <c r="A210" s="45" t="s">
        <v>765</v>
      </c>
      <c r="B210" s="5" t="s">
        <v>713</v>
      </c>
      <c r="C210" s="5" t="str">
        <f>B210</f>
        <v>Shared Centre</v>
      </c>
      <c r="D210" s="11" t="s">
        <v>766</v>
      </c>
      <c r="E210" s="14" t="s">
        <v>36</v>
      </c>
    </row>
    <row r="211" spans="1:5">
      <c r="A211" s="45" t="s">
        <v>767</v>
      </c>
      <c r="B211" s="10" t="s">
        <v>9</v>
      </c>
      <c r="C211" s="5" t="s">
        <v>629</v>
      </c>
      <c r="D211" s="14" t="s">
        <v>36</v>
      </c>
      <c r="E211" s="14" t="s">
        <v>36</v>
      </c>
    </row>
    <row r="212" spans="1:5">
      <c r="A212" s="45" t="s">
        <v>768</v>
      </c>
      <c r="B212" s="10" t="s">
        <v>10</v>
      </c>
      <c r="C212" s="5" t="s">
        <v>10</v>
      </c>
      <c r="D212" s="14" t="s">
        <v>36</v>
      </c>
      <c r="E212" s="14" t="s">
        <v>64</v>
      </c>
    </row>
    <row r="213" spans="1:5">
      <c r="A213" s="45" t="s">
        <v>225</v>
      </c>
      <c r="B213" s="5" t="s">
        <v>12</v>
      </c>
      <c r="C213" s="5" t="s">
        <v>12</v>
      </c>
      <c r="D213" s="14" t="s">
        <v>36</v>
      </c>
      <c r="E213" s="14" t="s">
        <v>71</v>
      </c>
    </row>
    <row r="214" spans="1:5">
      <c r="A214" s="45" t="s">
        <v>769</v>
      </c>
      <c r="B214" s="5" t="s">
        <v>12</v>
      </c>
      <c r="C214" s="5" t="s">
        <v>12</v>
      </c>
      <c r="D214" s="14" t="s">
        <v>36</v>
      </c>
      <c r="E214" s="14" t="s">
        <v>71</v>
      </c>
    </row>
    <row r="215" spans="1:5">
      <c r="A215" s="45" t="s">
        <v>770</v>
      </c>
      <c r="B215" s="5" t="s">
        <v>12</v>
      </c>
      <c r="C215" s="5" t="s">
        <v>12</v>
      </c>
      <c r="D215" s="14" t="s">
        <v>651</v>
      </c>
      <c r="E215" s="14" t="s">
        <v>712</v>
      </c>
    </row>
    <row r="216" spans="1:5">
      <c r="A216" s="45" t="s">
        <v>174</v>
      </c>
      <c r="B216" s="5" t="s">
        <v>12</v>
      </c>
      <c r="C216" s="5" t="s">
        <v>12</v>
      </c>
      <c r="D216" s="14" t="s">
        <v>620</v>
      </c>
      <c r="E216" s="14" t="s">
        <v>71</v>
      </c>
    </row>
    <row r="217" spans="1:5">
      <c r="A217" s="45" t="s">
        <v>771</v>
      </c>
      <c r="B217" s="5" t="s">
        <v>713</v>
      </c>
      <c r="C217" s="5" t="str">
        <f>B217</f>
        <v>Shared Centre</v>
      </c>
      <c r="D217" s="14" t="s">
        <v>714</v>
      </c>
      <c r="E217" s="14" t="s">
        <v>28</v>
      </c>
    </row>
    <row r="218" spans="1:5">
      <c r="A218" s="45" t="s">
        <v>772</v>
      </c>
      <c r="B218" s="5" t="s">
        <v>11</v>
      </c>
      <c r="C218" s="10" t="s">
        <v>11</v>
      </c>
      <c r="D218" s="11" t="s">
        <v>22</v>
      </c>
      <c r="E218" s="14" t="s">
        <v>747</v>
      </c>
    </row>
    <row r="219" spans="1:5">
      <c r="A219" s="45" t="s">
        <v>773</v>
      </c>
      <c r="B219" s="10" t="s">
        <v>10</v>
      </c>
      <c r="C219" s="10" t="s">
        <v>10</v>
      </c>
      <c r="D219" s="14" t="s">
        <v>36</v>
      </c>
      <c r="E219" s="14" t="s">
        <v>33</v>
      </c>
    </row>
    <row r="220" spans="1:5">
      <c r="A220" s="45" t="s">
        <v>774</v>
      </c>
      <c r="B220" s="5" t="s">
        <v>12</v>
      </c>
      <c r="C220" s="10" t="s">
        <v>12</v>
      </c>
      <c r="D220" s="14" t="s">
        <v>651</v>
      </c>
      <c r="E220" s="14" t="s">
        <v>28</v>
      </c>
    </row>
    <row r="221" spans="1:5">
      <c r="A221" s="45" t="s">
        <v>775</v>
      </c>
      <c r="B221" s="5" t="s">
        <v>12</v>
      </c>
      <c r="C221" s="10" t="s">
        <v>12</v>
      </c>
      <c r="D221" s="14" t="s">
        <v>36</v>
      </c>
      <c r="E221" s="14" t="s">
        <v>712</v>
      </c>
    </row>
    <row r="222" spans="1:5">
      <c r="A222" s="45" t="s">
        <v>60</v>
      </c>
      <c r="B222" s="10" t="s">
        <v>713</v>
      </c>
      <c r="C222" s="10" t="s">
        <v>713</v>
      </c>
      <c r="D222" s="14" t="s">
        <v>36</v>
      </c>
      <c r="E222" s="14" t="s">
        <v>61</v>
      </c>
    </row>
    <row r="223" spans="1:5">
      <c r="A223" s="45" t="s">
        <v>776</v>
      </c>
      <c r="B223" s="5" t="s">
        <v>11</v>
      </c>
      <c r="C223" s="10" t="s">
        <v>11</v>
      </c>
      <c r="D223" s="11" t="s">
        <v>22</v>
      </c>
      <c r="E223" s="14" t="s">
        <v>25</v>
      </c>
    </row>
    <row r="224" spans="1:5">
      <c r="A224" s="45" t="s">
        <v>777</v>
      </c>
      <c r="B224" s="5" t="s">
        <v>12</v>
      </c>
      <c r="C224" s="10" t="s">
        <v>12</v>
      </c>
      <c r="D224" s="14" t="s">
        <v>651</v>
      </c>
      <c r="E224" s="14" t="s">
        <v>36</v>
      </c>
    </row>
    <row r="225" spans="1:5">
      <c r="A225" s="45" t="s">
        <v>778</v>
      </c>
      <c r="B225" s="5" t="s">
        <v>12</v>
      </c>
      <c r="C225" s="10" t="s">
        <v>12</v>
      </c>
      <c r="D225" s="14" t="s">
        <v>651</v>
      </c>
      <c r="E225" s="14" t="s">
        <v>36</v>
      </c>
    </row>
    <row r="226" spans="1:5">
      <c r="A226" s="45" t="s">
        <v>779</v>
      </c>
      <c r="B226" s="5" t="s">
        <v>12</v>
      </c>
      <c r="C226" s="10" t="s">
        <v>12</v>
      </c>
      <c r="D226" s="14" t="s">
        <v>651</v>
      </c>
      <c r="E226" s="14" t="s">
        <v>36</v>
      </c>
    </row>
    <row r="227" spans="1:5">
      <c r="A227" s="45" t="s">
        <v>780</v>
      </c>
      <c r="B227" s="5" t="s">
        <v>12</v>
      </c>
      <c r="C227" s="10" t="s">
        <v>12</v>
      </c>
      <c r="D227" s="17" t="s">
        <v>651</v>
      </c>
      <c r="E227" s="14" t="s">
        <v>36</v>
      </c>
    </row>
    <row r="228" spans="1:5">
      <c r="A228" s="45" t="s">
        <v>781</v>
      </c>
      <c r="B228" s="5" t="s">
        <v>11</v>
      </c>
      <c r="C228" s="10" t="s">
        <v>11</v>
      </c>
      <c r="D228" s="11" t="s">
        <v>22</v>
      </c>
      <c r="E228" s="14" t="s">
        <v>36</v>
      </c>
    </row>
    <row r="229" spans="1:5">
      <c r="A229" s="45" t="s">
        <v>220</v>
      </c>
      <c r="B229" s="5" t="s">
        <v>11</v>
      </c>
      <c r="C229" s="10" t="s">
        <v>11</v>
      </c>
      <c r="D229" s="11" t="s">
        <v>22</v>
      </c>
      <c r="E229" s="14" t="s">
        <v>25</v>
      </c>
    </row>
    <row r="230" spans="1:5">
      <c r="A230" s="45" t="s">
        <v>221</v>
      </c>
      <c r="B230" s="5" t="s">
        <v>11</v>
      </c>
      <c r="C230" s="10" t="s">
        <v>11</v>
      </c>
      <c r="D230" s="11" t="s">
        <v>22</v>
      </c>
      <c r="E230" s="14" t="s">
        <v>25</v>
      </c>
    </row>
    <row r="231" spans="1:5">
      <c r="A231" s="45" t="s">
        <v>70</v>
      </c>
      <c r="B231" s="10" t="s">
        <v>10</v>
      </c>
      <c r="C231" s="10" t="s">
        <v>10</v>
      </c>
      <c r="D231" s="14" t="s">
        <v>56</v>
      </c>
      <c r="E231" s="14" t="s">
        <v>71</v>
      </c>
    </row>
    <row r="232" spans="1:5">
      <c r="A232" s="45" t="s">
        <v>24</v>
      </c>
      <c r="B232" s="5" t="s">
        <v>713</v>
      </c>
      <c r="C232" s="5" t="str">
        <f>B232</f>
        <v>Shared Centre</v>
      </c>
      <c r="D232" s="11" t="s">
        <v>714</v>
      </c>
      <c r="E232" s="14" t="s">
        <v>25</v>
      </c>
    </row>
    <row r="233" spans="1:5">
      <c r="A233" s="45" t="s">
        <v>782</v>
      </c>
      <c r="B233" s="10" t="s">
        <v>10</v>
      </c>
      <c r="C233" s="10" t="s">
        <v>10</v>
      </c>
      <c r="D233" s="14" t="s">
        <v>36</v>
      </c>
      <c r="E233" s="14" t="s">
        <v>64</v>
      </c>
    </row>
    <row r="234" spans="1:5">
      <c r="A234" s="45" t="s">
        <v>783</v>
      </c>
      <c r="B234" s="5" t="s">
        <v>12</v>
      </c>
      <c r="C234" s="10" t="s">
        <v>12</v>
      </c>
      <c r="D234" s="14" t="s">
        <v>620</v>
      </c>
      <c r="E234" s="14" t="s">
        <v>36</v>
      </c>
    </row>
    <row r="235" spans="1:5">
      <c r="A235" s="45" t="s">
        <v>784</v>
      </c>
      <c r="B235" s="5" t="s">
        <v>12</v>
      </c>
      <c r="C235" s="10" t="s">
        <v>12</v>
      </c>
      <c r="D235" s="14" t="s">
        <v>36</v>
      </c>
      <c r="E235" s="14" t="s">
        <v>642</v>
      </c>
    </row>
    <row r="236" spans="1:5">
      <c r="A236" s="45" t="s">
        <v>785</v>
      </c>
      <c r="B236" s="5" t="s">
        <v>713</v>
      </c>
      <c r="C236" s="5" t="str">
        <f>B236</f>
        <v>Shared Centre</v>
      </c>
      <c r="D236" s="14" t="s">
        <v>714</v>
      </c>
      <c r="E236" s="14" t="s">
        <v>36</v>
      </c>
    </row>
    <row r="237" spans="1:5">
      <c r="A237" s="45" t="s">
        <v>242</v>
      </c>
      <c r="B237" s="5" t="s">
        <v>12</v>
      </c>
      <c r="C237" s="10" t="s">
        <v>12</v>
      </c>
      <c r="D237" s="14" t="s">
        <v>36</v>
      </c>
      <c r="E237" s="14" t="s">
        <v>710</v>
      </c>
    </row>
    <row r="238" spans="1:5">
      <c r="A238" s="45" t="s">
        <v>192</v>
      </c>
      <c r="B238" s="5" t="s">
        <v>713</v>
      </c>
      <c r="C238" s="5" t="str">
        <f>B238</f>
        <v>Shared Centre</v>
      </c>
      <c r="D238" s="14" t="s">
        <v>714</v>
      </c>
      <c r="E238" s="14" t="s">
        <v>36</v>
      </c>
    </row>
    <row r="239" spans="1:5">
      <c r="A239" s="4" t="s">
        <v>786</v>
      </c>
      <c r="B239" s="5" t="s">
        <v>11</v>
      </c>
      <c r="C239" s="8" t="s">
        <v>11</v>
      </c>
      <c r="D239" s="11" t="s">
        <v>22</v>
      </c>
      <c r="E239" s="14" t="s">
        <v>649</v>
      </c>
    </row>
    <row r="240" spans="1:5">
      <c r="A240" s="4" t="s">
        <v>787</v>
      </c>
      <c r="B240" s="8" t="s">
        <v>12</v>
      </c>
      <c r="C240" s="8" t="s">
        <v>12</v>
      </c>
      <c r="D240" s="14" t="s">
        <v>651</v>
      </c>
      <c r="E240" s="14" t="s">
        <v>36</v>
      </c>
    </row>
    <row r="241" spans="1:5">
      <c r="A241" s="4" t="s">
        <v>208</v>
      </c>
      <c r="B241" s="8" t="s">
        <v>11</v>
      </c>
      <c r="C241" s="8" t="s">
        <v>11</v>
      </c>
      <c r="D241" s="11" t="s">
        <v>22</v>
      </c>
      <c r="E241" s="14" t="s">
        <v>25</v>
      </c>
    </row>
    <row r="242" spans="1:5">
      <c r="A242" s="4" t="s">
        <v>85</v>
      </c>
      <c r="B242" s="8" t="s">
        <v>10</v>
      </c>
      <c r="C242" s="8" t="s">
        <v>10</v>
      </c>
      <c r="D242" s="14" t="s">
        <v>36</v>
      </c>
      <c r="E242" s="14" t="s">
        <v>33</v>
      </c>
    </row>
    <row r="243" spans="1:5">
      <c r="A243" s="4" t="s">
        <v>788</v>
      </c>
      <c r="B243" s="8" t="s">
        <v>10</v>
      </c>
      <c r="C243" s="8" t="s">
        <v>10</v>
      </c>
      <c r="D243" s="14" t="s">
        <v>36</v>
      </c>
      <c r="E243" s="14" t="s">
        <v>33</v>
      </c>
    </row>
    <row r="244" spans="1:5">
      <c r="A244" s="4" t="s">
        <v>789</v>
      </c>
      <c r="B244" s="8" t="s">
        <v>10</v>
      </c>
      <c r="C244" s="8" t="s">
        <v>10</v>
      </c>
      <c r="D244" s="14" t="s">
        <v>995</v>
      </c>
      <c r="E244" s="14" t="s">
        <v>36</v>
      </c>
    </row>
    <row r="245" spans="1:5">
      <c r="A245" s="4" t="s">
        <v>790</v>
      </c>
      <c r="B245" s="5" t="s">
        <v>713</v>
      </c>
      <c r="C245" s="5" t="str">
        <f>B245</f>
        <v>Shared Centre</v>
      </c>
      <c r="D245" t="s">
        <v>714</v>
      </c>
      <c r="E245" t="s">
        <v>708</v>
      </c>
    </row>
    <row r="246" spans="1:5">
      <c r="A246" s="4" t="s">
        <v>153</v>
      </c>
      <c r="B246" s="8" t="s">
        <v>12</v>
      </c>
      <c r="C246" s="8" t="s">
        <v>12</v>
      </c>
      <c r="D246" t="s">
        <v>36</v>
      </c>
      <c r="E246" t="s">
        <v>708</v>
      </c>
    </row>
    <row r="247" spans="1:5">
      <c r="A247" s="4" t="s">
        <v>791</v>
      </c>
      <c r="B247" s="8" t="s">
        <v>12</v>
      </c>
      <c r="C247" s="8" t="s">
        <v>12</v>
      </c>
      <c r="D247" t="s">
        <v>36</v>
      </c>
      <c r="E247" t="s">
        <v>642</v>
      </c>
    </row>
    <row r="248" spans="1:5">
      <c r="A248" s="4" t="s">
        <v>792</v>
      </c>
      <c r="B248" s="8" t="s">
        <v>12</v>
      </c>
      <c r="C248" s="8" t="s">
        <v>12</v>
      </c>
      <c r="D248" t="s">
        <v>620</v>
      </c>
      <c r="E248" t="s">
        <v>36</v>
      </c>
    </row>
    <row r="249" spans="1:5">
      <c r="A249" s="4" t="s">
        <v>793</v>
      </c>
      <c r="B249" s="8" t="s">
        <v>12</v>
      </c>
      <c r="C249" s="8" t="s">
        <v>12</v>
      </c>
      <c r="D249" t="s">
        <v>36</v>
      </c>
      <c r="E249" t="s">
        <v>710</v>
      </c>
    </row>
    <row r="250" spans="1:5">
      <c r="A250" s="4" t="s">
        <v>21</v>
      </c>
      <c r="B250" s="8" t="s">
        <v>11</v>
      </c>
      <c r="C250" s="8" t="s">
        <v>11</v>
      </c>
      <c r="D250" s="11" t="s">
        <v>22</v>
      </c>
      <c r="E250" t="s">
        <v>23</v>
      </c>
    </row>
    <row r="251" spans="1:5">
      <c r="A251" s="4" t="s">
        <v>794</v>
      </c>
      <c r="B251" s="8" t="s">
        <v>12</v>
      </c>
      <c r="C251" s="8" t="s">
        <v>12</v>
      </c>
      <c r="D251" t="s">
        <v>651</v>
      </c>
      <c r="E251" t="s">
        <v>36</v>
      </c>
    </row>
    <row r="252" spans="1:5">
      <c r="A252" s="4" t="s">
        <v>795</v>
      </c>
      <c r="B252" s="8" t="s">
        <v>11</v>
      </c>
      <c r="C252" s="8" t="s">
        <v>11</v>
      </c>
      <c r="D252" s="11" t="s">
        <v>22</v>
      </c>
      <c r="E252" t="s">
        <v>23</v>
      </c>
    </row>
    <row r="253" spans="1:5">
      <c r="A253" s="4" t="s">
        <v>163</v>
      </c>
      <c r="B253" s="8" t="s">
        <v>12</v>
      </c>
      <c r="C253" s="8" t="s">
        <v>12</v>
      </c>
      <c r="D253" t="s">
        <v>36</v>
      </c>
      <c r="E253" t="s">
        <v>796</v>
      </c>
    </row>
    <row r="254" spans="1:5">
      <c r="A254" s="4" t="s">
        <v>227</v>
      </c>
      <c r="B254" s="8" t="s">
        <v>12</v>
      </c>
      <c r="C254" s="8" t="s">
        <v>12</v>
      </c>
      <c r="D254" t="s">
        <v>651</v>
      </c>
      <c r="E254" t="s">
        <v>36</v>
      </c>
    </row>
    <row r="255" spans="1:5">
      <c r="A255" s="4" t="s">
        <v>797</v>
      </c>
      <c r="B255" s="8" t="s">
        <v>12</v>
      </c>
      <c r="C255" s="8" t="s">
        <v>12</v>
      </c>
      <c r="D255" t="s">
        <v>673</v>
      </c>
      <c r="E255" t="s">
        <v>36</v>
      </c>
    </row>
    <row r="256" spans="1:5" ht="29">
      <c r="A256" s="4" t="s">
        <v>798</v>
      </c>
      <c r="B256" s="8" t="s">
        <v>12</v>
      </c>
      <c r="C256" s="8" t="s">
        <v>12</v>
      </c>
      <c r="D256" t="s">
        <v>36</v>
      </c>
      <c r="E256" t="s">
        <v>642</v>
      </c>
    </row>
    <row r="257" spans="1:5">
      <c r="A257" s="4" t="s">
        <v>157</v>
      </c>
      <c r="B257" s="8" t="s">
        <v>9</v>
      </c>
      <c r="C257" s="8" t="s">
        <v>629</v>
      </c>
      <c r="D257" t="s">
        <v>617</v>
      </c>
      <c r="E257" t="s">
        <v>36</v>
      </c>
    </row>
    <row r="258" spans="1:5">
      <c r="A258" s="4" t="s">
        <v>65</v>
      </c>
      <c r="B258" s="8" t="s">
        <v>713</v>
      </c>
      <c r="C258" s="8" t="s">
        <v>713</v>
      </c>
      <c r="D258" t="s">
        <v>766</v>
      </c>
      <c r="E258" t="s">
        <v>36</v>
      </c>
    </row>
    <row r="259" spans="1:5">
      <c r="A259" s="4" t="s">
        <v>799</v>
      </c>
      <c r="B259" s="8" t="s">
        <v>10</v>
      </c>
      <c r="C259" s="8" t="s">
        <v>10</v>
      </c>
      <c r="D259" t="s">
        <v>995</v>
      </c>
      <c r="E259" t="s">
        <v>36</v>
      </c>
    </row>
    <row r="260" spans="1:5">
      <c r="A260" s="4" t="s">
        <v>800</v>
      </c>
      <c r="B260" s="8" t="s">
        <v>10</v>
      </c>
      <c r="C260" s="8" t="s">
        <v>10</v>
      </c>
      <c r="D260" t="s">
        <v>36</v>
      </c>
      <c r="E260" t="s">
        <v>69</v>
      </c>
    </row>
    <row r="261" spans="1:5">
      <c r="A261" s="4" t="s">
        <v>141</v>
      </c>
      <c r="B261" s="8" t="s">
        <v>9</v>
      </c>
      <c r="C261" s="8" t="s">
        <v>616</v>
      </c>
      <c r="D261" t="s">
        <v>617</v>
      </c>
      <c r="E261" t="s">
        <v>36</v>
      </c>
    </row>
    <row r="262" spans="1:5">
      <c r="A262" s="4" t="s">
        <v>79</v>
      </c>
      <c r="B262" s="8" t="s">
        <v>10</v>
      </c>
      <c r="C262" s="8" t="s">
        <v>10</v>
      </c>
      <c r="D262" t="s">
        <v>56</v>
      </c>
      <c r="E262" t="s">
        <v>69</v>
      </c>
    </row>
    <row r="263" spans="1:5">
      <c r="A263" s="4" t="s">
        <v>801</v>
      </c>
      <c r="B263" s="8" t="s">
        <v>11</v>
      </c>
      <c r="C263" s="8" t="s">
        <v>11</v>
      </c>
      <c r="D263" s="11" t="s">
        <v>22</v>
      </c>
      <c r="E263" t="s">
        <v>25</v>
      </c>
    </row>
    <row r="264" spans="1:5" ht="29">
      <c r="A264" s="4" t="s">
        <v>246</v>
      </c>
      <c r="B264" s="8" t="s">
        <v>12</v>
      </c>
      <c r="C264" s="8" t="s">
        <v>12</v>
      </c>
      <c r="D264" t="s">
        <v>36</v>
      </c>
      <c r="E264" t="s">
        <v>642</v>
      </c>
    </row>
    <row r="265" spans="1:5">
      <c r="A265" s="28" t="s">
        <v>802</v>
      </c>
      <c r="B265" s="5" t="s">
        <v>12</v>
      </c>
      <c r="C265" s="5" t="s">
        <v>12</v>
      </c>
      <c r="D265" s="11" t="s">
        <v>27</v>
      </c>
      <c r="E265" s="11" t="s">
        <v>28</v>
      </c>
    </row>
    <row r="266" spans="1:5">
      <c r="A266" s="4" t="s">
        <v>803</v>
      </c>
      <c r="B266" s="8" t="s">
        <v>12</v>
      </c>
      <c r="C266" s="8" t="s">
        <v>12</v>
      </c>
      <c r="D266" t="s">
        <v>651</v>
      </c>
      <c r="E266" t="s">
        <v>36</v>
      </c>
    </row>
    <row r="267" spans="1:5" ht="29">
      <c r="A267" s="4" t="s">
        <v>804</v>
      </c>
      <c r="B267" s="8" t="s">
        <v>11</v>
      </c>
      <c r="C267" s="8" t="str">
        <f>B267</f>
        <v>ME</v>
      </c>
      <c r="D267" s="11" t="s">
        <v>22</v>
      </c>
      <c r="E267" t="s">
        <v>36</v>
      </c>
    </row>
    <row r="268" spans="1:5">
      <c r="A268" s="4" t="s">
        <v>805</v>
      </c>
      <c r="B268" s="8" t="s">
        <v>11</v>
      </c>
      <c r="C268" s="8" t="str">
        <f t="shared" ref="C268:C295" si="0">B268</f>
        <v>ME</v>
      </c>
      <c r="D268" s="11" t="s">
        <v>22</v>
      </c>
      <c r="E268" t="s">
        <v>36</v>
      </c>
    </row>
    <row r="269" spans="1:5">
      <c r="A269" s="4" t="s">
        <v>806</v>
      </c>
      <c r="B269" s="8" t="s">
        <v>622</v>
      </c>
      <c r="C269" s="8" t="str">
        <f t="shared" si="0"/>
        <v>SME</v>
      </c>
      <c r="D269" t="s">
        <v>36</v>
      </c>
      <c r="E269" t="s">
        <v>36</v>
      </c>
    </row>
    <row r="270" spans="1:5">
      <c r="A270" s="4" t="s">
        <v>806</v>
      </c>
      <c r="B270" s="8" t="s">
        <v>622</v>
      </c>
      <c r="C270" s="8" t="str">
        <f t="shared" si="0"/>
        <v>SME</v>
      </c>
      <c r="D270" t="s">
        <v>36</v>
      </c>
      <c r="E270" t="s">
        <v>36</v>
      </c>
    </row>
    <row r="271" spans="1:5">
      <c r="A271" s="4" t="s">
        <v>807</v>
      </c>
      <c r="B271" s="8" t="s">
        <v>10</v>
      </c>
      <c r="C271" s="8" t="str">
        <f t="shared" si="0"/>
        <v>USA</v>
      </c>
      <c r="D271" t="s">
        <v>35</v>
      </c>
      <c r="E271" t="s">
        <v>36</v>
      </c>
    </row>
    <row r="272" spans="1:5">
      <c r="A272" s="4" t="s">
        <v>808</v>
      </c>
      <c r="B272" s="8" t="s">
        <v>9</v>
      </c>
      <c r="C272" s="8" t="str">
        <f t="shared" si="0"/>
        <v>EU/UK</v>
      </c>
      <c r="D272" t="s">
        <v>617</v>
      </c>
      <c r="E272" t="s">
        <v>36</v>
      </c>
    </row>
    <row r="273" spans="1:5">
      <c r="A273" s="4" t="s">
        <v>809</v>
      </c>
      <c r="B273" s="8" t="s">
        <v>10</v>
      </c>
      <c r="C273" s="8" t="str">
        <f t="shared" si="0"/>
        <v>USA</v>
      </c>
      <c r="D273" t="s">
        <v>995</v>
      </c>
      <c r="E273" t="s">
        <v>36</v>
      </c>
    </row>
    <row r="274" spans="1:5">
      <c r="A274" s="4" t="s">
        <v>810</v>
      </c>
      <c r="B274" s="8" t="s">
        <v>11</v>
      </c>
      <c r="C274" s="8" t="str">
        <f t="shared" si="0"/>
        <v>ME</v>
      </c>
      <c r="D274" s="11" t="s">
        <v>22</v>
      </c>
      <c r="E274" t="s">
        <v>36</v>
      </c>
    </row>
    <row r="275" spans="1:5">
      <c r="A275" s="4" t="s">
        <v>811</v>
      </c>
      <c r="B275" s="8" t="s">
        <v>11</v>
      </c>
      <c r="C275" s="8" t="str">
        <f t="shared" si="0"/>
        <v>ME</v>
      </c>
      <c r="D275" s="11" t="s">
        <v>22</v>
      </c>
      <c r="E275" t="s">
        <v>36</v>
      </c>
    </row>
    <row r="276" spans="1:5">
      <c r="A276" s="4" t="s">
        <v>812</v>
      </c>
      <c r="B276" s="8" t="s">
        <v>12</v>
      </c>
      <c r="C276" s="8" t="str">
        <f t="shared" si="0"/>
        <v>APAC</v>
      </c>
      <c r="D276" t="s">
        <v>620</v>
      </c>
      <c r="E276" t="s">
        <v>36</v>
      </c>
    </row>
    <row r="277" spans="1:5">
      <c r="A277" s="4" t="s">
        <v>813</v>
      </c>
      <c r="B277" s="8" t="s">
        <v>12</v>
      </c>
      <c r="C277" s="8" t="str">
        <f t="shared" si="0"/>
        <v>APAC</v>
      </c>
      <c r="D277" t="s">
        <v>620</v>
      </c>
      <c r="E277" t="s">
        <v>36</v>
      </c>
    </row>
    <row r="278" spans="1:5">
      <c r="A278" s="4" t="s">
        <v>814</v>
      </c>
      <c r="B278" s="8" t="s">
        <v>10</v>
      </c>
      <c r="C278" s="8" t="str">
        <f t="shared" si="0"/>
        <v>USA</v>
      </c>
      <c r="D278" t="s">
        <v>995</v>
      </c>
      <c r="E278" t="s">
        <v>36</v>
      </c>
    </row>
    <row r="279" spans="1:5">
      <c r="A279" s="4" t="s">
        <v>815</v>
      </c>
      <c r="B279" s="5" t="s">
        <v>713</v>
      </c>
      <c r="C279" s="5" t="str">
        <f>B279</f>
        <v>Shared Centre</v>
      </c>
      <c r="D279" t="s">
        <v>714</v>
      </c>
      <c r="E279" t="s">
        <v>36</v>
      </c>
    </row>
    <row r="280" spans="1:5">
      <c r="A280" s="4" t="s">
        <v>816</v>
      </c>
      <c r="B280" s="8" t="s">
        <v>12</v>
      </c>
      <c r="C280" s="8" t="str">
        <f t="shared" si="0"/>
        <v>APAC</v>
      </c>
      <c r="D280" t="s">
        <v>620</v>
      </c>
      <c r="E280" t="s">
        <v>36</v>
      </c>
    </row>
    <row r="281" spans="1:5">
      <c r="A281" s="4" t="s">
        <v>817</v>
      </c>
      <c r="B281" s="8" t="s">
        <v>12</v>
      </c>
      <c r="C281" s="8" t="str">
        <f t="shared" si="0"/>
        <v>APAC</v>
      </c>
      <c r="D281" t="s">
        <v>651</v>
      </c>
      <c r="E281" t="s">
        <v>36</v>
      </c>
    </row>
    <row r="282" spans="1:5">
      <c r="A282" s="4" t="s">
        <v>818</v>
      </c>
      <c r="B282" s="8" t="s">
        <v>12</v>
      </c>
      <c r="C282" s="8" t="str">
        <f t="shared" si="0"/>
        <v>APAC</v>
      </c>
      <c r="D282" t="s">
        <v>651</v>
      </c>
      <c r="E282" t="s">
        <v>36</v>
      </c>
    </row>
    <row r="283" spans="1:5">
      <c r="A283" s="4" t="s">
        <v>818</v>
      </c>
      <c r="B283" s="8" t="s">
        <v>12</v>
      </c>
      <c r="C283" s="8" t="str">
        <f t="shared" si="0"/>
        <v>APAC</v>
      </c>
      <c r="D283" t="s">
        <v>651</v>
      </c>
      <c r="E283" t="s">
        <v>36</v>
      </c>
    </row>
    <row r="284" spans="1:5">
      <c r="A284" s="4" t="s">
        <v>212</v>
      </c>
      <c r="B284" s="8" t="s">
        <v>11</v>
      </c>
      <c r="C284" s="8" t="str">
        <f t="shared" si="0"/>
        <v>ME</v>
      </c>
      <c r="D284" s="11" t="s">
        <v>22</v>
      </c>
      <c r="E284" t="s">
        <v>23</v>
      </c>
    </row>
    <row r="285" spans="1:5">
      <c r="A285" s="4" t="s">
        <v>819</v>
      </c>
      <c r="B285" s="5" t="s">
        <v>713</v>
      </c>
      <c r="C285" s="5" t="str">
        <f>B285</f>
        <v>Shared Centre</v>
      </c>
      <c r="D285" t="s">
        <v>714</v>
      </c>
      <c r="E285" t="s">
        <v>71</v>
      </c>
    </row>
    <row r="286" spans="1:5">
      <c r="A286" s="4" t="s">
        <v>820</v>
      </c>
      <c r="B286" s="8" t="s">
        <v>10</v>
      </c>
      <c r="C286" s="8" t="str">
        <f t="shared" si="0"/>
        <v>USA</v>
      </c>
      <c r="D286" t="s">
        <v>995</v>
      </c>
      <c r="E286" t="s">
        <v>33</v>
      </c>
    </row>
    <row r="287" spans="1:5">
      <c r="A287" s="4" t="s">
        <v>821</v>
      </c>
      <c r="B287" s="8" t="s">
        <v>12</v>
      </c>
      <c r="C287" s="8" t="str">
        <f t="shared" si="0"/>
        <v>APAC</v>
      </c>
      <c r="D287" t="s">
        <v>673</v>
      </c>
      <c r="E287" t="s">
        <v>36</v>
      </c>
    </row>
    <row r="288" spans="1:5">
      <c r="A288" s="4" t="s">
        <v>822</v>
      </c>
      <c r="B288" s="8" t="s">
        <v>12</v>
      </c>
      <c r="C288" s="8" t="str">
        <f t="shared" si="0"/>
        <v>APAC</v>
      </c>
      <c r="D288" t="s">
        <v>36</v>
      </c>
      <c r="E288" t="s">
        <v>71</v>
      </c>
    </row>
    <row r="289" spans="1:5">
      <c r="A289" s="4" t="s">
        <v>823</v>
      </c>
      <c r="B289" s="8" t="s">
        <v>10</v>
      </c>
      <c r="C289" s="8" t="str">
        <f t="shared" si="0"/>
        <v>USA</v>
      </c>
      <c r="D289" t="s">
        <v>995</v>
      </c>
      <c r="E289" t="s">
        <v>69</v>
      </c>
    </row>
    <row r="290" spans="1:5">
      <c r="A290" s="4" t="s">
        <v>145</v>
      </c>
      <c r="B290" s="8" t="s">
        <v>12</v>
      </c>
      <c r="C290" s="8" t="str">
        <f t="shared" si="0"/>
        <v>APAC</v>
      </c>
      <c r="D290" t="s">
        <v>30</v>
      </c>
      <c r="E290" t="s">
        <v>71</v>
      </c>
    </row>
    <row r="291" spans="1:5">
      <c r="A291" s="4" t="s">
        <v>824</v>
      </c>
      <c r="B291" s="8" t="s">
        <v>713</v>
      </c>
      <c r="C291" s="8" t="s">
        <v>713</v>
      </c>
      <c r="D291" t="s">
        <v>994</v>
      </c>
      <c r="E291" t="s">
        <v>69</v>
      </c>
    </row>
    <row r="292" spans="1:5">
      <c r="A292" s="4" t="s">
        <v>215</v>
      </c>
      <c r="B292" s="8" t="s">
        <v>12</v>
      </c>
      <c r="C292" s="8" t="str">
        <f t="shared" si="0"/>
        <v>APAC</v>
      </c>
      <c r="D292" t="s">
        <v>36</v>
      </c>
      <c r="E292" t="s">
        <v>708</v>
      </c>
    </row>
    <row r="293" spans="1:5">
      <c r="A293" s="4" t="s">
        <v>825</v>
      </c>
      <c r="B293" s="8" t="s">
        <v>11</v>
      </c>
      <c r="C293" s="8" t="str">
        <f t="shared" si="0"/>
        <v>ME</v>
      </c>
      <c r="D293" s="11" t="s">
        <v>22</v>
      </c>
      <c r="E293" t="s">
        <v>23</v>
      </c>
    </row>
    <row r="294" spans="1:5">
      <c r="A294" s="4" t="s">
        <v>86</v>
      </c>
      <c r="B294" s="8" t="s">
        <v>10</v>
      </c>
      <c r="C294" s="8" t="str">
        <f t="shared" si="0"/>
        <v>USA</v>
      </c>
      <c r="D294" t="s">
        <v>56</v>
      </c>
      <c r="E294" t="s">
        <v>69</v>
      </c>
    </row>
    <row r="295" spans="1:5">
      <c r="A295" s="4" t="s">
        <v>826</v>
      </c>
      <c r="B295" s="8" t="s">
        <v>12</v>
      </c>
      <c r="C295" s="8" t="str">
        <f t="shared" si="0"/>
        <v>APAC</v>
      </c>
      <c r="D295" t="s">
        <v>36</v>
      </c>
      <c r="E295" t="s">
        <v>642</v>
      </c>
    </row>
    <row r="296" spans="1:5">
      <c r="A296" s="4" t="s">
        <v>827</v>
      </c>
      <c r="B296" s="8" t="s">
        <v>10</v>
      </c>
      <c r="C296" s="8" t="str">
        <f t="shared" ref="C296:C297" si="1">B296</f>
        <v>USA</v>
      </c>
      <c r="D296" t="s">
        <v>36</v>
      </c>
      <c r="E296" t="s">
        <v>69</v>
      </c>
    </row>
    <row r="297" spans="1:5">
      <c r="A297" s="48" t="s">
        <v>828</v>
      </c>
      <c r="B297" s="8" t="s">
        <v>12</v>
      </c>
      <c r="C297" s="8" t="str">
        <f t="shared" si="1"/>
        <v>APAC</v>
      </c>
      <c r="D297" t="s">
        <v>36</v>
      </c>
      <c r="E297" t="s">
        <v>673</v>
      </c>
    </row>
    <row r="298" spans="1:5">
      <c r="A298" s="48" t="s">
        <v>829</v>
      </c>
      <c r="B298" s="8" t="s">
        <v>12</v>
      </c>
      <c r="C298" s="8" t="str">
        <f t="shared" ref="C298:C326" si="2">B298</f>
        <v>APAC</v>
      </c>
      <c r="D298" t="s">
        <v>36</v>
      </c>
      <c r="E298" t="s">
        <v>673</v>
      </c>
    </row>
    <row r="299" spans="1:5">
      <c r="A299" s="48" t="s">
        <v>830</v>
      </c>
      <c r="B299" s="8" t="s">
        <v>11</v>
      </c>
      <c r="C299" s="8" t="str">
        <f t="shared" si="2"/>
        <v>ME</v>
      </c>
      <c r="D299" s="11" t="s">
        <v>22</v>
      </c>
      <c r="E299" t="s">
        <v>649</v>
      </c>
    </row>
    <row r="300" spans="1:5">
      <c r="A300" s="48" t="s">
        <v>167</v>
      </c>
      <c r="B300" s="8" t="s">
        <v>12</v>
      </c>
      <c r="C300" s="8" t="str">
        <f t="shared" si="2"/>
        <v>APAC</v>
      </c>
      <c r="D300" t="s">
        <v>36</v>
      </c>
      <c r="E300" t="s">
        <v>708</v>
      </c>
    </row>
    <row r="301" spans="1:5">
      <c r="A301" s="48" t="s">
        <v>74</v>
      </c>
      <c r="B301" s="8" t="s">
        <v>10</v>
      </c>
      <c r="C301" s="8" t="str">
        <f t="shared" si="2"/>
        <v>USA</v>
      </c>
      <c r="D301" t="s">
        <v>995</v>
      </c>
      <c r="E301" t="s">
        <v>69</v>
      </c>
    </row>
    <row r="302" spans="1:5">
      <c r="A302" s="45" t="s">
        <v>831</v>
      </c>
      <c r="B302" s="8" t="s">
        <v>12</v>
      </c>
      <c r="C302" s="8" t="str">
        <f t="shared" si="2"/>
        <v>APAC</v>
      </c>
      <c r="D302" t="s">
        <v>36</v>
      </c>
      <c r="E302" t="s">
        <v>708</v>
      </c>
    </row>
    <row r="303" spans="1:5">
      <c r="A303" s="45" t="s">
        <v>182</v>
      </c>
      <c r="B303" s="8" t="s">
        <v>12</v>
      </c>
      <c r="C303" s="8" t="str">
        <f t="shared" si="2"/>
        <v>APAC</v>
      </c>
      <c r="D303" t="s">
        <v>36</v>
      </c>
      <c r="E303" t="s">
        <v>832</v>
      </c>
    </row>
    <row r="304" spans="1:5">
      <c r="A304" s="45" t="s">
        <v>833</v>
      </c>
      <c r="B304" s="8" t="s">
        <v>12</v>
      </c>
      <c r="C304" s="8" t="str">
        <f t="shared" si="2"/>
        <v>APAC</v>
      </c>
      <c r="D304" t="s">
        <v>36</v>
      </c>
      <c r="E304" t="s">
        <v>712</v>
      </c>
    </row>
    <row r="305" spans="1:5">
      <c r="A305" s="45" t="s">
        <v>76</v>
      </c>
      <c r="B305" s="8" t="s">
        <v>10</v>
      </c>
      <c r="C305" s="8" t="str">
        <f t="shared" si="2"/>
        <v>USA</v>
      </c>
      <c r="D305" t="s">
        <v>56</v>
      </c>
      <c r="E305" t="s">
        <v>69</v>
      </c>
    </row>
    <row r="306" spans="1:5">
      <c r="A306" s="45" t="s">
        <v>77</v>
      </c>
      <c r="B306" s="8" t="s">
        <v>10</v>
      </c>
      <c r="C306" s="8" t="str">
        <f t="shared" si="2"/>
        <v>USA</v>
      </c>
      <c r="D306" t="s">
        <v>56</v>
      </c>
      <c r="E306" t="s">
        <v>69</v>
      </c>
    </row>
    <row r="307" spans="1:5">
      <c r="A307" s="45" t="s">
        <v>834</v>
      </c>
      <c r="B307" s="8" t="s">
        <v>10</v>
      </c>
      <c r="C307" s="8" t="str">
        <f t="shared" si="2"/>
        <v>USA</v>
      </c>
      <c r="D307" t="s">
        <v>36</v>
      </c>
      <c r="E307" t="s">
        <v>69</v>
      </c>
    </row>
    <row r="308" spans="1:5">
      <c r="A308" s="45" t="s">
        <v>228</v>
      </c>
      <c r="B308" s="8" t="s">
        <v>12</v>
      </c>
      <c r="C308" s="8" t="str">
        <f t="shared" si="2"/>
        <v>APAC</v>
      </c>
      <c r="D308" t="s">
        <v>30</v>
      </c>
      <c r="E308" t="s">
        <v>28</v>
      </c>
    </row>
    <row r="309" spans="1:5">
      <c r="A309" s="45" t="s">
        <v>835</v>
      </c>
      <c r="B309" s="8" t="s">
        <v>10</v>
      </c>
      <c r="C309" s="8" t="str">
        <f t="shared" si="2"/>
        <v>USA</v>
      </c>
      <c r="D309" t="s">
        <v>56</v>
      </c>
      <c r="E309" t="s">
        <v>36</v>
      </c>
    </row>
    <row r="310" spans="1:5">
      <c r="A310" s="45" t="s">
        <v>233</v>
      </c>
      <c r="B310" s="8" t="s">
        <v>11</v>
      </c>
      <c r="C310" s="8" t="str">
        <f t="shared" si="2"/>
        <v>ME</v>
      </c>
      <c r="D310" t="s">
        <v>22</v>
      </c>
      <c r="E310" t="s">
        <v>23</v>
      </c>
    </row>
    <row r="311" spans="1:5">
      <c r="A311" s="45" t="s">
        <v>836</v>
      </c>
      <c r="B311" s="5" t="s">
        <v>713</v>
      </c>
      <c r="C311" s="5" t="str">
        <f t="shared" si="2"/>
        <v>Shared Centre</v>
      </c>
      <c r="D311" t="s">
        <v>766</v>
      </c>
      <c r="E311" t="s">
        <v>36</v>
      </c>
    </row>
    <row r="312" spans="1:5">
      <c r="A312" s="45" t="s">
        <v>837</v>
      </c>
      <c r="B312" s="5" t="s">
        <v>713</v>
      </c>
      <c r="C312" s="5" t="str">
        <f t="shared" si="2"/>
        <v>Shared Centre</v>
      </c>
      <c r="D312" t="s">
        <v>766</v>
      </c>
      <c r="E312" t="s">
        <v>36</v>
      </c>
    </row>
    <row r="313" spans="1:5">
      <c r="A313" s="45" t="s">
        <v>803</v>
      </c>
      <c r="B313" s="5" t="s">
        <v>713</v>
      </c>
      <c r="C313" s="5" t="str">
        <f t="shared" si="2"/>
        <v>Shared Centre</v>
      </c>
      <c r="D313" t="s">
        <v>714</v>
      </c>
      <c r="E313" t="s">
        <v>36</v>
      </c>
    </row>
    <row r="314" spans="1:5">
      <c r="A314" s="45" t="s">
        <v>838</v>
      </c>
      <c r="B314" s="5" t="s">
        <v>713</v>
      </c>
      <c r="C314" s="5" t="str">
        <f t="shared" si="2"/>
        <v>Shared Centre</v>
      </c>
      <c r="D314" t="s">
        <v>766</v>
      </c>
      <c r="E314" t="s">
        <v>36</v>
      </c>
    </row>
    <row r="315" spans="1:5">
      <c r="A315" s="45" t="s">
        <v>839</v>
      </c>
      <c r="B315" s="5" t="s">
        <v>713</v>
      </c>
      <c r="C315" s="5" t="str">
        <f t="shared" si="2"/>
        <v>Shared Centre</v>
      </c>
      <c r="D315" t="s">
        <v>766</v>
      </c>
      <c r="E315" t="s">
        <v>36</v>
      </c>
    </row>
    <row r="316" spans="1:5">
      <c r="A316" t="s">
        <v>840</v>
      </c>
      <c r="B316" s="8" t="s">
        <v>11</v>
      </c>
      <c r="C316" s="8" t="str">
        <f t="shared" si="2"/>
        <v>ME</v>
      </c>
      <c r="D316" t="s">
        <v>36</v>
      </c>
      <c r="E316" t="s">
        <v>23</v>
      </c>
    </row>
    <row r="317" spans="1:5">
      <c r="A317" t="s">
        <v>850</v>
      </c>
      <c r="B317" s="8" t="s">
        <v>10</v>
      </c>
      <c r="C317" s="8" t="str">
        <f t="shared" si="2"/>
        <v>USA</v>
      </c>
      <c r="D317" t="s">
        <v>36</v>
      </c>
      <c r="E317" t="s">
        <v>69</v>
      </c>
    </row>
    <row r="318" spans="1:5">
      <c r="A318" t="s">
        <v>851</v>
      </c>
      <c r="B318" s="8" t="s">
        <v>11</v>
      </c>
      <c r="C318" s="8" t="str">
        <f t="shared" si="2"/>
        <v>ME</v>
      </c>
      <c r="D318" t="s">
        <v>36</v>
      </c>
      <c r="E318" t="s">
        <v>23</v>
      </c>
    </row>
    <row r="319" spans="1:5">
      <c r="A319" t="s">
        <v>876</v>
      </c>
      <c r="B319" s="8" t="s">
        <v>12</v>
      </c>
      <c r="C319" s="8" t="str">
        <f t="shared" si="2"/>
        <v>APAC</v>
      </c>
      <c r="D319" t="s">
        <v>36</v>
      </c>
      <c r="E319" t="s">
        <v>71</v>
      </c>
    </row>
    <row r="320" spans="1:5">
      <c r="A320" s="7" t="s">
        <v>881</v>
      </c>
      <c r="B320" s="8" t="s">
        <v>12</v>
      </c>
      <c r="C320" s="8" t="str">
        <f t="shared" si="2"/>
        <v>APAC</v>
      </c>
      <c r="D320" t="s">
        <v>36</v>
      </c>
      <c r="E320" t="s">
        <v>642</v>
      </c>
    </row>
    <row r="321" spans="1:5">
      <c r="A321" s="7" t="s">
        <v>882</v>
      </c>
      <c r="B321" s="8" t="s">
        <v>9</v>
      </c>
      <c r="C321" s="8" t="str">
        <f t="shared" si="2"/>
        <v>EU/UK</v>
      </c>
      <c r="D321" t="s">
        <v>617</v>
      </c>
      <c r="E321" t="s">
        <v>28</v>
      </c>
    </row>
    <row r="322" spans="1:5">
      <c r="A322" s="7" t="s">
        <v>883</v>
      </c>
      <c r="B322" s="8" t="s">
        <v>10</v>
      </c>
      <c r="C322" s="8" t="str">
        <f t="shared" si="2"/>
        <v>USA</v>
      </c>
      <c r="D322" t="s">
        <v>36</v>
      </c>
      <c r="E322" t="s">
        <v>69</v>
      </c>
    </row>
    <row r="323" spans="1:5">
      <c r="A323" t="s">
        <v>909</v>
      </c>
      <c r="B323" s="8" t="s">
        <v>713</v>
      </c>
      <c r="C323" s="8" t="str">
        <f t="shared" si="2"/>
        <v>Shared Centre</v>
      </c>
      <c r="D323" t="s">
        <v>714</v>
      </c>
      <c r="E323" t="s">
        <v>36</v>
      </c>
    </row>
    <row r="324" spans="1:5">
      <c r="A324" t="s">
        <v>920</v>
      </c>
      <c r="B324" s="8" t="s">
        <v>713</v>
      </c>
      <c r="C324" s="8" t="s">
        <v>713</v>
      </c>
      <c r="D324" t="s">
        <v>994</v>
      </c>
      <c r="E324" t="s">
        <v>36</v>
      </c>
    </row>
    <row r="325" spans="1:5">
      <c r="A325" t="s">
        <v>921</v>
      </c>
      <c r="B325" s="8" t="s">
        <v>10</v>
      </c>
      <c r="C325" s="8" t="str">
        <f t="shared" si="2"/>
        <v>USA</v>
      </c>
      <c r="D325" t="s">
        <v>56</v>
      </c>
      <c r="E325" t="s">
        <v>69</v>
      </c>
    </row>
    <row r="326" spans="1:5">
      <c r="A326" t="s">
        <v>922</v>
      </c>
      <c r="B326" s="8" t="s">
        <v>9</v>
      </c>
      <c r="C326" s="8" t="str">
        <f t="shared" si="2"/>
        <v>EU/UK</v>
      </c>
      <c r="D326" t="s">
        <v>36</v>
      </c>
      <c r="E326" t="s">
        <v>993</v>
      </c>
    </row>
    <row r="327" spans="1:5">
      <c r="A327" t="s">
        <v>923</v>
      </c>
      <c r="B327" s="8" t="s">
        <v>10</v>
      </c>
      <c r="C327" s="8" t="s">
        <v>10</v>
      </c>
      <c r="D327" t="s">
        <v>36</v>
      </c>
      <c r="E327" t="s">
        <v>69</v>
      </c>
    </row>
    <row r="328" spans="1:5">
      <c r="A328" t="s">
        <v>924</v>
      </c>
      <c r="B328" s="8" t="s">
        <v>11</v>
      </c>
      <c r="C328" s="8" t="s">
        <v>11</v>
      </c>
      <c r="D328" t="s">
        <v>36</v>
      </c>
      <c r="E328" t="s">
        <v>23</v>
      </c>
    </row>
    <row r="329" spans="1:5">
      <c r="A329" t="s">
        <v>925</v>
      </c>
      <c r="B329" s="8" t="s">
        <v>11</v>
      </c>
      <c r="C329" s="8" t="s">
        <v>11</v>
      </c>
      <c r="D329" t="s">
        <v>36</v>
      </c>
      <c r="E329" t="s">
        <v>23</v>
      </c>
    </row>
    <row r="330" spans="1:5">
      <c r="A330" t="s">
        <v>926</v>
      </c>
      <c r="B330" s="8" t="s">
        <v>12</v>
      </c>
      <c r="C330" s="8" t="s">
        <v>12</v>
      </c>
      <c r="D330" t="s">
        <v>36</v>
      </c>
      <c r="E330" t="s">
        <v>712</v>
      </c>
    </row>
    <row r="331" spans="1:5">
      <c r="A331" t="s">
        <v>927</v>
      </c>
      <c r="B331" s="8" t="s">
        <v>10</v>
      </c>
      <c r="C331" s="8" t="s">
        <v>10</v>
      </c>
      <c r="D331" t="s">
        <v>36</v>
      </c>
      <c r="E331" t="s">
        <v>69</v>
      </c>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sheetData>
  <autoFilter ref="A2:E331"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2026-06-25T10:38:22Z</dcterms:modified>
  <cp:category/>
  <cp:contentStatus/>
</cp:coreProperties>
</file>